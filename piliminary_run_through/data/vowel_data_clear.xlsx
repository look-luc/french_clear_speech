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lucdenardi/Desktop/python/french_clear_speach/data/"/>
    </mc:Choice>
  </mc:AlternateContent>
  <xr:revisionPtr revIDLastSave="0" documentId="13_ncr:1_{AF86C74C-5572-DA42-A2E2-14C97066D8A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LabPhon_all" sheetId="1" r:id="rId1"/>
  </sheets>
  <definedNames>
    <definedName name="_xlnm._FilterDatabase" localSheetId="0" hidden="1">dataLabPhon_all!$A$1:$Z$1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N3kqIIWFyt0Ve0yPTIlnQk9cBHOM8yzAmEHKStaAAE="/>
    </ext>
  </extLst>
</workbook>
</file>

<file path=xl/calcChain.xml><?xml version="1.0" encoding="utf-8"?>
<calcChain xmlns="http://schemas.openxmlformats.org/spreadsheetml/2006/main">
  <c r="Z36" i="1" l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2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2" i="1"/>
</calcChain>
</file>

<file path=xl/sharedStrings.xml><?xml version="1.0" encoding="utf-8"?>
<sst xmlns="http://schemas.openxmlformats.org/spreadsheetml/2006/main" count="16144" uniqueCount="42">
  <si>
    <t xml:space="preserve">  TASK</t>
  </si>
  <si>
    <t>CLARITY</t>
  </si>
  <si>
    <t>vowel</t>
  </si>
  <si>
    <t>vowelSAMPA</t>
  </si>
  <si>
    <t>Duration</t>
  </si>
  <si>
    <t>F0</t>
  </si>
  <si>
    <t>F1_Hz</t>
  </si>
  <si>
    <t>F2_Hz</t>
  </si>
  <si>
    <t>F3_Hz</t>
  </si>
  <si>
    <t>F0_Bark</t>
  </si>
  <si>
    <t>F1_Bark</t>
  </si>
  <si>
    <t>F2_Bark</t>
  </si>
  <si>
    <t>F3_Bark</t>
  </si>
  <si>
    <t>dist_CATcentroid_TX</t>
  </si>
  <si>
    <t>dist_CATcentroid_T12</t>
  </si>
  <si>
    <t>dist_SYSTcentroid_TX</t>
  </si>
  <si>
    <t>dist_SYSTcentroid_T12</t>
  </si>
  <si>
    <t>dist_F1meanSYST_TX</t>
  </si>
  <si>
    <t>dist_F1meanSYST_T12</t>
  </si>
  <si>
    <t>dist_F2meanSYST_TX</t>
  </si>
  <si>
    <t>dist_F2meanSYST_T12</t>
  </si>
  <si>
    <t>dist_RefMinF1_LectLCS</t>
  </si>
  <si>
    <t>V_rms</t>
  </si>
  <si>
    <t>lecture</t>
  </si>
  <si>
    <t>normal</t>
  </si>
  <si>
    <t>a</t>
  </si>
  <si>
    <t>o</t>
  </si>
  <si>
    <t>e</t>
  </si>
  <si>
    <t>ɔ̃</t>
  </si>
  <si>
    <t>O~</t>
  </si>
  <si>
    <t>ɛ̃</t>
  </si>
  <si>
    <t>E~</t>
  </si>
  <si>
    <t>ɑ̃</t>
  </si>
  <si>
    <t>a~</t>
  </si>
  <si>
    <t>õ</t>
  </si>
  <si>
    <t>clear</t>
  </si>
  <si>
    <t>tache</t>
  </si>
  <si>
    <t>1.66E-05</t>
  </si>
  <si>
    <t>7.40E-05</t>
  </si>
  <si>
    <t>Target Task</t>
  </si>
  <si>
    <t>Target Clarity</t>
  </si>
  <si>
    <t>Target Nasality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</si>
</sst>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0" borderId="0" xfId="0" quotePrefix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30"/>
  <sheetViews>
    <sheetView tabSelected="1" topLeftCell="A3971" workbookViewId="0">
      <selection activeCell="A3999" sqref="A3999"/>
    </sheetView>
  </sheetViews>
  <sheetFormatPr baseColWidth="10" defaultColWidth="11.1640625" defaultRowHeight="15" customHeight="1" x14ac:dyDescent="0.2"/>
  <cols>
    <col min="1" max="13" width="10.5" customWidth="1"/>
    <col min="14" max="14" width="20.33203125" bestFit="1" customWidth="1"/>
    <col min="15" max="15" width="21.33203125" bestFit="1" customWidth="1"/>
    <col min="16" max="16" width="21" bestFit="1" customWidth="1"/>
    <col min="17" max="17" width="22" bestFit="1" customWidth="1"/>
    <col min="18" max="18" width="20.6640625" bestFit="1" customWidth="1"/>
    <col min="19" max="19" width="21.6640625" bestFit="1" customWidth="1"/>
    <col min="20" max="20" width="20.6640625" bestFit="1" customWidth="1"/>
    <col min="21" max="21" width="21.6640625" bestFit="1" customWidth="1"/>
    <col min="22" max="23" width="10.5" customWidth="1"/>
    <col min="24" max="24" width="12.5" bestFit="1" customWidth="1"/>
    <col min="25" max="25" width="14.5" bestFit="1" customWidth="1"/>
    <col min="26" max="26" width="15.6640625" bestFit="1" customWidth="1"/>
  </cols>
  <sheetData>
    <row r="1" spans="1:26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39</v>
      </c>
      <c r="Y1" s="4" t="s">
        <v>40</v>
      </c>
      <c r="Z1" s="4" t="s">
        <v>41</v>
      </c>
    </row>
    <row r="2" spans="1:26" ht="15.75" customHeight="1" x14ac:dyDescent="0.2">
      <c r="A2" s="2" t="s">
        <v>23</v>
      </c>
      <c r="B2" s="2" t="s">
        <v>24</v>
      </c>
      <c r="C2" s="2" t="s">
        <v>25</v>
      </c>
      <c r="D2" s="2" t="s">
        <v>25</v>
      </c>
      <c r="E2" s="2">
        <v>133</v>
      </c>
      <c r="F2" s="2">
        <v>231.33333329999999</v>
      </c>
      <c r="G2" s="2">
        <v>779.33333330000005</v>
      </c>
      <c r="H2" s="2">
        <v>1591.333333</v>
      </c>
      <c r="I2" s="2">
        <v>3073</v>
      </c>
      <c r="J2" s="2">
        <v>2.2999999999999998</v>
      </c>
      <c r="K2" s="2">
        <v>7.1</v>
      </c>
      <c r="L2" s="2">
        <v>11.48</v>
      </c>
      <c r="M2" s="2">
        <v>15.84</v>
      </c>
      <c r="N2" s="2">
        <v>0.401986393</v>
      </c>
      <c r="O2" s="2">
        <v>0.139307869</v>
      </c>
      <c r="P2" s="2">
        <v>2.5534019529999998</v>
      </c>
      <c r="Q2" s="2">
        <v>2.547868394</v>
      </c>
      <c r="R2" s="2">
        <v>2.5497216190000001</v>
      </c>
      <c r="S2" s="2">
        <v>2.5392227040000002</v>
      </c>
      <c r="T2" s="2">
        <v>0.137044533</v>
      </c>
      <c r="U2" s="2">
        <v>0.20971746399999999</v>
      </c>
      <c r="V2" s="2">
        <v>3.7625063289999998</v>
      </c>
      <c r="W2" s="2">
        <v>9.5274169000000006E-2</v>
      </c>
      <c r="X2">
        <f>IF(B2="normal",1,0)</f>
        <v>1</v>
      </c>
      <c r="Y2">
        <f>IF(A2="lecture",1,0)</f>
        <v>1</v>
      </c>
      <c r="Z2">
        <f>IF(ISNUMBER(FIND("~",D2)),1,0)</f>
        <v>0</v>
      </c>
    </row>
    <row r="3" spans="1:26" ht="15.75" customHeight="1" x14ac:dyDescent="0.2">
      <c r="A3" s="2" t="s">
        <v>23</v>
      </c>
      <c r="B3" s="2" t="s">
        <v>24</v>
      </c>
      <c r="C3" s="2" t="s">
        <v>26</v>
      </c>
      <c r="D3" s="2" t="s">
        <v>26</v>
      </c>
      <c r="E3" s="2">
        <v>172</v>
      </c>
      <c r="F3" s="2">
        <v>210.33333329999999</v>
      </c>
      <c r="G3" s="2">
        <v>392.66666670000001</v>
      </c>
      <c r="H3" s="2">
        <v>839.33333330000005</v>
      </c>
      <c r="I3" s="2">
        <v>3222</v>
      </c>
      <c r="J3" s="2">
        <v>2.0699999999999998</v>
      </c>
      <c r="K3" s="2">
        <v>3.94</v>
      </c>
      <c r="L3" s="2">
        <v>7.51</v>
      </c>
      <c r="M3" s="2">
        <v>16.14</v>
      </c>
      <c r="N3" s="2">
        <v>0.20089062399999999</v>
      </c>
      <c r="O3" s="2">
        <v>0.41343860700000001</v>
      </c>
      <c r="P3" s="2">
        <v>3.8849227169999998</v>
      </c>
      <c r="Q3" s="2">
        <v>3.8148215190000001</v>
      </c>
      <c r="R3" s="2">
        <v>0.60299066099999998</v>
      </c>
      <c r="S3" s="2">
        <v>0.61348957599999998</v>
      </c>
      <c r="T3" s="2">
        <v>3.8378414209999998</v>
      </c>
      <c r="U3" s="2">
        <v>3.7651684900000002</v>
      </c>
      <c r="V3" s="2">
        <v>0.609794049</v>
      </c>
      <c r="W3" s="2">
        <v>9.5172965999999998E-2</v>
      </c>
      <c r="X3">
        <f t="shared" ref="X3:X66" si="0">IF(B3="normal",1,0)</f>
        <v>1</v>
      </c>
      <c r="Y3">
        <f t="shared" ref="Y3:Y66" si="1">IF(A3="lecture",1,0)</f>
        <v>1</v>
      </c>
      <c r="Z3">
        <f t="shared" ref="Z3:Z66" si="2">IF(ISNUMBER(FIND("~",D3)),1,0)</f>
        <v>0</v>
      </c>
    </row>
    <row r="4" spans="1:26" ht="15.75" customHeight="1" x14ac:dyDescent="0.2">
      <c r="A4" s="2" t="s">
        <v>23</v>
      </c>
      <c r="B4" s="2" t="s">
        <v>24</v>
      </c>
      <c r="C4" s="2" t="s">
        <v>27</v>
      </c>
      <c r="D4" s="2" t="s">
        <v>27</v>
      </c>
      <c r="E4" s="2">
        <v>147</v>
      </c>
      <c r="F4" s="2">
        <v>215</v>
      </c>
      <c r="G4" s="2">
        <v>413.66666670000001</v>
      </c>
      <c r="H4" s="2">
        <v>2493.666667</v>
      </c>
      <c r="I4" s="2">
        <v>3128.333333</v>
      </c>
      <c r="J4" s="2">
        <v>2.12</v>
      </c>
      <c r="K4" s="2">
        <v>4.1399999999999997</v>
      </c>
      <c r="L4" s="2">
        <v>14.48</v>
      </c>
      <c r="M4" s="2">
        <v>15.95</v>
      </c>
      <c r="N4" s="2">
        <v>8.0245756000000001E-2</v>
      </c>
      <c r="O4" s="2">
        <v>4.0738107000000003E-2</v>
      </c>
      <c r="P4" s="2">
        <v>3.1610029769999999</v>
      </c>
      <c r="Q4" s="2">
        <v>3.2344224320000001</v>
      </c>
      <c r="R4" s="2">
        <v>0.40538833699999999</v>
      </c>
      <c r="S4" s="2">
        <v>0.41588725100000001</v>
      </c>
      <c r="T4" s="2">
        <v>3.1349003359999998</v>
      </c>
      <c r="U4" s="2">
        <v>3.2075732669999999</v>
      </c>
      <c r="V4" s="2">
        <v>0.807396373</v>
      </c>
      <c r="W4" s="2">
        <v>0.11238322000000001</v>
      </c>
      <c r="X4">
        <f t="shared" si="0"/>
        <v>1</v>
      </c>
      <c r="Y4">
        <f t="shared" si="1"/>
        <v>1</v>
      </c>
      <c r="Z4">
        <f t="shared" si="2"/>
        <v>0</v>
      </c>
    </row>
    <row r="5" spans="1:26" ht="15.75" customHeight="1" x14ac:dyDescent="0.2">
      <c r="A5" s="2" t="s">
        <v>23</v>
      </c>
      <c r="B5" s="2" t="s">
        <v>24</v>
      </c>
      <c r="C5" s="2" t="s">
        <v>28</v>
      </c>
      <c r="D5" s="2" t="s">
        <v>29</v>
      </c>
      <c r="E5" s="2">
        <v>130</v>
      </c>
      <c r="F5" s="2">
        <v>222.33333329999999</v>
      </c>
      <c r="G5" s="2">
        <v>302.33333329999999</v>
      </c>
      <c r="H5" s="2">
        <v>1049.666667</v>
      </c>
      <c r="I5" s="2">
        <v>2254.666667</v>
      </c>
      <c r="J5" s="2">
        <v>2.2000000000000002</v>
      </c>
      <c r="K5" s="2">
        <v>3.05</v>
      </c>
      <c r="L5" s="2">
        <v>8.82</v>
      </c>
      <c r="M5" s="2">
        <v>13.81</v>
      </c>
      <c r="N5" s="2">
        <v>1.4209908520000001</v>
      </c>
      <c r="O5" s="2">
        <v>1.9447073770000001</v>
      </c>
      <c r="P5" s="2">
        <v>2.9351447830000001</v>
      </c>
      <c r="Q5" s="2">
        <v>2.8783178789999999</v>
      </c>
      <c r="R5" s="2">
        <v>1.4948244610000001</v>
      </c>
      <c r="S5" s="2">
        <v>1.505323376</v>
      </c>
      <c r="T5" s="2">
        <v>2.5259799539999999</v>
      </c>
      <c r="U5" s="2">
        <v>2.4533070229999998</v>
      </c>
      <c r="V5" s="2">
        <v>-0.28203975100000001</v>
      </c>
      <c r="W5" s="2">
        <v>8.7737337999999998E-2</v>
      </c>
      <c r="X5">
        <f t="shared" si="0"/>
        <v>1</v>
      </c>
      <c r="Y5">
        <f t="shared" si="1"/>
        <v>1</v>
      </c>
      <c r="Z5">
        <f t="shared" si="2"/>
        <v>1</v>
      </c>
    </row>
    <row r="6" spans="1:26" ht="15.75" customHeight="1" x14ac:dyDescent="0.2">
      <c r="A6" s="2" t="s">
        <v>23</v>
      </c>
      <c r="B6" s="2" t="s">
        <v>24</v>
      </c>
      <c r="C6" s="2" t="s">
        <v>30</v>
      </c>
      <c r="D6" s="2" t="s">
        <v>31</v>
      </c>
      <c r="E6" s="2">
        <v>210</v>
      </c>
      <c r="F6" s="2">
        <v>227</v>
      </c>
      <c r="G6" s="2">
        <v>697.66666669999995</v>
      </c>
      <c r="H6" s="2">
        <v>2061.333333</v>
      </c>
      <c r="I6" s="2">
        <v>2917.333333</v>
      </c>
      <c r="J6" s="2">
        <v>2.25</v>
      </c>
      <c r="K6" s="2">
        <v>6.51</v>
      </c>
      <c r="L6" s="2">
        <v>13.21</v>
      </c>
      <c r="M6" s="2">
        <v>15.51</v>
      </c>
      <c r="N6" s="2">
        <v>2.6310441440000001</v>
      </c>
      <c r="O6" s="2">
        <v>2.7003515199999999</v>
      </c>
      <c r="P6" s="2">
        <v>2.7066878349999999</v>
      </c>
      <c r="Q6" s="2">
        <v>2.7498483070000002</v>
      </c>
      <c r="R6" s="2">
        <v>1.9602643550000001</v>
      </c>
      <c r="S6" s="2">
        <v>1.949765441</v>
      </c>
      <c r="T6" s="2">
        <v>1.866419753</v>
      </c>
      <c r="U6" s="2">
        <v>1.939092684</v>
      </c>
      <c r="V6" s="2">
        <v>3.1730490649999998</v>
      </c>
      <c r="W6" s="2">
        <v>8.4235896000000005E-2</v>
      </c>
      <c r="X6">
        <f t="shared" si="0"/>
        <v>1</v>
      </c>
      <c r="Y6">
        <f t="shared" si="1"/>
        <v>1</v>
      </c>
      <c r="Z6">
        <f t="shared" si="2"/>
        <v>1</v>
      </c>
    </row>
    <row r="7" spans="1:26" ht="15.75" customHeight="1" x14ac:dyDescent="0.2">
      <c r="A7" s="2" t="s">
        <v>23</v>
      </c>
      <c r="B7" s="2" t="s">
        <v>24</v>
      </c>
      <c r="C7" s="2" t="s">
        <v>26</v>
      </c>
      <c r="D7" s="2" t="s">
        <v>26</v>
      </c>
      <c r="E7" s="2">
        <v>120</v>
      </c>
      <c r="F7" s="2">
        <v>215</v>
      </c>
      <c r="G7" s="2">
        <v>415</v>
      </c>
      <c r="H7" s="2">
        <v>715</v>
      </c>
      <c r="I7" s="2">
        <v>3023.666667</v>
      </c>
      <c r="J7" s="2">
        <v>2.12</v>
      </c>
      <c r="K7" s="2">
        <v>4.1500000000000004</v>
      </c>
      <c r="L7" s="2">
        <v>6.64</v>
      </c>
      <c r="M7" s="2">
        <v>15.74</v>
      </c>
      <c r="N7" s="2">
        <v>1.094813743</v>
      </c>
      <c r="O7" s="2">
        <v>0.50255808700000004</v>
      </c>
      <c r="P7" s="2">
        <v>4.7266975889999996</v>
      </c>
      <c r="Q7" s="2">
        <v>4.6551783359999996</v>
      </c>
      <c r="R7" s="2">
        <v>0.39296013499999999</v>
      </c>
      <c r="S7" s="2">
        <v>0.40345904999999999</v>
      </c>
      <c r="T7" s="2">
        <v>4.7103346410000002</v>
      </c>
      <c r="U7" s="2">
        <v>4.6376617099999997</v>
      </c>
      <c r="V7" s="2">
        <v>0.81982457500000006</v>
      </c>
      <c r="W7" s="2">
        <v>0.108312164</v>
      </c>
      <c r="X7">
        <f t="shared" si="0"/>
        <v>1</v>
      </c>
      <c r="Y7">
        <f t="shared" si="1"/>
        <v>1</v>
      </c>
      <c r="Z7">
        <f t="shared" si="2"/>
        <v>0</v>
      </c>
    </row>
    <row r="8" spans="1:26" ht="15.75" customHeight="1" x14ac:dyDescent="0.2">
      <c r="A8" s="2" t="s">
        <v>23</v>
      </c>
      <c r="B8" s="2" t="s">
        <v>24</v>
      </c>
      <c r="C8" s="2" t="s">
        <v>28</v>
      </c>
      <c r="D8" s="2" t="s">
        <v>29</v>
      </c>
      <c r="E8" s="2">
        <v>200</v>
      </c>
      <c r="F8" s="2">
        <v>223</v>
      </c>
      <c r="G8" s="2">
        <v>243</v>
      </c>
      <c r="H8" s="2">
        <v>1419.333333</v>
      </c>
      <c r="I8" s="2">
        <v>2347.666667</v>
      </c>
      <c r="J8" s="2">
        <v>2.21</v>
      </c>
      <c r="K8" s="2">
        <v>2.4300000000000002</v>
      </c>
      <c r="L8" s="2">
        <v>10.73</v>
      </c>
      <c r="M8" s="2">
        <v>14.08</v>
      </c>
      <c r="N8" s="2">
        <v>3.3779791960000001</v>
      </c>
      <c r="O8" s="2">
        <v>3.941321302</v>
      </c>
      <c r="P8" s="2">
        <v>2.208084817</v>
      </c>
      <c r="Q8" s="2">
        <v>2.1990932860000001</v>
      </c>
      <c r="R8" s="2">
        <v>2.1204011270000001</v>
      </c>
      <c r="S8" s="2">
        <v>2.1309000419999999</v>
      </c>
      <c r="T8" s="2">
        <v>0.61606624399999999</v>
      </c>
      <c r="U8" s="2">
        <v>0.54339331300000004</v>
      </c>
      <c r="V8" s="2">
        <v>-0.90761641699999995</v>
      </c>
      <c r="W8" s="2">
        <v>6.8750990999999997E-2</v>
      </c>
      <c r="X8">
        <f t="shared" si="0"/>
        <v>1</v>
      </c>
      <c r="Y8">
        <f t="shared" si="1"/>
        <v>1</v>
      </c>
      <c r="Z8">
        <f t="shared" si="2"/>
        <v>1</v>
      </c>
    </row>
    <row r="9" spans="1:26" ht="15.75" customHeight="1" x14ac:dyDescent="0.2">
      <c r="A9" s="2" t="s">
        <v>23</v>
      </c>
      <c r="B9" s="2" t="s">
        <v>24</v>
      </c>
      <c r="C9" s="2" t="s">
        <v>32</v>
      </c>
      <c r="D9" s="2" t="s">
        <v>33</v>
      </c>
      <c r="E9" s="2">
        <v>145</v>
      </c>
      <c r="F9" s="2">
        <v>180.33333329999999</v>
      </c>
      <c r="G9" s="2">
        <v>309.66666670000001</v>
      </c>
      <c r="H9" s="2">
        <v>842</v>
      </c>
      <c r="I9" s="2">
        <v>2453.666667</v>
      </c>
      <c r="J9" s="2">
        <v>1.73</v>
      </c>
      <c r="K9" s="2">
        <v>3.13</v>
      </c>
      <c r="L9" s="2">
        <v>7.53</v>
      </c>
      <c r="M9" s="2">
        <v>14.37</v>
      </c>
      <c r="N9" s="2">
        <v>5.3882279229999996</v>
      </c>
      <c r="O9" s="2">
        <v>5.4657254310000001</v>
      </c>
      <c r="P9" s="2">
        <v>4.075289937</v>
      </c>
      <c r="Q9" s="2">
        <v>4.0109816880000002</v>
      </c>
      <c r="R9" s="2">
        <v>1.419777063</v>
      </c>
      <c r="S9" s="2">
        <v>1.4302759780000001</v>
      </c>
      <c r="T9" s="2">
        <v>3.8199765920000002</v>
      </c>
      <c r="U9" s="2">
        <v>3.7473036610000001</v>
      </c>
      <c r="V9" s="2">
        <v>-0.20699235299999999</v>
      </c>
      <c r="W9" s="2">
        <v>7.8796690000000003E-2</v>
      </c>
      <c r="X9">
        <f t="shared" si="0"/>
        <v>1</v>
      </c>
      <c r="Y9">
        <f t="shared" si="1"/>
        <v>1</v>
      </c>
      <c r="Z9">
        <f t="shared" si="2"/>
        <v>1</v>
      </c>
    </row>
    <row r="10" spans="1:26" ht="15.75" customHeight="1" x14ac:dyDescent="0.2">
      <c r="A10" s="2" t="s">
        <v>23</v>
      </c>
      <c r="B10" s="2" t="s">
        <v>24</v>
      </c>
      <c r="C10" s="2" t="s">
        <v>32</v>
      </c>
      <c r="D10" s="2" t="s">
        <v>33</v>
      </c>
      <c r="E10" s="2">
        <v>148</v>
      </c>
      <c r="F10" s="2">
        <v>206</v>
      </c>
      <c r="G10" s="2">
        <v>775.66666669999995</v>
      </c>
      <c r="H10" s="2">
        <v>1415.333333</v>
      </c>
      <c r="I10" s="2">
        <v>3734</v>
      </c>
      <c r="J10" s="2">
        <v>2.02</v>
      </c>
      <c r="K10" s="2">
        <v>7.07</v>
      </c>
      <c r="L10" s="2">
        <v>10.71</v>
      </c>
      <c r="M10" s="2">
        <v>17.05</v>
      </c>
      <c r="N10" s="2">
        <v>0.92339572999999997</v>
      </c>
      <c r="O10" s="2">
        <v>0.68186159400000002</v>
      </c>
      <c r="P10" s="2">
        <v>2.6025396550000002</v>
      </c>
      <c r="Q10" s="2">
        <v>2.5755357619999999</v>
      </c>
      <c r="R10" s="2">
        <v>2.5240107790000001</v>
      </c>
      <c r="S10" s="2">
        <v>2.5135118649999999</v>
      </c>
      <c r="T10" s="2">
        <v>0.63449369099999997</v>
      </c>
      <c r="U10" s="2">
        <v>0.56182076000000003</v>
      </c>
      <c r="V10" s="2">
        <v>3.7367954889999999</v>
      </c>
      <c r="W10" s="2">
        <v>8.5072531000000007E-2</v>
      </c>
      <c r="X10">
        <f t="shared" si="0"/>
        <v>1</v>
      </c>
      <c r="Y10">
        <f t="shared" si="1"/>
        <v>1</v>
      </c>
      <c r="Z10">
        <f t="shared" si="2"/>
        <v>1</v>
      </c>
    </row>
    <row r="11" spans="1:26" ht="15.75" customHeight="1" x14ac:dyDescent="0.2">
      <c r="A11" s="2" t="s">
        <v>23</v>
      </c>
      <c r="B11" s="2" t="s">
        <v>24</v>
      </c>
      <c r="C11" s="2" t="s">
        <v>25</v>
      </c>
      <c r="D11" s="2" t="s">
        <v>25</v>
      </c>
      <c r="E11" s="2">
        <v>142</v>
      </c>
      <c r="F11" s="2">
        <v>209</v>
      </c>
      <c r="G11" s="2">
        <v>679.66666669999995</v>
      </c>
      <c r="H11" s="2">
        <v>1619</v>
      </c>
      <c r="I11" s="2">
        <v>2854.666667</v>
      </c>
      <c r="J11" s="2">
        <v>2.0499999999999998</v>
      </c>
      <c r="K11" s="2">
        <v>6.37</v>
      </c>
      <c r="L11" s="2">
        <v>11.6</v>
      </c>
      <c r="M11" s="2">
        <v>15.37</v>
      </c>
      <c r="N11" s="2">
        <v>0.33168924799999999</v>
      </c>
      <c r="O11" s="2">
        <v>0.65552903900000004</v>
      </c>
      <c r="P11" s="2">
        <v>1.842671408</v>
      </c>
      <c r="Q11" s="2">
        <v>1.8436493789999999</v>
      </c>
      <c r="R11" s="2">
        <v>1.82543769</v>
      </c>
      <c r="S11" s="2">
        <v>1.8149387749999999</v>
      </c>
      <c r="T11" s="2">
        <v>0.25142624400000002</v>
      </c>
      <c r="U11" s="2">
        <v>0.32409917500000002</v>
      </c>
      <c r="V11" s="2">
        <v>3.0382224</v>
      </c>
      <c r="W11" s="2">
        <v>0.105326405</v>
      </c>
      <c r="X11">
        <f t="shared" si="0"/>
        <v>1</v>
      </c>
      <c r="Y11">
        <f t="shared" si="1"/>
        <v>1</v>
      </c>
      <c r="Z11">
        <f t="shared" si="2"/>
        <v>0</v>
      </c>
    </row>
    <row r="12" spans="1:26" ht="15.75" customHeight="1" x14ac:dyDescent="0.2">
      <c r="A12" s="2" t="s">
        <v>23</v>
      </c>
      <c r="B12" s="2" t="s">
        <v>24</v>
      </c>
      <c r="C12" s="2" t="s">
        <v>32</v>
      </c>
      <c r="D12" s="2" t="s">
        <v>33</v>
      </c>
      <c r="E12" s="2">
        <v>161</v>
      </c>
      <c r="F12" s="2">
        <v>207</v>
      </c>
      <c r="G12" s="2">
        <v>669.33333330000005</v>
      </c>
      <c r="H12" s="2">
        <v>1063.666667</v>
      </c>
      <c r="I12" s="2">
        <v>3077.333333</v>
      </c>
      <c r="J12" s="2">
        <v>2.0299999999999998</v>
      </c>
      <c r="K12" s="2">
        <v>6.29</v>
      </c>
      <c r="L12" s="2">
        <v>8.9</v>
      </c>
      <c r="M12" s="2">
        <v>15.85</v>
      </c>
      <c r="N12" s="2">
        <v>2.6880738439999998</v>
      </c>
      <c r="O12" s="2">
        <v>2.5846623160000002</v>
      </c>
      <c r="P12" s="2">
        <v>3.0052331200000002</v>
      </c>
      <c r="Q12" s="2">
        <v>2.940193753</v>
      </c>
      <c r="R12" s="2">
        <v>1.7472031400000001</v>
      </c>
      <c r="S12" s="2">
        <v>1.736704225</v>
      </c>
      <c r="T12" s="2">
        <v>2.4451395250000001</v>
      </c>
      <c r="U12" s="2">
        <v>2.372466594</v>
      </c>
      <c r="V12" s="2">
        <v>2.9599878500000001</v>
      </c>
      <c r="W12" s="2">
        <v>7.8811565E-2</v>
      </c>
      <c r="X12">
        <f t="shared" si="0"/>
        <v>1</v>
      </c>
      <c r="Y12">
        <f t="shared" si="1"/>
        <v>1</v>
      </c>
      <c r="Z12">
        <f t="shared" si="2"/>
        <v>1</v>
      </c>
    </row>
    <row r="13" spans="1:26" ht="15.75" customHeight="1" x14ac:dyDescent="0.2">
      <c r="A13" s="2" t="s">
        <v>23</v>
      </c>
      <c r="B13" s="2" t="s">
        <v>24</v>
      </c>
      <c r="C13" s="2" t="s">
        <v>32</v>
      </c>
      <c r="D13" s="2" t="s">
        <v>33</v>
      </c>
      <c r="E13" s="2">
        <v>139</v>
      </c>
      <c r="F13" s="2">
        <v>214.33333329999999</v>
      </c>
      <c r="G13" s="2">
        <v>721.33333330000005</v>
      </c>
      <c r="H13" s="2">
        <v>1464</v>
      </c>
      <c r="I13" s="2">
        <v>3364.333333</v>
      </c>
      <c r="J13" s="2">
        <v>2.11</v>
      </c>
      <c r="K13" s="2">
        <v>6.68</v>
      </c>
      <c r="L13" s="2">
        <v>10.93</v>
      </c>
      <c r="M13" s="2">
        <v>16.41</v>
      </c>
      <c r="N13" s="2">
        <v>0.62539566999999996</v>
      </c>
      <c r="O13" s="2">
        <v>0.55279523200000003</v>
      </c>
      <c r="P13" s="2">
        <v>2.1744061229999998</v>
      </c>
      <c r="Q13" s="2">
        <v>2.1514061180000001</v>
      </c>
      <c r="R13" s="2">
        <v>2.134781727</v>
      </c>
      <c r="S13" s="2">
        <v>2.1242828120000001</v>
      </c>
      <c r="T13" s="2">
        <v>0.41321781800000001</v>
      </c>
      <c r="U13" s="2">
        <v>0.34054488700000002</v>
      </c>
      <c r="V13" s="2">
        <v>3.3475664369999998</v>
      </c>
      <c r="W13" s="2">
        <v>0.11143544900000001</v>
      </c>
      <c r="X13">
        <f t="shared" si="0"/>
        <v>1</v>
      </c>
      <c r="Y13">
        <f t="shared" si="1"/>
        <v>1</v>
      </c>
      <c r="Z13">
        <f t="shared" si="2"/>
        <v>1</v>
      </c>
    </row>
    <row r="14" spans="1:26" ht="15.75" customHeight="1" x14ac:dyDescent="0.2">
      <c r="A14" s="2" t="s">
        <v>23</v>
      </c>
      <c r="B14" s="2" t="s">
        <v>24</v>
      </c>
      <c r="C14" s="2" t="s">
        <v>25</v>
      </c>
      <c r="D14" s="2" t="s">
        <v>25</v>
      </c>
      <c r="E14" s="2">
        <v>101</v>
      </c>
      <c r="F14" s="2">
        <v>218</v>
      </c>
      <c r="G14" s="2">
        <v>758.66666669999995</v>
      </c>
      <c r="H14" s="2">
        <v>1670.666667</v>
      </c>
      <c r="I14" s="2">
        <v>3057.666667</v>
      </c>
      <c r="J14" s="2">
        <v>2.15</v>
      </c>
      <c r="K14" s="2">
        <v>6.95</v>
      </c>
      <c r="L14" s="2">
        <v>11.81</v>
      </c>
      <c r="M14" s="2">
        <v>15.81</v>
      </c>
      <c r="N14" s="2">
        <v>0.35188903100000002</v>
      </c>
      <c r="O14" s="2">
        <v>0.41957821000000001</v>
      </c>
      <c r="P14" s="2">
        <v>2.4475842320000001</v>
      </c>
      <c r="Q14" s="2">
        <v>2.4520390220000001</v>
      </c>
      <c r="R14" s="2">
        <v>2.4038998120000001</v>
      </c>
      <c r="S14" s="2">
        <v>2.3934008969999998</v>
      </c>
      <c r="T14" s="2">
        <v>0.460363195</v>
      </c>
      <c r="U14" s="2">
        <v>0.53303612600000005</v>
      </c>
      <c r="V14" s="2">
        <v>3.6166845219999999</v>
      </c>
      <c r="W14" s="2">
        <v>0.100218258</v>
      </c>
      <c r="X14">
        <f t="shared" si="0"/>
        <v>1</v>
      </c>
      <c r="Y14">
        <f t="shared" si="1"/>
        <v>1</v>
      </c>
      <c r="Z14">
        <f t="shared" si="2"/>
        <v>0</v>
      </c>
    </row>
    <row r="15" spans="1:26" ht="15.75" customHeight="1" x14ac:dyDescent="0.2">
      <c r="A15" s="2" t="s">
        <v>23</v>
      </c>
      <c r="B15" s="2" t="s">
        <v>24</v>
      </c>
      <c r="C15" s="2" t="s">
        <v>25</v>
      </c>
      <c r="D15" s="2" t="s">
        <v>25</v>
      </c>
      <c r="E15" s="2">
        <v>130</v>
      </c>
      <c r="F15" s="2">
        <v>205.66666670000001</v>
      </c>
      <c r="G15" s="2">
        <v>826.33333330000005</v>
      </c>
      <c r="H15" s="2">
        <v>1673</v>
      </c>
      <c r="I15" s="2">
        <v>3101.666667</v>
      </c>
      <c r="J15" s="2">
        <v>2.02</v>
      </c>
      <c r="K15" s="2">
        <v>7.42</v>
      </c>
      <c r="L15" s="2">
        <v>11.82</v>
      </c>
      <c r="M15" s="2">
        <v>15.9</v>
      </c>
      <c r="N15" s="2">
        <v>0.76338434099999997</v>
      </c>
      <c r="O15" s="2">
        <v>0.60316590000000003</v>
      </c>
      <c r="P15" s="2">
        <v>2.9114263789999999</v>
      </c>
      <c r="Q15" s="2">
        <v>2.9137132929999998</v>
      </c>
      <c r="R15" s="2">
        <v>2.8732950019999999</v>
      </c>
      <c r="S15" s="2">
        <v>2.8627960880000001</v>
      </c>
      <c r="T15" s="2">
        <v>0.46965880500000001</v>
      </c>
      <c r="U15" s="2">
        <v>0.54233173599999995</v>
      </c>
      <c r="V15" s="2">
        <v>4.0860797120000001</v>
      </c>
      <c r="W15" s="2">
        <v>0.110824987</v>
      </c>
      <c r="X15">
        <f t="shared" si="0"/>
        <v>1</v>
      </c>
      <c r="Y15">
        <f t="shared" si="1"/>
        <v>1</v>
      </c>
      <c r="Z15">
        <f t="shared" si="2"/>
        <v>0</v>
      </c>
    </row>
    <row r="16" spans="1:26" ht="15.75" customHeight="1" x14ac:dyDescent="0.2">
      <c r="A16" s="2" t="s">
        <v>23</v>
      </c>
      <c r="B16" s="2" t="s">
        <v>24</v>
      </c>
      <c r="C16" s="2" t="s">
        <v>27</v>
      </c>
      <c r="D16" s="2" t="s">
        <v>27</v>
      </c>
      <c r="E16" s="2">
        <v>131</v>
      </c>
      <c r="F16" s="2">
        <v>219.33333329999999</v>
      </c>
      <c r="G16" s="2">
        <v>418</v>
      </c>
      <c r="H16" s="2">
        <v>2453.666667</v>
      </c>
      <c r="I16" s="2">
        <v>3179.666667</v>
      </c>
      <c r="J16" s="2">
        <v>2.17</v>
      </c>
      <c r="K16" s="2">
        <v>4.18</v>
      </c>
      <c r="L16" s="2">
        <v>14.37</v>
      </c>
      <c r="M16" s="2">
        <v>16.059999999999999</v>
      </c>
      <c r="N16" s="2">
        <v>3.5815086000000003E-2</v>
      </c>
      <c r="O16" s="2">
        <v>0.15194605899999999</v>
      </c>
      <c r="P16" s="2">
        <v>3.0498967189999999</v>
      </c>
      <c r="Q16" s="2">
        <v>3.123304321</v>
      </c>
      <c r="R16" s="2">
        <v>0.36504763899999998</v>
      </c>
      <c r="S16" s="2">
        <v>0.37554655399999998</v>
      </c>
      <c r="T16" s="2">
        <v>3.0279713039999998</v>
      </c>
      <c r="U16" s="2">
        <v>3.1006442349999999</v>
      </c>
      <c r="V16" s="2">
        <v>0.84773707099999995</v>
      </c>
      <c r="W16" s="2">
        <v>7.5915856000000004E-2</v>
      </c>
      <c r="X16">
        <f t="shared" si="0"/>
        <v>1</v>
      </c>
      <c r="Y16">
        <f t="shared" si="1"/>
        <v>1</v>
      </c>
      <c r="Z16">
        <f t="shared" si="2"/>
        <v>0</v>
      </c>
    </row>
    <row r="17" spans="1:26" ht="15.75" customHeight="1" x14ac:dyDescent="0.2">
      <c r="A17" s="2" t="s">
        <v>23</v>
      </c>
      <c r="B17" s="2" t="s">
        <v>24</v>
      </c>
      <c r="C17" s="2" t="s">
        <v>30</v>
      </c>
      <c r="D17" s="2" t="s">
        <v>31</v>
      </c>
      <c r="E17" s="2">
        <v>160</v>
      </c>
      <c r="F17" s="2">
        <v>220</v>
      </c>
      <c r="G17" s="2">
        <v>809</v>
      </c>
      <c r="H17" s="2">
        <v>1372</v>
      </c>
      <c r="I17" s="2">
        <v>3528.333333</v>
      </c>
      <c r="J17" s="2">
        <v>2.1800000000000002</v>
      </c>
      <c r="K17" s="2">
        <v>7.3</v>
      </c>
      <c r="L17" s="2">
        <v>10.51</v>
      </c>
      <c r="M17" s="2">
        <v>16.71</v>
      </c>
      <c r="N17" s="2">
        <v>5.0030436820000004</v>
      </c>
      <c r="O17" s="2">
        <v>5.1053935150000003</v>
      </c>
      <c r="P17" s="2">
        <v>2.879558662</v>
      </c>
      <c r="Q17" s="2">
        <v>2.849165996</v>
      </c>
      <c r="R17" s="2">
        <v>2.75524148</v>
      </c>
      <c r="S17" s="2">
        <v>2.7447425660000002</v>
      </c>
      <c r="T17" s="2">
        <v>0.83696025900000004</v>
      </c>
      <c r="U17" s="2">
        <v>0.76428732799999999</v>
      </c>
      <c r="V17" s="2">
        <v>3.9680261899999998</v>
      </c>
      <c r="W17" s="2">
        <v>0.11593247299999999</v>
      </c>
      <c r="X17">
        <f t="shared" si="0"/>
        <v>1</v>
      </c>
      <c r="Y17">
        <f t="shared" si="1"/>
        <v>1</v>
      </c>
      <c r="Z17">
        <f t="shared" si="2"/>
        <v>1</v>
      </c>
    </row>
    <row r="18" spans="1:26" ht="15.75" customHeight="1" x14ac:dyDescent="0.2">
      <c r="A18" s="2" t="s">
        <v>23</v>
      </c>
      <c r="B18" s="2" t="s">
        <v>24</v>
      </c>
      <c r="C18" s="2" t="s">
        <v>28</v>
      </c>
      <c r="D18" s="2" t="s">
        <v>29</v>
      </c>
      <c r="E18" s="2">
        <v>119</v>
      </c>
      <c r="F18" s="2">
        <v>222</v>
      </c>
      <c r="G18" s="2">
        <v>289.66666670000001</v>
      </c>
      <c r="H18" s="2">
        <v>1259</v>
      </c>
      <c r="I18" s="2">
        <v>2376.666667</v>
      </c>
      <c r="J18" s="2">
        <v>2.2000000000000002</v>
      </c>
      <c r="K18" s="2">
        <v>2.92</v>
      </c>
      <c r="L18" s="2">
        <v>9.9600000000000009</v>
      </c>
      <c r="M18" s="2">
        <v>14.16</v>
      </c>
      <c r="N18" s="2">
        <v>2.465803679</v>
      </c>
      <c r="O18" s="2">
        <v>3.0398391259999999</v>
      </c>
      <c r="P18" s="2">
        <v>2.139224096</v>
      </c>
      <c r="Q18" s="2">
        <v>2.1008787629999999</v>
      </c>
      <c r="R18" s="2">
        <v>1.625604198</v>
      </c>
      <c r="S18" s="2">
        <v>1.6361031130000001</v>
      </c>
      <c r="T18" s="2">
        <v>1.3905720859999999</v>
      </c>
      <c r="U18" s="2">
        <v>1.3178991550000001</v>
      </c>
      <c r="V18" s="2">
        <v>-0.41281948800000001</v>
      </c>
      <c r="W18" s="2">
        <v>0.103040354</v>
      </c>
      <c r="X18">
        <f t="shared" si="0"/>
        <v>1</v>
      </c>
      <c r="Y18">
        <f t="shared" si="1"/>
        <v>1</v>
      </c>
      <c r="Z18">
        <f t="shared" si="2"/>
        <v>1</v>
      </c>
    </row>
    <row r="19" spans="1:26" ht="15.75" customHeight="1" x14ac:dyDescent="0.2">
      <c r="A19" s="2" t="s">
        <v>23</v>
      </c>
      <c r="B19" s="2" t="s">
        <v>24</v>
      </c>
      <c r="C19" s="2" t="s">
        <v>28</v>
      </c>
      <c r="D19" s="2" t="s">
        <v>29</v>
      </c>
      <c r="E19" s="2">
        <v>134</v>
      </c>
      <c r="F19" s="2">
        <v>215.66666670000001</v>
      </c>
      <c r="G19" s="2">
        <v>296</v>
      </c>
      <c r="H19" s="2">
        <v>1184</v>
      </c>
      <c r="I19" s="2">
        <v>2678</v>
      </c>
      <c r="J19" s="2">
        <v>2.13</v>
      </c>
      <c r="K19" s="2">
        <v>2.99</v>
      </c>
      <c r="L19" s="2">
        <v>9.57</v>
      </c>
      <c r="M19" s="2">
        <v>14.95</v>
      </c>
      <c r="N19" s="2">
        <v>2.0864304919999999</v>
      </c>
      <c r="O19" s="2">
        <v>2.6521226090000001</v>
      </c>
      <c r="P19" s="2">
        <v>2.3668636369999998</v>
      </c>
      <c r="Q19" s="2">
        <v>2.3198014630000001</v>
      </c>
      <c r="R19" s="2">
        <v>1.560030759</v>
      </c>
      <c r="S19" s="2">
        <v>1.570529673</v>
      </c>
      <c r="T19" s="2">
        <v>1.779985256</v>
      </c>
      <c r="U19" s="2">
        <v>1.7073123240000001</v>
      </c>
      <c r="V19" s="2">
        <v>-0.347246049</v>
      </c>
      <c r="W19" s="2">
        <v>0.14148480999999999</v>
      </c>
      <c r="X19">
        <f t="shared" si="0"/>
        <v>1</v>
      </c>
      <c r="Y19">
        <f t="shared" si="1"/>
        <v>1</v>
      </c>
      <c r="Z19">
        <f t="shared" si="2"/>
        <v>1</v>
      </c>
    </row>
    <row r="20" spans="1:26" ht="15.75" customHeight="1" x14ac:dyDescent="0.2">
      <c r="A20" s="2" t="s">
        <v>23</v>
      </c>
      <c r="B20" s="2" t="s">
        <v>24</v>
      </c>
      <c r="C20" s="2" t="s">
        <v>32</v>
      </c>
      <c r="D20" s="2" t="s">
        <v>33</v>
      </c>
      <c r="E20" s="2">
        <v>194</v>
      </c>
      <c r="F20" s="2">
        <v>214.66666670000001</v>
      </c>
      <c r="G20" s="2">
        <v>593</v>
      </c>
      <c r="H20" s="2">
        <v>1314.333333</v>
      </c>
      <c r="I20" s="2">
        <v>3270.666667</v>
      </c>
      <c r="J20" s="2">
        <v>2.12</v>
      </c>
      <c r="K20" s="2">
        <v>5.7</v>
      </c>
      <c r="L20" s="2">
        <v>10.23</v>
      </c>
      <c r="M20" s="2">
        <v>16.23</v>
      </c>
      <c r="N20" s="2">
        <v>1.6643331509999999</v>
      </c>
      <c r="O20" s="2">
        <v>1.7387493540000001</v>
      </c>
      <c r="P20" s="2">
        <v>1.6013390279999999</v>
      </c>
      <c r="Q20" s="2">
        <v>1.543865217</v>
      </c>
      <c r="R20" s="2">
        <v>1.149658093</v>
      </c>
      <c r="S20" s="2">
        <v>1.1391591780000001</v>
      </c>
      <c r="T20" s="2">
        <v>1.1147075630000001</v>
      </c>
      <c r="U20" s="2">
        <v>1.042034632</v>
      </c>
      <c r="V20" s="2">
        <v>2.362442803</v>
      </c>
      <c r="W20" s="2">
        <v>0.11656485</v>
      </c>
      <c r="X20">
        <f t="shared" si="0"/>
        <v>1</v>
      </c>
      <c r="Y20">
        <f t="shared" si="1"/>
        <v>1</v>
      </c>
      <c r="Z20">
        <f t="shared" si="2"/>
        <v>1</v>
      </c>
    </row>
    <row r="21" spans="1:26" ht="15.75" customHeight="1" x14ac:dyDescent="0.2">
      <c r="A21" s="2" t="s">
        <v>23</v>
      </c>
      <c r="B21" s="2" t="s">
        <v>24</v>
      </c>
      <c r="C21" s="2" t="s">
        <v>26</v>
      </c>
      <c r="D21" s="2" t="s">
        <v>26</v>
      </c>
      <c r="E21" s="2">
        <v>139</v>
      </c>
      <c r="F21" s="2">
        <v>215.66666670000001</v>
      </c>
      <c r="G21" s="2">
        <v>401.66666670000001</v>
      </c>
      <c r="H21" s="2">
        <v>880</v>
      </c>
      <c r="I21" s="2">
        <v>2669.333333</v>
      </c>
      <c r="J21" s="2">
        <v>2.13</v>
      </c>
      <c r="K21" s="2">
        <v>4.03</v>
      </c>
      <c r="L21" s="2">
        <v>7.78</v>
      </c>
      <c r="M21" s="2">
        <v>14.93</v>
      </c>
      <c r="N21" s="2">
        <v>0.11366143200000001</v>
      </c>
      <c r="O21" s="2">
        <v>0.68681489200000001</v>
      </c>
      <c r="P21" s="2">
        <v>3.60642445</v>
      </c>
      <c r="Q21" s="2">
        <v>3.5360736340000001</v>
      </c>
      <c r="R21" s="2">
        <v>0.51787364400000002</v>
      </c>
      <c r="S21" s="2">
        <v>0.52837255900000002</v>
      </c>
      <c r="T21" s="2">
        <v>3.56904808</v>
      </c>
      <c r="U21" s="2">
        <v>3.4963751489999999</v>
      </c>
      <c r="V21" s="2">
        <v>0.69491106599999997</v>
      </c>
      <c r="W21" s="2">
        <v>0.11025408</v>
      </c>
      <c r="X21">
        <f t="shared" si="0"/>
        <v>1</v>
      </c>
      <c r="Y21">
        <f t="shared" si="1"/>
        <v>1</v>
      </c>
      <c r="Z21">
        <f t="shared" si="2"/>
        <v>0</v>
      </c>
    </row>
    <row r="22" spans="1:26" ht="15.75" customHeight="1" x14ac:dyDescent="0.2">
      <c r="A22" s="2" t="s">
        <v>23</v>
      </c>
      <c r="B22" s="2" t="s">
        <v>24</v>
      </c>
      <c r="C22" s="2" t="s">
        <v>25</v>
      </c>
      <c r="D22" s="2" t="s">
        <v>25</v>
      </c>
      <c r="E22" s="2">
        <v>118</v>
      </c>
      <c r="F22" s="2">
        <v>206.33333329999999</v>
      </c>
      <c r="G22" s="2">
        <v>770.66666669999995</v>
      </c>
      <c r="H22" s="2">
        <v>1532.333333</v>
      </c>
      <c r="I22" s="2">
        <v>2883.333333</v>
      </c>
      <c r="J22" s="2">
        <v>2.02</v>
      </c>
      <c r="K22" s="2">
        <v>7.04</v>
      </c>
      <c r="L22" s="2">
        <v>11.23</v>
      </c>
      <c r="M22" s="2">
        <v>15.43</v>
      </c>
      <c r="N22" s="2">
        <v>0.46593824499999997</v>
      </c>
      <c r="O22" s="2">
        <v>0.16145923300000001</v>
      </c>
      <c r="P22" s="2">
        <v>2.4914000779999999</v>
      </c>
      <c r="Q22" s="2">
        <v>2.4786673100000001</v>
      </c>
      <c r="R22" s="2">
        <v>2.4888392690000001</v>
      </c>
      <c r="S22" s="2">
        <v>2.4783403540000002</v>
      </c>
      <c r="T22" s="2">
        <v>0.11293115300000001</v>
      </c>
      <c r="U22" s="2">
        <v>4.0258222000000003E-2</v>
      </c>
      <c r="V22" s="2">
        <v>3.7016239789999998</v>
      </c>
      <c r="W22" s="2">
        <v>0.115259052</v>
      </c>
      <c r="X22">
        <f t="shared" si="0"/>
        <v>1</v>
      </c>
      <c r="Y22">
        <f t="shared" si="1"/>
        <v>1</v>
      </c>
      <c r="Z22">
        <f t="shared" si="2"/>
        <v>0</v>
      </c>
    </row>
    <row r="23" spans="1:26" ht="15.75" customHeight="1" x14ac:dyDescent="0.2">
      <c r="A23" s="2" t="s">
        <v>23</v>
      </c>
      <c r="B23" s="2" t="s">
        <v>24</v>
      </c>
      <c r="C23" s="2" t="s">
        <v>30</v>
      </c>
      <c r="D23" s="2" t="s">
        <v>31</v>
      </c>
      <c r="E23" s="2">
        <v>123</v>
      </c>
      <c r="F23" s="2">
        <v>214.33333329999999</v>
      </c>
      <c r="G23" s="2">
        <v>884.33333330000005</v>
      </c>
      <c r="H23" s="2">
        <v>1554</v>
      </c>
      <c r="I23" s="2">
        <v>3653.333333</v>
      </c>
      <c r="J23" s="2">
        <v>2.11</v>
      </c>
      <c r="K23" s="2">
        <v>7.81</v>
      </c>
      <c r="L23" s="2">
        <v>11.33</v>
      </c>
      <c r="M23" s="2">
        <v>16.920000000000002</v>
      </c>
      <c r="N23" s="2">
        <v>4.7693418950000002</v>
      </c>
      <c r="O23" s="2">
        <v>4.8583389969999997</v>
      </c>
      <c r="P23" s="2">
        <v>3.2579202</v>
      </c>
      <c r="Q23" s="2">
        <v>3.2477835439999998</v>
      </c>
      <c r="R23" s="2">
        <v>3.257857843</v>
      </c>
      <c r="S23" s="2">
        <v>3.2473589289999998</v>
      </c>
      <c r="T23" s="2">
        <v>2.0156884999999999E-2</v>
      </c>
      <c r="U23" s="2">
        <v>5.2516047000000003E-2</v>
      </c>
      <c r="V23" s="2">
        <v>4.4706425530000002</v>
      </c>
      <c r="W23" s="2">
        <v>7.9918676999999994E-2</v>
      </c>
      <c r="X23">
        <f t="shared" si="0"/>
        <v>1</v>
      </c>
      <c r="Y23">
        <f t="shared" si="1"/>
        <v>1</v>
      </c>
      <c r="Z23">
        <f t="shared" si="2"/>
        <v>1</v>
      </c>
    </row>
    <row r="24" spans="1:26" ht="15.75" customHeight="1" x14ac:dyDescent="0.2">
      <c r="A24" s="2" t="s">
        <v>23</v>
      </c>
      <c r="B24" s="2" t="s">
        <v>24</v>
      </c>
      <c r="C24" s="2" t="s">
        <v>27</v>
      </c>
      <c r="D24" s="2" t="s">
        <v>27</v>
      </c>
      <c r="E24" s="2">
        <v>146</v>
      </c>
      <c r="F24" s="2">
        <v>210</v>
      </c>
      <c r="G24" s="2">
        <v>407</v>
      </c>
      <c r="H24" s="2">
        <v>2476</v>
      </c>
      <c r="I24" s="2">
        <v>3126</v>
      </c>
      <c r="J24" s="2">
        <v>2.06</v>
      </c>
      <c r="K24" s="2">
        <v>4.08</v>
      </c>
      <c r="L24" s="2">
        <v>14.43</v>
      </c>
      <c r="M24" s="2">
        <v>15.95</v>
      </c>
      <c r="N24" s="2">
        <v>8.7402542E-2</v>
      </c>
      <c r="O24" s="2">
        <v>0.109735159</v>
      </c>
      <c r="P24" s="2">
        <v>3.1231354699999998</v>
      </c>
      <c r="Q24" s="2">
        <v>3.196561177</v>
      </c>
      <c r="R24" s="2">
        <v>0.46773936700000002</v>
      </c>
      <c r="S24" s="2">
        <v>0.47823828200000001</v>
      </c>
      <c r="T24" s="2">
        <v>3.0879111140000002</v>
      </c>
      <c r="U24" s="2">
        <v>3.1605840449999998</v>
      </c>
      <c r="V24" s="2">
        <v>0.74504534300000003</v>
      </c>
      <c r="W24" s="2">
        <v>0.102096303</v>
      </c>
      <c r="X24">
        <f t="shared" si="0"/>
        <v>1</v>
      </c>
      <c r="Y24">
        <f t="shared" si="1"/>
        <v>1</v>
      </c>
      <c r="Z24">
        <f t="shared" si="2"/>
        <v>0</v>
      </c>
    </row>
    <row r="25" spans="1:26" ht="15.75" customHeight="1" x14ac:dyDescent="0.2">
      <c r="A25" s="2" t="s">
        <v>23</v>
      </c>
      <c r="B25" s="2" t="s">
        <v>24</v>
      </c>
      <c r="C25" s="2" t="s">
        <v>30</v>
      </c>
      <c r="D25" s="2" t="s">
        <v>31</v>
      </c>
      <c r="E25" s="2">
        <v>157</v>
      </c>
      <c r="F25" s="2">
        <v>209.66666670000001</v>
      </c>
      <c r="G25" s="2">
        <v>406.66666670000001</v>
      </c>
      <c r="H25" s="2">
        <v>1165.333333</v>
      </c>
      <c r="I25" s="2">
        <v>2736.666667</v>
      </c>
      <c r="J25" s="2">
        <v>2.06</v>
      </c>
      <c r="K25" s="2">
        <v>4.08</v>
      </c>
      <c r="L25" s="2">
        <v>9.4700000000000006</v>
      </c>
      <c r="M25" s="2">
        <v>15.09</v>
      </c>
      <c r="N25" s="2">
        <v>4.9375798460000002</v>
      </c>
      <c r="O25" s="2">
        <v>5.0557454709999998</v>
      </c>
      <c r="P25" s="2">
        <v>1.9378861620000001</v>
      </c>
      <c r="Q25" s="2">
        <v>1.870149415</v>
      </c>
      <c r="R25" s="2">
        <v>0.47086613999999999</v>
      </c>
      <c r="S25" s="2">
        <v>0.48136505400000001</v>
      </c>
      <c r="T25" s="2">
        <v>1.879810591</v>
      </c>
      <c r="U25" s="2">
        <v>1.8071376589999999</v>
      </c>
      <c r="V25" s="2">
        <v>0.74191857000000005</v>
      </c>
      <c r="W25" s="2">
        <v>7.5193080999999995E-2</v>
      </c>
      <c r="X25">
        <f t="shared" si="0"/>
        <v>1</v>
      </c>
      <c r="Y25">
        <f t="shared" si="1"/>
        <v>1</v>
      </c>
      <c r="Z25">
        <f t="shared" si="2"/>
        <v>1</v>
      </c>
    </row>
    <row r="26" spans="1:26" ht="15.75" customHeight="1" x14ac:dyDescent="0.2">
      <c r="A26" s="2" t="s">
        <v>23</v>
      </c>
      <c r="B26" s="2" t="s">
        <v>24</v>
      </c>
      <c r="C26" s="2" t="s">
        <v>27</v>
      </c>
      <c r="D26" s="2" t="s">
        <v>27</v>
      </c>
      <c r="E26" s="2">
        <v>165</v>
      </c>
      <c r="F26" s="2">
        <v>208.66666670000001</v>
      </c>
      <c r="G26" s="2">
        <v>406.66666670000001</v>
      </c>
      <c r="H26" s="2">
        <v>2385.666667</v>
      </c>
      <c r="I26" s="2">
        <v>3128</v>
      </c>
      <c r="J26" s="2">
        <v>2.0499999999999998</v>
      </c>
      <c r="K26" s="2">
        <v>4.08</v>
      </c>
      <c r="L26" s="2">
        <v>14.19</v>
      </c>
      <c r="M26" s="2">
        <v>15.95</v>
      </c>
      <c r="N26" s="2">
        <v>0.23149377900000001</v>
      </c>
      <c r="O26" s="2">
        <v>0.34090092599999999</v>
      </c>
      <c r="P26" s="2">
        <v>2.8804214589999999</v>
      </c>
      <c r="Q26" s="2">
        <v>2.9538334640000001</v>
      </c>
      <c r="R26" s="2">
        <v>0.47086613999999999</v>
      </c>
      <c r="S26" s="2">
        <v>0.48136505400000001</v>
      </c>
      <c r="T26" s="2">
        <v>2.8416743059999998</v>
      </c>
      <c r="U26" s="2">
        <v>2.9143472369999999</v>
      </c>
      <c r="V26" s="2">
        <v>0.74191857000000005</v>
      </c>
      <c r="W26" s="2">
        <v>0.127433616</v>
      </c>
      <c r="X26">
        <f t="shared" si="0"/>
        <v>1</v>
      </c>
      <c r="Y26">
        <f t="shared" si="1"/>
        <v>1</v>
      </c>
      <c r="Z26">
        <f t="shared" si="2"/>
        <v>0</v>
      </c>
    </row>
    <row r="27" spans="1:26" ht="15.75" customHeight="1" x14ac:dyDescent="0.2">
      <c r="A27" s="2" t="s">
        <v>23</v>
      </c>
      <c r="B27" s="2" t="s">
        <v>24</v>
      </c>
      <c r="C27" s="2" t="s">
        <v>26</v>
      </c>
      <c r="D27" s="2" t="s">
        <v>26</v>
      </c>
      <c r="E27" s="2">
        <v>133</v>
      </c>
      <c r="F27" s="2">
        <v>218.66666670000001</v>
      </c>
      <c r="G27" s="2">
        <v>420.33333329999999</v>
      </c>
      <c r="H27" s="2">
        <v>1016.666667</v>
      </c>
      <c r="I27" s="2">
        <v>2903</v>
      </c>
      <c r="J27" s="2">
        <v>2.16</v>
      </c>
      <c r="K27" s="2">
        <v>4.2</v>
      </c>
      <c r="L27" s="2">
        <v>8.6300000000000008</v>
      </c>
      <c r="M27" s="2">
        <v>15.47</v>
      </c>
      <c r="N27" s="2">
        <v>0.95515995399999998</v>
      </c>
      <c r="O27" s="2">
        <v>1.552622122</v>
      </c>
      <c r="P27" s="2">
        <v>2.741134476</v>
      </c>
      <c r="Q27" s="2">
        <v>2.6704205889999999</v>
      </c>
      <c r="R27" s="2">
        <v>0.34338656200000001</v>
      </c>
      <c r="S27" s="2">
        <v>0.353885477</v>
      </c>
      <c r="T27" s="2">
        <v>2.7195411169999999</v>
      </c>
      <c r="U27" s="2">
        <v>2.6468681859999998</v>
      </c>
      <c r="V27" s="2">
        <v>0.86939814800000004</v>
      </c>
      <c r="W27" s="2">
        <v>8.6577129000000003E-2</v>
      </c>
      <c r="X27">
        <f t="shared" si="0"/>
        <v>1</v>
      </c>
      <c r="Y27">
        <f t="shared" si="1"/>
        <v>1</v>
      </c>
      <c r="Z27">
        <f t="shared" si="2"/>
        <v>0</v>
      </c>
    </row>
    <row r="28" spans="1:26" ht="15.75" customHeight="1" x14ac:dyDescent="0.2">
      <c r="A28" s="2" t="s">
        <v>23</v>
      </c>
      <c r="B28" s="2" t="s">
        <v>24</v>
      </c>
      <c r="C28" s="2" t="s">
        <v>27</v>
      </c>
      <c r="D28" s="2" t="s">
        <v>27</v>
      </c>
      <c r="E28" s="2">
        <v>149</v>
      </c>
      <c r="F28" s="2">
        <v>220.33333329999999</v>
      </c>
      <c r="G28" s="2">
        <v>427</v>
      </c>
      <c r="H28" s="2">
        <v>2499.666667</v>
      </c>
      <c r="I28" s="2">
        <v>3306.666667</v>
      </c>
      <c r="J28" s="2">
        <v>2.1800000000000002</v>
      </c>
      <c r="K28" s="2">
        <v>4.2699999999999996</v>
      </c>
      <c r="L28" s="2">
        <v>14.5</v>
      </c>
      <c r="M28" s="2">
        <v>16.3</v>
      </c>
      <c r="N28" s="2">
        <v>0.140185905</v>
      </c>
      <c r="O28" s="2">
        <v>0.12236541500000001</v>
      </c>
      <c r="P28" s="2">
        <v>3.1633448749999999</v>
      </c>
      <c r="Q28" s="2">
        <v>3.2366665139999999</v>
      </c>
      <c r="R28" s="2">
        <v>0.281731118</v>
      </c>
      <c r="S28" s="2">
        <v>0.292230033</v>
      </c>
      <c r="T28" s="2">
        <v>3.15077425</v>
      </c>
      <c r="U28" s="2">
        <v>3.2234471810000001</v>
      </c>
      <c r="V28" s="2">
        <v>0.93105359200000004</v>
      </c>
      <c r="W28" s="2">
        <v>7.8093240999999994E-2</v>
      </c>
      <c r="X28">
        <f t="shared" si="0"/>
        <v>1</v>
      </c>
      <c r="Y28">
        <f t="shared" si="1"/>
        <v>1</v>
      </c>
      <c r="Z28">
        <f t="shared" si="2"/>
        <v>0</v>
      </c>
    </row>
    <row r="29" spans="1:26" ht="15.75" customHeight="1" x14ac:dyDescent="0.2">
      <c r="A29" s="2" t="s">
        <v>23</v>
      </c>
      <c r="B29" s="2" t="s">
        <v>24</v>
      </c>
      <c r="C29" s="2" t="s">
        <v>30</v>
      </c>
      <c r="D29" s="2" t="s">
        <v>31</v>
      </c>
      <c r="E29" s="2">
        <v>168</v>
      </c>
      <c r="F29" s="2">
        <v>218.66666670000001</v>
      </c>
      <c r="G29" s="2">
        <v>867.33333330000005</v>
      </c>
      <c r="H29" s="2">
        <v>1705.333333</v>
      </c>
      <c r="I29" s="2">
        <v>3702</v>
      </c>
      <c r="J29" s="2">
        <v>2.16</v>
      </c>
      <c r="K29" s="2">
        <v>7.69</v>
      </c>
      <c r="L29" s="2">
        <v>11.94</v>
      </c>
      <c r="M29" s="2">
        <v>17</v>
      </c>
      <c r="N29" s="2">
        <v>4.3047478699999999</v>
      </c>
      <c r="O29" s="2">
        <v>4.3861137799999996</v>
      </c>
      <c r="P29" s="2">
        <v>3.2029527180000001</v>
      </c>
      <c r="Q29" s="2">
        <v>3.2070282529999998</v>
      </c>
      <c r="R29" s="2">
        <v>3.1467756869999999</v>
      </c>
      <c r="S29" s="2">
        <v>3.136276772</v>
      </c>
      <c r="T29" s="2">
        <v>0.59725111200000003</v>
      </c>
      <c r="U29" s="2">
        <v>0.66992404299999997</v>
      </c>
      <c r="V29" s="2">
        <v>4.3595603970000001</v>
      </c>
      <c r="W29" s="2">
        <v>6.1764417000000002E-2</v>
      </c>
      <c r="X29">
        <f t="shared" si="0"/>
        <v>1</v>
      </c>
      <c r="Y29">
        <f t="shared" si="1"/>
        <v>1</v>
      </c>
      <c r="Z29">
        <f t="shared" si="2"/>
        <v>1</v>
      </c>
    </row>
    <row r="30" spans="1:26" ht="15.75" customHeight="1" x14ac:dyDescent="0.2">
      <c r="A30" s="2" t="s">
        <v>23</v>
      </c>
      <c r="B30" s="2" t="s">
        <v>24</v>
      </c>
      <c r="C30" s="2" t="s">
        <v>27</v>
      </c>
      <c r="D30" s="2" t="s">
        <v>27</v>
      </c>
      <c r="E30" s="2">
        <v>145</v>
      </c>
      <c r="F30" s="2">
        <v>207.33333329999999</v>
      </c>
      <c r="G30" s="2">
        <v>392.66666670000001</v>
      </c>
      <c r="H30" s="2">
        <v>2501.666667</v>
      </c>
      <c r="I30" s="2">
        <v>3277.333333</v>
      </c>
      <c r="J30" s="2">
        <v>2.0299999999999998</v>
      </c>
      <c r="K30" s="2">
        <v>3.94</v>
      </c>
      <c r="L30" s="2">
        <v>14.5</v>
      </c>
      <c r="M30" s="2">
        <v>16.25</v>
      </c>
      <c r="N30" s="2">
        <v>0.238541477</v>
      </c>
      <c r="O30" s="2">
        <v>0.20234258299999999</v>
      </c>
      <c r="P30" s="2">
        <v>3.2131429530000002</v>
      </c>
      <c r="Q30" s="2">
        <v>3.2864966760000001</v>
      </c>
      <c r="R30" s="2">
        <v>0.60299066099999998</v>
      </c>
      <c r="S30" s="2">
        <v>0.61348957599999998</v>
      </c>
      <c r="T30" s="2">
        <v>3.1560560670000002</v>
      </c>
      <c r="U30" s="2">
        <v>3.2287289979999998</v>
      </c>
      <c r="V30" s="2">
        <v>0.609794049</v>
      </c>
      <c r="W30" s="2">
        <v>7.3618875E-2</v>
      </c>
      <c r="X30">
        <f t="shared" si="0"/>
        <v>1</v>
      </c>
      <c r="Y30">
        <f t="shared" si="1"/>
        <v>1</v>
      </c>
      <c r="Z30">
        <f t="shared" si="2"/>
        <v>0</v>
      </c>
    </row>
    <row r="31" spans="1:26" ht="15.75" customHeight="1" x14ac:dyDescent="0.2">
      <c r="A31" s="2" t="s">
        <v>23</v>
      </c>
      <c r="B31" s="2" t="s">
        <v>24</v>
      </c>
      <c r="C31" s="2" t="s">
        <v>26</v>
      </c>
      <c r="D31" s="2" t="s">
        <v>26</v>
      </c>
      <c r="E31" s="2">
        <v>100</v>
      </c>
      <c r="F31" s="2">
        <v>204</v>
      </c>
      <c r="G31" s="2">
        <v>376.66666670000001</v>
      </c>
      <c r="H31" s="2">
        <v>865.66666669999995</v>
      </c>
      <c r="I31" s="2">
        <v>2248.333333</v>
      </c>
      <c r="J31" s="2">
        <v>2</v>
      </c>
      <c r="K31" s="2">
        <v>3.79</v>
      </c>
      <c r="L31" s="2">
        <v>7.68</v>
      </c>
      <c r="M31" s="2">
        <v>13.79</v>
      </c>
      <c r="N31" s="2">
        <v>0.14923066600000001</v>
      </c>
      <c r="O31" s="2">
        <v>0.60932017800000005</v>
      </c>
      <c r="P31" s="2">
        <v>3.7400926010000002</v>
      </c>
      <c r="Q31" s="2">
        <v>3.6711264209999999</v>
      </c>
      <c r="R31" s="2">
        <v>0.755928767</v>
      </c>
      <c r="S31" s="2">
        <v>0.76642768100000003</v>
      </c>
      <c r="T31" s="2">
        <v>3.662903816</v>
      </c>
      <c r="U31" s="2">
        <v>3.590230885</v>
      </c>
      <c r="V31" s="2">
        <v>0.45685594299999999</v>
      </c>
      <c r="W31" s="2">
        <v>0.118846835</v>
      </c>
      <c r="X31">
        <f t="shared" si="0"/>
        <v>1</v>
      </c>
      <c r="Y31">
        <f t="shared" si="1"/>
        <v>1</v>
      </c>
      <c r="Z31">
        <f t="shared" si="2"/>
        <v>0</v>
      </c>
    </row>
    <row r="32" spans="1:26" ht="15.75" customHeight="1" x14ac:dyDescent="0.2">
      <c r="A32" s="2" t="s">
        <v>23</v>
      </c>
      <c r="B32" s="2" t="s">
        <v>24</v>
      </c>
      <c r="C32" s="2" t="s">
        <v>30</v>
      </c>
      <c r="D32" s="2" t="s">
        <v>31</v>
      </c>
      <c r="E32" s="2">
        <v>142</v>
      </c>
      <c r="F32" s="2">
        <v>197.33333329999999</v>
      </c>
      <c r="G32" s="2">
        <v>564.33333330000005</v>
      </c>
      <c r="H32" s="2">
        <v>1228.666667</v>
      </c>
      <c r="I32" s="2">
        <v>3079.333333</v>
      </c>
      <c r="J32" s="2">
        <v>1.92</v>
      </c>
      <c r="K32" s="2">
        <v>5.46</v>
      </c>
      <c r="L32" s="2">
        <v>9.8000000000000007</v>
      </c>
      <c r="M32" s="2">
        <v>15.85</v>
      </c>
      <c r="N32" s="2">
        <v>4.7834730690000002</v>
      </c>
      <c r="O32" s="2">
        <v>4.9017022389999996</v>
      </c>
      <c r="P32" s="2">
        <v>1.7968292589999999</v>
      </c>
      <c r="Q32" s="2">
        <v>1.7291818999999999</v>
      </c>
      <c r="R32" s="2">
        <v>0.91591834900000002</v>
      </c>
      <c r="S32" s="2">
        <v>0.90541943400000002</v>
      </c>
      <c r="T32" s="2">
        <v>1.545861884</v>
      </c>
      <c r="U32" s="2">
        <v>1.473188953</v>
      </c>
      <c r="V32" s="2">
        <v>2.1287030589999998</v>
      </c>
      <c r="W32" s="2">
        <v>8.4526783999999994E-2</v>
      </c>
      <c r="X32">
        <f t="shared" si="0"/>
        <v>1</v>
      </c>
      <c r="Y32">
        <f t="shared" si="1"/>
        <v>1</v>
      </c>
      <c r="Z32">
        <f t="shared" si="2"/>
        <v>1</v>
      </c>
    </row>
    <row r="33" spans="1:26" ht="15.75" customHeight="1" x14ac:dyDescent="0.2">
      <c r="A33" s="2" t="s">
        <v>23</v>
      </c>
      <c r="B33" s="2" t="s">
        <v>24</v>
      </c>
      <c r="C33" s="2" t="s">
        <v>32</v>
      </c>
      <c r="D33" s="2" t="s">
        <v>33</v>
      </c>
      <c r="E33" s="2">
        <v>155</v>
      </c>
      <c r="F33" s="2">
        <v>219.33333329999999</v>
      </c>
      <c r="G33" s="2">
        <v>495.66666670000001</v>
      </c>
      <c r="H33" s="2">
        <v>891</v>
      </c>
      <c r="I33" s="2">
        <v>2236</v>
      </c>
      <c r="J33" s="2">
        <v>2.17</v>
      </c>
      <c r="K33" s="2">
        <v>4.88</v>
      </c>
      <c r="L33" s="2">
        <v>7.85</v>
      </c>
      <c r="M33" s="2">
        <v>13.76</v>
      </c>
      <c r="N33" s="2">
        <v>4.1323448760000003</v>
      </c>
      <c r="O33" s="2">
        <v>4.1232876320000003</v>
      </c>
      <c r="P33" s="2">
        <v>3.5135549679999998</v>
      </c>
      <c r="Q33" s="2">
        <v>3.4402150960000002</v>
      </c>
      <c r="R33" s="2">
        <v>0.33383827300000002</v>
      </c>
      <c r="S33" s="2">
        <v>0.32333935800000002</v>
      </c>
      <c r="T33" s="2">
        <v>3.4976592919999998</v>
      </c>
      <c r="U33" s="2">
        <v>3.4249863600000001</v>
      </c>
      <c r="V33" s="2">
        <v>1.546622983</v>
      </c>
      <c r="W33" s="2">
        <v>8.4045515000000001E-2</v>
      </c>
      <c r="X33">
        <f t="shared" si="0"/>
        <v>1</v>
      </c>
      <c r="Y33">
        <f t="shared" si="1"/>
        <v>1</v>
      </c>
      <c r="Z33">
        <f t="shared" si="2"/>
        <v>1</v>
      </c>
    </row>
    <row r="34" spans="1:26" ht="15.75" customHeight="1" x14ac:dyDescent="0.2">
      <c r="A34" s="2" t="s">
        <v>23</v>
      </c>
      <c r="B34" s="2" t="s">
        <v>24</v>
      </c>
      <c r="C34" s="2" t="s">
        <v>28</v>
      </c>
      <c r="D34" s="2" t="s">
        <v>29</v>
      </c>
      <c r="E34" s="2">
        <v>177</v>
      </c>
      <c r="F34" s="2">
        <v>206.33333329999999</v>
      </c>
      <c r="G34" s="2">
        <v>249.33333329999999</v>
      </c>
      <c r="H34" s="2">
        <v>1276</v>
      </c>
      <c r="I34" s="2">
        <v>2308</v>
      </c>
      <c r="J34" s="2">
        <v>2.02</v>
      </c>
      <c r="K34" s="2">
        <v>2.5</v>
      </c>
      <c r="L34" s="2">
        <v>10.039999999999999</v>
      </c>
      <c r="M34" s="2">
        <v>13.97</v>
      </c>
      <c r="N34" s="2">
        <v>2.742574882</v>
      </c>
      <c r="O34" s="2">
        <v>3.2859314300000002</v>
      </c>
      <c r="P34" s="2">
        <v>2.4317369050000002</v>
      </c>
      <c r="Q34" s="2">
        <v>2.402535039</v>
      </c>
      <c r="R34" s="2">
        <v>2.0520242139999998</v>
      </c>
      <c r="S34" s="2">
        <v>2.0625231290000001</v>
      </c>
      <c r="T34" s="2">
        <v>1.304814546</v>
      </c>
      <c r="U34" s="2">
        <v>1.2321416140000001</v>
      </c>
      <c r="V34" s="2">
        <v>-0.83923950400000003</v>
      </c>
      <c r="W34" s="2">
        <v>7.9162824000000007E-2</v>
      </c>
      <c r="X34">
        <f t="shared" si="0"/>
        <v>1</v>
      </c>
      <c r="Y34">
        <f t="shared" si="1"/>
        <v>1</v>
      </c>
      <c r="Z34">
        <f t="shared" si="2"/>
        <v>1</v>
      </c>
    </row>
    <row r="35" spans="1:26" ht="15.75" customHeight="1" x14ac:dyDescent="0.2">
      <c r="A35" s="2" t="s">
        <v>23</v>
      </c>
      <c r="B35" s="2" t="s">
        <v>24</v>
      </c>
      <c r="C35" s="2" t="s">
        <v>28</v>
      </c>
      <c r="D35" s="2" t="s">
        <v>29</v>
      </c>
      <c r="E35" s="2">
        <v>134</v>
      </c>
      <c r="F35" s="2">
        <v>213.33333329999999</v>
      </c>
      <c r="G35" s="2">
        <v>354.33333329999999</v>
      </c>
      <c r="H35" s="2">
        <v>1400.666667</v>
      </c>
      <c r="I35" s="2">
        <v>2689</v>
      </c>
      <c r="J35" s="2">
        <v>2.1</v>
      </c>
      <c r="K35" s="2">
        <v>3.57</v>
      </c>
      <c r="L35" s="2">
        <v>10.64</v>
      </c>
      <c r="M35" s="2">
        <v>14.98</v>
      </c>
      <c r="N35" s="2">
        <v>2.9570897650000001</v>
      </c>
      <c r="O35" s="2">
        <v>3.568620074</v>
      </c>
      <c r="P35" s="2">
        <v>1.200012707</v>
      </c>
      <c r="Q35" s="2">
        <v>1.167799432</v>
      </c>
      <c r="R35" s="2">
        <v>0.97294077199999995</v>
      </c>
      <c r="S35" s="2">
        <v>0.98343968599999998</v>
      </c>
      <c r="T35" s="2">
        <v>0.70243629699999999</v>
      </c>
      <c r="U35" s="2">
        <v>0.62976336600000005</v>
      </c>
      <c r="V35" s="2">
        <v>0.23984393800000001</v>
      </c>
      <c r="W35" s="2">
        <v>9.4396297000000004E-2</v>
      </c>
      <c r="X35">
        <f t="shared" si="0"/>
        <v>1</v>
      </c>
      <c r="Y35">
        <f t="shared" si="1"/>
        <v>1</v>
      </c>
      <c r="Z35">
        <f t="shared" si="2"/>
        <v>1</v>
      </c>
    </row>
    <row r="36" spans="1:26" ht="15.75" customHeight="1" x14ac:dyDescent="0.2">
      <c r="A36" s="2" t="s">
        <v>23</v>
      </c>
      <c r="B36" s="2" t="s">
        <v>24</v>
      </c>
      <c r="C36" s="2" t="s">
        <v>26</v>
      </c>
      <c r="D36" s="2" t="s">
        <v>26</v>
      </c>
      <c r="E36" s="2">
        <v>130</v>
      </c>
      <c r="F36" s="2">
        <v>216</v>
      </c>
      <c r="G36" s="2">
        <v>398.33333329999999</v>
      </c>
      <c r="H36" s="2">
        <v>782.33333330000005</v>
      </c>
      <c r="I36" s="2">
        <v>2954.666667</v>
      </c>
      <c r="J36" s="2">
        <v>2.13</v>
      </c>
      <c r="K36" s="2">
        <v>4</v>
      </c>
      <c r="L36" s="2">
        <v>7.12</v>
      </c>
      <c r="M36" s="2">
        <v>15.59</v>
      </c>
      <c r="N36" s="2">
        <v>0.59397228300000005</v>
      </c>
      <c r="O36" s="2">
        <v>5.3403188999999997E-2</v>
      </c>
      <c r="P36" s="2">
        <v>4.2635464699999996</v>
      </c>
      <c r="Q36" s="2">
        <v>4.1928785849999999</v>
      </c>
      <c r="R36" s="2">
        <v>0.54932271700000002</v>
      </c>
      <c r="S36" s="2">
        <v>0.55982163100000004</v>
      </c>
      <c r="T36" s="2">
        <v>4.2280105309999998</v>
      </c>
      <c r="U36" s="2">
        <v>4.1553376000000002</v>
      </c>
      <c r="V36" s="2">
        <v>0.66346199299999997</v>
      </c>
      <c r="W36" s="2">
        <v>0.113063467</v>
      </c>
      <c r="X36">
        <f t="shared" si="0"/>
        <v>1</v>
      </c>
      <c r="Y36">
        <f t="shared" si="1"/>
        <v>1</v>
      </c>
      <c r="Z36">
        <f t="shared" si="2"/>
        <v>0</v>
      </c>
    </row>
    <row r="37" spans="1:26" ht="15.75" customHeight="1" x14ac:dyDescent="0.2">
      <c r="A37" s="2" t="s">
        <v>23</v>
      </c>
      <c r="B37" s="2" t="s">
        <v>24</v>
      </c>
      <c r="C37" s="2" t="s">
        <v>25</v>
      </c>
      <c r="D37" s="2" t="s">
        <v>25</v>
      </c>
      <c r="E37" s="2">
        <v>134</v>
      </c>
      <c r="F37" s="2">
        <v>205.33333329999999</v>
      </c>
      <c r="G37" s="2">
        <v>726.33333330000005</v>
      </c>
      <c r="H37" s="2">
        <v>1607.666667</v>
      </c>
      <c r="I37" s="2">
        <v>3062</v>
      </c>
      <c r="J37" s="2">
        <v>2.0099999999999998</v>
      </c>
      <c r="K37" s="2">
        <v>6.72</v>
      </c>
      <c r="L37" s="2">
        <v>11.55</v>
      </c>
      <c r="M37" s="2">
        <v>15.82</v>
      </c>
      <c r="N37" s="2">
        <v>1.7951844000000002E-2</v>
      </c>
      <c r="O37" s="2">
        <v>0.319656616</v>
      </c>
      <c r="P37" s="2">
        <v>2.1808940990000001</v>
      </c>
      <c r="Q37" s="2">
        <v>2.1785003289999998</v>
      </c>
      <c r="R37" s="2">
        <v>2.1712581439999998</v>
      </c>
      <c r="S37" s="2">
        <v>2.16075923</v>
      </c>
      <c r="T37" s="2">
        <v>0.20478559499999999</v>
      </c>
      <c r="U37" s="2">
        <v>0.27745852700000001</v>
      </c>
      <c r="V37" s="2">
        <v>3.384042854</v>
      </c>
      <c r="W37" s="2">
        <v>8.1476268000000004E-2</v>
      </c>
      <c r="X37">
        <f t="shared" si="0"/>
        <v>1</v>
      </c>
      <c r="Y37">
        <f t="shared" si="1"/>
        <v>1</v>
      </c>
      <c r="Z37">
        <f t="shared" si="2"/>
        <v>0</v>
      </c>
    </row>
    <row r="38" spans="1:26" ht="15.75" customHeight="1" x14ac:dyDescent="0.2">
      <c r="A38" s="2" t="s">
        <v>23</v>
      </c>
      <c r="B38" s="2" t="s">
        <v>24</v>
      </c>
      <c r="C38" s="2" t="s">
        <v>30</v>
      </c>
      <c r="D38" s="2" t="s">
        <v>31</v>
      </c>
      <c r="E38" s="2">
        <v>172</v>
      </c>
      <c r="F38" s="2">
        <v>211.66666670000001</v>
      </c>
      <c r="G38" s="2">
        <v>703.33333330000005</v>
      </c>
      <c r="H38" s="2">
        <v>1618</v>
      </c>
      <c r="I38" s="2">
        <v>3352.333333</v>
      </c>
      <c r="J38" s="2">
        <v>2.08</v>
      </c>
      <c r="K38" s="2">
        <v>6.55</v>
      </c>
      <c r="L38" s="2">
        <v>11.59</v>
      </c>
      <c r="M38" s="2">
        <v>16.39</v>
      </c>
      <c r="N38" s="2">
        <v>3.6876143090000002</v>
      </c>
      <c r="O38" s="2">
        <v>3.78850723</v>
      </c>
      <c r="P38" s="2">
        <v>2.0175491189999999</v>
      </c>
      <c r="Q38" s="2">
        <v>2.017374217</v>
      </c>
      <c r="R38" s="2">
        <v>2.002332612</v>
      </c>
      <c r="S38" s="2">
        <v>1.991833698</v>
      </c>
      <c r="T38" s="2">
        <v>0.24732277799999999</v>
      </c>
      <c r="U38" s="2">
        <v>0.31999570900000002</v>
      </c>
      <c r="V38" s="2">
        <v>3.2151173220000002</v>
      </c>
      <c r="W38" s="2">
        <v>0.119873748</v>
      </c>
      <c r="X38">
        <f t="shared" si="0"/>
        <v>1</v>
      </c>
      <c r="Y38">
        <f t="shared" si="1"/>
        <v>1</v>
      </c>
      <c r="Z38">
        <f t="shared" si="2"/>
        <v>1</v>
      </c>
    </row>
    <row r="39" spans="1:26" ht="15.75" customHeight="1" x14ac:dyDescent="0.2">
      <c r="A39" s="2" t="s">
        <v>23</v>
      </c>
      <c r="B39" s="2" t="s">
        <v>24</v>
      </c>
      <c r="C39" s="2" t="s">
        <v>28</v>
      </c>
      <c r="D39" s="2" t="s">
        <v>29</v>
      </c>
      <c r="E39" s="2">
        <v>114</v>
      </c>
      <c r="F39" s="2">
        <v>215.33333329999999</v>
      </c>
      <c r="G39" s="2">
        <v>251.33333329999999</v>
      </c>
      <c r="H39" s="2">
        <v>1246.666667</v>
      </c>
      <c r="I39" s="2">
        <v>2263.666667</v>
      </c>
      <c r="J39" s="2">
        <v>2.12</v>
      </c>
      <c r="K39" s="2">
        <v>2.52</v>
      </c>
      <c r="L39" s="2">
        <v>9.89</v>
      </c>
      <c r="M39" s="2">
        <v>13.84</v>
      </c>
      <c r="N39" s="2">
        <v>2.6056264279999999</v>
      </c>
      <c r="O39" s="2">
        <v>3.14355684</v>
      </c>
      <c r="P39" s="2">
        <v>2.4970443489999998</v>
      </c>
      <c r="Q39" s="2">
        <v>2.4641466940000001</v>
      </c>
      <c r="R39" s="2">
        <v>2.030512876</v>
      </c>
      <c r="S39" s="2">
        <v>2.0410117909999999</v>
      </c>
      <c r="T39" s="2">
        <v>1.4533574709999999</v>
      </c>
      <c r="U39" s="2">
        <v>1.3806845400000001</v>
      </c>
      <c r="V39" s="2">
        <v>-0.81772816599999998</v>
      </c>
      <c r="W39" s="2">
        <v>7.4456929000000005E-2</v>
      </c>
      <c r="X39">
        <f t="shared" si="0"/>
        <v>1</v>
      </c>
      <c r="Y39">
        <f t="shared" si="1"/>
        <v>1</v>
      </c>
      <c r="Z39">
        <f t="shared" si="2"/>
        <v>1</v>
      </c>
    </row>
    <row r="40" spans="1:26" ht="15.75" customHeight="1" x14ac:dyDescent="0.2">
      <c r="A40" s="2" t="s">
        <v>23</v>
      </c>
      <c r="B40" s="2" t="s">
        <v>24</v>
      </c>
      <c r="C40" s="2" t="s">
        <v>28</v>
      </c>
      <c r="D40" s="2" t="s">
        <v>29</v>
      </c>
      <c r="E40" s="2">
        <v>164</v>
      </c>
      <c r="F40" s="2">
        <v>227.66666670000001</v>
      </c>
      <c r="G40" s="2">
        <v>318</v>
      </c>
      <c r="H40" s="2">
        <v>1261.333333</v>
      </c>
      <c r="I40" s="2">
        <v>2165.666667</v>
      </c>
      <c r="J40" s="2">
        <v>2.2599999999999998</v>
      </c>
      <c r="K40" s="2">
        <v>3.21</v>
      </c>
      <c r="L40" s="2">
        <v>9.9700000000000006</v>
      </c>
      <c r="M40" s="2">
        <v>13.54</v>
      </c>
      <c r="N40" s="2">
        <v>2.3721592469999999</v>
      </c>
      <c r="O40" s="2">
        <v>2.9657019899999999</v>
      </c>
      <c r="P40" s="2">
        <v>1.9192161839999999</v>
      </c>
      <c r="Q40" s="2">
        <v>1.8752122229999999</v>
      </c>
      <c r="R40" s="2">
        <v>1.3350824400000001</v>
      </c>
      <c r="S40" s="2">
        <v>1.345581355</v>
      </c>
      <c r="T40" s="2">
        <v>1.3787478520000001</v>
      </c>
      <c r="U40" s="2">
        <v>1.306074921</v>
      </c>
      <c r="V40" s="2">
        <v>-0.12229772999999999</v>
      </c>
      <c r="W40" s="2">
        <v>9.6800568000000003E-2</v>
      </c>
      <c r="X40">
        <f t="shared" si="0"/>
        <v>1</v>
      </c>
      <c r="Y40">
        <f t="shared" si="1"/>
        <v>1</v>
      </c>
      <c r="Z40">
        <f t="shared" si="2"/>
        <v>1</v>
      </c>
    </row>
    <row r="41" spans="1:26" ht="15.75" customHeight="1" x14ac:dyDescent="0.2">
      <c r="A41" s="2" t="s">
        <v>23</v>
      </c>
      <c r="B41" s="2" t="s">
        <v>24</v>
      </c>
      <c r="C41" s="2" t="s">
        <v>32</v>
      </c>
      <c r="D41" s="2" t="s">
        <v>33</v>
      </c>
      <c r="E41" s="2">
        <v>126</v>
      </c>
      <c r="F41" s="2">
        <v>205.66666670000001</v>
      </c>
      <c r="G41" s="2">
        <v>477.66666670000001</v>
      </c>
      <c r="H41" s="2">
        <v>978.66666669999995</v>
      </c>
      <c r="I41" s="2">
        <v>2696.333333</v>
      </c>
      <c r="J41" s="2">
        <v>2.02</v>
      </c>
      <c r="K41" s="2">
        <v>4.72</v>
      </c>
      <c r="L41" s="2">
        <v>8.4</v>
      </c>
      <c r="M41" s="2">
        <v>14.99</v>
      </c>
      <c r="N41" s="2">
        <v>3.7282298150000002</v>
      </c>
      <c r="O41" s="2">
        <v>3.7553900730000001</v>
      </c>
      <c r="P41" s="2">
        <v>2.9530540759999999</v>
      </c>
      <c r="Q41" s="2">
        <v>2.8798915310000002</v>
      </c>
      <c r="R41" s="2">
        <v>0.175829334</v>
      </c>
      <c r="S41" s="2">
        <v>0.16533041900000001</v>
      </c>
      <c r="T41" s="2">
        <v>2.9478148549999998</v>
      </c>
      <c r="U41" s="2">
        <v>2.8751419239999998</v>
      </c>
      <c r="V41" s="2">
        <v>1.3886140440000001</v>
      </c>
      <c r="W41" s="2">
        <v>9.0030087999999994E-2</v>
      </c>
      <c r="X41">
        <f t="shared" si="0"/>
        <v>1</v>
      </c>
      <c r="Y41">
        <f t="shared" si="1"/>
        <v>1</v>
      </c>
      <c r="Z41">
        <f t="shared" si="2"/>
        <v>1</v>
      </c>
    </row>
    <row r="42" spans="1:26" ht="15.75" customHeight="1" x14ac:dyDescent="0.2">
      <c r="A42" s="2" t="s">
        <v>23</v>
      </c>
      <c r="B42" s="2" t="s">
        <v>24</v>
      </c>
      <c r="C42" s="2" t="s">
        <v>25</v>
      </c>
      <c r="D42" s="2" t="s">
        <v>25</v>
      </c>
      <c r="E42" s="2">
        <v>110</v>
      </c>
      <c r="F42" s="2">
        <v>206.66666670000001</v>
      </c>
      <c r="G42" s="2">
        <v>664</v>
      </c>
      <c r="H42" s="2">
        <v>1704</v>
      </c>
      <c r="I42" s="2">
        <v>3070</v>
      </c>
      <c r="J42" s="2">
        <v>2.0299999999999998</v>
      </c>
      <c r="K42" s="2">
        <v>6.25</v>
      </c>
      <c r="L42" s="2">
        <v>11.94</v>
      </c>
      <c r="M42" s="2">
        <v>15.83</v>
      </c>
      <c r="N42" s="2">
        <v>0.58770282900000004</v>
      </c>
      <c r="O42" s="2">
        <v>0.92172739000000004</v>
      </c>
      <c r="P42" s="2">
        <v>1.8063581230000001</v>
      </c>
      <c r="Q42" s="2">
        <v>1.8216850499999999</v>
      </c>
      <c r="R42" s="2">
        <v>1.706582933</v>
      </c>
      <c r="S42" s="2">
        <v>1.6960840180000001</v>
      </c>
      <c r="T42" s="2">
        <v>0.59203408999999996</v>
      </c>
      <c r="U42" s="2">
        <v>0.66470702100000001</v>
      </c>
      <c r="V42" s="2">
        <v>2.9193676430000002</v>
      </c>
      <c r="W42" s="2">
        <v>7.0615486000000005E-2</v>
      </c>
      <c r="X42">
        <f t="shared" si="0"/>
        <v>1</v>
      </c>
      <c r="Y42">
        <f t="shared" si="1"/>
        <v>1</v>
      </c>
      <c r="Z42">
        <f t="shared" si="2"/>
        <v>0</v>
      </c>
    </row>
    <row r="43" spans="1:26" ht="15.75" customHeight="1" x14ac:dyDescent="0.2">
      <c r="A43" s="2" t="s">
        <v>23</v>
      </c>
      <c r="B43" s="2" t="s">
        <v>24</v>
      </c>
      <c r="C43" s="2" t="s">
        <v>27</v>
      </c>
      <c r="D43" s="2" t="s">
        <v>27</v>
      </c>
      <c r="E43" s="2">
        <v>128</v>
      </c>
      <c r="F43" s="2">
        <v>225.33333329999999</v>
      </c>
      <c r="G43" s="2">
        <v>427.66666670000001</v>
      </c>
      <c r="H43" s="2">
        <v>2447</v>
      </c>
      <c r="I43" s="2">
        <v>3183.666667</v>
      </c>
      <c r="J43" s="2">
        <v>2.23</v>
      </c>
      <c r="K43" s="2">
        <v>4.2699999999999996</v>
      </c>
      <c r="L43" s="2">
        <v>14.36</v>
      </c>
      <c r="M43" s="2">
        <v>16.059999999999999</v>
      </c>
      <c r="N43" s="2">
        <v>0.12000601</v>
      </c>
      <c r="O43" s="2">
        <v>0.20800227299999999</v>
      </c>
      <c r="P43" s="2">
        <v>3.0225506680000001</v>
      </c>
      <c r="Q43" s="2">
        <v>3.0958805190000001</v>
      </c>
      <c r="R43" s="2">
        <v>0.27558451099999998</v>
      </c>
      <c r="S43" s="2">
        <v>0.286083425</v>
      </c>
      <c r="T43" s="2">
        <v>3.0099610819999998</v>
      </c>
      <c r="U43" s="2">
        <v>3.0826340139999999</v>
      </c>
      <c r="V43" s="2">
        <v>0.93720019899999996</v>
      </c>
      <c r="W43" s="2">
        <v>0.135445022</v>
      </c>
      <c r="X43">
        <f t="shared" si="0"/>
        <v>1</v>
      </c>
      <c r="Y43">
        <f t="shared" si="1"/>
        <v>1</v>
      </c>
      <c r="Z43">
        <f t="shared" si="2"/>
        <v>0</v>
      </c>
    </row>
    <row r="44" spans="1:26" ht="15.75" customHeight="1" x14ac:dyDescent="0.2">
      <c r="A44" s="2" t="s">
        <v>23</v>
      </c>
      <c r="B44" s="2" t="s">
        <v>24</v>
      </c>
      <c r="C44" s="2" t="s">
        <v>32</v>
      </c>
      <c r="D44" s="2" t="s">
        <v>33</v>
      </c>
      <c r="E44" s="2">
        <v>110</v>
      </c>
      <c r="F44" s="2">
        <v>225.66666670000001</v>
      </c>
      <c r="G44" s="2">
        <v>339.33333329999999</v>
      </c>
      <c r="H44" s="2">
        <v>872.33333330000005</v>
      </c>
      <c r="I44" s="2">
        <v>2655</v>
      </c>
      <c r="J44" s="2">
        <v>2.2400000000000002</v>
      </c>
      <c r="K44" s="2">
        <v>3.43</v>
      </c>
      <c r="L44" s="2">
        <v>7.73</v>
      </c>
      <c r="M44" s="2">
        <v>14.89</v>
      </c>
      <c r="N44" s="2">
        <v>5.0405838870000004</v>
      </c>
      <c r="O44" s="2">
        <v>5.1129155669999999</v>
      </c>
      <c r="P44" s="2">
        <v>3.7887853439999999</v>
      </c>
      <c r="Q44" s="2">
        <v>3.7226066119999999</v>
      </c>
      <c r="R44" s="2">
        <v>1.121061657</v>
      </c>
      <c r="S44" s="2">
        <v>1.1315605710000001</v>
      </c>
      <c r="T44" s="2">
        <v>3.6191318219999999</v>
      </c>
      <c r="U44" s="2">
        <v>3.5464588899999998</v>
      </c>
      <c r="V44" s="2">
        <v>9.1723052999999999E-2</v>
      </c>
      <c r="W44" s="2">
        <v>8.6769131999999999E-2</v>
      </c>
      <c r="X44">
        <f t="shared" si="0"/>
        <v>1</v>
      </c>
      <c r="Y44">
        <f t="shared" si="1"/>
        <v>1</v>
      </c>
      <c r="Z44">
        <f t="shared" si="2"/>
        <v>1</v>
      </c>
    </row>
    <row r="45" spans="1:26" ht="15.75" customHeight="1" x14ac:dyDescent="0.2">
      <c r="A45" s="2" t="s">
        <v>23</v>
      </c>
      <c r="B45" s="2" t="s">
        <v>24</v>
      </c>
      <c r="C45" s="2" t="s">
        <v>28</v>
      </c>
      <c r="D45" s="2" t="s">
        <v>29</v>
      </c>
      <c r="E45" s="2">
        <v>180</v>
      </c>
      <c r="F45" s="2">
        <v>219.66666670000001</v>
      </c>
      <c r="G45" s="2">
        <v>319.33333329999999</v>
      </c>
      <c r="H45" s="2">
        <v>1396</v>
      </c>
      <c r="I45" s="2">
        <v>2589.666667</v>
      </c>
      <c r="J45" s="2">
        <v>2.17</v>
      </c>
      <c r="K45" s="2">
        <v>3.23</v>
      </c>
      <c r="L45" s="2">
        <v>10.62</v>
      </c>
      <c r="M45" s="2">
        <v>14.73</v>
      </c>
      <c r="N45" s="2">
        <v>2.9987665350000001</v>
      </c>
      <c r="O45" s="2">
        <v>3.6006407980000001</v>
      </c>
      <c r="P45" s="2">
        <v>1.5069943640000001</v>
      </c>
      <c r="Q45" s="2">
        <v>1.482874802</v>
      </c>
      <c r="R45" s="2">
        <v>1.3215887710000001</v>
      </c>
      <c r="S45" s="2">
        <v>1.3320876859999999</v>
      </c>
      <c r="T45" s="2">
        <v>0.72417893700000002</v>
      </c>
      <c r="U45" s="2">
        <v>0.65150600599999997</v>
      </c>
      <c r="V45" s="2">
        <v>-0.10880406099999999</v>
      </c>
      <c r="W45" s="2">
        <v>6.3296572999999995E-2</v>
      </c>
      <c r="X45">
        <f t="shared" si="0"/>
        <v>1</v>
      </c>
      <c r="Y45">
        <f t="shared" si="1"/>
        <v>1</v>
      </c>
      <c r="Z45">
        <f t="shared" si="2"/>
        <v>1</v>
      </c>
    </row>
    <row r="46" spans="1:26" ht="15.75" customHeight="1" x14ac:dyDescent="0.2">
      <c r="A46" s="2" t="s">
        <v>23</v>
      </c>
      <c r="B46" s="2" t="s">
        <v>24</v>
      </c>
      <c r="C46" s="2" t="s">
        <v>27</v>
      </c>
      <c r="D46" s="2" t="s">
        <v>27</v>
      </c>
      <c r="E46" s="2">
        <v>127</v>
      </c>
      <c r="F46" s="2">
        <v>216.66666670000001</v>
      </c>
      <c r="G46" s="2">
        <v>427</v>
      </c>
      <c r="H46" s="2">
        <v>2486</v>
      </c>
      <c r="I46" s="2">
        <v>3192.333333</v>
      </c>
      <c r="J46" s="2">
        <v>2.14</v>
      </c>
      <c r="K46" s="2">
        <v>4.2699999999999996</v>
      </c>
      <c r="L46" s="2">
        <v>14.46</v>
      </c>
      <c r="M46" s="2">
        <v>16.079999999999998</v>
      </c>
      <c r="N46" s="2">
        <v>0.11905405300000001</v>
      </c>
      <c r="O46" s="2">
        <v>0.134437262</v>
      </c>
      <c r="P46" s="2">
        <v>3.1272708709999999</v>
      </c>
      <c r="Q46" s="2">
        <v>3.2005965160000001</v>
      </c>
      <c r="R46" s="2">
        <v>0.281731118</v>
      </c>
      <c r="S46" s="2">
        <v>0.292230033</v>
      </c>
      <c r="T46" s="2">
        <v>3.1145546519999998</v>
      </c>
      <c r="U46" s="2">
        <v>3.1872275829999999</v>
      </c>
      <c r="V46" s="2">
        <v>0.93105359200000004</v>
      </c>
      <c r="W46" s="2">
        <v>9.5923122999999999E-2</v>
      </c>
      <c r="X46">
        <f t="shared" si="0"/>
        <v>1</v>
      </c>
      <c r="Y46">
        <f t="shared" si="1"/>
        <v>1</v>
      </c>
      <c r="Z46">
        <f t="shared" si="2"/>
        <v>0</v>
      </c>
    </row>
    <row r="47" spans="1:26" ht="15.75" customHeight="1" x14ac:dyDescent="0.2">
      <c r="A47" s="2" t="s">
        <v>23</v>
      </c>
      <c r="B47" s="2" t="s">
        <v>24</v>
      </c>
      <c r="C47" s="2" t="s">
        <v>26</v>
      </c>
      <c r="D47" s="2" t="s">
        <v>26</v>
      </c>
      <c r="E47" s="2">
        <v>186</v>
      </c>
      <c r="F47" s="2">
        <v>225</v>
      </c>
      <c r="G47" s="2">
        <v>418.66666670000001</v>
      </c>
      <c r="H47" s="2">
        <v>688</v>
      </c>
      <c r="I47" s="2">
        <v>2660.666667</v>
      </c>
      <c r="J47" s="2">
        <v>2.23</v>
      </c>
      <c r="K47" s="2">
        <v>4.1900000000000004</v>
      </c>
      <c r="L47" s="2">
        <v>6.44</v>
      </c>
      <c r="M47" s="2">
        <v>14.91</v>
      </c>
      <c r="N47" s="2">
        <v>1.2979170980000001</v>
      </c>
      <c r="O47" s="2">
        <v>0.70121486099999997</v>
      </c>
      <c r="P47" s="2">
        <v>4.9237263929999999</v>
      </c>
      <c r="Q47" s="2">
        <v>4.8520375429999998</v>
      </c>
      <c r="R47" s="2">
        <v>0.35885442400000001</v>
      </c>
      <c r="S47" s="2">
        <v>0.36935333799999998</v>
      </c>
      <c r="T47" s="2">
        <v>4.910631843</v>
      </c>
      <c r="U47" s="2">
        <v>4.8379589120000004</v>
      </c>
      <c r="V47" s="2">
        <v>0.85393028599999998</v>
      </c>
      <c r="W47" s="2">
        <v>0.122338987</v>
      </c>
      <c r="X47">
        <f t="shared" si="0"/>
        <v>1</v>
      </c>
      <c r="Y47">
        <f t="shared" si="1"/>
        <v>1</v>
      </c>
      <c r="Z47">
        <f t="shared" si="2"/>
        <v>0</v>
      </c>
    </row>
    <row r="48" spans="1:26" ht="15.75" customHeight="1" x14ac:dyDescent="0.2">
      <c r="A48" s="2" t="s">
        <v>23</v>
      </c>
      <c r="B48" s="2" t="s">
        <v>24</v>
      </c>
      <c r="C48" s="2" t="s">
        <v>27</v>
      </c>
      <c r="D48" s="2" t="s">
        <v>27</v>
      </c>
      <c r="E48" s="2">
        <v>143</v>
      </c>
      <c r="F48" s="2">
        <v>207.66666670000001</v>
      </c>
      <c r="G48" s="2">
        <v>405</v>
      </c>
      <c r="H48" s="2">
        <v>2385.333333</v>
      </c>
      <c r="I48" s="2">
        <v>3077.333333</v>
      </c>
      <c r="J48" s="2">
        <v>2.04</v>
      </c>
      <c r="K48" s="2">
        <v>4.0599999999999996</v>
      </c>
      <c r="L48" s="2">
        <v>14.19</v>
      </c>
      <c r="M48" s="2">
        <v>15.85</v>
      </c>
      <c r="N48" s="2">
        <v>0.23851904600000001</v>
      </c>
      <c r="O48" s="2">
        <v>0.34532099900000002</v>
      </c>
      <c r="P48" s="2">
        <v>2.8821063589999998</v>
      </c>
      <c r="Q48" s="2">
        <v>2.955509288</v>
      </c>
      <c r="R48" s="2">
        <v>0.48651322299999999</v>
      </c>
      <c r="S48" s="2">
        <v>0.49701213799999999</v>
      </c>
      <c r="T48" s="2">
        <v>2.8407467240000002</v>
      </c>
      <c r="U48" s="2">
        <v>2.9134196550000002</v>
      </c>
      <c r="V48" s="2">
        <v>0.72627148699999999</v>
      </c>
      <c r="W48" s="2">
        <v>9.8283995999999998E-2</v>
      </c>
      <c r="X48">
        <f t="shared" si="0"/>
        <v>1</v>
      </c>
      <c r="Y48">
        <f t="shared" si="1"/>
        <v>1</v>
      </c>
      <c r="Z48">
        <f t="shared" si="2"/>
        <v>0</v>
      </c>
    </row>
    <row r="49" spans="1:26" ht="15.75" customHeight="1" x14ac:dyDescent="0.2">
      <c r="A49" s="2" t="s">
        <v>23</v>
      </c>
      <c r="B49" s="2" t="s">
        <v>24</v>
      </c>
      <c r="C49" s="2" t="s">
        <v>27</v>
      </c>
      <c r="D49" s="2" t="s">
        <v>27</v>
      </c>
      <c r="E49" s="2">
        <v>173</v>
      </c>
      <c r="F49" s="2">
        <v>216.33333329999999</v>
      </c>
      <c r="G49" s="2">
        <v>410.33333329999999</v>
      </c>
      <c r="H49" s="2">
        <v>2417.666667</v>
      </c>
      <c r="I49" s="2">
        <v>3191</v>
      </c>
      <c r="J49" s="2">
        <v>2.13</v>
      </c>
      <c r="K49" s="2">
        <v>4.1100000000000003</v>
      </c>
      <c r="L49" s="2">
        <v>14.28</v>
      </c>
      <c r="M49" s="2">
        <v>16.079999999999998</v>
      </c>
      <c r="N49" s="2">
        <v>0.13666704399999999</v>
      </c>
      <c r="O49" s="2">
        <v>0.24787052100000001</v>
      </c>
      <c r="P49" s="2">
        <v>2.9624022860000001</v>
      </c>
      <c r="Q49" s="2">
        <v>3.0358289809999999</v>
      </c>
      <c r="R49" s="2">
        <v>0.43652001099999999</v>
      </c>
      <c r="S49" s="2">
        <v>0.44701892500000001</v>
      </c>
      <c r="T49" s="2">
        <v>2.9300644340000002</v>
      </c>
      <c r="U49" s="2">
        <v>3.0027373650000002</v>
      </c>
      <c r="V49" s="2">
        <v>0.77626469899999995</v>
      </c>
      <c r="W49" s="2">
        <v>0.134116662</v>
      </c>
      <c r="X49">
        <f t="shared" si="0"/>
        <v>1</v>
      </c>
      <c r="Y49">
        <f t="shared" si="1"/>
        <v>1</v>
      </c>
      <c r="Z49">
        <f t="shared" si="2"/>
        <v>0</v>
      </c>
    </row>
    <row r="50" spans="1:26" ht="15.75" customHeight="1" x14ac:dyDescent="0.2">
      <c r="A50" s="2" t="s">
        <v>23</v>
      </c>
      <c r="B50" s="2" t="s">
        <v>24</v>
      </c>
      <c r="C50" s="2" t="s">
        <v>32</v>
      </c>
      <c r="D50" s="2" t="s">
        <v>33</v>
      </c>
      <c r="E50" s="2">
        <v>161</v>
      </c>
      <c r="F50" s="2">
        <v>210</v>
      </c>
      <c r="G50" s="2">
        <v>726.66666669999995</v>
      </c>
      <c r="H50" s="2">
        <v>1485.666667</v>
      </c>
      <c r="I50" s="2">
        <v>3727.333333</v>
      </c>
      <c r="J50" s="2">
        <v>2.06</v>
      </c>
      <c r="K50" s="2">
        <v>6.72</v>
      </c>
      <c r="L50" s="2">
        <v>11.03</v>
      </c>
      <c r="M50" s="2">
        <v>17.04</v>
      </c>
      <c r="N50" s="2">
        <v>0.52891291100000004</v>
      </c>
      <c r="O50" s="2">
        <v>0.45173882199999998</v>
      </c>
      <c r="P50" s="2">
        <v>2.1966373159999999</v>
      </c>
      <c r="Q50" s="2">
        <v>2.1769086180000001</v>
      </c>
      <c r="R50" s="2">
        <v>2.1736850780000001</v>
      </c>
      <c r="S50" s="2">
        <v>2.1631861639999999</v>
      </c>
      <c r="T50" s="2">
        <v>0.31671545000000001</v>
      </c>
      <c r="U50" s="2">
        <v>0.24404251900000001</v>
      </c>
      <c r="V50" s="2">
        <v>3.3864697879999999</v>
      </c>
      <c r="W50" s="2">
        <v>8.7940958E-2</v>
      </c>
      <c r="X50">
        <f t="shared" si="0"/>
        <v>1</v>
      </c>
      <c r="Y50">
        <f t="shared" si="1"/>
        <v>1</v>
      </c>
      <c r="Z50">
        <f t="shared" si="2"/>
        <v>1</v>
      </c>
    </row>
    <row r="51" spans="1:26" ht="15.75" customHeight="1" x14ac:dyDescent="0.2">
      <c r="A51" s="2" t="s">
        <v>23</v>
      </c>
      <c r="B51" s="2" t="s">
        <v>24</v>
      </c>
      <c r="C51" s="2" t="s">
        <v>28</v>
      </c>
      <c r="D51" s="2" t="s">
        <v>29</v>
      </c>
      <c r="E51" s="2">
        <v>120</v>
      </c>
      <c r="F51" s="2">
        <v>234</v>
      </c>
      <c r="G51" s="2">
        <v>312</v>
      </c>
      <c r="H51" s="2">
        <v>1187</v>
      </c>
      <c r="I51" s="2">
        <v>1984.333333</v>
      </c>
      <c r="J51" s="2">
        <v>2.33</v>
      </c>
      <c r="K51" s="2">
        <v>3.15</v>
      </c>
      <c r="L51" s="2">
        <v>9.58</v>
      </c>
      <c r="M51" s="2">
        <v>12.96</v>
      </c>
      <c r="N51" s="2">
        <v>2.031629331</v>
      </c>
      <c r="O51" s="2">
        <v>2.6122525259999998</v>
      </c>
      <c r="P51" s="2">
        <v>2.2495991970000002</v>
      </c>
      <c r="Q51" s="2">
        <v>2.1997734859999998</v>
      </c>
      <c r="R51" s="2">
        <v>1.3959999430000001</v>
      </c>
      <c r="S51" s="2">
        <v>1.4064988570000001</v>
      </c>
      <c r="T51" s="2">
        <v>1.7640523539999999</v>
      </c>
      <c r="U51" s="2">
        <v>1.6913794230000001</v>
      </c>
      <c r="V51" s="2">
        <v>-0.18321523300000001</v>
      </c>
      <c r="W51" s="2">
        <v>0.117488577</v>
      </c>
      <c r="X51">
        <f t="shared" si="0"/>
        <v>1</v>
      </c>
      <c r="Y51">
        <f t="shared" si="1"/>
        <v>1</v>
      </c>
      <c r="Z51">
        <f t="shared" si="2"/>
        <v>1</v>
      </c>
    </row>
    <row r="52" spans="1:26" ht="15.75" customHeight="1" x14ac:dyDescent="0.2">
      <c r="A52" s="2" t="s">
        <v>23</v>
      </c>
      <c r="B52" s="2" t="s">
        <v>24</v>
      </c>
      <c r="C52" s="2" t="s">
        <v>26</v>
      </c>
      <c r="D52" s="2" t="s">
        <v>26</v>
      </c>
      <c r="E52" s="2">
        <v>131</v>
      </c>
      <c r="F52" s="2">
        <v>202.66666670000001</v>
      </c>
      <c r="G52" s="2">
        <v>339.66666670000001</v>
      </c>
      <c r="H52" s="2">
        <v>1137</v>
      </c>
      <c r="I52" s="2">
        <v>2497.666667</v>
      </c>
      <c r="J52" s="2">
        <v>1.98</v>
      </c>
      <c r="K52" s="2">
        <v>3.43</v>
      </c>
      <c r="L52" s="2">
        <v>9.31</v>
      </c>
      <c r="M52" s="2">
        <v>14.49</v>
      </c>
      <c r="N52" s="2">
        <v>1.6821977910000001</v>
      </c>
      <c r="O52" s="2">
        <v>2.277840313</v>
      </c>
      <c r="P52" s="2">
        <v>2.3205638739999999</v>
      </c>
      <c r="Q52" s="2">
        <v>2.2623657480000001</v>
      </c>
      <c r="R52" s="2">
        <v>1.1177490889999999</v>
      </c>
      <c r="S52" s="2">
        <v>1.1282480029999999</v>
      </c>
      <c r="T52" s="2">
        <v>2.0336306610000001</v>
      </c>
      <c r="U52" s="2">
        <v>1.9609577300000001</v>
      </c>
      <c r="V52" s="2">
        <v>9.5035621000000001E-2</v>
      </c>
      <c r="W52" s="2">
        <v>8.4216479999999996E-2</v>
      </c>
      <c r="X52">
        <f t="shared" si="0"/>
        <v>1</v>
      </c>
      <c r="Y52">
        <f t="shared" si="1"/>
        <v>1</v>
      </c>
      <c r="Z52">
        <f t="shared" si="2"/>
        <v>0</v>
      </c>
    </row>
    <row r="53" spans="1:26" ht="15.75" customHeight="1" x14ac:dyDescent="0.2">
      <c r="A53" s="2" t="s">
        <v>23</v>
      </c>
      <c r="B53" s="2" t="s">
        <v>24</v>
      </c>
      <c r="C53" s="2" t="s">
        <v>30</v>
      </c>
      <c r="D53" s="2" t="s">
        <v>31</v>
      </c>
      <c r="E53" s="2">
        <v>154</v>
      </c>
      <c r="F53" s="2">
        <v>231.33333329999999</v>
      </c>
      <c r="G53" s="2">
        <v>816.33333330000005</v>
      </c>
      <c r="H53" s="2">
        <v>1378.666667</v>
      </c>
      <c r="I53" s="2">
        <v>3646</v>
      </c>
      <c r="J53" s="2">
        <v>2.2999999999999998</v>
      </c>
      <c r="K53" s="2">
        <v>7.35</v>
      </c>
      <c r="L53" s="2">
        <v>10.54</v>
      </c>
      <c r="M53" s="2">
        <v>16.91</v>
      </c>
      <c r="N53" s="2">
        <v>5.010350334</v>
      </c>
      <c r="O53" s="2">
        <v>5.1119774969999998</v>
      </c>
      <c r="P53" s="2">
        <v>2.918709582</v>
      </c>
      <c r="Q53" s="2">
        <v>2.8893388400000002</v>
      </c>
      <c r="R53" s="2">
        <v>2.8053670990000001</v>
      </c>
      <c r="S53" s="2">
        <v>2.7948681849999999</v>
      </c>
      <c r="T53" s="2">
        <v>0.80546946799999997</v>
      </c>
      <c r="U53" s="2">
        <v>0.73279653700000003</v>
      </c>
      <c r="V53" s="2">
        <v>4.0181518089999999</v>
      </c>
      <c r="W53" s="2">
        <v>8.8195727000000002E-2</v>
      </c>
      <c r="X53">
        <f t="shared" si="0"/>
        <v>1</v>
      </c>
      <c r="Y53">
        <f t="shared" si="1"/>
        <v>1</v>
      </c>
      <c r="Z53">
        <f t="shared" si="2"/>
        <v>1</v>
      </c>
    </row>
    <row r="54" spans="1:26" ht="15.75" customHeight="1" x14ac:dyDescent="0.2">
      <c r="A54" s="2" t="s">
        <v>23</v>
      </c>
      <c r="B54" s="2" t="s">
        <v>24</v>
      </c>
      <c r="C54" s="2" t="s">
        <v>27</v>
      </c>
      <c r="D54" s="2" t="s">
        <v>27</v>
      </c>
      <c r="E54" s="2">
        <v>139</v>
      </c>
      <c r="F54" s="2">
        <v>222.33333329999999</v>
      </c>
      <c r="G54" s="2">
        <v>432.66666670000001</v>
      </c>
      <c r="H54" s="2">
        <v>2622.333333</v>
      </c>
      <c r="I54" s="2">
        <v>3183.666667</v>
      </c>
      <c r="J54" s="2">
        <v>2.2000000000000002</v>
      </c>
      <c r="K54" s="2">
        <v>4.32</v>
      </c>
      <c r="L54" s="2">
        <v>14.81</v>
      </c>
      <c r="M54" s="2">
        <v>16.059999999999999</v>
      </c>
      <c r="N54" s="2">
        <v>0.43802053099999999</v>
      </c>
      <c r="O54" s="2">
        <v>0.33779606400000001</v>
      </c>
      <c r="P54" s="2">
        <v>3.4737906970000001</v>
      </c>
      <c r="Q54" s="2">
        <v>3.5470031689999999</v>
      </c>
      <c r="R54" s="2">
        <v>0.22959413100000001</v>
      </c>
      <c r="S54" s="2">
        <v>0.240093046</v>
      </c>
      <c r="T54" s="2">
        <v>3.466195082</v>
      </c>
      <c r="U54" s="2">
        <v>3.5388680130000001</v>
      </c>
      <c r="V54" s="2">
        <v>0.98319057899999995</v>
      </c>
      <c r="W54" s="2">
        <v>9.2639342E-2</v>
      </c>
      <c r="X54">
        <f t="shared" si="0"/>
        <v>1</v>
      </c>
      <c r="Y54">
        <f t="shared" si="1"/>
        <v>1</v>
      </c>
      <c r="Z54">
        <f t="shared" si="2"/>
        <v>0</v>
      </c>
    </row>
    <row r="55" spans="1:26" ht="15.75" customHeight="1" x14ac:dyDescent="0.2">
      <c r="A55" s="2" t="s">
        <v>23</v>
      </c>
      <c r="B55" s="2" t="s">
        <v>24</v>
      </c>
      <c r="C55" s="2" t="s">
        <v>30</v>
      </c>
      <c r="D55" s="2" t="s">
        <v>31</v>
      </c>
      <c r="E55" s="2">
        <v>160</v>
      </c>
      <c r="F55" s="2">
        <v>212.66666670000001</v>
      </c>
      <c r="G55" s="2">
        <v>401</v>
      </c>
      <c r="H55" s="2">
        <v>1066.666667</v>
      </c>
      <c r="I55" s="2">
        <v>2446.333333</v>
      </c>
      <c r="J55" s="2">
        <v>2.09</v>
      </c>
      <c r="K55" s="2">
        <v>4.0199999999999996</v>
      </c>
      <c r="L55" s="2">
        <v>8.92</v>
      </c>
      <c r="M55" s="2">
        <v>14.35</v>
      </c>
      <c r="N55" s="2">
        <v>5.4866936620000004</v>
      </c>
      <c r="O55" s="2">
        <v>5.60471451</v>
      </c>
      <c r="P55" s="2">
        <v>2.4838489620000002</v>
      </c>
      <c r="Q55" s="2">
        <v>2.4151637949999998</v>
      </c>
      <c r="R55" s="2">
        <v>0.52415635500000002</v>
      </c>
      <c r="S55" s="2">
        <v>0.53465526900000004</v>
      </c>
      <c r="T55" s="2">
        <v>2.4279138740000001</v>
      </c>
      <c r="U55" s="2">
        <v>2.3552409430000001</v>
      </c>
      <c r="V55" s="2">
        <v>0.68862835499999997</v>
      </c>
      <c r="W55" s="2">
        <v>9.5611155000000003E-2</v>
      </c>
      <c r="X55">
        <f t="shared" si="0"/>
        <v>1</v>
      </c>
      <c r="Y55">
        <f t="shared" si="1"/>
        <v>1</v>
      </c>
      <c r="Z55">
        <f t="shared" si="2"/>
        <v>1</v>
      </c>
    </row>
    <row r="56" spans="1:26" ht="15.75" customHeight="1" x14ac:dyDescent="0.2">
      <c r="A56" s="2" t="s">
        <v>23</v>
      </c>
      <c r="B56" s="2" t="s">
        <v>24</v>
      </c>
      <c r="C56" s="2" t="s">
        <v>26</v>
      </c>
      <c r="D56" s="2" t="s">
        <v>26</v>
      </c>
      <c r="E56" s="2">
        <v>141</v>
      </c>
      <c r="F56" s="2">
        <v>204.33333329999999</v>
      </c>
      <c r="G56" s="2">
        <v>388.66666670000001</v>
      </c>
      <c r="H56" s="2">
        <v>862.66666669999995</v>
      </c>
      <c r="I56" s="2">
        <v>2734.666667</v>
      </c>
      <c r="J56" s="2">
        <v>2</v>
      </c>
      <c r="K56" s="2">
        <v>3.91</v>
      </c>
      <c r="L56" s="2">
        <v>7.66</v>
      </c>
      <c r="M56" s="2">
        <v>15.09</v>
      </c>
      <c r="N56" s="2">
        <v>5.5773863999999999E-2</v>
      </c>
      <c r="O56" s="2">
        <v>0.570244584</v>
      </c>
      <c r="P56" s="2">
        <v>3.7380433100000001</v>
      </c>
      <c r="Q56" s="2">
        <v>3.6683182730000001</v>
      </c>
      <c r="R56" s="2">
        <v>0.64102983700000005</v>
      </c>
      <c r="S56" s="2">
        <v>0.65152875099999996</v>
      </c>
      <c r="T56" s="2">
        <v>3.68266867</v>
      </c>
      <c r="U56" s="2">
        <v>3.6099957389999999</v>
      </c>
      <c r="V56" s="2">
        <v>0.57175487300000005</v>
      </c>
      <c r="W56" s="2">
        <v>0.13096244000000001</v>
      </c>
      <c r="X56">
        <f t="shared" si="0"/>
        <v>1</v>
      </c>
      <c r="Y56">
        <f t="shared" si="1"/>
        <v>1</v>
      </c>
      <c r="Z56">
        <f t="shared" si="2"/>
        <v>0</v>
      </c>
    </row>
    <row r="57" spans="1:26" ht="15.75" customHeight="1" x14ac:dyDescent="0.2">
      <c r="A57" s="2" t="s">
        <v>23</v>
      </c>
      <c r="B57" s="2" t="s">
        <v>24</v>
      </c>
      <c r="C57" s="2" t="s">
        <v>26</v>
      </c>
      <c r="D57" s="2" t="s">
        <v>26</v>
      </c>
      <c r="E57" s="2">
        <v>179</v>
      </c>
      <c r="F57" s="2">
        <v>221.66666670000001</v>
      </c>
      <c r="G57" s="2">
        <v>374</v>
      </c>
      <c r="H57" s="2">
        <v>892.33333330000005</v>
      </c>
      <c r="I57" s="2">
        <v>2996</v>
      </c>
      <c r="J57" s="2">
        <v>2.19</v>
      </c>
      <c r="K57" s="2">
        <v>3.77</v>
      </c>
      <c r="L57" s="2">
        <v>7.86</v>
      </c>
      <c r="M57" s="2">
        <v>15.68</v>
      </c>
      <c r="N57" s="2">
        <v>0.22741203900000001</v>
      </c>
      <c r="O57" s="2">
        <v>0.78414410800000001</v>
      </c>
      <c r="P57" s="2">
        <v>3.5755220780000001</v>
      </c>
      <c r="Q57" s="2">
        <v>3.5069992929999998</v>
      </c>
      <c r="R57" s="2">
        <v>0.78162231000000004</v>
      </c>
      <c r="S57" s="2">
        <v>0.79212122500000004</v>
      </c>
      <c r="T57" s="2">
        <v>3.4890435210000001</v>
      </c>
      <c r="U57" s="2">
        <v>3.4163705900000001</v>
      </c>
      <c r="V57" s="2">
        <v>0.4311624</v>
      </c>
      <c r="W57" s="2">
        <v>9.4299670000000002E-2</v>
      </c>
      <c r="X57">
        <f t="shared" si="0"/>
        <v>1</v>
      </c>
      <c r="Y57">
        <f t="shared" si="1"/>
        <v>1</v>
      </c>
      <c r="Z57">
        <f t="shared" si="2"/>
        <v>0</v>
      </c>
    </row>
    <row r="58" spans="1:26" ht="15.75" customHeight="1" x14ac:dyDescent="0.2">
      <c r="A58" s="2" t="s">
        <v>23</v>
      </c>
      <c r="B58" s="2" t="s">
        <v>24</v>
      </c>
      <c r="C58" s="2" t="s">
        <v>26</v>
      </c>
      <c r="D58" s="2" t="s">
        <v>26</v>
      </c>
      <c r="E58" s="2">
        <v>142</v>
      </c>
      <c r="F58" s="2">
        <v>219.66666670000001</v>
      </c>
      <c r="G58" s="2">
        <v>422.66666670000001</v>
      </c>
      <c r="H58" s="2">
        <v>792.66666669999995</v>
      </c>
      <c r="I58" s="2">
        <v>3008</v>
      </c>
      <c r="J58" s="2">
        <v>2.17</v>
      </c>
      <c r="K58" s="2">
        <v>4.2300000000000004</v>
      </c>
      <c r="L58" s="2">
        <v>7.19</v>
      </c>
      <c r="M58" s="2">
        <v>15.7</v>
      </c>
      <c r="N58" s="2">
        <v>0.59319424200000004</v>
      </c>
      <c r="O58" s="2">
        <v>0.29160497800000001</v>
      </c>
      <c r="P58" s="2">
        <v>4.1685161669999999</v>
      </c>
      <c r="Q58" s="2">
        <v>4.0969020199999999</v>
      </c>
      <c r="R58" s="2">
        <v>0.32176791100000002</v>
      </c>
      <c r="S58" s="2">
        <v>0.33226682499999999</v>
      </c>
      <c r="T58" s="2">
        <v>4.1560789749999998</v>
      </c>
      <c r="U58" s="2">
        <v>4.0834060440000002</v>
      </c>
      <c r="V58" s="2">
        <v>0.89101679899999997</v>
      </c>
      <c r="W58" s="2">
        <v>0.15595003099999999</v>
      </c>
      <c r="X58">
        <f t="shared" si="0"/>
        <v>1</v>
      </c>
      <c r="Y58">
        <f t="shared" si="1"/>
        <v>1</v>
      </c>
      <c r="Z58">
        <f t="shared" si="2"/>
        <v>0</v>
      </c>
    </row>
    <row r="59" spans="1:26" ht="15.75" customHeight="1" x14ac:dyDescent="0.2">
      <c r="A59" s="2" t="s">
        <v>23</v>
      </c>
      <c r="B59" s="2" t="s">
        <v>24</v>
      </c>
      <c r="C59" s="2" t="s">
        <v>25</v>
      </c>
      <c r="D59" s="2" t="s">
        <v>25</v>
      </c>
      <c r="E59" s="2">
        <v>181</v>
      </c>
      <c r="F59" s="2">
        <v>201.66666670000001</v>
      </c>
      <c r="G59" s="2">
        <v>727.33333330000005</v>
      </c>
      <c r="H59" s="2">
        <v>1586</v>
      </c>
      <c r="I59" s="2">
        <v>3082.666667</v>
      </c>
      <c r="J59" s="2">
        <v>1.97</v>
      </c>
      <c r="K59" s="2">
        <v>6.73</v>
      </c>
      <c r="L59" s="2">
        <v>11.46</v>
      </c>
      <c r="M59" s="2">
        <v>15.86</v>
      </c>
      <c r="N59" s="2">
        <v>9.9938936000000006E-2</v>
      </c>
      <c r="O59" s="2">
        <v>0.27784690899999998</v>
      </c>
      <c r="P59" s="2">
        <v>2.1815592540000002</v>
      </c>
      <c r="Q59" s="2">
        <v>2.1761277630000002</v>
      </c>
      <c r="R59" s="2">
        <v>2.17853714</v>
      </c>
      <c r="S59" s="2">
        <v>2.1680382250000001</v>
      </c>
      <c r="T59" s="2">
        <v>0.114789849</v>
      </c>
      <c r="U59" s="2">
        <v>0.18746278</v>
      </c>
      <c r="V59" s="2">
        <v>3.3913218500000002</v>
      </c>
      <c r="W59" s="2">
        <v>7.1147941000000006E-2</v>
      </c>
      <c r="X59">
        <f t="shared" si="0"/>
        <v>1</v>
      </c>
      <c r="Y59">
        <f t="shared" si="1"/>
        <v>1</v>
      </c>
      <c r="Z59">
        <f t="shared" si="2"/>
        <v>0</v>
      </c>
    </row>
    <row r="60" spans="1:26" ht="15.75" customHeight="1" x14ac:dyDescent="0.2">
      <c r="A60" s="2" t="s">
        <v>23</v>
      </c>
      <c r="B60" s="2" t="s">
        <v>24</v>
      </c>
      <c r="C60" s="2" t="s">
        <v>25</v>
      </c>
      <c r="D60" s="2" t="s">
        <v>25</v>
      </c>
      <c r="E60" s="2">
        <v>186</v>
      </c>
      <c r="F60" s="2">
        <v>211.66666670000001</v>
      </c>
      <c r="G60" s="2">
        <v>688</v>
      </c>
      <c r="H60" s="2">
        <v>1503</v>
      </c>
      <c r="I60" s="2">
        <v>3053.333333</v>
      </c>
      <c r="J60" s="2">
        <v>2.08</v>
      </c>
      <c r="K60" s="2">
        <v>6.44</v>
      </c>
      <c r="L60" s="2">
        <v>11.11</v>
      </c>
      <c r="M60" s="2">
        <v>15.8</v>
      </c>
      <c r="N60" s="2">
        <v>0.52501155799999999</v>
      </c>
      <c r="O60" s="2">
        <v>0.62660541300000006</v>
      </c>
      <c r="P60" s="2">
        <v>1.9033260679999999</v>
      </c>
      <c r="Q60" s="2">
        <v>1.8850616259999999</v>
      </c>
      <c r="R60" s="2">
        <v>1.888085309</v>
      </c>
      <c r="S60" s="2">
        <v>1.877586395</v>
      </c>
      <c r="T60" s="2">
        <v>0.24038299699999999</v>
      </c>
      <c r="U60" s="2">
        <v>0.16771006599999999</v>
      </c>
      <c r="V60" s="2">
        <v>3.1008700189999998</v>
      </c>
      <c r="W60" s="2">
        <v>6.9470632000000004E-2</v>
      </c>
      <c r="X60">
        <f t="shared" si="0"/>
        <v>1</v>
      </c>
      <c r="Y60">
        <f t="shared" si="1"/>
        <v>1</v>
      </c>
      <c r="Z60">
        <f t="shared" si="2"/>
        <v>0</v>
      </c>
    </row>
    <row r="61" spans="1:26" ht="15.75" customHeight="1" x14ac:dyDescent="0.2">
      <c r="A61" s="2" t="s">
        <v>23</v>
      </c>
      <c r="B61" s="2" t="s">
        <v>24</v>
      </c>
      <c r="C61" s="2" t="s">
        <v>25</v>
      </c>
      <c r="D61" s="2" t="s">
        <v>25</v>
      </c>
      <c r="E61" s="2">
        <v>209</v>
      </c>
      <c r="F61" s="2">
        <v>205.66666670000001</v>
      </c>
      <c r="G61" s="2">
        <v>838.33333330000005</v>
      </c>
      <c r="H61" s="2">
        <v>1669.666667</v>
      </c>
      <c r="I61" s="2">
        <v>3005</v>
      </c>
      <c r="J61" s="2">
        <v>2.02</v>
      </c>
      <c r="K61" s="2">
        <v>7.5</v>
      </c>
      <c r="L61" s="2">
        <v>11.8</v>
      </c>
      <c r="M61" s="2">
        <v>15.7</v>
      </c>
      <c r="N61" s="2">
        <v>0.83596866000000003</v>
      </c>
      <c r="O61" s="2">
        <v>0.654332201</v>
      </c>
      <c r="P61" s="2">
        <v>2.9892114740000002</v>
      </c>
      <c r="Q61" s="2">
        <v>2.990832331</v>
      </c>
      <c r="R61" s="2">
        <v>2.9541676410000002</v>
      </c>
      <c r="S61" s="2">
        <v>2.9436687269999999</v>
      </c>
      <c r="T61" s="2">
        <v>0.45637570300000002</v>
      </c>
      <c r="U61" s="2">
        <v>0.52904863400000002</v>
      </c>
      <c r="V61" s="2">
        <v>4.1669523509999999</v>
      </c>
      <c r="W61" s="2">
        <v>5.0148591999999999E-2</v>
      </c>
      <c r="X61">
        <f t="shared" si="0"/>
        <v>1</v>
      </c>
      <c r="Y61">
        <f t="shared" si="1"/>
        <v>1</v>
      </c>
      <c r="Z61">
        <f t="shared" si="2"/>
        <v>0</v>
      </c>
    </row>
    <row r="62" spans="1:26" ht="15.75" customHeight="1" x14ac:dyDescent="0.2">
      <c r="A62" s="2" t="s">
        <v>23</v>
      </c>
      <c r="B62" s="2" t="s">
        <v>24</v>
      </c>
      <c r="C62" s="2" t="s">
        <v>28</v>
      </c>
      <c r="D62" s="2" t="s">
        <v>29</v>
      </c>
      <c r="E62" s="2">
        <v>116</v>
      </c>
      <c r="F62" s="2">
        <v>220.33333329999999</v>
      </c>
      <c r="G62" s="2">
        <v>294.66666670000001</v>
      </c>
      <c r="H62" s="2">
        <v>1372.666667</v>
      </c>
      <c r="I62" s="2">
        <v>2776.333333</v>
      </c>
      <c r="J62" s="2">
        <v>2.1800000000000002</v>
      </c>
      <c r="K62" s="2">
        <v>2.97</v>
      </c>
      <c r="L62" s="2">
        <v>10.51</v>
      </c>
      <c r="M62" s="2">
        <v>15.19</v>
      </c>
      <c r="N62" s="2">
        <v>2.9646336839999998</v>
      </c>
      <c r="O62" s="2">
        <v>3.554184282</v>
      </c>
      <c r="P62" s="2">
        <v>1.781037354</v>
      </c>
      <c r="Q62" s="2">
        <v>1.757652397</v>
      </c>
      <c r="R62" s="2">
        <v>1.573805079</v>
      </c>
      <c r="S62" s="2">
        <v>1.5843039940000001</v>
      </c>
      <c r="T62" s="2">
        <v>0.833805511</v>
      </c>
      <c r="U62" s="2">
        <v>0.76113257899999998</v>
      </c>
      <c r="V62" s="2">
        <v>-0.36102036900000001</v>
      </c>
      <c r="W62" s="2">
        <v>0.104444674</v>
      </c>
      <c r="X62">
        <f t="shared" si="0"/>
        <v>1</v>
      </c>
      <c r="Y62">
        <f t="shared" si="1"/>
        <v>1</v>
      </c>
      <c r="Z62">
        <f t="shared" si="2"/>
        <v>1</v>
      </c>
    </row>
    <row r="63" spans="1:26" ht="15.75" customHeight="1" x14ac:dyDescent="0.2">
      <c r="A63" s="2" t="s">
        <v>23</v>
      </c>
      <c r="B63" s="2" t="s">
        <v>24</v>
      </c>
      <c r="C63" s="2" t="s">
        <v>30</v>
      </c>
      <c r="D63" s="2" t="s">
        <v>31</v>
      </c>
      <c r="E63" s="2">
        <v>176</v>
      </c>
      <c r="F63" s="2">
        <v>206.66666670000001</v>
      </c>
      <c r="G63" s="2">
        <v>922.66666669999995</v>
      </c>
      <c r="H63" s="2">
        <v>1294.666667</v>
      </c>
      <c r="I63" s="2">
        <v>3657.666667</v>
      </c>
      <c r="J63" s="2">
        <v>2.0299999999999998</v>
      </c>
      <c r="K63" s="2">
        <v>8.0500000000000007</v>
      </c>
      <c r="L63" s="2">
        <v>10.130000000000001</v>
      </c>
      <c r="M63" s="2">
        <v>16.93</v>
      </c>
      <c r="N63" s="2">
        <v>5.7749618829999996</v>
      </c>
      <c r="O63" s="2">
        <v>5.8734055490000001</v>
      </c>
      <c r="P63" s="2">
        <v>3.7071402189999998</v>
      </c>
      <c r="Q63" s="2">
        <v>3.6740442029999998</v>
      </c>
      <c r="R63" s="2">
        <v>3.5035292170000001</v>
      </c>
      <c r="S63" s="2">
        <v>3.4930303020000002</v>
      </c>
      <c r="T63" s="2">
        <v>1.2116813230000001</v>
      </c>
      <c r="U63" s="2">
        <v>1.139008392</v>
      </c>
      <c r="V63" s="2">
        <v>4.7163139269999999</v>
      </c>
      <c r="W63" s="2">
        <v>7.7403131E-2</v>
      </c>
      <c r="X63">
        <f t="shared" si="0"/>
        <v>1</v>
      </c>
      <c r="Y63">
        <f t="shared" si="1"/>
        <v>1</v>
      </c>
      <c r="Z63">
        <f t="shared" si="2"/>
        <v>1</v>
      </c>
    </row>
    <row r="64" spans="1:26" ht="15.75" customHeight="1" x14ac:dyDescent="0.2">
      <c r="A64" s="2" t="s">
        <v>23</v>
      </c>
      <c r="B64" s="2" t="s">
        <v>24</v>
      </c>
      <c r="C64" s="2" t="s">
        <v>32</v>
      </c>
      <c r="D64" s="2" t="s">
        <v>33</v>
      </c>
      <c r="E64" s="2">
        <v>136</v>
      </c>
      <c r="F64" s="2">
        <v>209.33333329999999</v>
      </c>
      <c r="G64" s="2">
        <v>556</v>
      </c>
      <c r="H64" s="2">
        <v>1268.666667</v>
      </c>
      <c r="I64" s="2">
        <v>2883.666667</v>
      </c>
      <c r="J64" s="2">
        <v>2.06</v>
      </c>
      <c r="K64" s="2">
        <v>5.39</v>
      </c>
      <c r="L64" s="2">
        <v>10</v>
      </c>
      <c r="M64" s="2">
        <v>15.43</v>
      </c>
      <c r="N64" s="2">
        <v>2.0307246920000002</v>
      </c>
      <c r="O64" s="2">
        <v>2.1159662039999998</v>
      </c>
      <c r="P64" s="2">
        <v>1.586667018</v>
      </c>
      <c r="Q64" s="2">
        <v>1.519904307</v>
      </c>
      <c r="R64" s="2">
        <v>0.84697151900000001</v>
      </c>
      <c r="S64" s="2">
        <v>0.83647260400000001</v>
      </c>
      <c r="T64" s="2">
        <v>1.3416972359999999</v>
      </c>
      <c r="U64" s="2">
        <v>1.269024304</v>
      </c>
      <c r="V64" s="2">
        <v>2.059756229</v>
      </c>
      <c r="W64" s="2">
        <v>0.11121705599999999</v>
      </c>
      <c r="X64">
        <f t="shared" si="0"/>
        <v>1</v>
      </c>
      <c r="Y64">
        <f t="shared" si="1"/>
        <v>1</v>
      </c>
      <c r="Z64">
        <f t="shared" si="2"/>
        <v>1</v>
      </c>
    </row>
    <row r="65" spans="1:26" ht="15.75" customHeight="1" x14ac:dyDescent="0.2">
      <c r="A65" s="2" t="s">
        <v>23</v>
      </c>
      <c r="B65" s="2" t="s">
        <v>24</v>
      </c>
      <c r="C65" s="2" t="s">
        <v>26</v>
      </c>
      <c r="D65" s="2" t="s">
        <v>26</v>
      </c>
      <c r="E65" s="2">
        <v>145</v>
      </c>
      <c r="F65" s="2">
        <v>200</v>
      </c>
      <c r="G65" s="2">
        <v>359.33333329999999</v>
      </c>
      <c r="H65" s="2">
        <v>1029.333333</v>
      </c>
      <c r="I65" s="2">
        <v>2814.333333</v>
      </c>
      <c r="J65" s="2">
        <v>1.95</v>
      </c>
      <c r="K65" s="2">
        <v>3.62</v>
      </c>
      <c r="L65" s="2">
        <v>8.6999999999999993</v>
      </c>
      <c r="M65" s="2">
        <v>15.27</v>
      </c>
      <c r="N65" s="2">
        <v>1.041108484</v>
      </c>
      <c r="O65" s="2">
        <v>1.639362362</v>
      </c>
      <c r="P65" s="2">
        <v>2.8015014159999998</v>
      </c>
      <c r="Q65" s="2">
        <v>2.7365674960000002</v>
      </c>
      <c r="R65" s="2">
        <v>0.92399290000000001</v>
      </c>
      <c r="S65" s="2">
        <v>0.934491815</v>
      </c>
      <c r="T65" s="2">
        <v>2.644739553</v>
      </c>
      <c r="U65" s="2">
        <v>2.5720666219999999</v>
      </c>
      <c r="V65" s="2">
        <v>0.28879180999999998</v>
      </c>
      <c r="W65" s="2">
        <v>8.3686488000000003E-2</v>
      </c>
      <c r="X65">
        <f t="shared" si="0"/>
        <v>1</v>
      </c>
      <c r="Y65">
        <f t="shared" si="1"/>
        <v>1</v>
      </c>
      <c r="Z65">
        <f t="shared" si="2"/>
        <v>0</v>
      </c>
    </row>
    <row r="66" spans="1:26" ht="15.75" customHeight="1" x14ac:dyDescent="0.2">
      <c r="A66" s="2" t="s">
        <v>23</v>
      </c>
      <c r="B66" s="2" t="s">
        <v>24</v>
      </c>
      <c r="C66" s="2" t="s">
        <v>32</v>
      </c>
      <c r="D66" s="2" t="s">
        <v>33</v>
      </c>
      <c r="E66" s="2">
        <v>120</v>
      </c>
      <c r="F66" s="2">
        <v>219</v>
      </c>
      <c r="G66" s="2">
        <v>396.33333329999999</v>
      </c>
      <c r="H66" s="2">
        <v>1293.666667</v>
      </c>
      <c r="I66" s="2">
        <v>2736</v>
      </c>
      <c r="J66" s="2">
        <v>2.16</v>
      </c>
      <c r="K66" s="2">
        <v>3.98</v>
      </c>
      <c r="L66" s="2">
        <v>10.130000000000001</v>
      </c>
      <c r="M66" s="2">
        <v>15.09</v>
      </c>
      <c r="N66" s="2">
        <v>3.074948988</v>
      </c>
      <c r="O66" s="2">
        <v>3.2677262460000001</v>
      </c>
      <c r="P66" s="2">
        <v>1.342800172</v>
      </c>
      <c r="Q66" s="2">
        <v>1.28203022</v>
      </c>
      <c r="R66" s="2">
        <v>0.56823486899999998</v>
      </c>
      <c r="S66" s="2">
        <v>0.57873378399999997</v>
      </c>
      <c r="T66" s="2">
        <v>1.216643513</v>
      </c>
      <c r="U66" s="2">
        <v>1.143970581</v>
      </c>
      <c r="V66" s="2">
        <v>0.64454984100000001</v>
      </c>
      <c r="W66" s="2">
        <v>6.6411740999999996E-2</v>
      </c>
      <c r="X66">
        <f t="shared" si="0"/>
        <v>1</v>
      </c>
      <c r="Y66">
        <f t="shared" si="1"/>
        <v>1</v>
      </c>
      <c r="Z66">
        <f t="shared" si="2"/>
        <v>1</v>
      </c>
    </row>
    <row r="67" spans="1:26" ht="15.75" customHeight="1" x14ac:dyDescent="0.2">
      <c r="A67" s="2" t="s">
        <v>23</v>
      </c>
      <c r="B67" s="2" t="s">
        <v>24</v>
      </c>
      <c r="C67" s="2" t="s">
        <v>34</v>
      </c>
      <c r="D67" s="2" t="s">
        <v>29</v>
      </c>
      <c r="E67" s="2">
        <v>175</v>
      </c>
      <c r="F67" s="2">
        <v>224</v>
      </c>
      <c r="G67" s="2">
        <v>276.66666670000001</v>
      </c>
      <c r="H67" s="2">
        <v>1316</v>
      </c>
      <c r="I67" s="2">
        <v>2072</v>
      </c>
      <c r="J67" s="2">
        <v>2.2200000000000002</v>
      </c>
      <c r="K67" s="2">
        <v>2.79</v>
      </c>
      <c r="L67" s="2">
        <v>10.24</v>
      </c>
      <c r="M67" s="2">
        <v>13.25</v>
      </c>
      <c r="N67" s="2">
        <v>2.7805501480000001</v>
      </c>
      <c r="O67" s="2">
        <v>3.3531972840000002</v>
      </c>
      <c r="P67" s="2">
        <v>2.0801073630000002</v>
      </c>
      <c r="Q67" s="2">
        <v>2.0514364820000002</v>
      </c>
      <c r="R67" s="2">
        <v>1.761365751</v>
      </c>
      <c r="S67" s="2">
        <v>1.7718646659999999</v>
      </c>
      <c r="T67" s="2">
        <v>1.106542964</v>
      </c>
      <c r="U67" s="2">
        <v>1.0338700329999999</v>
      </c>
      <c r="V67" s="2">
        <v>-0.54858104100000005</v>
      </c>
      <c r="W67" s="2">
        <v>8.3352833000000001E-2</v>
      </c>
      <c r="X67">
        <f t="shared" ref="X67:X130" si="3">IF(B67="normal",1,0)</f>
        <v>1</v>
      </c>
      <c r="Y67">
        <f t="shared" ref="Y67:Y130" si="4">IF(A67="lecture",1,0)</f>
        <v>1</v>
      </c>
      <c r="Z67">
        <f t="shared" ref="Z67:Z130" si="5">IF(ISNUMBER(FIND("~",D67)),1,0)</f>
        <v>1</v>
      </c>
    </row>
    <row r="68" spans="1:26" ht="15.75" customHeight="1" x14ac:dyDescent="0.2">
      <c r="A68" s="2" t="s">
        <v>23</v>
      </c>
      <c r="B68" s="2" t="s">
        <v>24</v>
      </c>
      <c r="C68" s="2" t="s">
        <v>32</v>
      </c>
      <c r="D68" s="2" t="s">
        <v>33</v>
      </c>
      <c r="E68" s="2">
        <v>141</v>
      </c>
      <c r="F68" s="2">
        <v>212.33333329999999</v>
      </c>
      <c r="G68" s="2">
        <v>796</v>
      </c>
      <c r="H68" s="2">
        <v>1348.666667</v>
      </c>
      <c r="I68" s="2">
        <v>3520.666667</v>
      </c>
      <c r="J68" s="2">
        <v>2.09</v>
      </c>
      <c r="K68" s="2">
        <v>7.21</v>
      </c>
      <c r="L68" s="2">
        <v>10.4</v>
      </c>
      <c r="M68" s="2">
        <v>16.690000000000001</v>
      </c>
      <c r="N68" s="2">
        <v>1.26758528</v>
      </c>
      <c r="O68" s="2">
        <v>1.0150344179999999</v>
      </c>
      <c r="P68" s="2">
        <v>2.8293355999999998</v>
      </c>
      <c r="Q68" s="2">
        <v>2.795843949</v>
      </c>
      <c r="R68" s="2">
        <v>2.6657268410000001</v>
      </c>
      <c r="S68" s="2">
        <v>2.6552279259999998</v>
      </c>
      <c r="T68" s="2">
        <v>0.94817738399999996</v>
      </c>
      <c r="U68" s="2">
        <v>0.87550445200000004</v>
      </c>
      <c r="V68" s="2">
        <v>3.8785115509999999</v>
      </c>
      <c r="W68" s="2">
        <v>7.3859822000000006E-2</v>
      </c>
      <c r="X68">
        <f t="shared" si="3"/>
        <v>1</v>
      </c>
      <c r="Y68">
        <f t="shared" si="4"/>
        <v>1</v>
      </c>
      <c r="Z68">
        <f t="shared" si="5"/>
        <v>1</v>
      </c>
    </row>
    <row r="69" spans="1:26" ht="15.75" customHeight="1" x14ac:dyDescent="0.2">
      <c r="A69" s="2" t="s">
        <v>23</v>
      </c>
      <c r="B69" s="2" t="s">
        <v>24</v>
      </c>
      <c r="C69" s="2" t="s">
        <v>25</v>
      </c>
      <c r="D69" s="2" t="s">
        <v>25</v>
      </c>
      <c r="E69" s="2">
        <v>130</v>
      </c>
      <c r="F69" s="2">
        <v>216.66666670000001</v>
      </c>
      <c r="G69" s="2">
        <v>705</v>
      </c>
      <c r="H69" s="2">
        <v>1700.333333</v>
      </c>
      <c r="I69" s="2">
        <v>2993</v>
      </c>
      <c r="J69" s="2">
        <v>2.14</v>
      </c>
      <c r="K69" s="2">
        <v>6.56</v>
      </c>
      <c r="L69" s="2">
        <v>11.92</v>
      </c>
      <c r="M69" s="2">
        <v>15.67</v>
      </c>
      <c r="N69" s="2">
        <v>0.39171486</v>
      </c>
      <c r="O69" s="2">
        <v>0.68755669100000005</v>
      </c>
      <c r="P69" s="2">
        <v>2.095853414</v>
      </c>
      <c r="Q69" s="2">
        <v>2.107047933</v>
      </c>
      <c r="R69" s="2">
        <v>2.0146715820000001</v>
      </c>
      <c r="S69" s="2">
        <v>2.0041726670000002</v>
      </c>
      <c r="T69" s="2">
        <v>0.57766768099999999</v>
      </c>
      <c r="U69" s="2">
        <v>0.65034061200000004</v>
      </c>
      <c r="V69" s="2">
        <v>3.2274562919999998</v>
      </c>
      <c r="W69" s="2">
        <v>8.3076275000000005E-2</v>
      </c>
      <c r="X69">
        <f t="shared" si="3"/>
        <v>1</v>
      </c>
      <c r="Y69">
        <f t="shared" si="4"/>
        <v>1</v>
      </c>
      <c r="Z69">
        <f t="shared" si="5"/>
        <v>0</v>
      </c>
    </row>
    <row r="70" spans="1:26" ht="15.75" customHeight="1" x14ac:dyDescent="0.2">
      <c r="A70" s="2" t="s">
        <v>23</v>
      </c>
      <c r="B70" s="2" t="s">
        <v>24</v>
      </c>
      <c r="C70" s="2" t="s">
        <v>27</v>
      </c>
      <c r="D70" s="2" t="s">
        <v>27</v>
      </c>
      <c r="E70" s="2">
        <v>153</v>
      </c>
      <c r="F70" s="2">
        <v>223.66666670000001</v>
      </c>
      <c r="G70" s="2">
        <v>422</v>
      </c>
      <c r="H70" s="2">
        <v>2415.333333</v>
      </c>
      <c r="I70" s="2">
        <v>3114</v>
      </c>
      <c r="J70" s="2">
        <v>2.2200000000000002</v>
      </c>
      <c r="K70" s="2">
        <v>4.22</v>
      </c>
      <c r="L70" s="2">
        <v>14.27</v>
      </c>
      <c r="M70" s="2">
        <v>15.92</v>
      </c>
      <c r="N70" s="2">
        <v>0.14545361300000001</v>
      </c>
      <c r="O70" s="2">
        <v>0.26234454499999998</v>
      </c>
      <c r="P70" s="2">
        <v>2.9419976769999998</v>
      </c>
      <c r="Q70" s="2">
        <v>3.0153889089999999</v>
      </c>
      <c r="R70" s="2">
        <v>0.32794034700000002</v>
      </c>
      <c r="S70" s="2">
        <v>0.33843926099999999</v>
      </c>
      <c r="T70" s="2">
        <v>2.9236630209999999</v>
      </c>
      <c r="U70" s="2">
        <v>2.9963359519999999</v>
      </c>
      <c r="V70" s="2">
        <v>0.88484436300000002</v>
      </c>
      <c r="W70" s="2">
        <v>0.109852543</v>
      </c>
      <c r="X70">
        <f t="shared" si="3"/>
        <v>1</v>
      </c>
      <c r="Y70">
        <f t="shared" si="4"/>
        <v>1</v>
      </c>
      <c r="Z70">
        <f t="shared" si="5"/>
        <v>0</v>
      </c>
    </row>
    <row r="71" spans="1:26" ht="15.75" customHeight="1" x14ac:dyDescent="0.2">
      <c r="A71" s="2" t="s">
        <v>23</v>
      </c>
      <c r="B71" s="2" t="s">
        <v>24</v>
      </c>
      <c r="C71" s="2" t="s">
        <v>30</v>
      </c>
      <c r="D71" s="2" t="s">
        <v>31</v>
      </c>
      <c r="E71" s="2">
        <v>143</v>
      </c>
      <c r="F71" s="2">
        <v>218.66666670000001</v>
      </c>
      <c r="G71" s="2">
        <v>721.33333330000005</v>
      </c>
      <c r="H71" s="2">
        <v>1198.666667</v>
      </c>
      <c r="I71" s="2">
        <v>3481</v>
      </c>
      <c r="J71" s="2">
        <v>2.16</v>
      </c>
      <c r="K71" s="2">
        <v>6.68</v>
      </c>
      <c r="L71" s="2">
        <v>9.64</v>
      </c>
      <c r="M71" s="2">
        <v>16.62</v>
      </c>
      <c r="N71" s="2">
        <v>5.3857453609999997</v>
      </c>
      <c r="O71" s="2">
        <v>5.4978583199999997</v>
      </c>
      <c r="P71" s="2">
        <v>2.730455369</v>
      </c>
      <c r="Q71" s="2">
        <v>2.677408936</v>
      </c>
      <c r="R71" s="2">
        <v>2.134781727</v>
      </c>
      <c r="S71" s="2">
        <v>2.1242828120000001</v>
      </c>
      <c r="T71" s="2">
        <v>1.7023787779999999</v>
      </c>
      <c r="U71" s="2">
        <v>1.6297058470000001</v>
      </c>
      <c r="V71" s="2">
        <v>3.3475664369999998</v>
      </c>
      <c r="W71" s="2">
        <v>9.8678853999999996E-2</v>
      </c>
      <c r="X71">
        <f t="shared" si="3"/>
        <v>1</v>
      </c>
      <c r="Y71">
        <f t="shared" si="4"/>
        <v>1</v>
      </c>
      <c r="Z71">
        <f t="shared" si="5"/>
        <v>1</v>
      </c>
    </row>
    <row r="72" spans="1:26" ht="15.75" customHeight="1" x14ac:dyDescent="0.2">
      <c r="A72" s="2" t="s">
        <v>23</v>
      </c>
      <c r="B72" s="2" t="s">
        <v>24</v>
      </c>
      <c r="C72" s="2" t="s">
        <v>25</v>
      </c>
      <c r="D72" s="2" t="s">
        <v>25</v>
      </c>
      <c r="E72" s="2">
        <v>143</v>
      </c>
      <c r="F72" s="2">
        <v>203.66666670000001</v>
      </c>
      <c r="G72" s="2">
        <v>550.66666669999995</v>
      </c>
      <c r="H72" s="2">
        <v>1474</v>
      </c>
      <c r="I72" s="2">
        <v>3081.666667</v>
      </c>
      <c r="J72" s="2">
        <v>1.99</v>
      </c>
      <c r="K72" s="2">
        <v>5.35</v>
      </c>
      <c r="L72" s="2">
        <v>10.98</v>
      </c>
      <c r="M72" s="2">
        <v>15.86</v>
      </c>
      <c r="N72" s="2">
        <v>1.471450149</v>
      </c>
      <c r="O72" s="2">
        <v>1.6950576559999999</v>
      </c>
      <c r="P72" s="2">
        <v>0.88316898700000002</v>
      </c>
      <c r="Q72" s="2">
        <v>0.84555437700000002</v>
      </c>
      <c r="R72" s="2">
        <v>0.80260535099999997</v>
      </c>
      <c r="S72" s="2">
        <v>0.79210643599999997</v>
      </c>
      <c r="T72" s="2">
        <v>0.36852694499999999</v>
      </c>
      <c r="U72" s="2">
        <v>0.295854014</v>
      </c>
      <c r="V72" s="2">
        <v>2.0153900610000002</v>
      </c>
      <c r="W72" s="2">
        <v>7.4572843999999999E-2</v>
      </c>
      <c r="X72">
        <f t="shared" si="3"/>
        <v>1</v>
      </c>
      <c r="Y72">
        <f t="shared" si="4"/>
        <v>1</v>
      </c>
      <c r="Z72">
        <f t="shared" si="5"/>
        <v>0</v>
      </c>
    </row>
    <row r="73" spans="1:26" ht="15.75" customHeight="1" x14ac:dyDescent="0.2">
      <c r="A73" s="2" t="s">
        <v>23</v>
      </c>
      <c r="B73" s="2" t="s">
        <v>24</v>
      </c>
      <c r="C73" s="2" t="s">
        <v>30</v>
      </c>
      <c r="D73" s="2" t="s">
        <v>31</v>
      </c>
      <c r="E73" s="2">
        <v>161</v>
      </c>
      <c r="F73" s="2">
        <v>219.33333329999999</v>
      </c>
      <c r="G73" s="2">
        <v>629</v>
      </c>
      <c r="H73" s="2">
        <v>1256</v>
      </c>
      <c r="I73" s="2">
        <v>3193</v>
      </c>
      <c r="J73" s="2">
        <v>2.17</v>
      </c>
      <c r="K73" s="2">
        <v>5.98</v>
      </c>
      <c r="L73" s="2">
        <v>9.94</v>
      </c>
      <c r="M73" s="2">
        <v>16.079999999999998</v>
      </c>
      <c r="N73" s="2">
        <v>4.8203735029999999</v>
      </c>
      <c r="O73" s="2">
        <v>4.9360035560000002</v>
      </c>
      <c r="P73" s="2">
        <v>2.009469395</v>
      </c>
      <c r="Q73" s="2">
        <v>1.9516356459999999</v>
      </c>
      <c r="R73" s="2">
        <v>1.435859998</v>
      </c>
      <c r="S73" s="2">
        <v>1.4253610839999999</v>
      </c>
      <c r="T73" s="2">
        <v>1.405799885</v>
      </c>
      <c r="U73" s="2">
        <v>1.3331269530000001</v>
      </c>
      <c r="V73" s="2">
        <v>2.648644708</v>
      </c>
      <c r="W73" s="2">
        <v>0.13544844</v>
      </c>
      <c r="X73">
        <f t="shared" si="3"/>
        <v>1</v>
      </c>
      <c r="Y73">
        <f t="shared" si="4"/>
        <v>1</v>
      </c>
      <c r="Z73">
        <f t="shared" si="5"/>
        <v>1</v>
      </c>
    </row>
    <row r="74" spans="1:26" ht="15.75" customHeight="1" x14ac:dyDescent="0.2">
      <c r="A74" s="2" t="s">
        <v>23</v>
      </c>
      <c r="B74" s="2" t="s">
        <v>24</v>
      </c>
      <c r="C74" s="2" t="s">
        <v>25</v>
      </c>
      <c r="D74" s="2" t="s">
        <v>25</v>
      </c>
      <c r="E74" s="2">
        <v>182</v>
      </c>
      <c r="F74" s="2">
        <v>197.33333329999999</v>
      </c>
      <c r="G74" s="2">
        <v>752</v>
      </c>
      <c r="H74" s="2">
        <v>1436.666667</v>
      </c>
      <c r="I74" s="2">
        <v>3021.333333</v>
      </c>
      <c r="J74" s="2">
        <v>1.92</v>
      </c>
      <c r="K74" s="2">
        <v>6.9</v>
      </c>
      <c r="L74" s="2">
        <v>10.81</v>
      </c>
      <c r="M74" s="2">
        <v>15.73</v>
      </c>
      <c r="N74" s="2">
        <v>0.394811998</v>
      </c>
      <c r="O74" s="2">
        <v>0.456837196</v>
      </c>
      <c r="P74" s="2">
        <v>2.5873713540000001</v>
      </c>
      <c r="Q74" s="2">
        <v>2.643975223</v>
      </c>
      <c r="R74" s="2">
        <v>2.5316682699999999</v>
      </c>
      <c r="S74" s="2">
        <v>2.5932724939999998</v>
      </c>
      <c r="T74" s="2">
        <v>0.53399091300000001</v>
      </c>
      <c r="U74" s="2">
        <v>0.51530840300000003</v>
      </c>
      <c r="V74" s="2">
        <v>3.885691408</v>
      </c>
      <c r="W74" s="2">
        <v>6.4040857000000007E-2</v>
      </c>
      <c r="X74">
        <f t="shared" si="3"/>
        <v>1</v>
      </c>
      <c r="Y74">
        <f t="shared" si="4"/>
        <v>1</v>
      </c>
      <c r="Z74">
        <f t="shared" si="5"/>
        <v>0</v>
      </c>
    </row>
    <row r="75" spans="1:26" ht="15.75" customHeight="1" x14ac:dyDescent="0.2">
      <c r="A75" s="2" t="s">
        <v>23</v>
      </c>
      <c r="B75" s="2" t="s">
        <v>24</v>
      </c>
      <c r="C75" s="2" t="s">
        <v>26</v>
      </c>
      <c r="D75" s="2" t="s">
        <v>26</v>
      </c>
      <c r="E75" s="2">
        <v>161</v>
      </c>
      <c r="F75" s="2">
        <v>247.33333329999999</v>
      </c>
      <c r="G75" s="2">
        <v>387</v>
      </c>
      <c r="H75" s="2">
        <v>954.33333330000005</v>
      </c>
      <c r="I75" s="2">
        <v>2980.666667</v>
      </c>
      <c r="J75" s="2">
        <v>2.4700000000000002</v>
      </c>
      <c r="K75" s="2">
        <v>3.89</v>
      </c>
      <c r="L75" s="2">
        <v>8.25</v>
      </c>
      <c r="M75" s="2">
        <v>15.64</v>
      </c>
      <c r="N75" s="2">
        <v>0.228254438</v>
      </c>
      <c r="O75" s="2">
        <v>0.32781280899999998</v>
      </c>
      <c r="P75" s="2">
        <v>3.131650558</v>
      </c>
      <c r="Q75" s="2">
        <v>3.1042576730000002</v>
      </c>
      <c r="R75" s="2">
        <v>0.48163591700000002</v>
      </c>
      <c r="S75" s="2">
        <v>0.42003169299999998</v>
      </c>
      <c r="T75" s="2">
        <v>3.0943920340000002</v>
      </c>
      <c r="U75" s="2">
        <v>3.0757095240000001</v>
      </c>
      <c r="V75" s="2">
        <v>0.87238722099999999</v>
      </c>
      <c r="W75" s="2">
        <v>6.5625841000000004E-2</v>
      </c>
      <c r="X75">
        <f t="shared" si="3"/>
        <v>1</v>
      </c>
      <c r="Y75">
        <f t="shared" si="4"/>
        <v>1</v>
      </c>
      <c r="Z75">
        <f t="shared" si="5"/>
        <v>0</v>
      </c>
    </row>
    <row r="76" spans="1:26" ht="15.75" customHeight="1" x14ac:dyDescent="0.2">
      <c r="A76" s="2" t="s">
        <v>23</v>
      </c>
      <c r="B76" s="2" t="s">
        <v>24</v>
      </c>
      <c r="C76" s="2" t="s">
        <v>27</v>
      </c>
      <c r="D76" s="2" t="s">
        <v>27</v>
      </c>
      <c r="E76" s="2">
        <v>147</v>
      </c>
      <c r="F76" s="2">
        <v>236.66666670000001</v>
      </c>
      <c r="G76" s="2">
        <v>416.66666670000001</v>
      </c>
      <c r="H76" s="2">
        <v>2475</v>
      </c>
      <c r="I76" s="2">
        <v>3060.666667</v>
      </c>
      <c r="J76" s="2">
        <v>2.36</v>
      </c>
      <c r="K76" s="2">
        <v>4.17</v>
      </c>
      <c r="L76" s="2">
        <v>14.43</v>
      </c>
      <c r="M76" s="2">
        <v>15.81</v>
      </c>
      <c r="N76" s="2">
        <v>0.56216972899999995</v>
      </c>
      <c r="O76" s="2">
        <v>0.75472714200000002</v>
      </c>
      <c r="P76" s="2">
        <v>3.0945752459999998</v>
      </c>
      <c r="Q76" s="2">
        <v>3.1098253630000001</v>
      </c>
      <c r="R76" s="2">
        <v>0.20216265</v>
      </c>
      <c r="S76" s="2">
        <v>0.14055842499999999</v>
      </c>
      <c r="T76" s="2">
        <v>3.0879647370000001</v>
      </c>
      <c r="U76" s="2">
        <v>3.1066472470000002</v>
      </c>
      <c r="V76" s="2">
        <v>1.1518604889999999</v>
      </c>
      <c r="W76" s="2">
        <v>6.2122188000000002E-2</v>
      </c>
      <c r="X76">
        <f t="shared" si="3"/>
        <v>1</v>
      </c>
      <c r="Y76">
        <f t="shared" si="4"/>
        <v>1</v>
      </c>
      <c r="Z76">
        <f t="shared" si="5"/>
        <v>0</v>
      </c>
    </row>
    <row r="77" spans="1:26" ht="15.75" customHeight="1" x14ac:dyDescent="0.2">
      <c r="A77" s="2" t="s">
        <v>23</v>
      </c>
      <c r="B77" s="2" t="s">
        <v>24</v>
      </c>
      <c r="C77" s="2" t="s">
        <v>28</v>
      </c>
      <c r="D77" s="2" t="s">
        <v>29</v>
      </c>
      <c r="E77" s="2">
        <v>149</v>
      </c>
      <c r="F77" s="2">
        <v>205.66666670000001</v>
      </c>
      <c r="G77" s="2">
        <v>429.66666670000001</v>
      </c>
      <c r="H77" s="2">
        <v>982</v>
      </c>
      <c r="I77" s="2">
        <v>2792.333333</v>
      </c>
      <c r="J77" s="2">
        <v>2.02</v>
      </c>
      <c r="K77" s="2">
        <v>4.29</v>
      </c>
      <c r="L77" s="2">
        <v>8.42</v>
      </c>
      <c r="M77" s="2">
        <v>15.22</v>
      </c>
      <c r="N77" s="2">
        <v>0.58074435999999996</v>
      </c>
      <c r="O77" s="2">
        <v>0.67974604800000005</v>
      </c>
      <c r="P77" s="2">
        <v>2.925976285</v>
      </c>
      <c r="Q77" s="2">
        <v>2.9062185509999998</v>
      </c>
      <c r="R77" s="2">
        <v>8.1883419999999998E-2</v>
      </c>
      <c r="S77" s="2">
        <v>2.0279195999999999E-2</v>
      </c>
      <c r="T77" s="2">
        <v>2.9248303070000001</v>
      </c>
      <c r="U77" s="2">
        <v>2.906147797</v>
      </c>
      <c r="V77" s="2">
        <v>1.272139718</v>
      </c>
      <c r="W77" s="2">
        <v>5.0965621000000003E-2</v>
      </c>
      <c r="X77">
        <f t="shared" si="3"/>
        <v>1</v>
      </c>
      <c r="Y77">
        <f t="shared" si="4"/>
        <v>1</v>
      </c>
      <c r="Z77">
        <f t="shared" si="5"/>
        <v>1</v>
      </c>
    </row>
    <row r="78" spans="1:26" ht="15.75" customHeight="1" x14ac:dyDescent="0.2">
      <c r="A78" s="2" t="s">
        <v>23</v>
      </c>
      <c r="B78" s="2" t="s">
        <v>24</v>
      </c>
      <c r="C78" s="2" t="s">
        <v>30</v>
      </c>
      <c r="D78" s="2" t="s">
        <v>31</v>
      </c>
      <c r="E78" s="2">
        <v>176</v>
      </c>
      <c r="F78" s="2">
        <v>220.33333329999999</v>
      </c>
      <c r="G78" s="2">
        <v>464</v>
      </c>
      <c r="H78" s="2">
        <v>1241.333333</v>
      </c>
      <c r="I78" s="2">
        <v>2430.666667</v>
      </c>
      <c r="J78" s="2">
        <v>2.1800000000000002</v>
      </c>
      <c r="K78" s="2">
        <v>4.5999999999999996</v>
      </c>
      <c r="L78" s="2">
        <v>9.8699999999999992</v>
      </c>
      <c r="M78" s="2">
        <v>14.31</v>
      </c>
      <c r="N78" s="2">
        <v>4.0729670560000004</v>
      </c>
      <c r="O78" s="2">
        <v>3.93414508</v>
      </c>
      <c r="P78" s="2">
        <v>1.4956572809999999</v>
      </c>
      <c r="Q78" s="2">
        <v>1.488017908</v>
      </c>
      <c r="R78" s="2">
        <v>0.229574166</v>
      </c>
      <c r="S78" s="2">
        <v>0.29117839099999998</v>
      </c>
      <c r="T78" s="2">
        <v>1.4779331529999999</v>
      </c>
      <c r="U78" s="2">
        <v>1.4592506430000001</v>
      </c>
      <c r="V78" s="2">
        <v>1.5835973050000001</v>
      </c>
      <c r="W78" s="2">
        <v>5.1205023000000002E-2</v>
      </c>
      <c r="X78">
        <f t="shared" si="3"/>
        <v>1</v>
      </c>
      <c r="Y78">
        <f t="shared" si="4"/>
        <v>1</v>
      </c>
      <c r="Z78">
        <f t="shared" si="5"/>
        <v>1</v>
      </c>
    </row>
    <row r="79" spans="1:26" ht="15.75" customHeight="1" x14ac:dyDescent="0.2">
      <c r="A79" s="2" t="s">
        <v>23</v>
      </c>
      <c r="B79" s="2" t="s">
        <v>24</v>
      </c>
      <c r="C79" s="2" t="s">
        <v>26</v>
      </c>
      <c r="D79" s="2" t="s">
        <v>26</v>
      </c>
      <c r="E79" s="2">
        <v>177</v>
      </c>
      <c r="F79" s="2">
        <v>223.66666670000001</v>
      </c>
      <c r="G79" s="2">
        <v>394.33333329999999</v>
      </c>
      <c r="H79" s="2">
        <v>808.33333330000005</v>
      </c>
      <c r="I79" s="2">
        <v>2950</v>
      </c>
      <c r="J79" s="2">
        <v>2.2200000000000002</v>
      </c>
      <c r="K79" s="2">
        <v>3.96</v>
      </c>
      <c r="L79" s="2">
        <v>7.3</v>
      </c>
      <c r="M79" s="2">
        <v>15.58</v>
      </c>
      <c r="N79" s="2">
        <v>0.73012056000000003</v>
      </c>
      <c r="O79" s="2">
        <v>0.64685417599999995</v>
      </c>
      <c r="P79" s="2">
        <v>4.0662368879999997</v>
      </c>
      <c r="Q79" s="2">
        <v>4.041846585</v>
      </c>
      <c r="R79" s="2">
        <v>0.41189731000000002</v>
      </c>
      <c r="S79" s="2">
        <v>0.350293085</v>
      </c>
      <c r="T79" s="2">
        <v>4.0453211290000004</v>
      </c>
      <c r="U79" s="2">
        <v>4.0266386189999999</v>
      </c>
      <c r="V79" s="2">
        <v>0.942125828</v>
      </c>
      <c r="W79" s="2">
        <v>7.2923647999999994E-2</v>
      </c>
      <c r="X79">
        <f t="shared" si="3"/>
        <v>1</v>
      </c>
      <c r="Y79">
        <f t="shared" si="4"/>
        <v>1</v>
      </c>
      <c r="Z79">
        <f t="shared" si="5"/>
        <v>0</v>
      </c>
    </row>
    <row r="80" spans="1:26" ht="15.75" customHeight="1" x14ac:dyDescent="0.2">
      <c r="A80" s="2" t="s">
        <v>23</v>
      </c>
      <c r="B80" s="2" t="s">
        <v>24</v>
      </c>
      <c r="C80" s="2" t="s">
        <v>28</v>
      </c>
      <c r="D80" s="2" t="s">
        <v>29</v>
      </c>
      <c r="E80" s="2">
        <v>178</v>
      </c>
      <c r="F80" s="2">
        <v>207.33333329999999</v>
      </c>
      <c r="G80" s="2">
        <v>356</v>
      </c>
      <c r="H80" s="2">
        <v>1021</v>
      </c>
      <c r="I80" s="2">
        <v>2940.333333</v>
      </c>
      <c r="J80" s="2">
        <v>2.0299999999999998</v>
      </c>
      <c r="K80" s="2">
        <v>3.59</v>
      </c>
      <c r="L80" s="2">
        <v>8.65</v>
      </c>
      <c r="M80" s="2">
        <v>15.56</v>
      </c>
      <c r="N80" s="2">
        <v>0.68759475199999998</v>
      </c>
      <c r="O80" s="2">
        <v>0.75803100300000004</v>
      </c>
      <c r="P80" s="2">
        <v>2.8022803760000001</v>
      </c>
      <c r="Q80" s="2">
        <v>2.7676884209999999</v>
      </c>
      <c r="R80" s="2">
        <v>0.78131948799999995</v>
      </c>
      <c r="S80" s="2">
        <v>0.71971526299999999</v>
      </c>
      <c r="T80" s="2">
        <v>2.6911549859999999</v>
      </c>
      <c r="U80" s="2">
        <v>2.6724724759999998</v>
      </c>
      <c r="V80" s="2">
        <v>0.57270365000000001</v>
      </c>
      <c r="W80" s="2">
        <v>6.9069929000000002E-2</v>
      </c>
      <c r="X80">
        <f t="shared" si="3"/>
        <v>1</v>
      </c>
      <c r="Y80">
        <f t="shared" si="4"/>
        <v>1</v>
      </c>
      <c r="Z80">
        <f t="shared" si="5"/>
        <v>1</v>
      </c>
    </row>
    <row r="81" spans="1:26" ht="15.75" customHeight="1" x14ac:dyDescent="0.2">
      <c r="A81" s="2" t="s">
        <v>23</v>
      </c>
      <c r="B81" s="2" t="s">
        <v>24</v>
      </c>
      <c r="C81" s="2" t="s">
        <v>32</v>
      </c>
      <c r="D81" s="2" t="s">
        <v>33</v>
      </c>
      <c r="E81" s="2">
        <v>192</v>
      </c>
      <c r="F81" s="2">
        <v>211.66666670000001</v>
      </c>
      <c r="G81" s="2">
        <v>513.33333330000005</v>
      </c>
      <c r="H81" s="2">
        <v>865.66666669999995</v>
      </c>
      <c r="I81" s="2">
        <v>3063.666667</v>
      </c>
      <c r="J81" s="2">
        <v>2.08</v>
      </c>
      <c r="K81" s="2">
        <v>5.03</v>
      </c>
      <c r="L81" s="2">
        <v>7.68</v>
      </c>
      <c r="M81" s="2">
        <v>15.82</v>
      </c>
      <c r="N81" s="2">
        <v>4.0161408380000001</v>
      </c>
      <c r="O81" s="2">
        <v>4.09677604</v>
      </c>
      <c r="P81" s="2">
        <v>3.7195580079999999</v>
      </c>
      <c r="Q81" s="2">
        <v>3.7126881219999999</v>
      </c>
      <c r="R81" s="2">
        <v>0.66196659400000002</v>
      </c>
      <c r="S81" s="2">
        <v>0.72357081899999998</v>
      </c>
      <c r="T81" s="2">
        <v>3.6601792309999999</v>
      </c>
      <c r="U81" s="2">
        <v>3.6414967200000001</v>
      </c>
      <c r="V81" s="2">
        <v>2.0159897330000001</v>
      </c>
      <c r="W81" s="2">
        <v>5.9719974000000002E-2</v>
      </c>
      <c r="X81">
        <f t="shared" si="3"/>
        <v>1</v>
      </c>
      <c r="Y81">
        <f t="shared" si="4"/>
        <v>1</v>
      </c>
      <c r="Z81">
        <f t="shared" si="5"/>
        <v>1</v>
      </c>
    </row>
    <row r="82" spans="1:26" ht="15.75" customHeight="1" x14ac:dyDescent="0.2">
      <c r="A82" s="2" t="s">
        <v>23</v>
      </c>
      <c r="B82" s="2" t="s">
        <v>24</v>
      </c>
      <c r="C82" s="2" t="s">
        <v>32</v>
      </c>
      <c r="D82" s="2" t="s">
        <v>33</v>
      </c>
      <c r="E82" s="2">
        <v>169</v>
      </c>
      <c r="F82" s="2">
        <v>196</v>
      </c>
      <c r="G82" s="2">
        <v>441.66666670000001</v>
      </c>
      <c r="H82" s="2">
        <v>954</v>
      </c>
      <c r="I82" s="2">
        <v>2904.666667</v>
      </c>
      <c r="J82" s="2">
        <v>1.91</v>
      </c>
      <c r="K82" s="2">
        <v>4.4000000000000004</v>
      </c>
      <c r="L82" s="2">
        <v>8.25</v>
      </c>
      <c r="M82" s="2">
        <v>15.48</v>
      </c>
      <c r="N82" s="2">
        <v>3.9183722539999999</v>
      </c>
      <c r="O82" s="2">
        <v>4.0147110760000002</v>
      </c>
      <c r="P82" s="2">
        <v>3.0965810600000001</v>
      </c>
      <c r="Q82" s="2">
        <v>3.0790757750000002</v>
      </c>
      <c r="R82" s="2">
        <v>2.7987832000000001E-2</v>
      </c>
      <c r="S82" s="2">
        <v>8.9592057000000003E-2</v>
      </c>
      <c r="T82" s="2">
        <v>3.0964545769999998</v>
      </c>
      <c r="U82" s="2">
        <v>3.0777720660000001</v>
      </c>
      <c r="V82" s="2">
        <v>1.3820109700000001</v>
      </c>
      <c r="W82" s="2">
        <v>6.6905466999999996E-2</v>
      </c>
      <c r="X82">
        <f t="shared" si="3"/>
        <v>1</v>
      </c>
      <c r="Y82">
        <f t="shared" si="4"/>
        <v>1</v>
      </c>
      <c r="Z82">
        <f t="shared" si="5"/>
        <v>1</v>
      </c>
    </row>
    <row r="83" spans="1:26" ht="15.75" customHeight="1" x14ac:dyDescent="0.2">
      <c r="A83" s="2" t="s">
        <v>23</v>
      </c>
      <c r="B83" s="2" t="s">
        <v>24</v>
      </c>
      <c r="C83" s="2" t="s">
        <v>25</v>
      </c>
      <c r="D83" s="2" t="s">
        <v>25</v>
      </c>
      <c r="E83" s="2">
        <v>242</v>
      </c>
      <c r="F83" s="2">
        <v>192.66666670000001</v>
      </c>
      <c r="G83" s="2">
        <v>791.33333330000005</v>
      </c>
      <c r="H83" s="2">
        <v>1606.666667</v>
      </c>
      <c r="I83" s="2">
        <v>2770.333333</v>
      </c>
      <c r="J83" s="2">
        <v>1.87</v>
      </c>
      <c r="K83" s="2">
        <v>7.18</v>
      </c>
      <c r="L83" s="2">
        <v>11.55</v>
      </c>
      <c r="M83" s="2">
        <v>15.17</v>
      </c>
      <c r="N83" s="2">
        <v>0.40380568</v>
      </c>
      <c r="O83" s="2">
        <v>0.33308090899999998</v>
      </c>
      <c r="P83" s="2">
        <v>2.8160228350000001</v>
      </c>
      <c r="Q83" s="2">
        <v>2.8788504270000002</v>
      </c>
      <c r="R83" s="2">
        <v>2.8086688909999999</v>
      </c>
      <c r="S83" s="2">
        <v>2.8702731149999998</v>
      </c>
      <c r="T83" s="2">
        <v>0.203380599</v>
      </c>
      <c r="U83" s="2">
        <v>0.22206310900000001</v>
      </c>
      <c r="V83" s="2">
        <v>4.1626920289999996</v>
      </c>
      <c r="W83" s="2">
        <v>5.4486778E-2</v>
      </c>
      <c r="X83">
        <f t="shared" si="3"/>
        <v>1</v>
      </c>
      <c r="Y83">
        <f t="shared" si="4"/>
        <v>1</v>
      </c>
      <c r="Z83">
        <f t="shared" si="5"/>
        <v>0</v>
      </c>
    </row>
    <row r="84" spans="1:26" ht="15.75" customHeight="1" x14ac:dyDescent="0.2">
      <c r="A84" s="2" t="s">
        <v>23</v>
      </c>
      <c r="B84" s="2" t="s">
        <v>24</v>
      </c>
      <c r="C84" s="2" t="s">
        <v>32</v>
      </c>
      <c r="D84" s="2" t="s">
        <v>33</v>
      </c>
      <c r="E84" s="2">
        <v>179</v>
      </c>
      <c r="F84" s="2">
        <v>235</v>
      </c>
      <c r="G84" s="2">
        <v>532.33333330000005</v>
      </c>
      <c r="H84" s="2">
        <v>961</v>
      </c>
      <c r="I84" s="2">
        <v>2493.333333</v>
      </c>
      <c r="J84" s="2">
        <v>2.34</v>
      </c>
      <c r="K84" s="2">
        <v>5.2</v>
      </c>
      <c r="L84" s="2">
        <v>8.2899999999999991</v>
      </c>
      <c r="M84" s="2">
        <v>14.48</v>
      </c>
      <c r="N84" s="2">
        <v>3.410086524</v>
      </c>
      <c r="O84" s="2">
        <v>3.4944755199999999</v>
      </c>
      <c r="P84" s="2">
        <v>3.1624572579999999</v>
      </c>
      <c r="Q84" s="2">
        <v>3.1611249300000002</v>
      </c>
      <c r="R84" s="2">
        <v>0.82393030199999995</v>
      </c>
      <c r="S84" s="2">
        <v>0.88553452600000004</v>
      </c>
      <c r="T84" s="2">
        <v>3.0532400439999998</v>
      </c>
      <c r="U84" s="2">
        <v>3.0345575340000002</v>
      </c>
      <c r="V84" s="2">
        <v>2.17795344</v>
      </c>
      <c r="W84" s="2">
        <v>6.4944272999999997E-2</v>
      </c>
      <c r="X84">
        <f t="shared" si="3"/>
        <v>1</v>
      </c>
      <c r="Y84">
        <f t="shared" si="4"/>
        <v>1</v>
      </c>
      <c r="Z84">
        <f t="shared" si="5"/>
        <v>1</v>
      </c>
    </row>
    <row r="85" spans="1:26" ht="15.75" customHeight="1" x14ac:dyDescent="0.2">
      <c r="A85" s="2" t="s">
        <v>23</v>
      </c>
      <c r="B85" s="2" t="s">
        <v>24</v>
      </c>
      <c r="C85" s="2" t="s">
        <v>32</v>
      </c>
      <c r="D85" s="2" t="s">
        <v>33</v>
      </c>
      <c r="E85" s="2">
        <v>156</v>
      </c>
      <c r="F85" s="2">
        <v>210</v>
      </c>
      <c r="G85" s="2">
        <v>354</v>
      </c>
      <c r="H85" s="2">
        <v>932.33333330000005</v>
      </c>
      <c r="I85" s="2">
        <v>2574.333333</v>
      </c>
      <c r="J85" s="2">
        <v>2.06</v>
      </c>
      <c r="K85" s="2">
        <v>3.57</v>
      </c>
      <c r="L85" s="2">
        <v>8.11</v>
      </c>
      <c r="M85" s="2">
        <v>14.69</v>
      </c>
      <c r="N85" s="2">
        <v>4.596896739</v>
      </c>
      <c r="O85" s="2">
        <v>4.7000050179999997</v>
      </c>
      <c r="P85" s="2">
        <v>3.3293146839999999</v>
      </c>
      <c r="Q85" s="2">
        <v>3.2968246149999998</v>
      </c>
      <c r="R85" s="2">
        <v>0.80092964</v>
      </c>
      <c r="S85" s="2">
        <v>0.73932541600000001</v>
      </c>
      <c r="T85" s="2">
        <v>3.231539567</v>
      </c>
      <c r="U85" s="2">
        <v>3.2128570569999999</v>
      </c>
      <c r="V85" s="2">
        <v>0.55309349799999996</v>
      </c>
      <c r="W85" s="2">
        <v>6.4055180000000003E-2</v>
      </c>
      <c r="X85">
        <f t="shared" si="3"/>
        <v>1</v>
      </c>
      <c r="Y85">
        <f t="shared" si="4"/>
        <v>1</v>
      </c>
      <c r="Z85">
        <f t="shared" si="5"/>
        <v>1</v>
      </c>
    </row>
    <row r="86" spans="1:26" ht="15.75" customHeight="1" x14ac:dyDescent="0.2">
      <c r="A86" s="2" t="s">
        <v>23</v>
      </c>
      <c r="B86" s="2" t="s">
        <v>24</v>
      </c>
      <c r="C86" s="2" t="s">
        <v>25</v>
      </c>
      <c r="D86" s="2" t="s">
        <v>25</v>
      </c>
      <c r="E86" s="2">
        <v>130</v>
      </c>
      <c r="F86" s="2">
        <v>177.33333329999999</v>
      </c>
      <c r="G86" s="2">
        <v>693</v>
      </c>
      <c r="H86" s="2">
        <v>1518.666667</v>
      </c>
      <c r="I86" s="2">
        <v>2389</v>
      </c>
      <c r="J86" s="2">
        <v>1.69</v>
      </c>
      <c r="K86" s="2">
        <v>6.47</v>
      </c>
      <c r="L86" s="2">
        <v>11.17</v>
      </c>
      <c r="M86" s="2">
        <v>14.2</v>
      </c>
      <c r="N86" s="2">
        <v>0.50667780100000004</v>
      </c>
      <c r="O86" s="2">
        <v>0.62083098599999997</v>
      </c>
      <c r="P86" s="2">
        <v>2.1075792999999998</v>
      </c>
      <c r="Q86" s="2">
        <v>2.1676116329999999</v>
      </c>
      <c r="R86" s="2">
        <v>2.1007668129999999</v>
      </c>
      <c r="S86" s="2">
        <v>2.1623710379999999</v>
      </c>
      <c r="T86" s="2">
        <v>0.16932011</v>
      </c>
      <c r="U86" s="2">
        <v>0.15063760000000001</v>
      </c>
      <c r="V86" s="2">
        <v>3.4547899520000001</v>
      </c>
      <c r="W86" s="2">
        <v>6.8808767000000007E-2</v>
      </c>
      <c r="X86">
        <f t="shared" si="3"/>
        <v>1</v>
      </c>
      <c r="Y86">
        <f t="shared" si="4"/>
        <v>1</v>
      </c>
      <c r="Z86">
        <f t="shared" si="5"/>
        <v>0</v>
      </c>
    </row>
    <row r="87" spans="1:26" ht="15.75" customHeight="1" x14ac:dyDescent="0.2">
      <c r="A87" s="2" t="s">
        <v>23</v>
      </c>
      <c r="B87" s="2" t="s">
        <v>24</v>
      </c>
      <c r="C87" s="2" t="s">
        <v>25</v>
      </c>
      <c r="D87" s="2" t="s">
        <v>25</v>
      </c>
      <c r="E87" s="2">
        <v>190</v>
      </c>
      <c r="F87" s="2">
        <v>202.66666670000001</v>
      </c>
      <c r="G87" s="2">
        <v>743</v>
      </c>
      <c r="H87" s="2">
        <v>1502.333333</v>
      </c>
      <c r="I87" s="2">
        <v>3011</v>
      </c>
      <c r="J87" s="2">
        <v>1.98</v>
      </c>
      <c r="K87" s="2">
        <v>6.84</v>
      </c>
      <c r="L87" s="2">
        <v>11.1</v>
      </c>
      <c r="M87" s="2">
        <v>15.71</v>
      </c>
      <c r="N87" s="2">
        <v>0.16853211400000001</v>
      </c>
      <c r="O87" s="2">
        <v>0.28069186699999998</v>
      </c>
      <c r="P87" s="2">
        <v>2.4788555470000002</v>
      </c>
      <c r="Q87" s="2">
        <v>2.5384747000000001</v>
      </c>
      <c r="R87" s="2">
        <v>2.4671534240000002</v>
      </c>
      <c r="S87" s="2">
        <v>2.528757648</v>
      </c>
      <c r="T87" s="2">
        <v>0.240580143</v>
      </c>
      <c r="U87" s="2">
        <v>0.22189763300000001</v>
      </c>
      <c r="V87" s="2">
        <v>3.8211765620000002</v>
      </c>
      <c r="W87" s="2">
        <v>6.9778092999999999E-2</v>
      </c>
      <c r="X87">
        <f t="shared" si="3"/>
        <v>1</v>
      </c>
      <c r="Y87">
        <f t="shared" si="4"/>
        <v>1</v>
      </c>
      <c r="Z87">
        <f t="shared" si="5"/>
        <v>0</v>
      </c>
    </row>
    <row r="88" spans="1:26" ht="15.75" customHeight="1" x14ac:dyDescent="0.2">
      <c r="A88" s="2" t="s">
        <v>23</v>
      </c>
      <c r="B88" s="2" t="s">
        <v>24</v>
      </c>
      <c r="C88" s="2" t="s">
        <v>27</v>
      </c>
      <c r="D88" s="2" t="s">
        <v>27</v>
      </c>
      <c r="E88" s="2">
        <v>166</v>
      </c>
      <c r="F88" s="2">
        <v>223.66666670000001</v>
      </c>
      <c r="G88" s="2">
        <v>413.66666670000001</v>
      </c>
      <c r="H88" s="2">
        <v>2450</v>
      </c>
      <c r="I88" s="2">
        <v>2994</v>
      </c>
      <c r="J88" s="2">
        <v>2.2200000000000002</v>
      </c>
      <c r="K88" s="2">
        <v>4.1399999999999997</v>
      </c>
      <c r="L88" s="2">
        <v>14.36</v>
      </c>
      <c r="M88" s="2">
        <v>15.67</v>
      </c>
      <c r="N88" s="2">
        <v>0.489791476</v>
      </c>
      <c r="O88" s="2">
        <v>0.68197916199999997</v>
      </c>
      <c r="P88" s="2">
        <v>3.0295484070000001</v>
      </c>
      <c r="Q88" s="2">
        <v>3.0441466359999998</v>
      </c>
      <c r="R88" s="2">
        <v>0.230106493</v>
      </c>
      <c r="S88" s="2">
        <v>0.16850226800000001</v>
      </c>
      <c r="T88" s="2">
        <v>3.020797006</v>
      </c>
      <c r="U88" s="2">
        <v>3.0394795160000001</v>
      </c>
      <c r="V88" s="2">
        <v>1.123916645</v>
      </c>
      <c r="W88" s="2">
        <v>6.0612591E-2</v>
      </c>
      <c r="X88">
        <f t="shared" si="3"/>
        <v>1</v>
      </c>
      <c r="Y88">
        <f t="shared" si="4"/>
        <v>1</v>
      </c>
      <c r="Z88">
        <f t="shared" si="5"/>
        <v>0</v>
      </c>
    </row>
    <row r="89" spans="1:26" ht="15.75" customHeight="1" x14ac:dyDescent="0.2">
      <c r="A89" s="2" t="s">
        <v>23</v>
      </c>
      <c r="B89" s="2" t="s">
        <v>24</v>
      </c>
      <c r="C89" s="2" t="s">
        <v>30</v>
      </c>
      <c r="D89" s="2" t="s">
        <v>31</v>
      </c>
      <c r="E89" s="2">
        <v>171</v>
      </c>
      <c r="F89" s="2">
        <v>197.66666670000001</v>
      </c>
      <c r="G89" s="2">
        <v>580.66666669999995</v>
      </c>
      <c r="H89" s="2">
        <v>1198.333333</v>
      </c>
      <c r="I89" s="2">
        <v>3119.666667</v>
      </c>
      <c r="J89" s="2">
        <v>1.93</v>
      </c>
      <c r="K89" s="2">
        <v>5.6</v>
      </c>
      <c r="L89" s="2">
        <v>9.64</v>
      </c>
      <c r="M89" s="2">
        <v>15.94</v>
      </c>
      <c r="N89" s="2">
        <v>4.5410323530000003</v>
      </c>
      <c r="O89" s="2">
        <v>4.436021588</v>
      </c>
      <c r="P89" s="2">
        <v>2.0965399219999998</v>
      </c>
      <c r="Q89" s="2">
        <v>2.118250185</v>
      </c>
      <c r="R89" s="2">
        <v>1.22502398</v>
      </c>
      <c r="S89" s="2">
        <v>1.286628205</v>
      </c>
      <c r="T89" s="2">
        <v>1.701409972</v>
      </c>
      <c r="U89" s="2">
        <v>1.682727461</v>
      </c>
      <c r="V89" s="2">
        <v>2.5790471190000002</v>
      </c>
      <c r="W89" s="2">
        <v>6.6104538000000004E-2</v>
      </c>
      <c r="X89">
        <f t="shared" si="3"/>
        <v>1</v>
      </c>
      <c r="Y89">
        <f t="shared" si="4"/>
        <v>1</v>
      </c>
      <c r="Z89">
        <f t="shared" si="5"/>
        <v>1</v>
      </c>
    </row>
    <row r="90" spans="1:26" ht="15.75" customHeight="1" x14ac:dyDescent="0.2">
      <c r="A90" s="2" t="s">
        <v>23</v>
      </c>
      <c r="B90" s="2" t="s">
        <v>24</v>
      </c>
      <c r="C90" s="2" t="s">
        <v>28</v>
      </c>
      <c r="D90" s="2" t="s">
        <v>29</v>
      </c>
      <c r="E90" s="2">
        <v>173</v>
      </c>
      <c r="F90" s="2">
        <v>201</v>
      </c>
      <c r="G90" s="2">
        <v>375</v>
      </c>
      <c r="H90" s="2">
        <v>1086.666667</v>
      </c>
      <c r="I90" s="2">
        <v>3194.666667</v>
      </c>
      <c r="J90" s="2">
        <v>1.96</v>
      </c>
      <c r="K90" s="2">
        <v>3.78</v>
      </c>
      <c r="L90" s="2">
        <v>9.0299999999999994</v>
      </c>
      <c r="M90" s="2">
        <v>16.09</v>
      </c>
      <c r="N90" s="2">
        <v>1.0141444470000001</v>
      </c>
      <c r="O90" s="2">
        <v>1.1038140910000001</v>
      </c>
      <c r="P90" s="2">
        <v>2.3870023709999999</v>
      </c>
      <c r="Q90" s="2">
        <v>2.3541553500000001</v>
      </c>
      <c r="R90" s="2">
        <v>0.59669850999999996</v>
      </c>
      <c r="S90" s="2">
        <v>0.53509428599999997</v>
      </c>
      <c r="T90" s="2">
        <v>2.311218555</v>
      </c>
      <c r="U90" s="2">
        <v>2.2925360440000002</v>
      </c>
      <c r="V90" s="2">
        <v>0.757324628</v>
      </c>
      <c r="W90" s="2">
        <v>6.1378506999999999E-2</v>
      </c>
      <c r="X90">
        <f t="shared" si="3"/>
        <v>1</v>
      </c>
      <c r="Y90">
        <f t="shared" si="4"/>
        <v>1</v>
      </c>
      <c r="Z90">
        <f t="shared" si="5"/>
        <v>1</v>
      </c>
    </row>
    <row r="91" spans="1:26" ht="15.75" customHeight="1" x14ac:dyDescent="0.2">
      <c r="A91" s="2" t="s">
        <v>23</v>
      </c>
      <c r="B91" s="2" t="s">
        <v>24</v>
      </c>
      <c r="C91" s="2" t="s">
        <v>28</v>
      </c>
      <c r="D91" s="2" t="s">
        <v>29</v>
      </c>
      <c r="E91" s="2">
        <v>160</v>
      </c>
      <c r="F91" s="2">
        <v>203.66666670000001</v>
      </c>
      <c r="G91" s="2">
        <v>324.66666670000001</v>
      </c>
      <c r="H91" s="2">
        <v>1114.333333</v>
      </c>
      <c r="I91" s="2">
        <v>2858.333333</v>
      </c>
      <c r="J91" s="2">
        <v>1.99</v>
      </c>
      <c r="K91" s="2">
        <v>3.28</v>
      </c>
      <c r="L91" s="2">
        <v>9.19</v>
      </c>
      <c r="M91" s="2">
        <v>15.37</v>
      </c>
      <c r="N91" s="2">
        <v>1.3044818039999999</v>
      </c>
      <c r="O91" s="2">
        <v>1.3687123779999999</v>
      </c>
      <c r="P91" s="2">
        <v>2.416999165</v>
      </c>
      <c r="Q91" s="2">
        <v>2.3729445839999999</v>
      </c>
      <c r="R91" s="2">
        <v>1.092489748</v>
      </c>
      <c r="S91" s="2">
        <v>1.0308855240000001</v>
      </c>
      <c r="T91" s="2">
        <v>2.1560035050000002</v>
      </c>
      <c r="U91" s="2">
        <v>2.1373209950000001</v>
      </c>
      <c r="V91" s="2">
        <v>0.26153338999999998</v>
      </c>
      <c r="W91" s="2">
        <v>7.2653206999999997E-2</v>
      </c>
      <c r="X91">
        <f t="shared" si="3"/>
        <v>1</v>
      </c>
      <c r="Y91">
        <f t="shared" si="4"/>
        <v>1</v>
      </c>
      <c r="Z91">
        <f t="shared" si="5"/>
        <v>1</v>
      </c>
    </row>
    <row r="92" spans="1:26" ht="15.75" customHeight="1" x14ac:dyDescent="0.2">
      <c r="A92" s="2" t="s">
        <v>23</v>
      </c>
      <c r="B92" s="2" t="s">
        <v>24</v>
      </c>
      <c r="C92" s="2" t="s">
        <v>32</v>
      </c>
      <c r="D92" s="2" t="s">
        <v>33</v>
      </c>
      <c r="E92" s="2">
        <v>171</v>
      </c>
      <c r="F92" s="2">
        <v>223</v>
      </c>
      <c r="G92" s="2">
        <v>489</v>
      </c>
      <c r="H92" s="2">
        <v>902</v>
      </c>
      <c r="I92" s="2">
        <v>2605.333333</v>
      </c>
      <c r="J92" s="2">
        <v>2.21</v>
      </c>
      <c r="K92" s="2">
        <v>4.82</v>
      </c>
      <c r="L92" s="2">
        <v>7.92</v>
      </c>
      <c r="M92" s="2">
        <v>14.77</v>
      </c>
      <c r="N92" s="2">
        <v>3.9232318620000002</v>
      </c>
      <c r="O92" s="2">
        <v>4.0099615780000004</v>
      </c>
      <c r="P92" s="2">
        <v>3.453651303</v>
      </c>
      <c r="Q92" s="2">
        <v>3.4437568079999998</v>
      </c>
      <c r="R92" s="2">
        <v>0.45086911099999999</v>
      </c>
      <c r="S92" s="2">
        <v>0.512473336</v>
      </c>
      <c r="T92" s="2">
        <v>3.4240946779999999</v>
      </c>
      <c r="U92" s="2">
        <v>3.4054121679999998</v>
      </c>
      <c r="V92" s="2">
        <v>1.80489225</v>
      </c>
      <c r="W92" s="2">
        <v>7.9984663999999997E-2</v>
      </c>
      <c r="X92">
        <f t="shared" si="3"/>
        <v>1</v>
      </c>
      <c r="Y92">
        <f t="shared" si="4"/>
        <v>1</v>
      </c>
      <c r="Z92">
        <f t="shared" si="5"/>
        <v>1</v>
      </c>
    </row>
    <row r="93" spans="1:26" ht="15.75" customHeight="1" x14ac:dyDescent="0.2">
      <c r="A93" s="2" t="s">
        <v>23</v>
      </c>
      <c r="B93" s="2" t="s">
        <v>24</v>
      </c>
      <c r="C93" s="2" t="s">
        <v>26</v>
      </c>
      <c r="D93" s="2" t="s">
        <v>26</v>
      </c>
      <c r="E93" s="2">
        <v>157</v>
      </c>
      <c r="F93" s="2">
        <v>208.33333329999999</v>
      </c>
      <c r="G93" s="2">
        <v>379.33333329999999</v>
      </c>
      <c r="H93" s="2">
        <v>972.33333330000005</v>
      </c>
      <c r="I93" s="2">
        <v>2835.666667</v>
      </c>
      <c r="J93" s="2">
        <v>2.0499999999999998</v>
      </c>
      <c r="K93" s="2">
        <v>3.82</v>
      </c>
      <c r="L93" s="2">
        <v>8.36</v>
      </c>
      <c r="M93" s="2">
        <v>15.32</v>
      </c>
      <c r="N93" s="2">
        <v>0.34111533999999999</v>
      </c>
      <c r="O93" s="2">
        <v>0.43048449999999999</v>
      </c>
      <c r="P93" s="2">
        <v>3.0348921199999999</v>
      </c>
      <c r="Q93" s="2">
        <v>3.0058020079999999</v>
      </c>
      <c r="R93" s="2">
        <v>0.55501195699999994</v>
      </c>
      <c r="S93" s="2">
        <v>0.49340773199999999</v>
      </c>
      <c r="T93" s="2">
        <v>2.983711097</v>
      </c>
      <c r="U93" s="2">
        <v>2.9650285869999999</v>
      </c>
      <c r="V93" s="2">
        <v>0.79901118100000001</v>
      </c>
      <c r="W93" s="2">
        <v>9.7842111999999995E-2</v>
      </c>
      <c r="X93">
        <f t="shared" si="3"/>
        <v>1</v>
      </c>
      <c r="Y93">
        <f t="shared" si="4"/>
        <v>1</v>
      </c>
      <c r="Z93">
        <f t="shared" si="5"/>
        <v>0</v>
      </c>
    </row>
    <row r="94" spans="1:26" ht="15.75" customHeight="1" x14ac:dyDescent="0.2">
      <c r="A94" s="2" t="s">
        <v>23</v>
      </c>
      <c r="B94" s="2" t="s">
        <v>24</v>
      </c>
      <c r="C94" s="2" t="s">
        <v>25</v>
      </c>
      <c r="D94" s="2" t="s">
        <v>25</v>
      </c>
      <c r="E94" s="2">
        <v>220</v>
      </c>
      <c r="F94" s="2">
        <v>187.33333329999999</v>
      </c>
      <c r="G94" s="2">
        <v>778.66666669999995</v>
      </c>
      <c r="H94" s="2">
        <v>1576.666667</v>
      </c>
      <c r="I94" s="2">
        <v>2952.666667</v>
      </c>
      <c r="J94" s="2">
        <v>1.81</v>
      </c>
      <c r="K94" s="2">
        <v>7.09</v>
      </c>
      <c r="L94" s="2">
        <v>11.42</v>
      </c>
      <c r="M94" s="2">
        <v>15.58</v>
      </c>
      <c r="N94" s="2">
        <v>0.25180867699999998</v>
      </c>
      <c r="O94" s="2">
        <v>0.19593353199999999</v>
      </c>
      <c r="P94" s="2">
        <v>2.721463602</v>
      </c>
      <c r="Q94" s="2">
        <v>2.7836318109999998</v>
      </c>
      <c r="R94" s="2">
        <v>2.7203338850000001</v>
      </c>
      <c r="S94" s="2">
        <v>2.7819381089999999</v>
      </c>
      <c r="T94" s="2">
        <v>7.8407226999999996E-2</v>
      </c>
      <c r="U94" s="2">
        <v>9.7089736999999995E-2</v>
      </c>
      <c r="V94" s="2">
        <v>4.0743570230000001</v>
      </c>
      <c r="W94" s="2">
        <v>7.3258174999999995E-2</v>
      </c>
      <c r="X94">
        <f t="shared" si="3"/>
        <v>1</v>
      </c>
      <c r="Y94">
        <f t="shared" si="4"/>
        <v>1</v>
      </c>
      <c r="Z94">
        <f t="shared" si="5"/>
        <v>0</v>
      </c>
    </row>
    <row r="95" spans="1:26" ht="15.75" customHeight="1" x14ac:dyDescent="0.2">
      <c r="A95" s="2" t="s">
        <v>23</v>
      </c>
      <c r="B95" s="2" t="s">
        <v>24</v>
      </c>
      <c r="C95" s="2" t="s">
        <v>30</v>
      </c>
      <c r="D95" s="2" t="s">
        <v>31</v>
      </c>
      <c r="E95" s="2">
        <v>198</v>
      </c>
      <c r="F95" s="2">
        <v>201</v>
      </c>
      <c r="G95" s="2">
        <v>599.66666669999995</v>
      </c>
      <c r="H95" s="2">
        <v>1258</v>
      </c>
      <c r="I95" s="2">
        <v>2813</v>
      </c>
      <c r="J95" s="2">
        <v>1.96</v>
      </c>
      <c r="K95" s="2">
        <v>5.75</v>
      </c>
      <c r="L95" s="2">
        <v>9.9499999999999993</v>
      </c>
      <c r="M95" s="2">
        <v>15.27</v>
      </c>
      <c r="N95" s="2">
        <v>4.313391674</v>
      </c>
      <c r="O95" s="2">
        <v>4.2188966670000001</v>
      </c>
      <c r="P95" s="2">
        <v>1.9597501289999999</v>
      </c>
      <c r="Q95" s="2">
        <v>1.9906197299999999</v>
      </c>
      <c r="R95" s="2">
        <v>1.3785476640000001</v>
      </c>
      <c r="S95" s="2">
        <v>1.440151889</v>
      </c>
      <c r="T95" s="2">
        <v>1.3929202789999999</v>
      </c>
      <c r="U95" s="2">
        <v>1.3742377690000001</v>
      </c>
      <c r="V95" s="2">
        <v>2.7325708030000002</v>
      </c>
      <c r="W95" s="2">
        <v>7.7106941999999998E-2</v>
      </c>
      <c r="X95">
        <f t="shared" si="3"/>
        <v>1</v>
      </c>
      <c r="Y95">
        <f t="shared" si="4"/>
        <v>1</v>
      </c>
      <c r="Z95">
        <f t="shared" si="5"/>
        <v>1</v>
      </c>
    </row>
    <row r="96" spans="1:26" ht="15.75" customHeight="1" x14ac:dyDescent="0.2">
      <c r="A96" s="2" t="s">
        <v>23</v>
      </c>
      <c r="B96" s="2" t="s">
        <v>24</v>
      </c>
      <c r="C96" s="2" t="s">
        <v>27</v>
      </c>
      <c r="D96" s="2" t="s">
        <v>27</v>
      </c>
      <c r="E96" s="2">
        <v>183</v>
      </c>
      <c r="F96" s="2">
        <v>200.33333329999999</v>
      </c>
      <c r="G96" s="2">
        <v>374.66666670000001</v>
      </c>
      <c r="H96" s="2">
        <v>2434</v>
      </c>
      <c r="I96" s="2">
        <v>3046.666667</v>
      </c>
      <c r="J96" s="2">
        <v>1.96</v>
      </c>
      <c r="K96" s="2">
        <v>3.77</v>
      </c>
      <c r="L96" s="2">
        <v>14.32</v>
      </c>
      <c r="M96" s="2">
        <v>15.78</v>
      </c>
      <c r="N96" s="2">
        <v>0.48531982499999998</v>
      </c>
      <c r="O96" s="2">
        <v>0.59775628199999997</v>
      </c>
      <c r="P96" s="2">
        <v>3.0372447309999999</v>
      </c>
      <c r="Q96" s="2">
        <v>3.0440657729999998</v>
      </c>
      <c r="R96" s="2">
        <v>0.59991157799999995</v>
      </c>
      <c r="S96" s="2">
        <v>0.53830735299999999</v>
      </c>
      <c r="T96" s="2">
        <v>2.977408547</v>
      </c>
      <c r="U96" s="2">
        <v>2.9960910570000001</v>
      </c>
      <c r="V96" s="2">
        <v>0.75411156000000001</v>
      </c>
      <c r="W96" s="2">
        <v>4.7475349999999999E-2</v>
      </c>
      <c r="X96">
        <f t="shared" si="3"/>
        <v>1</v>
      </c>
      <c r="Y96">
        <f t="shared" si="4"/>
        <v>1</v>
      </c>
      <c r="Z96">
        <f t="shared" si="5"/>
        <v>0</v>
      </c>
    </row>
    <row r="97" spans="1:26" ht="15.75" customHeight="1" x14ac:dyDescent="0.2">
      <c r="A97" s="2" t="s">
        <v>23</v>
      </c>
      <c r="B97" s="2" t="s">
        <v>24</v>
      </c>
      <c r="C97" s="2" t="s">
        <v>30</v>
      </c>
      <c r="D97" s="2" t="s">
        <v>31</v>
      </c>
      <c r="E97" s="2">
        <v>205</v>
      </c>
      <c r="F97" s="2">
        <v>208</v>
      </c>
      <c r="G97" s="2">
        <v>364</v>
      </c>
      <c r="H97" s="2">
        <v>966.33333330000005</v>
      </c>
      <c r="I97" s="2">
        <v>1986.666667</v>
      </c>
      <c r="J97" s="2">
        <v>2.04</v>
      </c>
      <c r="K97" s="2">
        <v>3.67</v>
      </c>
      <c r="L97" s="2">
        <v>8.32</v>
      </c>
      <c r="M97" s="2">
        <v>12.97</v>
      </c>
      <c r="N97" s="2">
        <v>5.5814206789999998</v>
      </c>
      <c r="O97" s="2">
        <v>5.4146626229999999</v>
      </c>
      <c r="P97" s="2">
        <v>3.101234008</v>
      </c>
      <c r="Q97" s="2">
        <v>3.0695757000000001</v>
      </c>
      <c r="R97" s="2">
        <v>0.70321640200000002</v>
      </c>
      <c r="S97" s="2">
        <v>0.64161217699999995</v>
      </c>
      <c r="T97" s="2">
        <v>3.020453453</v>
      </c>
      <c r="U97" s="2">
        <v>3.0017709429999999</v>
      </c>
      <c r="V97" s="2">
        <v>0.65080673600000005</v>
      </c>
      <c r="W97" s="2">
        <v>5.4878125999999999E-2</v>
      </c>
      <c r="X97">
        <f t="shared" si="3"/>
        <v>1</v>
      </c>
      <c r="Y97">
        <f t="shared" si="4"/>
        <v>1</v>
      </c>
      <c r="Z97">
        <f t="shared" si="5"/>
        <v>1</v>
      </c>
    </row>
    <row r="98" spans="1:26" ht="15.75" customHeight="1" x14ac:dyDescent="0.2">
      <c r="A98" s="2" t="s">
        <v>23</v>
      </c>
      <c r="B98" s="2" t="s">
        <v>24</v>
      </c>
      <c r="C98" s="2" t="s">
        <v>27</v>
      </c>
      <c r="D98" s="2" t="s">
        <v>27</v>
      </c>
      <c r="E98" s="2">
        <v>161</v>
      </c>
      <c r="F98" s="2">
        <v>193.33333329999999</v>
      </c>
      <c r="G98" s="2">
        <v>372</v>
      </c>
      <c r="H98" s="2">
        <v>2443.333333</v>
      </c>
      <c r="I98" s="2">
        <v>3055.666667</v>
      </c>
      <c r="J98" s="2">
        <v>1.88</v>
      </c>
      <c r="K98" s="2">
        <v>3.75</v>
      </c>
      <c r="L98" s="2">
        <v>14.35</v>
      </c>
      <c r="M98" s="2">
        <v>15.8</v>
      </c>
      <c r="N98" s="2">
        <v>0.51998414100000001</v>
      </c>
      <c r="O98" s="2">
        <v>0.62776849899999998</v>
      </c>
      <c r="P98" s="2">
        <v>3.0672439269999998</v>
      </c>
      <c r="Q98" s="2">
        <v>3.0736366450000001</v>
      </c>
      <c r="R98" s="2">
        <v>0.62564918599999997</v>
      </c>
      <c r="S98" s="2">
        <v>0.56404496199999998</v>
      </c>
      <c r="T98" s="2">
        <v>3.0027568009999999</v>
      </c>
      <c r="U98" s="2">
        <v>3.021439311</v>
      </c>
      <c r="V98" s="2">
        <v>0.72837395199999999</v>
      </c>
      <c r="W98" s="2">
        <v>8.2699301000000003E-2</v>
      </c>
      <c r="X98">
        <f t="shared" si="3"/>
        <v>1</v>
      </c>
      <c r="Y98">
        <f t="shared" si="4"/>
        <v>1</v>
      </c>
      <c r="Z98">
        <f t="shared" si="5"/>
        <v>0</v>
      </c>
    </row>
    <row r="99" spans="1:26" ht="15.75" customHeight="1" x14ac:dyDescent="0.2">
      <c r="A99" s="2" t="s">
        <v>23</v>
      </c>
      <c r="B99" s="2" t="s">
        <v>24</v>
      </c>
      <c r="C99" s="2" t="s">
        <v>26</v>
      </c>
      <c r="D99" s="2" t="s">
        <v>26</v>
      </c>
      <c r="E99" s="2">
        <v>148</v>
      </c>
      <c r="F99" s="2">
        <v>191.66666670000001</v>
      </c>
      <c r="G99" s="2">
        <v>385.66666670000001</v>
      </c>
      <c r="H99" s="2">
        <v>1018</v>
      </c>
      <c r="I99" s="2">
        <v>2833.666667</v>
      </c>
      <c r="J99" s="2">
        <v>1.86</v>
      </c>
      <c r="K99" s="2">
        <v>3.88</v>
      </c>
      <c r="L99" s="2">
        <v>8.6300000000000008</v>
      </c>
      <c r="M99" s="2">
        <v>15.32</v>
      </c>
      <c r="N99" s="2">
        <v>0.61252083000000002</v>
      </c>
      <c r="O99" s="2">
        <v>0.70776960899999997</v>
      </c>
      <c r="P99" s="2">
        <v>2.7536525570000001</v>
      </c>
      <c r="Q99" s="2">
        <v>2.724815279</v>
      </c>
      <c r="R99" s="2">
        <v>0.49436251199999998</v>
      </c>
      <c r="S99" s="2">
        <v>0.43275828799999999</v>
      </c>
      <c r="T99" s="2">
        <v>2.708912717</v>
      </c>
      <c r="U99" s="2">
        <v>2.6902302069999999</v>
      </c>
      <c r="V99" s="2">
        <v>0.85966062600000004</v>
      </c>
      <c r="W99" s="2">
        <v>8.2454526E-2</v>
      </c>
      <c r="X99">
        <f t="shared" si="3"/>
        <v>1</v>
      </c>
      <c r="Y99">
        <f t="shared" si="4"/>
        <v>1</v>
      </c>
      <c r="Z99">
        <f t="shared" si="5"/>
        <v>0</v>
      </c>
    </row>
    <row r="100" spans="1:26" ht="15.75" customHeight="1" x14ac:dyDescent="0.2">
      <c r="A100" s="2" t="s">
        <v>23</v>
      </c>
      <c r="B100" s="2" t="s">
        <v>24</v>
      </c>
      <c r="C100" s="2" t="s">
        <v>27</v>
      </c>
      <c r="D100" s="2" t="s">
        <v>27</v>
      </c>
      <c r="E100" s="2">
        <v>160</v>
      </c>
      <c r="F100" s="2">
        <v>200</v>
      </c>
      <c r="G100" s="2">
        <v>377.66666670000001</v>
      </c>
      <c r="H100" s="2">
        <v>1960</v>
      </c>
      <c r="I100" s="2">
        <v>2717</v>
      </c>
      <c r="J100" s="2">
        <v>1.95</v>
      </c>
      <c r="K100" s="2">
        <v>3.8</v>
      </c>
      <c r="L100" s="2">
        <v>12.88</v>
      </c>
      <c r="M100" s="2">
        <v>15.04</v>
      </c>
      <c r="N100" s="2">
        <v>1.0395141429999999</v>
      </c>
      <c r="O100" s="2">
        <v>0.86251169299999997</v>
      </c>
      <c r="P100" s="2">
        <v>1.634353833</v>
      </c>
      <c r="Q100" s="2">
        <v>1.631600516</v>
      </c>
      <c r="R100" s="2">
        <v>0.57102695699999995</v>
      </c>
      <c r="S100" s="2">
        <v>0.50942273199999999</v>
      </c>
      <c r="T100" s="2">
        <v>1.5313525610000001</v>
      </c>
      <c r="U100" s="2">
        <v>1.5500350709999999</v>
      </c>
      <c r="V100" s="2">
        <v>0.78299618100000001</v>
      </c>
      <c r="W100" s="2">
        <v>7.2195366999999996E-2</v>
      </c>
      <c r="X100">
        <f t="shared" si="3"/>
        <v>1</v>
      </c>
      <c r="Y100">
        <f t="shared" si="4"/>
        <v>1</v>
      </c>
      <c r="Z100">
        <f t="shared" si="5"/>
        <v>0</v>
      </c>
    </row>
    <row r="101" spans="1:26" ht="15.75" customHeight="1" x14ac:dyDescent="0.2">
      <c r="A101" s="2" t="s">
        <v>23</v>
      </c>
      <c r="B101" s="2" t="s">
        <v>24</v>
      </c>
      <c r="C101" s="2" t="s">
        <v>30</v>
      </c>
      <c r="D101" s="2" t="s">
        <v>31</v>
      </c>
      <c r="E101" s="2">
        <v>160</v>
      </c>
      <c r="F101" s="2">
        <v>200.66666670000001</v>
      </c>
      <c r="G101" s="2">
        <v>620.33333330000005</v>
      </c>
      <c r="H101" s="2">
        <v>1169.666667</v>
      </c>
      <c r="I101" s="2">
        <v>3216</v>
      </c>
      <c r="J101" s="2">
        <v>1.96</v>
      </c>
      <c r="K101" s="2">
        <v>5.92</v>
      </c>
      <c r="L101" s="2">
        <v>9.49</v>
      </c>
      <c r="M101" s="2">
        <v>16.13</v>
      </c>
      <c r="N101" s="2">
        <v>4.8015167170000002</v>
      </c>
      <c r="O101" s="2">
        <v>4.7052883239999996</v>
      </c>
      <c r="P101" s="2">
        <v>2.4119198659999999</v>
      </c>
      <c r="Q101" s="2">
        <v>2.4376917659999999</v>
      </c>
      <c r="R101" s="2">
        <v>1.5429712419999999</v>
      </c>
      <c r="S101" s="2">
        <v>1.6045754670000001</v>
      </c>
      <c r="T101" s="2">
        <v>1.8538061349999999</v>
      </c>
      <c r="U101" s="2">
        <v>1.835123625</v>
      </c>
      <c r="V101" s="2">
        <v>2.8969943809999998</v>
      </c>
      <c r="W101" s="2">
        <v>4.6981923000000002E-2</v>
      </c>
      <c r="X101">
        <f t="shared" si="3"/>
        <v>1</v>
      </c>
      <c r="Y101">
        <f t="shared" si="4"/>
        <v>1</v>
      </c>
      <c r="Z101">
        <f t="shared" si="5"/>
        <v>1</v>
      </c>
    </row>
    <row r="102" spans="1:26" ht="15.75" customHeight="1" x14ac:dyDescent="0.2">
      <c r="A102" s="2" t="s">
        <v>23</v>
      </c>
      <c r="B102" s="2" t="s">
        <v>24</v>
      </c>
      <c r="C102" s="2" t="s">
        <v>27</v>
      </c>
      <c r="D102" s="2" t="s">
        <v>27</v>
      </c>
      <c r="E102" s="2">
        <v>163</v>
      </c>
      <c r="F102" s="2">
        <v>218.66666670000001</v>
      </c>
      <c r="G102" s="2">
        <v>449.66666670000001</v>
      </c>
      <c r="H102" s="2">
        <v>2436.333333</v>
      </c>
      <c r="I102" s="2">
        <v>3052.333333</v>
      </c>
      <c r="J102" s="2">
        <v>2.16</v>
      </c>
      <c r="K102" s="2">
        <v>4.47</v>
      </c>
      <c r="L102" s="2">
        <v>14.33</v>
      </c>
      <c r="M102" s="2">
        <v>15.8</v>
      </c>
      <c r="N102" s="2">
        <v>0.63817351700000002</v>
      </c>
      <c r="O102" s="2">
        <v>0.83698824599999999</v>
      </c>
      <c r="P102" s="2">
        <v>2.9854520510000002</v>
      </c>
      <c r="Q102" s="2">
        <v>3.0068179700000002</v>
      </c>
      <c r="R102" s="2">
        <v>0.100627387</v>
      </c>
      <c r="S102" s="2">
        <v>0.162231611</v>
      </c>
      <c r="T102" s="2">
        <v>2.9837557000000001</v>
      </c>
      <c r="U102" s="2">
        <v>3.0024382100000002</v>
      </c>
      <c r="V102" s="2">
        <v>1.4546505249999999</v>
      </c>
      <c r="W102" s="2">
        <v>6.5950140000000004E-2</v>
      </c>
      <c r="X102">
        <f t="shared" si="3"/>
        <v>1</v>
      </c>
      <c r="Y102">
        <f t="shared" si="4"/>
        <v>1</v>
      </c>
      <c r="Z102">
        <f t="shared" si="5"/>
        <v>0</v>
      </c>
    </row>
    <row r="103" spans="1:26" ht="15.75" customHeight="1" x14ac:dyDescent="0.2">
      <c r="A103" s="2" t="s">
        <v>23</v>
      </c>
      <c r="B103" s="2" t="s">
        <v>24</v>
      </c>
      <c r="C103" s="2" t="s">
        <v>26</v>
      </c>
      <c r="D103" s="2" t="s">
        <v>26</v>
      </c>
      <c r="E103" s="2">
        <v>150</v>
      </c>
      <c r="F103" s="2">
        <v>210.66666670000001</v>
      </c>
      <c r="G103" s="2">
        <v>354.33333329999999</v>
      </c>
      <c r="H103" s="2">
        <v>968</v>
      </c>
      <c r="I103" s="2">
        <v>2833.333333</v>
      </c>
      <c r="J103" s="2">
        <v>2.0699999999999998</v>
      </c>
      <c r="K103" s="2">
        <v>3.57</v>
      </c>
      <c r="L103" s="2">
        <v>8.33</v>
      </c>
      <c r="M103" s="2">
        <v>15.32</v>
      </c>
      <c r="N103" s="2">
        <v>0.426276881</v>
      </c>
      <c r="O103" s="2">
        <v>0.47192960299999998</v>
      </c>
      <c r="P103" s="2">
        <v>3.1141222339999999</v>
      </c>
      <c r="Q103" s="2">
        <v>3.0807703100000001</v>
      </c>
      <c r="R103" s="2">
        <v>0.79765892800000004</v>
      </c>
      <c r="S103" s="2">
        <v>0.73605470299999998</v>
      </c>
      <c r="T103" s="2">
        <v>3.0102321380000001</v>
      </c>
      <c r="U103" s="2">
        <v>2.991549628</v>
      </c>
      <c r="V103" s="2">
        <v>0.55636421000000003</v>
      </c>
      <c r="W103" s="2">
        <v>7.3479495000000006E-2</v>
      </c>
      <c r="X103">
        <f t="shared" si="3"/>
        <v>1</v>
      </c>
      <c r="Y103">
        <f t="shared" si="4"/>
        <v>1</v>
      </c>
      <c r="Z103">
        <f t="shared" si="5"/>
        <v>0</v>
      </c>
    </row>
    <row r="104" spans="1:26" ht="15.75" customHeight="1" x14ac:dyDescent="0.2">
      <c r="A104" s="2" t="s">
        <v>23</v>
      </c>
      <c r="B104" s="2" t="s">
        <v>24</v>
      </c>
      <c r="C104" s="2" t="s">
        <v>30</v>
      </c>
      <c r="D104" s="2" t="s">
        <v>31</v>
      </c>
      <c r="E104" s="2">
        <v>153</v>
      </c>
      <c r="F104" s="2">
        <v>196</v>
      </c>
      <c r="G104" s="2">
        <v>566.66666669999995</v>
      </c>
      <c r="H104" s="2">
        <v>1169.666667</v>
      </c>
      <c r="I104" s="2">
        <v>3069</v>
      </c>
      <c r="J104" s="2">
        <v>1.91</v>
      </c>
      <c r="K104" s="2">
        <v>5.48</v>
      </c>
      <c r="L104" s="2">
        <v>9.49</v>
      </c>
      <c r="M104" s="2">
        <v>15.83</v>
      </c>
      <c r="N104" s="2">
        <v>4.6463117199999999</v>
      </c>
      <c r="O104" s="2">
        <v>4.5352786800000002</v>
      </c>
      <c r="P104" s="2">
        <v>2.1609345700000002</v>
      </c>
      <c r="Q104" s="2">
        <v>2.1774591659999998</v>
      </c>
      <c r="R104" s="2">
        <v>1.1104238049999999</v>
      </c>
      <c r="S104" s="2">
        <v>1.1720280300000001</v>
      </c>
      <c r="T104" s="2">
        <v>1.8538061349999999</v>
      </c>
      <c r="U104" s="2">
        <v>1.835123625</v>
      </c>
      <c r="V104" s="2">
        <v>2.4644469440000001</v>
      </c>
      <c r="W104" s="2">
        <v>5.3098302999999999E-2</v>
      </c>
      <c r="X104">
        <f t="shared" si="3"/>
        <v>1</v>
      </c>
      <c r="Y104">
        <f t="shared" si="4"/>
        <v>1</v>
      </c>
      <c r="Z104">
        <f t="shared" si="5"/>
        <v>1</v>
      </c>
    </row>
    <row r="105" spans="1:26" ht="15.75" customHeight="1" x14ac:dyDescent="0.2">
      <c r="A105" s="2" t="s">
        <v>23</v>
      </c>
      <c r="B105" s="2" t="s">
        <v>24</v>
      </c>
      <c r="C105" s="2" t="s">
        <v>32</v>
      </c>
      <c r="D105" s="2" t="s">
        <v>33</v>
      </c>
      <c r="E105" s="2">
        <v>200</v>
      </c>
      <c r="F105" s="2">
        <v>184</v>
      </c>
      <c r="G105" s="2">
        <v>333.66666670000001</v>
      </c>
      <c r="H105" s="2">
        <v>939</v>
      </c>
      <c r="I105" s="2">
        <v>2985</v>
      </c>
      <c r="J105" s="2">
        <v>1.77</v>
      </c>
      <c r="K105" s="2">
        <v>3.37</v>
      </c>
      <c r="L105" s="2">
        <v>8.15</v>
      </c>
      <c r="M105" s="2">
        <v>15.65</v>
      </c>
      <c r="N105" s="2">
        <v>4.7210189060000003</v>
      </c>
      <c r="O105" s="2">
        <v>4.8259186019999998</v>
      </c>
      <c r="P105" s="2">
        <v>3.3435093459999998</v>
      </c>
      <c r="Q105" s="2">
        <v>3.3076470320000002</v>
      </c>
      <c r="R105" s="2">
        <v>1.0022407799999999</v>
      </c>
      <c r="S105" s="2">
        <v>0.94063655599999996</v>
      </c>
      <c r="T105" s="2">
        <v>3.189759891</v>
      </c>
      <c r="U105" s="2">
        <v>3.1710773809999999</v>
      </c>
      <c r="V105" s="2">
        <v>0.35178235800000002</v>
      </c>
      <c r="W105" s="2">
        <v>6.8940354999999995E-2</v>
      </c>
      <c r="X105">
        <f t="shared" si="3"/>
        <v>1</v>
      </c>
      <c r="Y105">
        <f t="shared" si="4"/>
        <v>1</v>
      </c>
      <c r="Z105">
        <f t="shared" si="5"/>
        <v>1</v>
      </c>
    </row>
    <row r="106" spans="1:26" ht="15.75" customHeight="1" x14ac:dyDescent="0.2">
      <c r="A106" s="2" t="s">
        <v>23</v>
      </c>
      <c r="B106" s="2" t="s">
        <v>24</v>
      </c>
      <c r="C106" s="2" t="s">
        <v>28</v>
      </c>
      <c r="D106" s="2" t="s">
        <v>29</v>
      </c>
      <c r="E106" s="2">
        <v>168</v>
      </c>
      <c r="F106" s="2">
        <v>210.66666670000001</v>
      </c>
      <c r="G106" s="2">
        <v>310.33333329999999</v>
      </c>
      <c r="H106" s="2">
        <v>1055.666667</v>
      </c>
      <c r="I106" s="2">
        <v>2801.666667</v>
      </c>
      <c r="J106" s="2">
        <v>2.0699999999999998</v>
      </c>
      <c r="K106" s="2">
        <v>3.13</v>
      </c>
      <c r="L106" s="2">
        <v>8.86</v>
      </c>
      <c r="M106" s="2">
        <v>15.24</v>
      </c>
      <c r="N106" s="2">
        <v>1.108430069</v>
      </c>
      <c r="O106" s="2">
        <v>1.1509885559999999</v>
      </c>
      <c r="P106" s="2">
        <v>2.7793187920000002</v>
      </c>
      <c r="Q106" s="2">
        <v>2.7355582350000001</v>
      </c>
      <c r="R106" s="2">
        <v>1.237696769</v>
      </c>
      <c r="S106" s="2">
        <v>1.1760925449999999</v>
      </c>
      <c r="T106" s="2">
        <v>2.4885175610000001</v>
      </c>
      <c r="U106" s="2">
        <v>2.469835051</v>
      </c>
      <c r="V106" s="2">
        <v>0.116326369</v>
      </c>
      <c r="W106" s="2">
        <v>7.1087483000000007E-2</v>
      </c>
      <c r="X106">
        <f t="shared" si="3"/>
        <v>1</v>
      </c>
      <c r="Y106">
        <f t="shared" si="4"/>
        <v>1</v>
      </c>
      <c r="Z106">
        <f t="shared" si="5"/>
        <v>1</v>
      </c>
    </row>
    <row r="107" spans="1:26" ht="15.75" customHeight="1" x14ac:dyDescent="0.2">
      <c r="A107" s="2" t="s">
        <v>23</v>
      </c>
      <c r="B107" s="2" t="s">
        <v>24</v>
      </c>
      <c r="C107" s="2" t="s">
        <v>28</v>
      </c>
      <c r="D107" s="2" t="s">
        <v>29</v>
      </c>
      <c r="E107" s="2">
        <v>157</v>
      </c>
      <c r="F107" s="2">
        <v>201.33333329999999</v>
      </c>
      <c r="G107" s="2">
        <v>359</v>
      </c>
      <c r="H107" s="2">
        <v>875.33333330000005</v>
      </c>
      <c r="I107" s="2">
        <v>2638</v>
      </c>
      <c r="J107" s="2">
        <v>1.97</v>
      </c>
      <c r="K107" s="2">
        <v>3.62</v>
      </c>
      <c r="L107" s="2">
        <v>7.75</v>
      </c>
      <c r="M107" s="2">
        <v>14.85</v>
      </c>
      <c r="N107" s="2">
        <v>0.36914701100000002</v>
      </c>
      <c r="O107" s="2">
        <v>0.26955607300000001</v>
      </c>
      <c r="P107" s="2">
        <v>3.6745421669999998</v>
      </c>
      <c r="Q107" s="2">
        <v>3.6440858719999998</v>
      </c>
      <c r="R107" s="2">
        <v>0.751967681</v>
      </c>
      <c r="S107" s="2">
        <v>0.69036345700000001</v>
      </c>
      <c r="T107" s="2">
        <v>3.5967769939999998</v>
      </c>
      <c r="U107" s="2">
        <v>3.5780944840000002</v>
      </c>
      <c r="V107" s="2">
        <v>0.60205545699999996</v>
      </c>
      <c r="W107" s="2">
        <v>8.8164746000000002E-2</v>
      </c>
      <c r="X107">
        <f t="shared" si="3"/>
        <v>1</v>
      </c>
      <c r="Y107">
        <f t="shared" si="4"/>
        <v>1</v>
      </c>
      <c r="Z107">
        <f t="shared" si="5"/>
        <v>1</v>
      </c>
    </row>
    <row r="108" spans="1:26" ht="15.75" customHeight="1" x14ac:dyDescent="0.2">
      <c r="A108" s="2" t="s">
        <v>23</v>
      </c>
      <c r="B108" s="2" t="s">
        <v>24</v>
      </c>
      <c r="C108" s="2" t="s">
        <v>26</v>
      </c>
      <c r="D108" s="2" t="s">
        <v>26</v>
      </c>
      <c r="E108" s="2">
        <v>200</v>
      </c>
      <c r="F108" s="2">
        <v>246.33333329999999</v>
      </c>
      <c r="G108" s="2">
        <v>407.66666670000001</v>
      </c>
      <c r="H108" s="2">
        <v>870.33333330000005</v>
      </c>
      <c r="I108" s="2">
        <v>2752.666667</v>
      </c>
      <c r="J108" s="2">
        <v>2.46</v>
      </c>
      <c r="K108" s="2">
        <v>4.09</v>
      </c>
      <c r="L108" s="2">
        <v>7.71</v>
      </c>
      <c r="M108" s="2">
        <v>15.13</v>
      </c>
      <c r="N108" s="2">
        <v>0.37867112000000003</v>
      </c>
      <c r="O108" s="2">
        <v>0.34336360300000002</v>
      </c>
      <c r="P108" s="2">
        <v>3.6407841479999998</v>
      </c>
      <c r="Q108" s="2">
        <v>3.6178133269999999</v>
      </c>
      <c r="R108" s="2">
        <v>0.28620662000000002</v>
      </c>
      <c r="S108" s="2">
        <v>0.22460239500000001</v>
      </c>
      <c r="T108" s="2">
        <v>3.6295171829999999</v>
      </c>
      <c r="U108" s="2">
        <v>3.6108346729999998</v>
      </c>
      <c r="V108" s="2">
        <v>1.0678165180000001</v>
      </c>
      <c r="W108" s="2">
        <v>9.7254845000000006E-2</v>
      </c>
      <c r="X108">
        <f t="shared" si="3"/>
        <v>1</v>
      </c>
      <c r="Y108">
        <f t="shared" si="4"/>
        <v>1</v>
      </c>
      <c r="Z108">
        <f t="shared" si="5"/>
        <v>0</v>
      </c>
    </row>
    <row r="109" spans="1:26" ht="15.75" customHeight="1" x14ac:dyDescent="0.2">
      <c r="A109" s="2" t="s">
        <v>23</v>
      </c>
      <c r="B109" s="2" t="s">
        <v>24</v>
      </c>
      <c r="C109" s="2" t="s">
        <v>25</v>
      </c>
      <c r="D109" s="2" t="s">
        <v>25</v>
      </c>
      <c r="E109" s="2">
        <v>219</v>
      </c>
      <c r="F109" s="2">
        <v>162.66666670000001</v>
      </c>
      <c r="G109" s="2">
        <v>771.33333330000005</v>
      </c>
      <c r="H109" s="2">
        <v>1384</v>
      </c>
      <c r="I109" s="2">
        <v>2855.333333</v>
      </c>
      <c r="J109" s="2">
        <v>1.52</v>
      </c>
      <c r="K109" s="2">
        <v>7.04</v>
      </c>
      <c r="L109" s="2">
        <v>10.57</v>
      </c>
      <c r="M109" s="2">
        <v>15.37</v>
      </c>
      <c r="N109" s="2">
        <v>0.63425149199999997</v>
      </c>
      <c r="O109" s="2">
        <v>0.66205606400000006</v>
      </c>
      <c r="P109" s="2">
        <v>2.7798054030000001</v>
      </c>
      <c r="Q109" s="2">
        <v>2.833941866</v>
      </c>
      <c r="R109" s="2">
        <v>2.668818087</v>
      </c>
      <c r="S109" s="2">
        <v>2.730422312</v>
      </c>
      <c r="T109" s="2">
        <v>0.77764265399999999</v>
      </c>
      <c r="U109" s="2">
        <v>0.758960144</v>
      </c>
      <c r="V109" s="2">
        <v>4.0228412249999996</v>
      </c>
      <c r="W109" s="2">
        <v>6.1566504000000001E-2</v>
      </c>
      <c r="X109">
        <f t="shared" si="3"/>
        <v>1</v>
      </c>
      <c r="Y109">
        <f t="shared" si="4"/>
        <v>1</v>
      </c>
      <c r="Z109">
        <f t="shared" si="5"/>
        <v>0</v>
      </c>
    </row>
    <row r="110" spans="1:26" ht="15.75" customHeight="1" x14ac:dyDescent="0.2">
      <c r="A110" s="2" t="s">
        <v>23</v>
      </c>
      <c r="B110" s="2" t="s">
        <v>24</v>
      </c>
      <c r="C110" s="2" t="s">
        <v>30</v>
      </c>
      <c r="D110" s="2" t="s">
        <v>31</v>
      </c>
      <c r="E110" s="2">
        <v>170</v>
      </c>
      <c r="F110" s="2">
        <v>208</v>
      </c>
      <c r="G110" s="2">
        <v>681</v>
      </c>
      <c r="H110" s="2">
        <v>1162.666667</v>
      </c>
      <c r="I110" s="2">
        <v>2776.333333</v>
      </c>
      <c r="J110" s="2">
        <v>2.04</v>
      </c>
      <c r="K110" s="2">
        <v>6.38</v>
      </c>
      <c r="L110" s="2">
        <v>9.4499999999999993</v>
      </c>
      <c r="M110" s="2">
        <v>15.19</v>
      </c>
      <c r="N110" s="2">
        <v>5.0393037459999999</v>
      </c>
      <c r="O110" s="2">
        <v>4.9579034059999998</v>
      </c>
      <c r="P110" s="2">
        <v>2.7605716810000001</v>
      </c>
      <c r="Q110" s="2">
        <v>2.7932006889999998</v>
      </c>
      <c r="R110" s="2">
        <v>2.010769721</v>
      </c>
      <c r="S110" s="2">
        <v>2.0723739449999998</v>
      </c>
      <c r="T110" s="2">
        <v>1.891444194</v>
      </c>
      <c r="U110" s="2">
        <v>1.872761683</v>
      </c>
      <c r="V110" s="2">
        <v>3.364792859</v>
      </c>
      <c r="W110" s="2">
        <v>6.1015152000000003E-2</v>
      </c>
      <c r="X110">
        <f t="shared" si="3"/>
        <v>1</v>
      </c>
      <c r="Y110">
        <f t="shared" si="4"/>
        <v>1</v>
      </c>
      <c r="Z110">
        <f t="shared" si="5"/>
        <v>1</v>
      </c>
    </row>
    <row r="111" spans="1:26" ht="15.75" customHeight="1" x14ac:dyDescent="0.2">
      <c r="A111" s="2" t="s">
        <v>23</v>
      </c>
      <c r="B111" s="2" t="s">
        <v>24</v>
      </c>
      <c r="C111" s="2" t="s">
        <v>28</v>
      </c>
      <c r="D111" s="2" t="s">
        <v>29</v>
      </c>
      <c r="E111" s="2">
        <v>169</v>
      </c>
      <c r="F111" s="2">
        <v>242</v>
      </c>
      <c r="G111" s="2">
        <v>304</v>
      </c>
      <c r="H111" s="2">
        <v>969.66666669999995</v>
      </c>
      <c r="I111" s="2">
        <v>2734.666667</v>
      </c>
      <c r="J111" s="2">
        <v>2.42</v>
      </c>
      <c r="K111" s="2">
        <v>3.07</v>
      </c>
      <c r="L111" s="2">
        <v>8.34</v>
      </c>
      <c r="M111" s="2">
        <v>15.09</v>
      </c>
      <c r="N111" s="2">
        <v>0.85860624900000004</v>
      </c>
      <c r="O111" s="2">
        <v>0.855690591</v>
      </c>
      <c r="P111" s="2">
        <v>3.2705495419999999</v>
      </c>
      <c r="Q111" s="2">
        <v>3.2292523059999998</v>
      </c>
      <c r="R111" s="2">
        <v>1.3024437</v>
      </c>
      <c r="S111" s="2">
        <v>1.240839475</v>
      </c>
      <c r="T111" s="2">
        <v>3.0000224530000001</v>
      </c>
      <c r="U111" s="2">
        <v>2.981339943</v>
      </c>
      <c r="V111" s="2">
        <v>5.1579438999999998E-2</v>
      </c>
      <c r="W111" s="2">
        <v>6.6425803000000005E-2</v>
      </c>
      <c r="X111">
        <f t="shared" si="3"/>
        <v>1</v>
      </c>
      <c r="Y111">
        <f t="shared" si="4"/>
        <v>1</v>
      </c>
      <c r="Z111">
        <f t="shared" si="5"/>
        <v>1</v>
      </c>
    </row>
    <row r="112" spans="1:26" ht="15.75" customHeight="1" x14ac:dyDescent="0.2">
      <c r="A112" s="2" t="s">
        <v>23</v>
      </c>
      <c r="B112" s="2" t="s">
        <v>24</v>
      </c>
      <c r="C112" s="2" t="s">
        <v>28</v>
      </c>
      <c r="D112" s="2" t="s">
        <v>29</v>
      </c>
      <c r="E112" s="2">
        <v>169</v>
      </c>
      <c r="F112" s="2">
        <v>236.66666670000001</v>
      </c>
      <c r="G112" s="2">
        <v>332.33333329999999</v>
      </c>
      <c r="H112" s="2">
        <v>1079</v>
      </c>
      <c r="I112" s="2">
        <v>3033.666667</v>
      </c>
      <c r="J112" s="2">
        <v>2.36</v>
      </c>
      <c r="K112" s="2">
        <v>3.36</v>
      </c>
      <c r="L112" s="2">
        <v>8.99</v>
      </c>
      <c r="M112" s="2">
        <v>15.76</v>
      </c>
      <c r="N112" s="2">
        <v>1.092578692</v>
      </c>
      <c r="O112" s="2">
        <v>1.1557746849999999</v>
      </c>
      <c r="P112" s="2">
        <v>2.564396302</v>
      </c>
      <c r="Q112" s="2">
        <v>2.5233235280000001</v>
      </c>
      <c r="R112" s="2">
        <v>1.0155662809999999</v>
      </c>
      <c r="S112" s="2">
        <v>0.95396205700000003</v>
      </c>
      <c r="T112" s="2">
        <v>2.354730032</v>
      </c>
      <c r="U112" s="2">
        <v>2.3360475209999998</v>
      </c>
      <c r="V112" s="2">
        <v>0.338456857</v>
      </c>
      <c r="W112" s="2">
        <v>5.8335374000000002E-2</v>
      </c>
      <c r="X112">
        <f t="shared" si="3"/>
        <v>1</v>
      </c>
      <c r="Y112">
        <f t="shared" si="4"/>
        <v>1</v>
      </c>
      <c r="Z112">
        <f t="shared" si="5"/>
        <v>1</v>
      </c>
    </row>
    <row r="113" spans="1:26" ht="15.75" customHeight="1" x14ac:dyDescent="0.2">
      <c r="A113" s="2" t="s">
        <v>23</v>
      </c>
      <c r="B113" s="2" t="s">
        <v>24</v>
      </c>
      <c r="C113" s="2" t="s">
        <v>32</v>
      </c>
      <c r="D113" s="2" t="s">
        <v>33</v>
      </c>
      <c r="E113" s="2">
        <v>210</v>
      </c>
      <c r="F113" s="2">
        <v>196</v>
      </c>
      <c r="G113" s="2">
        <v>448.33333329999999</v>
      </c>
      <c r="H113" s="2">
        <v>981</v>
      </c>
      <c r="I113" s="2">
        <v>1809.333333</v>
      </c>
      <c r="J113" s="2">
        <v>1.91</v>
      </c>
      <c r="K113" s="2">
        <v>4.46</v>
      </c>
      <c r="L113" s="2">
        <v>8.41</v>
      </c>
      <c r="M113" s="2">
        <v>12.34</v>
      </c>
      <c r="N113" s="2">
        <v>3.754405217</v>
      </c>
      <c r="O113" s="2">
        <v>3.8518342830000001</v>
      </c>
      <c r="P113" s="2">
        <v>2.932240959</v>
      </c>
      <c r="Q113" s="2">
        <v>2.9160895949999999</v>
      </c>
      <c r="R113" s="2">
        <v>8.8554306999999999E-2</v>
      </c>
      <c r="S113" s="2">
        <v>0.15015853200000001</v>
      </c>
      <c r="T113" s="2">
        <v>2.930903474</v>
      </c>
      <c r="U113" s="2">
        <v>2.9122209639999999</v>
      </c>
      <c r="V113" s="2">
        <v>1.442577446</v>
      </c>
      <c r="W113" s="2">
        <v>4.9180095E-2</v>
      </c>
      <c r="X113">
        <f t="shared" si="3"/>
        <v>1</v>
      </c>
      <c r="Y113">
        <f t="shared" si="4"/>
        <v>1</v>
      </c>
      <c r="Z113">
        <f t="shared" si="5"/>
        <v>1</v>
      </c>
    </row>
    <row r="114" spans="1:26" ht="15.75" customHeight="1" x14ac:dyDescent="0.2">
      <c r="A114" s="2" t="s">
        <v>23</v>
      </c>
      <c r="B114" s="2" t="s">
        <v>24</v>
      </c>
      <c r="C114" s="2" t="s">
        <v>25</v>
      </c>
      <c r="D114" s="2" t="s">
        <v>25</v>
      </c>
      <c r="E114" s="2">
        <v>160</v>
      </c>
      <c r="F114" s="2">
        <v>184.66666670000001</v>
      </c>
      <c r="G114" s="2">
        <v>710</v>
      </c>
      <c r="H114" s="2">
        <v>1686.666667</v>
      </c>
      <c r="I114" s="2">
        <v>2915.333333</v>
      </c>
      <c r="J114" s="2">
        <v>1.78</v>
      </c>
      <c r="K114" s="2">
        <v>6.6</v>
      </c>
      <c r="L114" s="2">
        <v>11.87</v>
      </c>
      <c r="M114" s="2">
        <v>15.5</v>
      </c>
      <c r="N114" s="2">
        <v>0.77290190299999995</v>
      </c>
      <c r="O114" s="2">
        <v>0.81086022899999999</v>
      </c>
      <c r="P114" s="2">
        <v>2.288292481</v>
      </c>
      <c r="Q114" s="2">
        <v>2.3525460300000001</v>
      </c>
      <c r="R114" s="2">
        <v>2.2268779080000001</v>
      </c>
      <c r="S114" s="2">
        <v>2.2884821319999999</v>
      </c>
      <c r="T114" s="2">
        <v>0.52659022099999997</v>
      </c>
      <c r="U114" s="2">
        <v>0.54527273099999995</v>
      </c>
      <c r="V114" s="2">
        <v>3.5809010460000001</v>
      </c>
      <c r="W114" s="2">
        <v>5.0869254000000003E-2</v>
      </c>
      <c r="X114">
        <f t="shared" si="3"/>
        <v>1</v>
      </c>
      <c r="Y114">
        <f t="shared" si="4"/>
        <v>1</v>
      </c>
      <c r="Z114">
        <f t="shared" si="5"/>
        <v>0</v>
      </c>
    </row>
    <row r="115" spans="1:26" ht="15.75" customHeight="1" x14ac:dyDescent="0.2">
      <c r="A115" s="2" t="s">
        <v>23</v>
      </c>
      <c r="B115" s="2" t="s">
        <v>24</v>
      </c>
      <c r="C115" s="2" t="s">
        <v>27</v>
      </c>
      <c r="D115" s="2" t="s">
        <v>27</v>
      </c>
      <c r="E115" s="2">
        <v>167</v>
      </c>
      <c r="F115" s="2">
        <v>212.33333329999999</v>
      </c>
      <c r="G115" s="2">
        <v>405.66666670000001</v>
      </c>
      <c r="H115" s="2">
        <v>2366.666667</v>
      </c>
      <c r="I115" s="2">
        <v>3006.333333</v>
      </c>
      <c r="J115" s="2">
        <v>2.09</v>
      </c>
      <c r="K115" s="2">
        <v>4.07</v>
      </c>
      <c r="L115" s="2">
        <v>14.13</v>
      </c>
      <c r="M115" s="2">
        <v>15.7</v>
      </c>
      <c r="N115" s="2">
        <v>0.24859482999999999</v>
      </c>
      <c r="O115" s="2">
        <v>0.44161417200000003</v>
      </c>
      <c r="P115" s="2">
        <v>2.8079093099999999</v>
      </c>
      <c r="Q115" s="2">
        <v>2.8205001099999998</v>
      </c>
      <c r="R115" s="2">
        <v>0.30496990000000002</v>
      </c>
      <c r="S115" s="2">
        <v>0.243365676</v>
      </c>
      <c r="T115" s="2">
        <v>2.7912986320000002</v>
      </c>
      <c r="U115" s="2">
        <v>2.8099811419999998</v>
      </c>
      <c r="V115" s="2">
        <v>1.0490532379999999</v>
      </c>
      <c r="W115" s="2">
        <v>6.8876202999999997E-2</v>
      </c>
      <c r="X115">
        <f t="shared" si="3"/>
        <v>1</v>
      </c>
      <c r="Y115">
        <f t="shared" si="4"/>
        <v>1</v>
      </c>
      <c r="Z115">
        <f t="shared" si="5"/>
        <v>0</v>
      </c>
    </row>
    <row r="116" spans="1:26" ht="15.75" customHeight="1" x14ac:dyDescent="0.2">
      <c r="A116" s="2" t="s">
        <v>23</v>
      </c>
      <c r="B116" s="2" t="s">
        <v>24</v>
      </c>
      <c r="C116" s="2" t="s">
        <v>32</v>
      </c>
      <c r="D116" s="2" t="s">
        <v>33</v>
      </c>
      <c r="E116" s="2">
        <v>188</v>
      </c>
      <c r="F116" s="2">
        <v>217.33333329999999</v>
      </c>
      <c r="G116" s="2">
        <v>473</v>
      </c>
      <c r="H116" s="2">
        <v>908.33333330000005</v>
      </c>
      <c r="I116" s="2">
        <v>2852.333333</v>
      </c>
      <c r="J116" s="2">
        <v>2.15</v>
      </c>
      <c r="K116" s="2">
        <v>4.68</v>
      </c>
      <c r="L116" s="2">
        <v>7.96</v>
      </c>
      <c r="M116" s="2">
        <v>15.36</v>
      </c>
      <c r="N116" s="2">
        <v>3.9693837529999998</v>
      </c>
      <c r="O116" s="2">
        <v>4.058750882</v>
      </c>
      <c r="P116" s="2">
        <v>3.3977043340000002</v>
      </c>
      <c r="Q116" s="2">
        <v>3.3853032129999998</v>
      </c>
      <c r="R116" s="2">
        <v>0.30976425099999999</v>
      </c>
      <c r="S116" s="2">
        <v>0.37136847499999998</v>
      </c>
      <c r="T116" s="2">
        <v>3.3835544689999999</v>
      </c>
      <c r="U116" s="2">
        <v>3.3648719589999998</v>
      </c>
      <c r="V116" s="2">
        <v>1.6637873889999999</v>
      </c>
      <c r="W116" s="2">
        <v>5.2281246000000003E-2</v>
      </c>
      <c r="X116">
        <f t="shared" si="3"/>
        <v>1</v>
      </c>
      <c r="Y116">
        <f t="shared" si="4"/>
        <v>1</v>
      </c>
      <c r="Z116">
        <f t="shared" si="5"/>
        <v>1</v>
      </c>
    </row>
    <row r="117" spans="1:26" ht="15.75" customHeight="1" x14ac:dyDescent="0.2">
      <c r="A117" s="2" t="s">
        <v>23</v>
      </c>
      <c r="B117" s="2" t="s">
        <v>24</v>
      </c>
      <c r="C117" s="2" t="s">
        <v>28</v>
      </c>
      <c r="D117" s="2" t="s">
        <v>29</v>
      </c>
      <c r="E117" s="2">
        <v>155</v>
      </c>
      <c r="F117" s="2">
        <v>213.33333329999999</v>
      </c>
      <c r="G117" s="2">
        <v>339.33333329999999</v>
      </c>
      <c r="H117" s="2">
        <v>1115</v>
      </c>
      <c r="I117" s="2">
        <v>2752</v>
      </c>
      <c r="J117" s="2">
        <v>2.1</v>
      </c>
      <c r="K117" s="2">
        <v>3.43</v>
      </c>
      <c r="L117" s="2">
        <v>9.19</v>
      </c>
      <c r="M117" s="2">
        <v>15.13</v>
      </c>
      <c r="N117" s="2">
        <v>1.248928912</v>
      </c>
      <c r="O117" s="2">
        <v>1.321413723</v>
      </c>
      <c r="P117" s="2">
        <v>2.350932893</v>
      </c>
      <c r="Q117" s="2">
        <v>2.309562917</v>
      </c>
      <c r="R117" s="2">
        <v>0.94577981300000002</v>
      </c>
      <c r="S117" s="2">
        <v>0.88417558799999996</v>
      </c>
      <c r="T117" s="2">
        <v>2.1522978450000001</v>
      </c>
      <c r="U117" s="2">
        <v>2.133615335</v>
      </c>
      <c r="V117" s="2">
        <v>0.40824332499999999</v>
      </c>
      <c r="W117" s="2">
        <v>5.0037776999999999E-2</v>
      </c>
      <c r="X117">
        <f t="shared" si="3"/>
        <v>1</v>
      </c>
      <c r="Y117">
        <f t="shared" si="4"/>
        <v>1</v>
      </c>
      <c r="Z117">
        <f t="shared" si="5"/>
        <v>1</v>
      </c>
    </row>
    <row r="118" spans="1:26" ht="15.75" customHeight="1" x14ac:dyDescent="0.2">
      <c r="A118" s="2" t="s">
        <v>23</v>
      </c>
      <c r="B118" s="2" t="s">
        <v>24</v>
      </c>
      <c r="C118" s="2" t="s">
        <v>27</v>
      </c>
      <c r="D118" s="2" t="s">
        <v>27</v>
      </c>
      <c r="E118" s="2">
        <v>159</v>
      </c>
      <c r="F118" s="2">
        <v>197.33333329999999</v>
      </c>
      <c r="G118" s="2">
        <v>389</v>
      </c>
      <c r="H118" s="2">
        <v>1904.666667</v>
      </c>
      <c r="I118" s="2">
        <v>2780</v>
      </c>
      <c r="J118" s="2">
        <v>1.92</v>
      </c>
      <c r="K118" s="2">
        <v>3.91</v>
      </c>
      <c r="L118" s="2">
        <v>12.68</v>
      </c>
      <c r="M118" s="2">
        <v>15.19</v>
      </c>
      <c r="N118" s="2">
        <v>1.2151487299999999</v>
      </c>
      <c r="O118" s="2">
        <v>1.0508968889999999</v>
      </c>
      <c r="P118" s="2">
        <v>1.417049105</v>
      </c>
      <c r="Q118" s="2">
        <v>1.416060359</v>
      </c>
      <c r="R118" s="2">
        <v>0.46257311299999998</v>
      </c>
      <c r="S118" s="2">
        <v>0.400968889</v>
      </c>
      <c r="T118" s="2">
        <v>1.339423115</v>
      </c>
      <c r="U118" s="2">
        <v>1.3581056250000001</v>
      </c>
      <c r="V118" s="2">
        <v>0.89145002500000003</v>
      </c>
      <c r="W118" s="2">
        <v>4.2127391E-2</v>
      </c>
      <c r="X118">
        <f t="shared" si="3"/>
        <v>1</v>
      </c>
      <c r="Y118">
        <f t="shared" si="4"/>
        <v>1</v>
      </c>
      <c r="Z118">
        <f t="shared" si="5"/>
        <v>0</v>
      </c>
    </row>
    <row r="119" spans="1:26" ht="15.75" customHeight="1" x14ac:dyDescent="0.2">
      <c r="A119" s="2" t="s">
        <v>23</v>
      </c>
      <c r="B119" s="2" t="s">
        <v>24</v>
      </c>
      <c r="C119" s="2" t="s">
        <v>26</v>
      </c>
      <c r="D119" s="2" t="s">
        <v>26</v>
      </c>
      <c r="E119" s="2">
        <v>180</v>
      </c>
      <c r="F119" s="2">
        <v>211.66666670000001</v>
      </c>
      <c r="G119" s="2">
        <v>345</v>
      </c>
      <c r="H119" s="2">
        <v>832.33333330000005</v>
      </c>
      <c r="I119" s="2">
        <v>2836.666667</v>
      </c>
      <c r="J119" s="2">
        <v>2.08</v>
      </c>
      <c r="K119" s="2">
        <v>3.48</v>
      </c>
      <c r="L119" s="2">
        <v>7.46</v>
      </c>
      <c r="M119" s="2">
        <v>15.32</v>
      </c>
      <c r="N119" s="2">
        <v>0.67936518599999995</v>
      </c>
      <c r="O119" s="2">
        <v>0.57606915700000005</v>
      </c>
      <c r="P119" s="2">
        <v>3.9827954499999998</v>
      </c>
      <c r="Q119" s="2">
        <v>3.9512201139999998</v>
      </c>
      <c r="R119" s="2">
        <v>0.88959645600000004</v>
      </c>
      <c r="S119" s="2">
        <v>0.82799223099999997</v>
      </c>
      <c r="T119" s="2">
        <v>3.8821743579999999</v>
      </c>
      <c r="U119" s="2">
        <v>3.8634918470000001</v>
      </c>
      <c r="V119" s="2">
        <v>0.46442668300000001</v>
      </c>
      <c r="W119" s="2">
        <v>6.2552615000000006E-2</v>
      </c>
      <c r="X119">
        <f t="shared" si="3"/>
        <v>1</v>
      </c>
      <c r="Y119">
        <f t="shared" si="4"/>
        <v>1</v>
      </c>
      <c r="Z119">
        <f t="shared" si="5"/>
        <v>0</v>
      </c>
    </row>
    <row r="120" spans="1:26" ht="15.75" customHeight="1" x14ac:dyDescent="0.2">
      <c r="A120" s="2" t="s">
        <v>23</v>
      </c>
      <c r="B120" s="2" t="s">
        <v>24</v>
      </c>
      <c r="C120" s="2" t="s">
        <v>27</v>
      </c>
      <c r="D120" s="2" t="s">
        <v>27</v>
      </c>
      <c r="E120" s="2">
        <v>179</v>
      </c>
      <c r="F120" s="2">
        <v>202.33333329999999</v>
      </c>
      <c r="G120" s="2">
        <v>390</v>
      </c>
      <c r="H120" s="2">
        <v>2348.333333</v>
      </c>
      <c r="I120" s="2">
        <v>3022.333333</v>
      </c>
      <c r="J120" s="2">
        <v>1.98</v>
      </c>
      <c r="K120" s="2">
        <v>3.92</v>
      </c>
      <c r="L120" s="2">
        <v>14.08</v>
      </c>
      <c r="M120" s="2">
        <v>15.73</v>
      </c>
      <c r="N120" s="2">
        <v>0.20685789700000001</v>
      </c>
      <c r="O120" s="2">
        <v>0.35150756500000002</v>
      </c>
      <c r="P120" s="2">
        <v>2.7768259120000001</v>
      </c>
      <c r="Q120" s="2">
        <v>2.7859382730000002</v>
      </c>
      <c r="R120" s="2">
        <v>0.45305387899999999</v>
      </c>
      <c r="S120" s="2">
        <v>0.39144965500000001</v>
      </c>
      <c r="T120" s="2">
        <v>2.7396175519999999</v>
      </c>
      <c r="U120" s="2">
        <v>2.758300062</v>
      </c>
      <c r="V120" s="2">
        <v>0.90096925900000002</v>
      </c>
      <c r="W120" s="2">
        <v>7.6195133999999998E-2</v>
      </c>
      <c r="X120">
        <f t="shared" si="3"/>
        <v>1</v>
      </c>
      <c r="Y120">
        <f t="shared" si="4"/>
        <v>1</v>
      </c>
      <c r="Z120">
        <f t="shared" si="5"/>
        <v>0</v>
      </c>
    </row>
    <row r="121" spans="1:26" ht="15.75" customHeight="1" x14ac:dyDescent="0.2">
      <c r="A121" s="2" t="s">
        <v>23</v>
      </c>
      <c r="B121" s="2" t="s">
        <v>24</v>
      </c>
      <c r="C121" s="2" t="s">
        <v>27</v>
      </c>
      <c r="D121" s="2" t="s">
        <v>27</v>
      </c>
      <c r="E121" s="2">
        <v>155</v>
      </c>
      <c r="F121" s="2">
        <v>204</v>
      </c>
      <c r="G121" s="2">
        <v>419.66666670000001</v>
      </c>
      <c r="H121" s="2">
        <v>2151.333333</v>
      </c>
      <c r="I121" s="2">
        <v>2893.666667</v>
      </c>
      <c r="J121" s="2">
        <v>2</v>
      </c>
      <c r="K121" s="2">
        <v>4.2</v>
      </c>
      <c r="L121" s="2">
        <v>13.5</v>
      </c>
      <c r="M121" s="2">
        <v>15.45</v>
      </c>
      <c r="N121" s="2">
        <v>0.440725319</v>
      </c>
      <c r="O121" s="2">
        <v>0.39285912099999998</v>
      </c>
      <c r="P121" s="2">
        <v>2.1622306340000002</v>
      </c>
      <c r="Q121" s="2">
        <v>2.1767959060000002</v>
      </c>
      <c r="R121" s="2">
        <v>0.174289263</v>
      </c>
      <c r="S121" s="2">
        <v>0.112685039</v>
      </c>
      <c r="T121" s="2">
        <v>2.155194786</v>
      </c>
      <c r="U121" s="2">
        <v>2.1738772960000001</v>
      </c>
      <c r="V121" s="2">
        <v>1.1797338749999999</v>
      </c>
      <c r="W121" s="2">
        <v>4.8678759000000002E-2</v>
      </c>
      <c r="X121">
        <f t="shared" si="3"/>
        <v>1</v>
      </c>
      <c r="Y121">
        <f t="shared" si="4"/>
        <v>1</v>
      </c>
      <c r="Z121">
        <f t="shared" si="5"/>
        <v>0</v>
      </c>
    </row>
    <row r="122" spans="1:26" ht="15.75" customHeight="1" x14ac:dyDescent="0.2">
      <c r="A122" s="2" t="s">
        <v>23</v>
      </c>
      <c r="B122" s="2" t="s">
        <v>24</v>
      </c>
      <c r="C122" s="2" t="s">
        <v>32</v>
      </c>
      <c r="D122" s="2" t="s">
        <v>33</v>
      </c>
      <c r="E122" s="2">
        <v>178</v>
      </c>
      <c r="F122" s="2">
        <v>215</v>
      </c>
      <c r="G122" s="2">
        <v>427.66666670000001</v>
      </c>
      <c r="H122" s="2">
        <v>1178</v>
      </c>
      <c r="I122" s="2">
        <v>3186.666667</v>
      </c>
      <c r="J122" s="2">
        <v>2.12</v>
      </c>
      <c r="K122" s="2">
        <v>4.2699999999999996</v>
      </c>
      <c r="L122" s="2">
        <v>9.5299999999999994</v>
      </c>
      <c r="M122" s="2">
        <v>16.07</v>
      </c>
      <c r="N122" s="2">
        <v>3.1771046859999998</v>
      </c>
      <c r="O122" s="2">
        <v>3.2882728929999998</v>
      </c>
      <c r="P122" s="2">
        <v>1.8119961120000001</v>
      </c>
      <c r="Q122" s="2">
        <v>1.7909534970000001</v>
      </c>
      <c r="R122" s="2">
        <v>0.100302667</v>
      </c>
      <c r="S122" s="2">
        <v>3.8698442E-2</v>
      </c>
      <c r="T122" s="2">
        <v>1.809217866</v>
      </c>
      <c r="U122" s="2">
        <v>1.7905353559999999</v>
      </c>
      <c r="V122" s="2">
        <v>1.2537204710000001</v>
      </c>
      <c r="W122" s="2">
        <v>8.5690363000000006E-2</v>
      </c>
      <c r="X122">
        <f t="shared" si="3"/>
        <v>1</v>
      </c>
      <c r="Y122">
        <f t="shared" si="4"/>
        <v>1</v>
      </c>
      <c r="Z122">
        <f t="shared" si="5"/>
        <v>1</v>
      </c>
    </row>
    <row r="123" spans="1:26" ht="15.75" customHeight="1" x14ac:dyDescent="0.2">
      <c r="A123" s="2" t="s">
        <v>23</v>
      </c>
      <c r="B123" s="2" t="s">
        <v>24</v>
      </c>
      <c r="C123" s="2" t="s">
        <v>28</v>
      </c>
      <c r="D123" s="2" t="s">
        <v>29</v>
      </c>
      <c r="E123" s="2">
        <v>194</v>
      </c>
      <c r="F123" s="2">
        <v>210</v>
      </c>
      <c r="G123" s="2">
        <v>320</v>
      </c>
      <c r="H123" s="2">
        <v>992</v>
      </c>
      <c r="I123" s="2">
        <v>2844.666667</v>
      </c>
      <c r="J123" s="2">
        <v>2.06</v>
      </c>
      <c r="K123" s="2">
        <v>3.23</v>
      </c>
      <c r="L123" s="2">
        <v>8.48</v>
      </c>
      <c r="M123" s="2">
        <v>15.34</v>
      </c>
      <c r="N123" s="2">
        <v>0.78100670500000002</v>
      </c>
      <c r="O123" s="2">
        <v>0.80351402299999997</v>
      </c>
      <c r="P123" s="2">
        <v>3.0826884510000001</v>
      </c>
      <c r="Q123" s="2">
        <v>3.0429726389999998</v>
      </c>
      <c r="R123" s="2">
        <v>1.1395660110000001</v>
      </c>
      <c r="S123" s="2">
        <v>1.0779617859999999</v>
      </c>
      <c r="T123" s="2">
        <v>2.8643249449999999</v>
      </c>
      <c r="U123" s="2">
        <v>2.8456424349999998</v>
      </c>
      <c r="V123" s="2">
        <v>0.214457127</v>
      </c>
      <c r="W123" s="2">
        <v>8.3076197000000004E-2</v>
      </c>
      <c r="X123">
        <f t="shared" si="3"/>
        <v>1</v>
      </c>
      <c r="Y123">
        <f t="shared" si="4"/>
        <v>1</v>
      </c>
      <c r="Z123">
        <f t="shared" si="5"/>
        <v>1</v>
      </c>
    </row>
    <row r="124" spans="1:26" ht="15.75" customHeight="1" x14ac:dyDescent="0.2">
      <c r="A124" s="2" t="s">
        <v>23</v>
      </c>
      <c r="B124" s="2" t="s">
        <v>24</v>
      </c>
      <c r="C124" s="2" t="s">
        <v>26</v>
      </c>
      <c r="D124" s="2" t="s">
        <v>26</v>
      </c>
      <c r="E124" s="2">
        <v>160</v>
      </c>
      <c r="F124" s="2">
        <v>210</v>
      </c>
      <c r="G124" s="2">
        <v>362.66666670000001</v>
      </c>
      <c r="H124" s="2">
        <v>1001</v>
      </c>
      <c r="I124" s="2">
        <v>2789</v>
      </c>
      <c r="J124" s="2">
        <v>2.06</v>
      </c>
      <c r="K124" s="2">
        <v>3.66</v>
      </c>
      <c r="L124" s="2">
        <v>8.5299999999999994</v>
      </c>
      <c r="M124" s="2">
        <v>15.22</v>
      </c>
      <c r="N124" s="2">
        <v>0.55255113300000003</v>
      </c>
      <c r="O124" s="2">
        <v>0.62546043399999995</v>
      </c>
      <c r="P124" s="2">
        <v>2.900046707</v>
      </c>
      <c r="Q124" s="2">
        <v>2.8672582169999998</v>
      </c>
      <c r="R124" s="2">
        <v>0.71619622000000005</v>
      </c>
      <c r="S124" s="2">
        <v>0.65459199599999995</v>
      </c>
      <c r="T124" s="2">
        <v>2.8102195430000001</v>
      </c>
      <c r="U124" s="2">
        <v>2.791537033</v>
      </c>
      <c r="V124" s="2">
        <v>0.63782691800000002</v>
      </c>
      <c r="W124" s="2">
        <v>6.0153406999999999E-2</v>
      </c>
      <c r="X124">
        <f t="shared" si="3"/>
        <v>1</v>
      </c>
      <c r="Y124">
        <f t="shared" si="4"/>
        <v>1</v>
      </c>
      <c r="Z124">
        <f t="shared" si="5"/>
        <v>0</v>
      </c>
    </row>
    <row r="125" spans="1:26" ht="15.75" customHeight="1" x14ac:dyDescent="0.2">
      <c r="A125" s="2" t="s">
        <v>23</v>
      </c>
      <c r="B125" s="2" t="s">
        <v>24</v>
      </c>
      <c r="C125" s="2" t="s">
        <v>30</v>
      </c>
      <c r="D125" s="2" t="s">
        <v>31</v>
      </c>
      <c r="E125" s="2">
        <v>198</v>
      </c>
      <c r="F125" s="2">
        <v>193.66666670000001</v>
      </c>
      <c r="G125" s="2">
        <v>488.33333329999999</v>
      </c>
      <c r="H125" s="2">
        <v>1045.333333</v>
      </c>
      <c r="I125" s="2">
        <v>2291</v>
      </c>
      <c r="J125" s="2">
        <v>1.88</v>
      </c>
      <c r="K125" s="2">
        <v>4.82</v>
      </c>
      <c r="L125" s="2">
        <v>8.8000000000000007</v>
      </c>
      <c r="M125" s="2">
        <v>13.92</v>
      </c>
      <c r="N125" s="2">
        <v>5.1637979339999998</v>
      </c>
      <c r="O125" s="2">
        <v>5.0260137949999999</v>
      </c>
      <c r="P125" s="2">
        <v>2.5869952349999998</v>
      </c>
      <c r="Q125" s="2">
        <v>2.579980108</v>
      </c>
      <c r="R125" s="2">
        <v>0.44502656299999999</v>
      </c>
      <c r="S125" s="2">
        <v>0.50663078800000005</v>
      </c>
      <c r="T125" s="2">
        <v>2.5484300470000001</v>
      </c>
      <c r="U125" s="2">
        <v>2.529747537</v>
      </c>
      <c r="V125" s="2">
        <v>1.7990497009999999</v>
      </c>
      <c r="W125" s="2">
        <v>4.5089203000000001E-2</v>
      </c>
      <c r="X125">
        <f t="shared" si="3"/>
        <v>1</v>
      </c>
      <c r="Y125">
        <f t="shared" si="4"/>
        <v>1</v>
      </c>
      <c r="Z125">
        <f t="shared" si="5"/>
        <v>1</v>
      </c>
    </row>
    <row r="126" spans="1:26" ht="15.75" customHeight="1" x14ac:dyDescent="0.2">
      <c r="A126" s="2" t="s">
        <v>23</v>
      </c>
      <c r="B126" s="2" t="s">
        <v>24</v>
      </c>
      <c r="C126" s="2" t="s">
        <v>27</v>
      </c>
      <c r="D126" s="2" t="s">
        <v>27</v>
      </c>
      <c r="E126" s="2">
        <v>154</v>
      </c>
      <c r="F126" s="2">
        <v>198.66666670000001</v>
      </c>
      <c r="G126" s="2">
        <v>394.33333329999999</v>
      </c>
      <c r="H126" s="2">
        <v>2121.666667</v>
      </c>
      <c r="I126" s="2">
        <v>2822.666667</v>
      </c>
      <c r="J126" s="2">
        <v>1.94</v>
      </c>
      <c r="K126" s="2">
        <v>3.96</v>
      </c>
      <c r="L126" s="2">
        <v>13.41</v>
      </c>
      <c r="M126" s="2">
        <v>15.29</v>
      </c>
      <c r="N126" s="2">
        <v>0.49055250900000003</v>
      </c>
      <c r="O126" s="2">
        <v>0.33669406099999999</v>
      </c>
      <c r="P126" s="2">
        <v>2.103029195</v>
      </c>
      <c r="Q126" s="2">
        <v>2.1102569710000001</v>
      </c>
      <c r="R126" s="2">
        <v>0.41189731000000002</v>
      </c>
      <c r="S126" s="2">
        <v>0.350293085</v>
      </c>
      <c r="T126" s="2">
        <v>2.0622978449999998</v>
      </c>
      <c r="U126" s="2">
        <v>2.0809803549999999</v>
      </c>
      <c r="V126" s="2">
        <v>0.942125828</v>
      </c>
      <c r="W126" s="2">
        <v>4.2881105000000003E-2</v>
      </c>
      <c r="X126">
        <f t="shared" si="3"/>
        <v>1</v>
      </c>
      <c r="Y126">
        <f t="shared" si="4"/>
        <v>1</v>
      </c>
      <c r="Z126">
        <f t="shared" si="5"/>
        <v>0</v>
      </c>
    </row>
    <row r="127" spans="1:26" ht="15.75" customHeight="1" x14ac:dyDescent="0.2">
      <c r="A127" s="2" t="s">
        <v>23</v>
      </c>
      <c r="B127" s="2" t="s">
        <v>24</v>
      </c>
      <c r="C127" s="2" t="s">
        <v>30</v>
      </c>
      <c r="D127" s="2" t="s">
        <v>31</v>
      </c>
      <c r="E127" s="2">
        <v>208</v>
      </c>
      <c r="F127" s="2">
        <v>188.66666670000001</v>
      </c>
      <c r="G127" s="2">
        <v>629.66666669999995</v>
      </c>
      <c r="H127" s="2">
        <v>1243.666667</v>
      </c>
      <c r="I127" s="2">
        <v>3331.333333</v>
      </c>
      <c r="J127" s="2">
        <v>1.82</v>
      </c>
      <c r="K127" s="2">
        <v>5.99</v>
      </c>
      <c r="L127" s="2">
        <v>9.8800000000000008</v>
      </c>
      <c r="M127" s="2">
        <v>16.350000000000001</v>
      </c>
      <c r="N127" s="2">
        <v>4.4804436580000004</v>
      </c>
      <c r="O127" s="2">
        <v>4.3934191619999998</v>
      </c>
      <c r="P127" s="2">
        <v>2.1821396700000002</v>
      </c>
      <c r="Q127" s="2">
        <v>2.2159087089999998</v>
      </c>
      <c r="R127" s="2">
        <v>1.616366835</v>
      </c>
      <c r="S127" s="2">
        <v>1.67797106</v>
      </c>
      <c r="T127" s="2">
        <v>1.4659781009999999</v>
      </c>
      <c r="U127" s="2">
        <v>1.447295591</v>
      </c>
      <c r="V127" s="2">
        <v>2.9703899730000001</v>
      </c>
      <c r="W127" s="2">
        <v>5.5405536999999998E-2</v>
      </c>
      <c r="X127">
        <f t="shared" si="3"/>
        <v>1</v>
      </c>
      <c r="Y127">
        <f t="shared" si="4"/>
        <v>1</v>
      </c>
      <c r="Z127">
        <f t="shared" si="5"/>
        <v>1</v>
      </c>
    </row>
    <row r="128" spans="1:26" ht="15.75" customHeight="1" x14ac:dyDescent="0.2">
      <c r="A128" s="2" t="s">
        <v>23</v>
      </c>
      <c r="B128" s="2" t="s">
        <v>24</v>
      </c>
      <c r="C128" s="2" t="s">
        <v>26</v>
      </c>
      <c r="D128" s="2" t="s">
        <v>26</v>
      </c>
      <c r="E128" s="2">
        <v>165</v>
      </c>
      <c r="F128" s="2">
        <v>200</v>
      </c>
      <c r="G128" s="2">
        <v>347.66666670000001</v>
      </c>
      <c r="H128" s="2">
        <v>919.66666669999995</v>
      </c>
      <c r="I128" s="2">
        <v>2697.333333</v>
      </c>
      <c r="J128" s="2">
        <v>1.95</v>
      </c>
      <c r="K128" s="2">
        <v>3.51</v>
      </c>
      <c r="L128" s="2">
        <v>8.0299999999999994</v>
      </c>
      <c r="M128" s="2">
        <v>15</v>
      </c>
      <c r="N128" s="2">
        <v>0.357169705</v>
      </c>
      <c r="O128" s="2">
        <v>0.32618957599999998</v>
      </c>
      <c r="P128" s="2">
        <v>3.4221239240000001</v>
      </c>
      <c r="Q128" s="2">
        <v>3.3889502349999998</v>
      </c>
      <c r="R128" s="2">
        <v>0.86325270499999995</v>
      </c>
      <c r="S128" s="2">
        <v>0.80164848</v>
      </c>
      <c r="T128" s="2">
        <v>3.3114538979999999</v>
      </c>
      <c r="U128" s="2">
        <v>3.2927713879999998</v>
      </c>
      <c r="V128" s="2">
        <v>0.49077043300000001</v>
      </c>
      <c r="W128" s="2">
        <v>7.4954185000000007E-2</v>
      </c>
      <c r="X128">
        <f t="shared" si="3"/>
        <v>1</v>
      </c>
      <c r="Y128">
        <f t="shared" si="4"/>
        <v>1</v>
      </c>
      <c r="Z128">
        <f t="shared" si="5"/>
        <v>0</v>
      </c>
    </row>
    <row r="129" spans="1:26" ht="15.75" customHeight="1" x14ac:dyDescent="0.2">
      <c r="A129" s="2" t="s">
        <v>23</v>
      </c>
      <c r="B129" s="2" t="s">
        <v>24</v>
      </c>
      <c r="C129" s="2" t="s">
        <v>26</v>
      </c>
      <c r="D129" s="2" t="s">
        <v>26</v>
      </c>
      <c r="E129" s="2">
        <v>147</v>
      </c>
      <c r="F129" s="2">
        <v>218.66666670000001</v>
      </c>
      <c r="G129" s="2">
        <v>426.33333329999999</v>
      </c>
      <c r="H129" s="2">
        <v>943.33333330000005</v>
      </c>
      <c r="I129" s="2">
        <v>2858.333333</v>
      </c>
      <c r="J129" s="2">
        <v>2.16</v>
      </c>
      <c r="K129" s="2">
        <v>4.26</v>
      </c>
      <c r="L129" s="2">
        <v>8.18</v>
      </c>
      <c r="M129" s="2">
        <v>15.37</v>
      </c>
      <c r="N129" s="2">
        <v>0.42437562899999998</v>
      </c>
      <c r="O129" s="2">
        <v>0.50772568500000004</v>
      </c>
      <c r="P129" s="2">
        <v>3.164709749</v>
      </c>
      <c r="Q129" s="2">
        <v>3.144437017</v>
      </c>
      <c r="R129" s="2">
        <v>0.112599317</v>
      </c>
      <c r="S129" s="2">
        <v>5.0995091999999999E-2</v>
      </c>
      <c r="T129" s="2">
        <v>3.1627059919999998</v>
      </c>
      <c r="U129" s="2">
        <v>3.1440234820000001</v>
      </c>
      <c r="V129" s="2">
        <v>1.2414238209999999</v>
      </c>
      <c r="W129" s="2">
        <v>5.6171565999999999E-2</v>
      </c>
      <c r="X129">
        <f t="shared" si="3"/>
        <v>1</v>
      </c>
      <c r="Y129">
        <f t="shared" si="4"/>
        <v>1</v>
      </c>
      <c r="Z129">
        <f t="shared" si="5"/>
        <v>0</v>
      </c>
    </row>
    <row r="130" spans="1:26" ht="15.75" customHeight="1" x14ac:dyDescent="0.2">
      <c r="A130" s="2" t="s">
        <v>23</v>
      </c>
      <c r="B130" s="2" t="s">
        <v>24</v>
      </c>
      <c r="C130" s="2" t="s">
        <v>26</v>
      </c>
      <c r="D130" s="2" t="s">
        <v>26</v>
      </c>
      <c r="E130" s="2">
        <v>146</v>
      </c>
      <c r="F130" s="2">
        <v>241.33333329999999</v>
      </c>
      <c r="G130" s="2">
        <v>458.33333329999999</v>
      </c>
      <c r="H130" s="2">
        <v>784.66666669999995</v>
      </c>
      <c r="I130" s="2">
        <v>3003</v>
      </c>
      <c r="J130" s="2">
        <v>2.41</v>
      </c>
      <c r="K130" s="2">
        <v>4.55</v>
      </c>
      <c r="L130" s="2">
        <v>7.13</v>
      </c>
      <c r="M130" s="2">
        <v>15.69</v>
      </c>
      <c r="N130" s="2">
        <v>1.121245711</v>
      </c>
      <c r="O130" s="2">
        <v>1.080825798</v>
      </c>
      <c r="P130" s="2">
        <v>4.212791095</v>
      </c>
      <c r="Q130" s="2">
        <v>4.1972027179999998</v>
      </c>
      <c r="R130" s="2">
        <v>0.17877790199999999</v>
      </c>
      <c r="S130" s="2">
        <v>0.240382127</v>
      </c>
      <c r="T130" s="2">
        <v>4.2089959930000003</v>
      </c>
      <c r="U130" s="2">
        <v>4.1903134829999997</v>
      </c>
      <c r="V130" s="2">
        <v>1.5328010400000001</v>
      </c>
      <c r="W130" s="2">
        <v>7.1980481999999998E-2</v>
      </c>
      <c r="X130">
        <f t="shared" si="3"/>
        <v>1</v>
      </c>
      <c r="Y130">
        <f t="shared" si="4"/>
        <v>1</v>
      </c>
      <c r="Z130">
        <f t="shared" si="5"/>
        <v>0</v>
      </c>
    </row>
    <row r="131" spans="1:26" ht="15.75" customHeight="1" x14ac:dyDescent="0.2">
      <c r="A131" s="2" t="s">
        <v>23</v>
      </c>
      <c r="B131" s="2" t="s">
        <v>24</v>
      </c>
      <c r="C131" s="2" t="s">
        <v>25</v>
      </c>
      <c r="D131" s="2" t="s">
        <v>25</v>
      </c>
      <c r="E131" s="2">
        <v>169</v>
      </c>
      <c r="F131" s="2">
        <v>193</v>
      </c>
      <c r="G131" s="2">
        <v>790.66666669999995</v>
      </c>
      <c r="H131" s="2">
        <v>1581</v>
      </c>
      <c r="I131" s="2">
        <v>2967</v>
      </c>
      <c r="J131" s="2">
        <v>1.87</v>
      </c>
      <c r="K131" s="2">
        <v>7.18</v>
      </c>
      <c r="L131" s="2">
        <v>11.44</v>
      </c>
      <c r="M131" s="2">
        <v>15.61</v>
      </c>
      <c r="N131" s="2">
        <v>0.31290006799999998</v>
      </c>
      <c r="O131" s="2">
        <v>0.23022399800000001</v>
      </c>
      <c r="P131" s="2">
        <v>2.805703066</v>
      </c>
      <c r="Q131" s="2">
        <v>2.8679616989999999</v>
      </c>
      <c r="R131" s="2">
        <v>2.8040399620000001</v>
      </c>
      <c r="S131" s="2">
        <v>2.865644187</v>
      </c>
      <c r="T131" s="2">
        <v>9.6589781999999999E-2</v>
      </c>
      <c r="U131" s="2">
        <v>0.115272293</v>
      </c>
      <c r="V131" s="2">
        <v>4.1580631009999998</v>
      </c>
      <c r="W131" s="2">
        <v>7.0536026000000002E-2</v>
      </c>
      <c r="X131">
        <f t="shared" ref="X131:X194" si="6">IF(B131="normal",1,0)</f>
        <v>1</v>
      </c>
      <c r="Y131">
        <f t="shared" ref="Y131:Y194" si="7">IF(A131="lecture",1,0)</f>
        <v>1</v>
      </c>
      <c r="Z131">
        <f t="shared" ref="Z131:Z194" si="8">IF(ISNUMBER(FIND("~",D131)),1,0)</f>
        <v>0</v>
      </c>
    </row>
    <row r="132" spans="1:26" ht="15.75" customHeight="1" x14ac:dyDescent="0.2">
      <c r="A132" s="2" t="s">
        <v>23</v>
      </c>
      <c r="B132" s="2" t="s">
        <v>24</v>
      </c>
      <c r="C132" s="2" t="s">
        <v>25</v>
      </c>
      <c r="D132" s="2" t="s">
        <v>25</v>
      </c>
      <c r="E132" s="2">
        <v>227</v>
      </c>
      <c r="F132" s="2">
        <v>184.66666670000001</v>
      </c>
      <c r="G132" s="2">
        <v>774</v>
      </c>
      <c r="H132" s="2">
        <v>1221.333333</v>
      </c>
      <c r="I132" s="2">
        <v>2501.666667</v>
      </c>
      <c r="J132" s="2">
        <v>1.78</v>
      </c>
      <c r="K132" s="2">
        <v>7.06</v>
      </c>
      <c r="L132" s="2">
        <v>9.76</v>
      </c>
      <c r="M132" s="2">
        <v>14.5</v>
      </c>
      <c r="N132" s="2">
        <v>1.436971652</v>
      </c>
      <c r="O132" s="2">
        <v>1.4639466670000001</v>
      </c>
      <c r="P132" s="2">
        <v>3.1181817039999999</v>
      </c>
      <c r="Q132" s="2">
        <v>3.162159935</v>
      </c>
      <c r="R132" s="2">
        <v>2.68758308</v>
      </c>
      <c r="S132" s="2">
        <v>2.7491873039999999</v>
      </c>
      <c r="T132" s="2">
        <v>1.5811243880000001</v>
      </c>
      <c r="U132" s="2">
        <v>1.5624418769999999</v>
      </c>
      <c r="V132" s="2">
        <v>4.0416062180000001</v>
      </c>
      <c r="W132" s="2">
        <v>6.8178635000000001E-2</v>
      </c>
      <c r="X132">
        <f t="shared" si="6"/>
        <v>1</v>
      </c>
      <c r="Y132">
        <f t="shared" si="7"/>
        <v>1</v>
      </c>
      <c r="Z132">
        <f t="shared" si="8"/>
        <v>0</v>
      </c>
    </row>
    <row r="133" spans="1:26" ht="15.75" customHeight="1" x14ac:dyDescent="0.2">
      <c r="A133" s="2" t="s">
        <v>23</v>
      </c>
      <c r="B133" s="2" t="s">
        <v>24</v>
      </c>
      <c r="C133" s="2" t="s">
        <v>25</v>
      </c>
      <c r="D133" s="2" t="s">
        <v>25</v>
      </c>
      <c r="E133" s="2">
        <v>222</v>
      </c>
      <c r="F133" s="2">
        <v>197.66666670000001</v>
      </c>
      <c r="G133" s="2">
        <v>803.66666669999995</v>
      </c>
      <c r="H133" s="2">
        <v>1682.666667</v>
      </c>
      <c r="I133" s="2">
        <v>2833.666667</v>
      </c>
      <c r="J133" s="2">
        <v>1.93</v>
      </c>
      <c r="K133" s="2">
        <v>7.27</v>
      </c>
      <c r="L133" s="2">
        <v>11.85</v>
      </c>
      <c r="M133" s="2">
        <v>15.32</v>
      </c>
      <c r="N133" s="2">
        <v>0.717109832</v>
      </c>
      <c r="O133" s="2">
        <v>0.65206503199999999</v>
      </c>
      <c r="P133" s="2">
        <v>2.9386301659999998</v>
      </c>
      <c r="Q133" s="2">
        <v>3.002553791</v>
      </c>
      <c r="R133" s="2">
        <v>2.8939012449999999</v>
      </c>
      <c r="S133" s="2">
        <v>2.9555054690000002</v>
      </c>
      <c r="T133" s="2">
        <v>0.51076690999999996</v>
      </c>
      <c r="U133" s="2">
        <v>0.52944941999999995</v>
      </c>
      <c r="V133" s="2">
        <v>4.247924383</v>
      </c>
      <c r="W133" s="2">
        <v>4.7741879000000001E-2</v>
      </c>
      <c r="X133">
        <f t="shared" si="6"/>
        <v>1</v>
      </c>
      <c r="Y133">
        <f t="shared" si="7"/>
        <v>1</v>
      </c>
      <c r="Z133">
        <f t="shared" si="8"/>
        <v>0</v>
      </c>
    </row>
    <row r="134" spans="1:26" ht="15.75" customHeight="1" x14ac:dyDescent="0.2">
      <c r="A134" s="2" t="s">
        <v>23</v>
      </c>
      <c r="B134" s="2" t="s">
        <v>24</v>
      </c>
      <c r="C134" s="2" t="s">
        <v>28</v>
      </c>
      <c r="D134" s="2" t="s">
        <v>29</v>
      </c>
      <c r="E134" s="2">
        <v>156</v>
      </c>
      <c r="F134" s="2">
        <v>200</v>
      </c>
      <c r="G134" s="2">
        <v>354.66666670000001</v>
      </c>
      <c r="H134" s="2">
        <v>1099.333333</v>
      </c>
      <c r="I134" s="2">
        <v>2538.333333</v>
      </c>
      <c r="J134" s="2">
        <v>1.95</v>
      </c>
      <c r="K134" s="2">
        <v>3.58</v>
      </c>
      <c r="L134" s="2">
        <v>9.1</v>
      </c>
      <c r="M134" s="2">
        <v>14.6</v>
      </c>
      <c r="N134" s="2">
        <v>1.1192443169999999</v>
      </c>
      <c r="O134" s="2">
        <v>1.198803388</v>
      </c>
      <c r="P134" s="2">
        <v>2.3765086179999999</v>
      </c>
      <c r="Q134" s="2">
        <v>2.3388825130000002</v>
      </c>
      <c r="R134" s="2">
        <v>0.79438915700000001</v>
      </c>
      <c r="S134" s="2">
        <v>0.73278493300000003</v>
      </c>
      <c r="T134" s="2">
        <v>2.2398078219999999</v>
      </c>
      <c r="U134" s="2">
        <v>2.2211253119999999</v>
      </c>
      <c r="V134" s="2">
        <v>0.55963398099999995</v>
      </c>
      <c r="W134" s="2">
        <v>5.8235903999999998E-2</v>
      </c>
      <c r="X134">
        <f t="shared" si="6"/>
        <v>1</v>
      </c>
      <c r="Y134">
        <f t="shared" si="7"/>
        <v>1</v>
      </c>
      <c r="Z134">
        <f t="shared" si="8"/>
        <v>1</v>
      </c>
    </row>
    <row r="135" spans="1:26" ht="15.75" customHeight="1" x14ac:dyDescent="0.2">
      <c r="A135" s="2" t="s">
        <v>23</v>
      </c>
      <c r="B135" s="2" t="s">
        <v>24</v>
      </c>
      <c r="C135" s="2" t="s">
        <v>30</v>
      </c>
      <c r="D135" s="2" t="s">
        <v>31</v>
      </c>
      <c r="E135" s="2">
        <v>170</v>
      </c>
      <c r="F135" s="2">
        <v>205.33333329999999</v>
      </c>
      <c r="G135" s="2">
        <v>703.33333330000005</v>
      </c>
      <c r="H135" s="2">
        <v>1246</v>
      </c>
      <c r="I135" s="2">
        <v>3055.333333</v>
      </c>
      <c r="J135" s="2">
        <v>2.0099999999999998</v>
      </c>
      <c r="K135" s="2">
        <v>6.55</v>
      </c>
      <c r="L135" s="2">
        <v>9.89</v>
      </c>
      <c r="M135" s="2">
        <v>15.8</v>
      </c>
      <c r="N135" s="2">
        <v>4.7456730670000002</v>
      </c>
      <c r="O135" s="2">
        <v>4.6785446650000004</v>
      </c>
      <c r="P135" s="2">
        <v>2.6184419710000002</v>
      </c>
      <c r="Q135" s="2">
        <v>2.6597655379999998</v>
      </c>
      <c r="R135" s="2">
        <v>2.1776144560000001</v>
      </c>
      <c r="S135" s="2">
        <v>2.23921868</v>
      </c>
      <c r="T135" s="2">
        <v>1.4540404520000001</v>
      </c>
      <c r="U135" s="2">
        <v>1.435357942</v>
      </c>
      <c r="V135" s="2">
        <v>3.5316375940000002</v>
      </c>
      <c r="W135" s="2">
        <v>5.3416004000000003E-2</v>
      </c>
      <c r="X135">
        <f t="shared" si="6"/>
        <v>1</v>
      </c>
      <c r="Y135">
        <f t="shared" si="7"/>
        <v>1</v>
      </c>
      <c r="Z135">
        <f t="shared" si="8"/>
        <v>1</v>
      </c>
    </row>
    <row r="136" spans="1:26" ht="15.75" customHeight="1" x14ac:dyDescent="0.2">
      <c r="A136" s="2" t="s">
        <v>23</v>
      </c>
      <c r="B136" s="2" t="s">
        <v>24</v>
      </c>
      <c r="C136" s="2" t="s">
        <v>32</v>
      </c>
      <c r="D136" s="2" t="s">
        <v>33</v>
      </c>
      <c r="E136" s="2">
        <v>190</v>
      </c>
      <c r="F136" s="2">
        <v>176</v>
      </c>
      <c r="G136" s="2">
        <v>587.33333330000005</v>
      </c>
      <c r="H136" s="2">
        <v>1529</v>
      </c>
      <c r="I136" s="2">
        <v>3381.333333</v>
      </c>
      <c r="J136" s="2">
        <v>1.68</v>
      </c>
      <c r="K136" s="2">
        <v>5.65</v>
      </c>
      <c r="L136" s="2">
        <v>11.22</v>
      </c>
      <c r="M136" s="2">
        <v>16.440000000000001</v>
      </c>
      <c r="N136" s="2">
        <v>1.3279535570000001</v>
      </c>
      <c r="O136" s="2">
        <v>1.440297905</v>
      </c>
      <c r="P136" s="2">
        <v>1.2852051920000001</v>
      </c>
      <c r="Q136" s="2">
        <v>1.344932684</v>
      </c>
      <c r="R136" s="2">
        <v>1.2791527499999999</v>
      </c>
      <c r="S136" s="2">
        <v>1.3407569749999999</v>
      </c>
      <c r="T136" s="2">
        <v>0.124581804</v>
      </c>
      <c r="U136" s="2">
        <v>0.105899294</v>
      </c>
      <c r="V136" s="2">
        <v>2.6331758879999998</v>
      </c>
      <c r="W136" s="2">
        <v>6.0405898999999999E-2</v>
      </c>
      <c r="X136">
        <f t="shared" si="6"/>
        <v>1</v>
      </c>
      <c r="Y136">
        <f t="shared" si="7"/>
        <v>1</v>
      </c>
      <c r="Z136">
        <f t="shared" si="8"/>
        <v>1</v>
      </c>
    </row>
    <row r="137" spans="1:26" ht="15.75" customHeight="1" x14ac:dyDescent="0.2">
      <c r="A137" s="2" t="s">
        <v>23</v>
      </c>
      <c r="B137" s="2" t="s">
        <v>24</v>
      </c>
      <c r="C137" s="2" t="s">
        <v>26</v>
      </c>
      <c r="D137" s="2" t="s">
        <v>26</v>
      </c>
      <c r="E137" s="2">
        <v>180</v>
      </c>
      <c r="F137" s="2">
        <v>238.66666670000001</v>
      </c>
      <c r="G137" s="2">
        <v>370</v>
      </c>
      <c r="H137" s="2">
        <v>968.33333330000005</v>
      </c>
      <c r="I137" s="2">
        <v>2811.666667</v>
      </c>
      <c r="J137" s="2">
        <v>2.38</v>
      </c>
      <c r="K137" s="2">
        <v>3.73</v>
      </c>
      <c r="L137" s="2">
        <v>8.34</v>
      </c>
      <c r="M137" s="2">
        <v>15.27</v>
      </c>
      <c r="N137" s="2">
        <v>0.34250211699999999</v>
      </c>
      <c r="O137" s="2">
        <v>0.41614874400000001</v>
      </c>
      <c r="P137" s="2">
        <v>3.0765591419999998</v>
      </c>
      <c r="Q137" s="2">
        <v>3.0458973829999998</v>
      </c>
      <c r="R137" s="2">
        <v>0.64499105400000001</v>
      </c>
      <c r="S137" s="2">
        <v>0.58338683000000002</v>
      </c>
      <c r="T137" s="2">
        <v>3.008189271</v>
      </c>
      <c r="U137" s="2">
        <v>2.9895067609999999</v>
      </c>
      <c r="V137" s="2">
        <v>0.70903208399999995</v>
      </c>
      <c r="W137" s="2">
        <v>5.7225061000000001E-2</v>
      </c>
      <c r="X137">
        <f t="shared" si="6"/>
        <v>1</v>
      </c>
      <c r="Y137">
        <f t="shared" si="7"/>
        <v>1</v>
      </c>
      <c r="Z137">
        <f t="shared" si="8"/>
        <v>0</v>
      </c>
    </row>
    <row r="138" spans="1:26" ht="15.75" customHeight="1" x14ac:dyDescent="0.2">
      <c r="A138" s="2" t="s">
        <v>23</v>
      </c>
      <c r="B138" s="2" t="s">
        <v>24</v>
      </c>
      <c r="C138" s="2" t="s">
        <v>32</v>
      </c>
      <c r="D138" s="2" t="s">
        <v>33</v>
      </c>
      <c r="E138" s="2">
        <v>180</v>
      </c>
      <c r="F138" s="2">
        <v>205.33333329999999</v>
      </c>
      <c r="G138" s="2">
        <v>449</v>
      </c>
      <c r="H138" s="2">
        <v>920.66666669999995</v>
      </c>
      <c r="I138" s="2">
        <v>2710</v>
      </c>
      <c r="J138" s="2">
        <v>2.0099999999999998</v>
      </c>
      <c r="K138" s="2">
        <v>4.47</v>
      </c>
      <c r="L138" s="2">
        <v>8.0399999999999991</v>
      </c>
      <c r="M138" s="2">
        <v>15.03</v>
      </c>
      <c r="N138" s="2">
        <v>4.0359901699999998</v>
      </c>
      <c r="O138" s="2">
        <v>4.1292313920000003</v>
      </c>
      <c r="P138" s="2">
        <v>3.306472662</v>
      </c>
      <c r="Q138" s="2">
        <v>3.2901465509999999</v>
      </c>
      <c r="R138" s="2">
        <v>9.4592518E-2</v>
      </c>
      <c r="S138" s="2">
        <v>0.156196742</v>
      </c>
      <c r="T138" s="2">
        <v>3.3051193200000002</v>
      </c>
      <c r="U138" s="2">
        <v>3.2864368100000001</v>
      </c>
      <c r="V138" s="2">
        <v>1.4486156560000001</v>
      </c>
      <c r="W138" s="2">
        <v>4.9774067999999998E-2</v>
      </c>
      <c r="X138">
        <f t="shared" si="6"/>
        <v>1</v>
      </c>
      <c r="Y138">
        <f t="shared" si="7"/>
        <v>1</v>
      </c>
      <c r="Z138">
        <f t="shared" si="8"/>
        <v>1</v>
      </c>
    </row>
    <row r="139" spans="1:26" ht="15.75" customHeight="1" x14ac:dyDescent="0.2">
      <c r="A139" s="2" t="s">
        <v>23</v>
      </c>
      <c r="B139" s="2" t="s">
        <v>24</v>
      </c>
      <c r="C139" s="2" t="s">
        <v>28</v>
      </c>
      <c r="D139" s="2" t="s">
        <v>29</v>
      </c>
      <c r="E139" s="2">
        <v>154</v>
      </c>
      <c r="F139" s="2">
        <v>204.33333329999999</v>
      </c>
      <c r="G139" s="2">
        <v>410.66666670000001</v>
      </c>
      <c r="H139" s="2">
        <v>1012.333333</v>
      </c>
      <c r="I139" s="2">
        <v>2842</v>
      </c>
      <c r="J139" s="2">
        <v>2</v>
      </c>
      <c r="K139" s="2">
        <v>4.1100000000000003</v>
      </c>
      <c r="L139" s="2">
        <v>8.6</v>
      </c>
      <c r="M139" s="2">
        <v>15.34</v>
      </c>
      <c r="N139" s="2">
        <v>0.62970045200000002</v>
      </c>
      <c r="O139" s="2">
        <v>0.73378990200000005</v>
      </c>
      <c r="P139" s="2">
        <v>2.7546729189999999</v>
      </c>
      <c r="Q139" s="2">
        <v>2.7309501580000002</v>
      </c>
      <c r="R139" s="2">
        <v>0.25812106000000001</v>
      </c>
      <c r="S139" s="2">
        <v>0.196516835</v>
      </c>
      <c r="T139" s="2">
        <v>2.7425529000000002</v>
      </c>
      <c r="U139" s="2">
        <v>2.7238703900000001</v>
      </c>
      <c r="V139" s="2">
        <v>1.0959020779999999</v>
      </c>
      <c r="W139" s="2">
        <v>4.0472932000000003E-2</v>
      </c>
      <c r="X139">
        <f t="shared" si="6"/>
        <v>1</v>
      </c>
      <c r="Y139">
        <f t="shared" si="7"/>
        <v>1</v>
      </c>
      <c r="Z139">
        <f t="shared" si="8"/>
        <v>1</v>
      </c>
    </row>
    <row r="140" spans="1:26" ht="15.75" customHeight="1" x14ac:dyDescent="0.2">
      <c r="A140" s="2" t="s">
        <v>23</v>
      </c>
      <c r="B140" s="2" t="s">
        <v>24</v>
      </c>
      <c r="C140" s="2" t="s">
        <v>32</v>
      </c>
      <c r="D140" s="2" t="s">
        <v>33</v>
      </c>
      <c r="E140" s="2">
        <v>173</v>
      </c>
      <c r="F140" s="2">
        <v>197</v>
      </c>
      <c r="G140" s="2">
        <v>444.33333329999999</v>
      </c>
      <c r="H140" s="2">
        <v>1019</v>
      </c>
      <c r="I140" s="2">
        <v>2987.666667</v>
      </c>
      <c r="J140" s="2">
        <v>1.92</v>
      </c>
      <c r="K140" s="2">
        <v>4.42</v>
      </c>
      <c r="L140" s="2">
        <v>8.64</v>
      </c>
      <c r="M140" s="2">
        <v>15.66</v>
      </c>
      <c r="N140" s="2">
        <v>3.6141951309999998</v>
      </c>
      <c r="O140" s="2">
        <v>3.7146295249999999</v>
      </c>
      <c r="P140" s="2">
        <v>2.703494552</v>
      </c>
      <c r="Q140" s="2">
        <v>2.6867206549999998</v>
      </c>
      <c r="R140" s="2">
        <v>5.2254727000000001E-2</v>
      </c>
      <c r="S140" s="2">
        <v>0.113858952</v>
      </c>
      <c r="T140" s="2">
        <v>2.7029895000000002</v>
      </c>
      <c r="U140" s="2">
        <v>2.6843069900000001</v>
      </c>
      <c r="V140" s="2">
        <v>1.4062778650000001</v>
      </c>
      <c r="W140" s="2">
        <v>6.2304950999999997E-2</v>
      </c>
      <c r="X140">
        <f t="shared" si="6"/>
        <v>1</v>
      </c>
      <c r="Y140">
        <f t="shared" si="7"/>
        <v>1</v>
      </c>
      <c r="Z140">
        <f t="shared" si="8"/>
        <v>1</v>
      </c>
    </row>
    <row r="141" spans="1:26" ht="15.75" customHeight="1" x14ac:dyDescent="0.2">
      <c r="A141" s="2" t="s">
        <v>23</v>
      </c>
      <c r="B141" s="2" t="s">
        <v>24</v>
      </c>
      <c r="C141" s="2" t="s">
        <v>25</v>
      </c>
      <c r="D141" s="2" t="s">
        <v>25</v>
      </c>
      <c r="E141" s="2">
        <v>256</v>
      </c>
      <c r="F141" s="2">
        <v>188.66666670000001</v>
      </c>
      <c r="G141" s="2">
        <v>755</v>
      </c>
      <c r="H141" s="2">
        <v>1629.666667</v>
      </c>
      <c r="I141" s="2">
        <v>2923.333333</v>
      </c>
      <c r="J141" s="2">
        <v>1.82</v>
      </c>
      <c r="K141" s="2">
        <v>6.93</v>
      </c>
      <c r="L141" s="2">
        <v>11.64</v>
      </c>
      <c r="M141" s="2">
        <v>15.52</v>
      </c>
      <c r="N141" s="2">
        <v>0.44744903499999999</v>
      </c>
      <c r="O141" s="2">
        <v>0.44738208200000001</v>
      </c>
      <c r="P141" s="2">
        <v>2.5703852619999998</v>
      </c>
      <c r="Q141" s="2">
        <v>2.6337638139999999</v>
      </c>
      <c r="R141" s="2">
        <v>2.553078169</v>
      </c>
      <c r="S141" s="2">
        <v>2.6146823929999998</v>
      </c>
      <c r="T141" s="2">
        <v>0.29777887800000002</v>
      </c>
      <c r="U141" s="2">
        <v>0.31646138800000001</v>
      </c>
      <c r="V141" s="2">
        <v>3.907101307</v>
      </c>
      <c r="W141" s="2">
        <v>5.8034313999999997E-2</v>
      </c>
      <c r="X141">
        <f t="shared" si="6"/>
        <v>1</v>
      </c>
      <c r="Y141">
        <f t="shared" si="7"/>
        <v>1</v>
      </c>
      <c r="Z141">
        <f t="shared" si="8"/>
        <v>0</v>
      </c>
    </row>
    <row r="142" spans="1:26" ht="15.75" customHeight="1" x14ac:dyDescent="0.2">
      <c r="A142" s="2" t="s">
        <v>23</v>
      </c>
      <c r="B142" s="2" t="s">
        <v>24</v>
      </c>
      <c r="C142" s="2" t="s">
        <v>27</v>
      </c>
      <c r="D142" s="2" t="s">
        <v>27</v>
      </c>
      <c r="E142" s="2">
        <v>148</v>
      </c>
      <c r="F142" s="2">
        <v>217</v>
      </c>
      <c r="G142" s="2">
        <v>386.66666670000001</v>
      </c>
      <c r="H142" s="2">
        <v>2412.666667</v>
      </c>
      <c r="I142" s="2">
        <v>2973.333333</v>
      </c>
      <c r="J142" s="2">
        <v>2.14</v>
      </c>
      <c r="K142" s="2">
        <v>3.89</v>
      </c>
      <c r="L142" s="2">
        <v>14.26</v>
      </c>
      <c r="M142" s="2">
        <v>15.63</v>
      </c>
      <c r="N142" s="2">
        <v>0.38614480200000001</v>
      </c>
      <c r="O142" s="2">
        <v>0.52910128999999995</v>
      </c>
      <c r="P142" s="2">
        <v>2.959050108</v>
      </c>
      <c r="Q142" s="2">
        <v>2.9680732920000001</v>
      </c>
      <c r="R142" s="2">
        <v>0.48481621000000003</v>
      </c>
      <c r="S142" s="2">
        <v>0.42321198599999998</v>
      </c>
      <c r="T142" s="2">
        <v>2.9190633400000001</v>
      </c>
      <c r="U142" s="2">
        <v>2.9377458509999999</v>
      </c>
      <c r="V142" s="2">
        <v>0.86920692799999999</v>
      </c>
      <c r="W142" s="2">
        <v>4.0815059000000001E-2</v>
      </c>
      <c r="X142">
        <f t="shared" si="6"/>
        <v>1</v>
      </c>
      <c r="Y142">
        <f t="shared" si="7"/>
        <v>1</v>
      </c>
      <c r="Z142">
        <f t="shared" si="8"/>
        <v>0</v>
      </c>
    </row>
    <row r="143" spans="1:26" ht="15.75" customHeight="1" x14ac:dyDescent="0.2">
      <c r="A143" s="2" t="s">
        <v>23</v>
      </c>
      <c r="B143" s="2" t="s">
        <v>24</v>
      </c>
      <c r="C143" s="2" t="s">
        <v>30</v>
      </c>
      <c r="D143" s="2" t="s">
        <v>31</v>
      </c>
      <c r="E143" s="2">
        <v>188</v>
      </c>
      <c r="F143" s="2">
        <v>219.66666670000001</v>
      </c>
      <c r="G143" s="2">
        <v>624</v>
      </c>
      <c r="H143" s="2">
        <v>1265.333333</v>
      </c>
      <c r="I143" s="2">
        <v>3285</v>
      </c>
      <c r="J143" s="2">
        <v>2.17</v>
      </c>
      <c r="K143" s="2">
        <v>5.94</v>
      </c>
      <c r="L143" s="2">
        <v>9.99</v>
      </c>
      <c r="M143" s="2">
        <v>16.260000000000002</v>
      </c>
      <c r="N143" s="2">
        <v>4.3619562839999997</v>
      </c>
      <c r="O143" s="2">
        <v>4.275408638</v>
      </c>
      <c r="P143" s="2">
        <v>2.0757998409999998</v>
      </c>
      <c r="Q143" s="2">
        <v>2.1109470250000002</v>
      </c>
      <c r="R143" s="2">
        <v>1.571868458</v>
      </c>
      <c r="S143" s="2">
        <v>1.6334726820000001</v>
      </c>
      <c r="T143" s="2">
        <v>1.3557929529999999</v>
      </c>
      <c r="U143" s="2">
        <v>1.337110443</v>
      </c>
      <c r="V143" s="2">
        <v>2.925891596</v>
      </c>
      <c r="W143" s="2">
        <v>5.3417560000000003E-2</v>
      </c>
      <c r="X143">
        <f t="shared" si="6"/>
        <v>1</v>
      </c>
      <c r="Y143">
        <f t="shared" si="7"/>
        <v>1</v>
      </c>
      <c r="Z143">
        <f t="shared" si="8"/>
        <v>1</v>
      </c>
    </row>
    <row r="144" spans="1:26" ht="15.75" customHeight="1" x14ac:dyDescent="0.2">
      <c r="A144" s="2" t="s">
        <v>23</v>
      </c>
      <c r="B144" s="2" t="s">
        <v>24</v>
      </c>
      <c r="C144" s="2" t="s">
        <v>25</v>
      </c>
      <c r="D144" s="2" t="s">
        <v>25</v>
      </c>
      <c r="E144" s="2">
        <v>199</v>
      </c>
      <c r="F144" s="2">
        <v>205.66666670000001</v>
      </c>
      <c r="G144" s="2">
        <v>793</v>
      </c>
      <c r="H144" s="2">
        <v>1519</v>
      </c>
      <c r="I144" s="2">
        <v>2928.666667</v>
      </c>
      <c r="J144" s="2">
        <v>2.02</v>
      </c>
      <c r="K144" s="2">
        <v>7.19</v>
      </c>
      <c r="L144" s="2">
        <v>11.18</v>
      </c>
      <c r="M144" s="2">
        <v>15.53</v>
      </c>
      <c r="N144" s="2">
        <v>0.21438090700000001</v>
      </c>
      <c r="O144" s="2">
        <v>0.112673074</v>
      </c>
      <c r="P144" s="2">
        <v>2.825223255</v>
      </c>
      <c r="Q144" s="2">
        <v>2.885694773</v>
      </c>
      <c r="R144" s="2">
        <v>2.8202314030000002</v>
      </c>
      <c r="S144" s="2">
        <v>2.8818356280000001</v>
      </c>
      <c r="T144" s="2">
        <v>0.16787279099999999</v>
      </c>
      <c r="U144" s="2">
        <v>0.14919028100000001</v>
      </c>
      <c r="V144" s="2">
        <v>4.1742545409999998</v>
      </c>
      <c r="W144" s="2">
        <v>6.8100787999999995E-2</v>
      </c>
      <c r="X144">
        <f t="shared" si="6"/>
        <v>1</v>
      </c>
      <c r="Y144">
        <f t="shared" si="7"/>
        <v>1</v>
      </c>
      <c r="Z144">
        <f t="shared" si="8"/>
        <v>0</v>
      </c>
    </row>
    <row r="145" spans="1:26" ht="15.75" customHeight="1" x14ac:dyDescent="0.2">
      <c r="A145" s="2" t="s">
        <v>23</v>
      </c>
      <c r="B145" s="2" t="s">
        <v>24</v>
      </c>
      <c r="C145" s="2" t="s">
        <v>30</v>
      </c>
      <c r="D145" s="2" t="s">
        <v>31</v>
      </c>
      <c r="E145" s="2">
        <v>181</v>
      </c>
      <c r="F145" s="2">
        <v>196</v>
      </c>
      <c r="G145" s="2">
        <v>561</v>
      </c>
      <c r="H145" s="2">
        <v>1220.666667</v>
      </c>
      <c r="I145" s="2">
        <v>2688.333333</v>
      </c>
      <c r="J145" s="2">
        <v>1.91</v>
      </c>
      <c r="K145" s="2">
        <v>5.44</v>
      </c>
      <c r="L145" s="2">
        <v>9.76</v>
      </c>
      <c r="M145" s="2">
        <v>14.98</v>
      </c>
      <c r="N145" s="2">
        <v>4.3764081819999996</v>
      </c>
      <c r="O145" s="2">
        <v>4.2671807199999998</v>
      </c>
      <c r="P145" s="2">
        <v>1.908486618</v>
      </c>
      <c r="Q145" s="2">
        <v>1.9282922689999999</v>
      </c>
      <c r="R145" s="2">
        <v>1.0636761589999999</v>
      </c>
      <c r="S145" s="2">
        <v>1.125280383</v>
      </c>
      <c r="T145" s="2">
        <v>1.584586445</v>
      </c>
      <c r="U145" s="2">
        <v>1.5659039349999999</v>
      </c>
      <c r="V145" s="2">
        <v>2.417699297</v>
      </c>
      <c r="W145" s="2">
        <v>6.2623230000000002E-2</v>
      </c>
      <c r="X145">
        <f t="shared" si="6"/>
        <v>1</v>
      </c>
      <c r="Y145">
        <f t="shared" si="7"/>
        <v>1</v>
      </c>
      <c r="Z145">
        <f t="shared" si="8"/>
        <v>1</v>
      </c>
    </row>
    <row r="146" spans="1:26" ht="15.75" customHeight="1" x14ac:dyDescent="0.2">
      <c r="A146" s="2" t="s">
        <v>23</v>
      </c>
      <c r="B146" s="2" t="s">
        <v>24</v>
      </c>
      <c r="C146" s="2" t="s">
        <v>25</v>
      </c>
      <c r="D146" s="2" t="s">
        <v>25</v>
      </c>
      <c r="E146" s="2">
        <v>129</v>
      </c>
      <c r="F146" s="2">
        <v>204</v>
      </c>
      <c r="G146" s="2">
        <v>628.33333330000005</v>
      </c>
      <c r="H146" s="2">
        <v>1363.666667</v>
      </c>
      <c r="I146" s="2">
        <v>2360</v>
      </c>
      <c r="J146" s="2">
        <v>2</v>
      </c>
      <c r="K146" s="2">
        <v>5.98</v>
      </c>
      <c r="L146" s="2">
        <v>10.47</v>
      </c>
      <c r="M146" s="2">
        <v>14.12</v>
      </c>
      <c r="N146" s="2">
        <v>1.760569125</v>
      </c>
      <c r="O146" s="2">
        <v>2.009846907</v>
      </c>
      <c r="P146" s="2">
        <v>1.8994732590000001</v>
      </c>
      <c r="Q146" s="2">
        <v>1.7740556810000001</v>
      </c>
      <c r="R146" s="2">
        <v>1.587131064</v>
      </c>
      <c r="S146" s="2">
        <v>1.4885328149999999</v>
      </c>
      <c r="T146" s="2">
        <v>1.043558167</v>
      </c>
      <c r="U146" s="2">
        <v>0.96516507200000001</v>
      </c>
      <c r="V146" s="2">
        <v>2.9751923749999998</v>
      </c>
      <c r="W146" s="2">
        <v>4.7246877E-2</v>
      </c>
      <c r="X146">
        <f t="shared" si="6"/>
        <v>1</v>
      </c>
      <c r="Y146">
        <f t="shared" si="7"/>
        <v>1</v>
      </c>
      <c r="Z146">
        <f t="shared" si="8"/>
        <v>0</v>
      </c>
    </row>
    <row r="147" spans="1:26" ht="15.75" customHeight="1" x14ac:dyDescent="0.2">
      <c r="A147" s="2" t="s">
        <v>23</v>
      </c>
      <c r="B147" s="2" t="s">
        <v>24</v>
      </c>
      <c r="C147" s="2" t="s">
        <v>26</v>
      </c>
      <c r="D147" s="2" t="s">
        <v>26</v>
      </c>
      <c r="E147" s="2">
        <v>109</v>
      </c>
      <c r="F147" s="2">
        <v>226</v>
      </c>
      <c r="G147" s="2">
        <v>396</v>
      </c>
      <c r="H147" s="2">
        <v>1013</v>
      </c>
      <c r="I147" s="2">
        <v>2850.666667</v>
      </c>
      <c r="J147" s="2">
        <v>2.2400000000000002</v>
      </c>
      <c r="K147" s="2">
        <v>3.98</v>
      </c>
      <c r="L147" s="2">
        <v>8.61</v>
      </c>
      <c r="M147" s="2">
        <v>15.36</v>
      </c>
      <c r="N147" s="2">
        <v>8.3554890000000007E-2</v>
      </c>
      <c r="O147" s="2">
        <v>0.36028906199999999</v>
      </c>
      <c r="P147" s="2">
        <v>2.9378138819999999</v>
      </c>
      <c r="Q147" s="2">
        <v>2.8761850359999999</v>
      </c>
      <c r="R147" s="2">
        <v>0.41489126599999998</v>
      </c>
      <c r="S147" s="2">
        <v>0.51348951499999995</v>
      </c>
      <c r="T147" s="2">
        <v>2.9083699279999999</v>
      </c>
      <c r="U147" s="2">
        <v>2.829976834</v>
      </c>
      <c r="V147" s="2">
        <v>0.97317004500000004</v>
      </c>
      <c r="W147" s="2">
        <v>5.8813664000000002E-2</v>
      </c>
      <c r="X147">
        <f t="shared" si="6"/>
        <v>1</v>
      </c>
      <c r="Y147">
        <f t="shared" si="7"/>
        <v>1</v>
      </c>
      <c r="Z147">
        <f t="shared" si="8"/>
        <v>0</v>
      </c>
    </row>
    <row r="148" spans="1:26" ht="15.75" customHeight="1" x14ac:dyDescent="0.2">
      <c r="A148" s="2" t="s">
        <v>23</v>
      </c>
      <c r="B148" s="2" t="s">
        <v>24</v>
      </c>
      <c r="C148" s="2" t="s">
        <v>27</v>
      </c>
      <c r="D148" s="2" t="s">
        <v>27</v>
      </c>
      <c r="E148" s="2">
        <v>87</v>
      </c>
      <c r="F148" s="2">
        <v>188</v>
      </c>
      <c r="G148" s="2">
        <v>384.33333329999999</v>
      </c>
      <c r="H148" s="2">
        <v>2610</v>
      </c>
      <c r="I148" s="2">
        <v>3146</v>
      </c>
      <c r="J148" s="2">
        <v>1.82</v>
      </c>
      <c r="K148" s="2">
        <v>3.87</v>
      </c>
      <c r="L148" s="2">
        <v>14.78</v>
      </c>
      <c r="M148" s="2">
        <v>15.99</v>
      </c>
      <c r="N148" s="2">
        <v>0.49008204500000002</v>
      </c>
      <c r="O148" s="2">
        <v>0.50018690700000001</v>
      </c>
      <c r="P148" s="2">
        <v>3.3102304619999998</v>
      </c>
      <c r="Q148" s="2">
        <v>3.404350591</v>
      </c>
      <c r="R148" s="2">
        <v>0.525886678</v>
      </c>
      <c r="S148" s="2">
        <v>0.62448492700000002</v>
      </c>
      <c r="T148" s="2">
        <v>3.268190465</v>
      </c>
      <c r="U148" s="2">
        <v>3.3465835589999999</v>
      </c>
      <c r="V148" s="2">
        <v>0.86217463299999997</v>
      </c>
      <c r="W148" s="2">
        <v>5.7084125999999999E-2</v>
      </c>
      <c r="X148">
        <f t="shared" si="6"/>
        <v>1</v>
      </c>
      <c r="Y148">
        <f t="shared" si="7"/>
        <v>1</v>
      </c>
      <c r="Z148">
        <f t="shared" si="8"/>
        <v>0</v>
      </c>
    </row>
    <row r="149" spans="1:26" ht="15.75" customHeight="1" x14ac:dyDescent="0.2">
      <c r="A149" s="2" t="s">
        <v>23</v>
      </c>
      <c r="B149" s="2" t="s">
        <v>24</v>
      </c>
      <c r="C149" s="2" t="s">
        <v>28</v>
      </c>
      <c r="D149" s="2" t="s">
        <v>29</v>
      </c>
      <c r="E149" s="2">
        <v>150</v>
      </c>
      <c r="F149" s="2">
        <v>227.33333329999999</v>
      </c>
      <c r="G149" s="2">
        <v>280.33333329999999</v>
      </c>
      <c r="H149" s="2">
        <v>1334.333333</v>
      </c>
      <c r="I149" s="2">
        <v>2426.666667</v>
      </c>
      <c r="J149" s="2">
        <v>2.2599999999999998</v>
      </c>
      <c r="K149" s="2">
        <v>2.82</v>
      </c>
      <c r="L149" s="2">
        <v>10.33</v>
      </c>
      <c r="M149" s="2">
        <v>14.3</v>
      </c>
      <c r="N149" s="2">
        <v>2.1306312730000001</v>
      </c>
      <c r="O149" s="2">
        <v>2.2742084519999999</v>
      </c>
      <c r="P149" s="2">
        <v>1.963748013</v>
      </c>
      <c r="Q149" s="2">
        <v>1.9988441100000001</v>
      </c>
      <c r="R149" s="2">
        <v>1.566415756</v>
      </c>
      <c r="S149" s="2">
        <v>1.665014005</v>
      </c>
      <c r="T149" s="2">
        <v>1.184334387</v>
      </c>
      <c r="U149" s="2">
        <v>1.105941292</v>
      </c>
      <c r="V149" s="2">
        <v>-0.178354445</v>
      </c>
      <c r="W149" s="2">
        <v>5.5990008000000001E-2</v>
      </c>
      <c r="X149">
        <f t="shared" si="6"/>
        <v>1</v>
      </c>
      <c r="Y149">
        <f t="shared" si="7"/>
        <v>1</v>
      </c>
      <c r="Z149">
        <f t="shared" si="8"/>
        <v>1</v>
      </c>
    </row>
    <row r="150" spans="1:26" ht="15.75" customHeight="1" x14ac:dyDescent="0.2">
      <c r="A150" s="2" t="s">
        <v>23</v>
      </c>
      <c r="B150" s="2" t="s">
        <v>24</v>
      </c>
      <c r="C150" s="2" t="s">
        <v>30</v>
      </c>
      <c r="D150" s="2" t="s">
        <v>31</v>
      </c>
      <c r="E150" s="2">
        <v>163</v>
      </c>
      <c r="F150" s="2">
        <v>217</v>
      </c>
      <c r="G150" s="2">
        <v>482.33333329999999</v>
      </c>
      <c r="H150" s="2">
        <v>1294</v>
      </c>
      <c r="I150" s="2">
        <v>2411</v>
      </c>
      <c r="J150" s="2">
        <v>2.14</v>
      </c>
      <c r="K150" s="2">
        <v>4.76</v>
      </c>
      <c r="L150" s="2">
        <v>10.130000000000001</v>
      </c>
      <c r="M150" s="2">
        <v>14.26</v>
      </c>
      <c r="N150" s="2">
        <v>4.2739193599999998</v>
      </c>
      <c r="O150" s="2">
        <v>4.2371843650000001</v>
      </c>
      <c r="P150" s="2">
        <v>1.4316304559999999</v>
      </c>
      <c r="Q150" s="2">
        <v>1.3323253740000001</v>
      </c>
      <c r="R150" s="2">
        <v>0.37351700500000001</v>
      </c>
      <c r="S150" s="2">
        <v>0.27491875599999999</v>
      </c>
      <c r="T150" s="2">
        <v>1.382045878</v>
      </c>
      <c r="U150" s="2">
        <v>1.303652783</v>
      </c>
      <c r="V150" s="2">
        <v>1.761578316</v>
      </c>
      <c r="W150" s="2">
        <v>5.1983533999999998E-2</v>
      </c>
      <c r="X150">
        <f t="shared" si="6"/>
        <v>1</v>
      </c>
      <c r="Y150">
        <f t="shared" si="7"/>
        <v>1</v>
      </c>
      <c r="Z150">
        <f t="shared" si="8"/>
        <v>1</v>
      </c>
    </row>
    <row r="151" spans="1:26" ht="15.75" customHeight="1" x14ac:dyDescent="0.2">
      <c r="A151" s="2" t="s">
        <v>23</v>
      </c>
      <c r="B151" s="2" t="s">
        <v>24</v>
      </c>
      <c r="C151" s="2" t="s">
        <v>26</v>
      </c>
      <c r="D151" s="2" t="s">
        <v>26</v>
      </c>
      <c r="E151" s="2">
        <v>117</v>
      </c>
      <c r="F151" s="2">
        <v>189.66666670000001</v>
      </c>
      <c r="G151" s="2">
        <v>369.66666670000001</v>
      </c>
      <c r="H151" s="2">
        <v>801</v>
      </c>
      <c r="I151" s="2">
        <v>2831</v>
      </c>
      <c r="J151" s="2">
        <v>1.84</v>
      </c>
      <c r="K151" s="2">
        <v>3.72</v>
      </c>
      <c r="L151" s="2">
        <v>7.25</v>
      </c>
      <c r="M151" s="2">
        <v>15.31</v>
      </c>
      <c r="N151" s="2">
        <v>1.2969489089999999</v>
      </c>
      <c r="O151" s="2">
        <v>1.0384981579999999</v>
      </c>
      <c r="P151" s="2">
        <v>4.3173532870000004</v>
      </c>
      <c r="Q151" s="2">
        <v>4.256543475</v>
      </c>
      <c r="R151" s="2">
        <v>0.66700102100000003</v>
      </c>
      <c r="S151" s="2">
        <v>0.76559927000000005</v>
      </c>
      <c r="T151" s="2">
        <v>4.2655186140000003</v>
      </c>
      <c r="U151" s="2">
        <v>4.1871255190000003</v>
      </c>
      <c r="V151" s="2">
        <v>0.72106029000000005</v>
      </c>
      <c r="W151" s="2">
        <v>4.4369062000000001E-2</v>
      </c>
      <c r="X151">
        <f t="shared" si="6"/>
        <v>1</v>
      </c>
      <c r="Y151">
        <f t="shared" si="7"/>
        <v>1</v>
      </c>
      <c r="Z151">
        <f t="shared" si="8"/>
        <v>0</v>
      </c>
    </row>
    <row r="152" spans="1:26" ht="15.75" customHeight="1" x14ac:dyDescent="0.2">
      <c r="A152" s="2" t="s">
        <v>23</v>
      </c>
      <c r="B152" s="2" t="s">
        <v>24</v>
      </c>
      <c r="C152" s="2" t="s">
        <v>28</v>
      </c>
      <c r="D152" s="2" t="s">
        <v>29</v>
      </c>
      <c r="E152" s="2">
        <v>143</v>
      </c>
      <c r="F152" s="2">
        <v>221.33333329999999</v>
      </c>
      <c r="G152" s="2">
        <v>312.66666670000001</v>
      </c>
      <c r="H152" s="2">
        <v>1142</v>
      </c>
      <c r="I152" s="2">
        <v>2110</v>
      </c>
      <c r="J152" s="2">
        <v>2.19</v>
      </c>
      <c r="K152" s="2">
        <v>3.16</v>
      </c>
      <c r="L152" s="2">
        <v>9.34</v>
      </c>
      <c r="M152" s="2">
        <v>13.37</v>
      </c>
      <c r="N152" s="2">
        <v>1.1415078400000001</v>
      </c>
      <c r="O152" s="2">
        <v>1.2455380570000001</v>
      </c>
      <c r="P152" s="2">
        <v>2.4985977680000002</v>
      </c>
      <c r="Q152" s="2">
        <v>2.4821756279999998</v>
      </c>
      <c r="R152" s="2">
        <v>1.2327166970000001</v>
      </c>
      <c r="S152" s="2">
        <v>1.331314946</v>
      </c>
      <c r="T152" s="2">
        <v>2.1733385269999999</v>
      </c>
      <c r="U152" s="2">
        <v>2.0949454319999998</v>
      </c>
      <c r="V152" s="2">
        <v>0.15534461399999999</v>
      </c>
      <c r="W152" s="2">
        <v>4.5050880000000001E-2</v>
      </c>
      <c r="X152">
        <f t="shared" si="6"/>
        <v>1</v>
      </c>
      <c r="Y152">
        <f t="shared" si="7"/>
        <v>1</v>
      </c>
      <c r="Z152">
        <f t="shared" si="8"/>
        <v>1</v>
      </c>
    </row>
    <row r="153" spans="1:26" ht="15.75" customHeight="1" x14ac:dyDescent="0.2">
      <c r="A153" s="2" t="s">
        <v>23</v>
      </c>
      <c r="B153" s="2" t="s">
        <v>24</v>
      </c>
      <c r="C153" s="2" t="s">
        <v>32</v>
      </c>
      <c r="D153" s="2" t="s">
        <v>33</v>
      </c>
      <c r="E153" s="2">
        <v>136</v>
      </c>
      <c r="F153" s="2">
        <v>229</v>
      </c>
      <c r="G153" s="2">
        <v>538.66666669999995</v>
      </c>
      <c r="H153" s="2">
        <v>1006</v>
      </c>
      <c r="I153" s="2">
        <v>2321.333333</v>
      </c>
      <c r="J153" s="2">
        <v>2.27</v>
      </c>
      <c r="K153" s="2">
        <v>5.25</v>
      </c>
      <c r="L153" s="2">
        <v>8.56</v>
      </c>
      <c r="M153" s="2">
        <v>14.01</v>
      </c>
      <c r="N153" s="2">
        <v>3.7542771909999999</v>
      </c>
      <c r="O153" s="2">
        <v>3.9604238779999998</v>
      </c>
      <c r="P153" s="2">
        <v>3.0724859339999999</v>
      </c>
      <c r="Q153" s="2">
        <v>2.9705544850000001</v>
      </c>
      <c r="R153" s="2">
        <v>0.85858774199999999</v>
      </c>
      <c r="S153" s="2">
        <v>0.75998949299999996</v>
      </c>
      <c r="T153" s="2">
        <v>2.9500842199999999</v>
      </c>
      <c r="U153" s="2">
        <v>2.8716911249999999</v>
      </c>
      <c r="V153" s="2">
        <v>2.246649052</v>
      </c>
      <c r="W153" s="2">
        <v>6.5318838000000004E-2</v>
      </c>
      <c r="X153">
        <f t="shared" si="6"/>
        <v>1</v>
      </c>
      <c r="Y153">
        <f t="shared" si="7"/>
        <v>1</v>
      </c>
      <c r="Z153">
        <f t="shared" si="8"/>
        <v>1</v>
      </c>
    </row>
    <row r="154" spans="1:26" ht="15.75" customHeight="1" x14ac:dyDescent="0.2">
      <c r="A154" s="2" t="s">
        <v>23</v>
      </c>
      <c r="B154" s="2" t="s">
        <v>24</v>
      </c>
      <c r="C154" s="2" t="s">
        <v>32</v>
      </c>
      <c r="D154" s="2" t="s">
        <v>33</v>
      </c>
      <c r="E154" s="2">
        <v>148</v>
      </c>
      <c r="F154" s="2">
        <v>213.33333329999999</v>
      </c>
      <c r="G154" s="2">
        <v>440.33333329999999</v>
      </c>
      <c r="H154" s="2">
        <v>942</v>
      </c>
      <c r="I154" s="2">
        <v>2444.666667</v>
      </c>
      <c r="J154" s="2">
        <v>2.1</v>
      </c>
      <c r="K154" s="2">
        <v>4.3899999999999997</v>
      </c>
      <c r="L154" s="2">
        <v>8.17</v>
      </c>
      <c r="M154" s="2">
        <v>14.35</v>
      </c>
      <c r="N154" s="2">
        <v>4.5513025029999996</v>
      </c>
      <c r="O154" s="2">
        <v>4.7841744229999996</v>
      </c>
      <c r="P154" s="2">
        <v>3.340804318</v>
      </c>
      <c r="Q154" s="2">
        <v>3.263989939</v>
      </c>
      <c r="R154" s="2">
        <v>2.948928E-3</v>
      </c>
      <c r="S154" s="2">
        <v>0.101547177</v>
      </c>
      <c r="T154" s="2">
        <v>3.3408030160000002</v>
      </c>
      <c r="U154" s="2">
        <v>3.2624099210000002</v>
      </c>
      <c r="V154" s="2">
        <v>1.385112382</v>
      </c>
      <c r="W154" s="2">
        <v>4.9792694999999998E-2</v>
      </c>
      <c r="X154">
        <f t="shared" si="6"/>
        <v>1</v>
      </c>
      <c r="Y154">
        <f t="shared" si="7"/>
        <v>1</v>
      </c>
      <c r="Z154">
        <f t="shared" si="8"/>
        <v>1</v>
      </c>
    </row>
    <row r="155" spans="1:26" ht="15.75" customHeight="1" x14ac:dyDescent="0.2">
      <c r="A155" s="2" t="s">
        <v>23</v>
      </c>
      <c r="B155" s="2" t="s">
        <v>24</v>
      </c>
      <c r="C155" s="2" t="s">
        <v>25</v>
      </c>
      <c r="D155" s="2" t="s">
        <v>25</v>
      </c>
      <c r="E155" s="2">
        <v>181</v>
      </c>
      <c r="F155" s="2">
        <v>194</v>
      </c>
      <c r="G155" s="2">
        <v>841.33333330000005</v>
      </c>
      <c r="H155" s="2">
        <v>1773.333333</v>
      </c>
      <c r="I155" s="2">
        <v>2830.666667</v>
      </c>
      <c r="J155" s="2">
        <v>1.88</v>
      </c>
      <c r="K155" s="2">
        <v>7.52</v>
      </c>
      <c r="L155" s="2">
        <v>12.2</v>
      </c>
      <c r="M155" s="2">
        <v>15.31</v>
      </c>
      <c r="N155" s="2">
        <v>0.56912598000000003</v>
      </c>
      <c r="O155" s="2">
        <v>0.33920124899999998</v>
      </c>
      <c r="P155" s="2">
        <v>3.206194816</v>
      </c>
      <c r="Q155" s="2">
        <v>3.1283484119999998</v>
      </c>
      <c r="R155" s="2">
        <v>3.1307762910000001</v>
      </c>
      <c r="S155" s="2">
        <v>3.032178042</v>
      </c>
      <c r="T155" s="2">
        <v>0.69132120900000005</v>
      </c>
      <c r="U155" s="2">
        <v>0.76971430299999999</v>
      </c>
      <c r="V155" s="2">
        <v>4.5188376019999996</v>
      </c>
      <c r="W155" s="2">
        <v>6.8767933000000003E-2</v>
      </c>
      <c r="X155">
        <f t="shared" si="6"/>
        <v>1</v>
      </c>
      <c r="Y155">
        <f t="shared" si="7"/>
        <v>1</v>
      </c>
      <c r="Z155">
        <f t="shared" si="8"/>
        <v>0</v>
      </c>
    </row>
    <row r="156" spans="1:26" ht="15.75" customHeight="1" x14ac:dyDescent="0.2">
      <c r="A156" s="2" t="s">
        <v>23</v>
      </c>
      <c r="B156" s="2" t="s">
        <v>24</v>
      </c>
      <c r="C156" s="2" t="s">
        <v>32</v>
      </c>
      <c r="D156" s="2" t="s">
        <v>33</v>
      </c>
      <c r="E156" s="2">
        <v>154</v>
      </c>
      <c r="F156" s="2">
        <v>194.66666670000001</v>
      </c>
      <c r="G156" s="2">
        <v>491.33333329999999</v>
      </c>
      <c r="H156" s="2">
        <v>1240</v>
      </c>
      <c r="I156" s="2">
        <v>2588.333333</v>
      </c>
      <c r="J156" s="2">
        <v>1.89</v>
      </c>
      <c r="K156" s="2">
        <v>4.84</v>
      </c>
      <c r="L156" s="2">
        <v>9.86</v>
      </c>
      <c r="M156" s="2">
        <v>14.73</v>
      </c>
      <c r="N156" s="2">
        <v>2.991341367</v>
      </c>
      <c r="O156" s="2">
        <v>3.2659158939999999</v>
      </c>
      <c r="P156" s="2">
        <v>1.7153173079999999</v>
      </c>
      <c r="Q156" s="2">
        <v>1.6154058330000001</v>
      </c>
      <c r="R156" s="2">
        <v>0.45250991000000002</v>
      </c>
      <c r="S156" s="2">
        <v>0.35391166099999999</v>
      </c>
      <c r="T156" s="2">
        <v>1.6545537910000001</v>
      </c>
      <c r="U156" s="2">
        <v>1.5761606969999999</v>
      </c>
      <c r="V156" s="2">
        <v>1.840571221</v>
      </c>
      <c r="W156" s="2">
        <v>4.2932452000000003E-2</v>
      </c>
      <c r="X156">
        <f t="shared" si="6"/>
        <v>1</v>
      </c>
      <c r="Y156">
        <f t="shared" si="7"/>
        <v>1</v>
      </c>
      <c r="Z156">
        <f t="shared" si="8"/>
        <v>1</v>
      </c>
    </row>
    <row r="157" spans="1:26" ht="15.75" customHeight="1" x14ac:dyDescent="0.2">
      <c r="A157" s="2" t="s">
        <v>23</v>
      </c>
      <c r="B157" s="2" t="s">
        <v>24</v>
      </c>
      <c r="C157" s="2" t="s">
        <v>32</v>
      </c>
      <c r="D157" s="2" t="s">
        <v>33</v>
      </c>
      <c r="E157" s="2">
        <v>132</v>
      </c>
      <c r="F157" s="2">
        <v>203.66666670000001</v>
      </c>
      <c r="G157" s="2">
        <v>461.33333329999999</v>
      </c>
      <c r="H157" s="2">
        <v>1082.666667</v>
      </c>
      <c r="I157" s="2">
        <v>2119.333333</v>
      </c>
      <c r="J157" s="2">
        <v>1.99</v>
      </c>
      <c r="K157" s="2">
        <v>4.58</v>
      </c>
      <c r="L157" s="2">
        <v>9.01</v>
      </c>
      <c r="M157" s="2">
        <v>13.4</v>
      </c>
      <c r="N157" s="2">
        <v>3.7803425389999998</v>
      </c>
      <c r="O157" s="2">
        <v>4.0325615849999998</v>
      </c>
      <c r="P157" s="2">
        <v>2.5106418009999998</v>
      </c>
      <c r="Q157" s="2">
        <v>2.42688865</v>
      </c>
      <c r="R157" s="2">
        <v>0.18691656600000001</v>
      </c>
      <c r="S157" s="2">
        <v>8.8318315999999994E-2</v>
      </c>
      <c r="T157" s="2">
        <v>2.5036741899999999</v>
      </c>
      <c r="U157" s="2">
        <v>2.425281096</v>
      </c>
      <c r="V157" s="2">
        <v>1.5749778759999999</v>
      </c>
      <c r="W157" s="2">
        <v>5.6016338999999998E-2</v>
      </c>
      <c r="X157">
        <f t="shared" si="6"/>
        <v>1</v>
      </c>
      <c r="Y157">
        <f t="shared" si="7"/>
        <v>1</v>
      </c>
      <c r="Z157">
        <f t="shared" si="8"/>
        <v>1</v>
      </c>
    </row>
    <row r="158" spans="1:26" ht="15.75" customHeight="1" x14ac:dyDescent="0.2">
      <c r="A158" s="2" t="s">
        <v>23</v>
      </c>
      <c r="B158" s="2" t="s">
        <v>24</v>
      </c>
      <c r="C158" s="2" t="s">
        <v>25</v>
      </c>
      <c r="D158" s="2" t="s">
        <v>25</v>
      </c>
      <c r="E158" s="2">
        <v>100</v>
      </c>
      <c r="F158" s="2">
        <v>191.33333329999999</v>
      </c>
      <c r="G158" s="2">
        <v>793.66666669999995</v>
      </c>
      <c r="H158" s="2">
        <v>1847.333333</v>
      </c>
      <c r="I158" s="2">
        <v>2875.666667</v>
      </c>
      <c r="J158" s="2">
        <v>1.85</v>
      </c>
      <c r="K158" s="2">
        <v>7.2</v>
      </c>
      <c r="L158" s="2">
        <v>12.48</v>
      </c>
      <c r="M158" s="2">
        <v>15.41</v>
      </c>
      <c r="N158" s="2">
        <v>0.65058926299999997</v>
      </c>
      <c r="O158" s="2">
        <v>0.62647386400000005</v>
      </c>
      <c r="P158" s="2">
        <v>2.967328535</v>
      </c>
      <c r="Q158" s="2">
        <v>2.9015237599999999</v>
      </c>
      <c r="R158" s="2">
        <v>2.8060693959999998</v>
      </c>
      <c r="S158" s="2">
        <v>2.7074711470000001</v>
      </c>
      <c r="T158" s="2">
        <v>0.96489024199999995</v>
      </c>
      <c r="U158" s="2">
        <v>1.0432833370000001</v>
      </c>
      <c r="V158" s="2">
        <v>4.1941307070000002</v>
      </c>
      <c r="W158" s="2">
        <v>5.7924404999999998E-2</v>
      </c>
      <c r="X158">
        <f t="shared" si="6"/>
        <v>1</v>
      </c>
      <c r="Y158">
        <f t="shared" si="7"/>
        <v>1</v>
      </c>
      <c r="Z158">
        <f t="shared" si="8"/>
        <v>0</v>
      </c>
    </row>
    <row r="159" spans="1:26" ht="15.75" customHeight="1" x14ac:dyDescent="0.2">
      <c r="A159" s="2" t="s">
        <v>23</v>
      </c>
      <c r="B159" s="2" t="s">
        <v>24</v>
      </c>
      <c r="C159" s="2" t="s">
        <v>25</v>
      </c>
      <c r="D159" s="2" t="s">
        <v>25</v>
      </c>
      <c r="E159" s="2">
        <v>135</v>
      </c>
      <c r="F159" s="2">
        <v>206</v>
      </c>
      <c r="G159" s="2">
        <v>847.33333330000005</v>
      </c>
      <c r="H159" s="2">
        <v>1584</v>
      </c>
      <c r="I159" s="2">
        <v>2650.333333</v>
      </c>
      <c r="J159" s="2">
        <v>2.02</v>
      </c>
      <c r="K159" s="2">
        <v>7.56</v>
      </c>
      <c r="L159" s="2">
        <v>11.45</v>
      </c>
      <c r="M159" s="2">
        <v>14.88</v>
      </c>
      <c r="N159" s="2">
        <v>0.61055368399999999</v>
      </c>
      <c r="O159" s="2">
        <v>0.46202311400000001</v>
      </c>
      <c r="P159" s="2">
        <v>3.1714467439999998</v>
      </c>
      <c r="Q159" s="2">
        <v>3.0723202540000001</v>
      </c>
      <c r="R159" s="2">
        <v>3.1708671509999999</v>
      </c>
      <c r="S159" s="2">
        <v>3.0722689019999998</v>
      </c>
      <c r="T159" s="2">
        <v>6.0629693999999998E-2</v>
      </c>
      <c r="U159" s="2">
        <v>1.7763399999999999E-2</v>
      </c>
      <c r="V159" s="2">
        <v>4.5589284609999998</v>
      </c>
      <c r="W159" s="2">
        <v>7.1193889999999996E-2</v>
      </c>
      <c r="X159">
        <f t="shared" si="6"/>
        <v>1</v>
      </c>
      <c r="Y159">
        <f t="shared" si="7"/>
        <v>1</v>
      </c>
      <c r="Z159">
        <f t="shared" si="8"/>
        <v>0</v>
      </c>
    </row>
    <row r="160" spans="1:26" ht="15.75" customHeight="1" x14ac:dyDescent="0.2">
      <c r="A160" s="2" t="s">
        <v>23</v>
      </c>
      <c r="B160" s="2" t="s">
        <v>24</v>
      </c>
      <c r="C160" s="2" t="s">
        <v>27</v>
      </c>
      <c r="D160" s="2" t="s">
        <v>27</v>
      </c>
      <c r="E160" s="2">
        <v>130</v>
      </c>
      <c r="F160" s="2">
        <v>188</v>
      </c>
      <c r="G160" s="2">
        <v>375.33333329999999</v>
      </c>
      <c r="H160" s="2">
        <v>2414.666667</v>
      </c>
      <c r="I160" s="2">
        <v>3186</v>
      </c>
      <c r="J160" s="2">
        <v>1.82</v>
      </c>
      <c r="K160" s="2">
        <v>3.78</v>
      </c>
      <c r="L160" s="2">
        <v>14.27</v>
      </c>
      <c r="M160" s="2">
        <v>16.07</v>
      </c>
      <c r="N160" s="2">
        <v>3.6124191E-2</v>
      </c>
      <c r="O160" s="2">
        <v>0.153504433</v>
      </c>
      <c r="P160" s="2">
        <v>2.8219966030000001</v>
      </c>
      <c r="Q160" s="2">
        <v>2.9209895829999999</v>
      </c>
      <c r="R160" s="2">
        <v>0.61226945300000002</v>
      </c>
      <c r="S160" s="2">
        <v>0.71086770200000005</v>
      </c>
      <c r="T160" s="2">
        <v>2.7547760239999999</v>
      </c>
      <c r="U160" s="2">
        <v>2.8331691189999999</v>
      </c>
      <c r="V160" s="2">
        <v>0.77579185799999995</v>
      </c>
      <c r="W160" s="2">
        <v>4.8078569000000002E-2</v>
      </c>
      <c r="X160">
        <f t="shared" si="6"/>
        <v>1</v>
      </c>
      <c r="Y160">
        <f t="shared" si="7"/>
        <v>1</v>
      </c>
      <c r="Z160">
        <f t="shared" si="8"/>
        <v>0</v>
      </c>
    </row>
    <row r="161" spans="1:26" ht="15.75" customHeight="1" x14ac:dyDescent="0.2">
      <c r="A161" s="2" t="s">
        <v>23</v>
      </c>
      <c r="B161" s="2" t="s">
        <v>24</v>
      </c>
      <c r="C161" s="2" t="s">
        <v>30</v>
      </c>
      <c r="D161" s="2" t="s">
        <v>31</v>
      </c>
      <c r="E161" s="2">
        <v>148</v>
      </c>
      <c r="F161" s="2">
        <v>243.66666670000001</v>
      </c>
      <c r="G161" s="2">
        <v>529</v>
      </c>
      <c r="H161" s="2">
        <v>1284.333333</v>
      </c>
      <c r="I161" s="2">
        <v>2413.333333</v>
      </c>
      <c r="J161" s="2">
        <v>2.4300000000000002</v>
      </c>
      <c r="K161" s="2">
        <v>5.17</v>
      </c>
      <c r="L161" s="2">
        <v>10.08</v>
      </c>
      <c r="M161" s="2">
        <v>14.26</v>
      </c>
      <c r="N161" s="2">
        <v>4.428144004</v>
      </c>
      <c r="O161" s="2">
        <v>4.380736755</v>
      </c>
      <c r="P161" s="2">
        <v>1.6275605559999999</v>
      </c>
      <c r="Q161" s="2">
        <v>1.51241088</v>
      </c>
      <c r="R161" s="2">
        <v>0.77691137499999996</v>
      </c>
      <c r="S161" s="2">
        <v>0.67831312600000004</v>
      </c>
      <c r="T161" s="2">
        <v>1.4301615560000001</v>
      </c>
      <c r="U161" s="2">
        <v>1.3517684619999999</v>
      </c>
      <c r="V161" s="2">
        <v>2.164972686</v>
      </c>
      <c r="W161" s="2">
        <v>5.3053127999999998E-2</v>
      </c>
      <c r="X161">
        <f t="shared" si="6"/>
        <v>1</v>
      </c>
      <c r="Y161">
        <f t="shared" si="7"/>
        <v>1</v>
      </c>
      <c r="Z161">
        <f t="shared" si="8"/>
        <v>1</v>
      </c>
    </row>
    <row r="162" spans="1:26" ht="15.75" customHeight="1" x14ac:dyDescent="0.2">
      <c r="A162" s="2" t="s">
        <v>23</v>
      </c>
      <c r="B162" s="2" t="s">
        <v>24</v>
      </c>
      <c r="C162" s="2" t="s">
        <v>28</v>
      </c>
      <c r="D162" s="2" t="s">
        <v>29</v>
      </c>
      <c r="E162" s="2">
        <v>130</v>
      </c>
      <c r="F162" s="2">
        <v>216</v>
      </c>
      <c r="G162" s="2">
        <v>266</v>
      </c>
      <c r="H162" s="2">
        <v>1272.333333</v>
      </c>
      <c r="I162" s="2">
        <v>2165.666667</v>
      </c>
      <c r="J162" s="2">
        <v>2.13</v>
      </c>
      <c r="K162" s="2">
        <v>2.67</v>
      </c>
      <c r="L162" s="2">
        <v>10.02</v>
      </c>
      <c r="M162" s="2">
        <v>13.54</v>
      </c>
      <c r="N162" s="2">
        <v>1.9731251320000001</v>
      </c>
      <c r="O162" s="2">
        <v>2.0821735609999998</v>
      </c>
      <c r="P162" s="2">
        <v>2.273892757</v>
      </c>
      <c r="Q162" s="2">
        <v>2.3003200700000002</v>
      </c>
      <c r="R162" s="2">
        <v>1.7174454299999999</v>
      </c>
      <c r="S162" s="2">
        <v>1.8160436790000001</v>
      </c>
      <c r="T162" s="2">
        <v>1.4902917389999999</v>
      </c>
      <c r="U162" s="2">
        <v>1.4118986440000001</v>
      </c>
      <c r="V162" s="2">
        <v>-0.32938411899999998</v>
      </c>
      <c r="W162" s="2">
        <v>5.1889182999999998E-2</v>
      </c>
      <c r="X162">
        <f t="shared" si="6"/>
        <v>1</v>
      </c>
      <c r="Y162">
        <f t="shared" si="7"/>
        <v>1</v>
      </c>
      <c r="Z162">
        <f t="shared" si="8"/>
        <v>1</v>
      </c>
    </row>
    <row r="163" spans="1:26" ht="15.75" customHeight="1" x14ac:dyDescent="0.2">
      <c r="A163" s="2" t="s">
        <v>23</v>
      </c>
      <c r="B163" s="2" t="s">
        <v>24</v>
      </c>
      <c r="C163" s="2" t="s">
        <v>28</v>
      </c>
      <c r="D163" s="2" t="s">
        <v>29</v>
      </c>
      <c r="E163" s="2">
        <v>142</v>
      </c>
      <c r="F163" s="2">
        <v>236.66666670000001</v>
      </c>
      <c r="G163" s="2">
        <v>408.66666670000001</v>
      </c>
      <c r="H163" s="2">
        <v>1371</v>
      </c>
      <c r="I163" s="2">
        <v>2192.666667</v>
      </c>
      <c r="J163" s="2">
        <v>2.36</v>
      </c>
      <c r="K163" s="2">
        <v>4.0999999999999996</v>
      </c>
      <c r="L163" s="2">
        <v>10.5</v>
      </c>
      <c r="M163" s="2">
        <v>13.63</v>
      </c>
      <c r="N163" s="2">
        <v>1.985669728</v>
      </c>
      <c r="O163" s="2">
        <v>2.2398465449999998</v>
      </c>
      <c r="P163" s="2">
        <v>1.0511759039999999</v>
      </c>
      <c r="Q163" s="2">
        <v>1.0104329700000001</v>
      </c>
      <c r="R163" s="2">
        <v>0.29561995499999999</v>
      </c>
      <c r="S163" s="2">
        <v>0.39421820400000002</v>
      </c>
      <c r="T163" s="2">
        <v>1.0087515170000001</v>
      </c>
      <c r="U163" s="2">
        <v>0.93035842300000005</v>
      </c>
      <c r="V163" s="2">
        <v>1.0924413559999999</v>
      </c>
      <c r="W163" s="2">
        <v>6.5612977000000003E-2</v>
      </c>
      <c r="X163">
        <f t="shared" si="6"/>
        <v>1</v>
      </c>
      <c r="Y163">
        <f t="shared" si="7"/>
        <v>1</v>
      </c>
      <c r="Z163">
        <f t="shared" si="8"/>
        <v>1</v>
      </c>
    </row>
    <row r="164" spans="1:26" ht="15.75" customHeight="1" x14ac:dyDescent="0.2">
      <c r="A164" s="2" t="s">
        <v>23</v>
      </c>
      <c r="B164" s="2" t="s">
        <v>24</v>
      </c>
      <c r="C164" s="2" t="s">
        <v>32</v>
      </c>
      <c r="D164" s="2" t="s">
        <v>33</v>
      </c>
      <c r="E164" s="2">
        <v>135</v>
      </c>
      <c r="F164" s="2">
        <v>177.33333329999999</v>
      </c>
      <c r="G164" s="2">
        <v>693</v>
      </c>
      <c r="H164" s="2">
        <v>1705.666667</v>
      </c>
      <c r="I164" s="2">
        <v>3024.666667</v>
      </c>
      <c r="J164" s="2">
        <v>1.69</v>
      </c>
      <c r="K164" s="2">
        <v>6.47</v>
      </c>
      <c r="L164" s="2">
        <v>11.94</v>
      </c>
      <c r="M164" s="2">
        <v>15.74</v>
      </c>
      <c r="N164" s="2">
        <v>0.62380163099999997</v>
      </c>
      <c r="O164" s="2">
        <v>0.93233459900000004</v>
      </c>
      <c r="P164" s="2">
        <v>2.1262282899999998</v>
      </c>
      <c r="Q164" s="2">
        <v>2.0478786250000001</v>
      </c>
      <c r="R164" s="2">
        <v>2.0819837200000002</v>
      </c>
      <c r="S164" s="2">
        <v>1.9833854710000001</v>
      </c>
      <c r="T164" s="2">
        <v>0.43149800700000002</v>
      </c>
      <c r="U164" s="2">
        <v>0.50989110100000001</v>
      </c>
      <c r="V164" s="2">
        <v>3.4700450310000002</v>
      </c>
      <c r="W164" s="2">
        <v>6.3613221999999997E-2</v>
      </c>
      <c r="X164">
        <f t="shared" si="6"/>
        <v>1</v>
      </c>
      <c r="Y164">
        <f t="shared" si="7"/>
        <v>1</v>
      </c>
      <c r="Z164">
        <f t="shared" si="8"/>
        <v>1</v>
      </c>
    </row>
    <row r="165" spans="1:26" ht="15.75" customHeight="1" x14ac:dyDescent="0.2">
      <c r="A165" s="2" t="s">
        <v>23</v>
      </c>
      <c r="B165" s="2" t="s">
        <v>24</v>
      </c>
      <c r="C165" s="2" t="s">
        <v>26</v>
      </c>
      <c r="D165" s="2" t="s">
        <v>26</v>
      </c>
      <c r="E165" s="2">
        <v>134</v>
      </c>
      <c r="F165" s="2">
        <v>236</v>
      </c>
      <c r="G165" s="2">
        <v>418.33333329999999</v>
      </c>
      <c r="H165" s="2">
        <v>1060.333333</v>
      </c>
      <c r="I165" s="2">
        <v>2941</v>
      </c>
      <c r="J165" s="2">
        <v>2.35</v>
      </c>
      <c r="K165" s="2">
        <v>4.1900000000000004</v>
      </c>
      <c r="L165" s="2">
        <v>8.8800000000000008</v>
      </c>
      <c r="M165" s="2">
        <v>15.56</v>
      </c>
      <c r="N165" s="2">
        <v>0.42524731599999999</v>
      </c>
      <c r="O165" s="2">
        <v>0.70447026999999995</v>
      </c>
      <c r="P165" s="2">
        <v>2.6393844569999998</v>
      </c>
      <c r="Q165" s="2">
        <v>2.5710247700000002</v>
      </c>
      <c r="R165" s="2">
        <v>0.20545184699999999</v>
      </c>
      <c r="S165" s="2">
        <v>0.30405009599999999</v>
      </c>
      <c r="T165" s="2">
        <v>2.631376038</v>
      </c>
      <c r="U165" s="2">
        <v>2.5529829429999999</v>
      </c>
      <c r="V165" s="2">
        <v>1.182609464</v>
      </c>
      <c r="W165" s="2">
        <v>6.8903807999999997E-2</v>
      </c>
      <c r="X165">
        <f t="shared" si="6"/>
        <v>1</v>
      </c>
      <c r="Y165">
        <f t="shared" si="7"/>
        <v>1</v>
      </c>
      <c r="Z165">
        <f t="shared" si="8"/>
        <v>0</v>
      </c>
    </row>
    <row r="166" spans="1:26" ht="15.75" customHeight="1" x14ac:dyDescent="0.2">
      <c r="A166" s="2" t="s">
        <v>23</v>
      </c>
      <c r="B166" s="2" t="s">
        <v>24</v>
      </c>
      <c r="C166" s="2" t="s">
        <v>25</v>
      </c>
      <c r="D166" s="2" t="s">
        <v>25</v>
      </c>
      <c r="E166" s="2">
        <v>130</v>
      </c>
      <c r="F166" s="2">
        <v>178.66666670000001</v>
      </c>
      <c r="G166" s="2">
        <v>780.66666669999995</v>
      </c>
      <c r="H166" s="2">
        <v>1777</v>
      </c>
      <c r="I166" s="2">
        <v>2889</v>
      </c>
      <c r="J166" s="2">
        <v>1.71</v>
      </c>
      <c r="K166" s="2">
        <v>7.11</v>
      </c>
      <c r="L166" s="2">
        <v>12.22</v>
      </c>
      <c r="M166" s="2">
        <v>15.44</v>
      </c>
      <c r="N166" s="2">
        <v>0.38199918700000002</v>
      </c>
      <c r="O166" s="2">
        <v>0.44522273400000001</v>
      </c>
      <c r="P166" s="2">
        <v>2.805608136</v>
      </c>
      <c r="Q166" s="2">
        <v>2.7317323280000001</v>
      </c>
      <c r="R166" s="2">
        <v>2.7155527080000001</v>
      </c>
      <c r="S166" s="2">
        <v>2.616954459</v>
      </c>
      <c r="T166" s="2">
        <v>0.70513155100000002</v>
      </c>
      <c r="U166" s="2">
        <v>0.78352464600000005</v>
      </c>
      <c r="V166" s="2">
        <v>4.1036140190000001</v>
      </c>
      <c r="W166" s="2">
        <v>5.9029891000000001E-2</v>
      </c>
      <c r="X166">
        <f t="shared" si="6"/>
        <v>1</v>
      </c>
      <c r="Y166">
        <f t="shared" si="7"/>
        <v>1</v>
      </c>
      <c r="Z166">
        <f t="shared" si="8"/>
        <v>0</v>
      </c>
    </row>
    <row r="167" spans="1:26" ht="15.75" customHeight="1" x14ac:dyDescent="0.2">
      <c r="A167" s="2" t="s">
        <v>23</v>
      </c>
      <c r="B167" s="2" t="s">
        <v>24</v>
      </c>
      <c r="C167" s="2" t="s">
        <v>30</v>
      </c>
      <c r="D167" s="2" t="s">
        <v>31</v>
      </c>
      <c r="E167" s="2">
        <v>160</v>
      </c>
      <c r="F167" s="2">
        <v>225.33333329999999</v>
      </c>
      <c r="G167" s="2">
        <v>338</v>
      </c>
      <c r="H167" s="2">
        <v>1088.333333</v>
      </c>
      <c r="I167" s="2">
        <v>1960</v>
      </c>
      <c r="J167" s="2">
        <v>2.23</v>
      </c>
      <c r="K167" s="2">
        <v>3.41</v>
      </c>
      <c r="L167" s="2">
        <v>9.0399999999999991</v>
      </c>
      <c r="M167" s="2">
        <v>12.88</v>
      </c>
      <c r="N167" s="2">
        <v>5.2681108950000004</v>
      </c>
      <c r="O167" s="2">
        <v>5.269487518</v>
      </c>
      <c r="P167" s="2">
        <v>2.6579681979999998</v>
      </c>
      <c r="Q167" s="2">
        <v>2.624114563</v>
      </c>
      <c r="R167" s="2">
        <v>0.977822788</v>
      </c>
      <c r="S167" s="2">
        <v>1.076421037</v>
      </c>
      <c r="T167" s="2">
        <v>2.471569852</v>
      </c>
      <c r="U167" s="2">
        <v>2.393176757</v>
      </c>
      <c r="V167" s="2">
        <v>0.41023852199999999</v>
      </c>
      <c r="W167" s="2">
        <v>8.9992082000000001E-2</v>
      </c>
      <c r="X167">
        <f t="shared" si="6"/>
        <v>1</v>
      </c>
      <c r="Y167">
        <f t="shared" si="7"/>
        <v>1</v>
      </c>
      <c r="Z167">
        <f t="shared" si="8"/>
        <v>1</v>
      </c>
    </row>
    <row r="168" spans="1:26" ht="15.75" customHeight="1" x14ac:dyDescent="0.2">
      <c r="A168" s="2" t="s">
        <v>23</v>
      </c>
      <c r="B168" s="2" t="s">
        <v>24</v>
      </c>
      <c r="C168" s="2" t="s">
        <v>27</v>
      </c>
      <c r="D168" s="2" t="s">
        <v>27</v>
      </c>
      <c r="E168" s="2">
        <v>124</v>
      </c>
      <c r="F168" s="2">
        <v>231.66666670000001</v>
      </c>
      <c r="G168" s="2">
        <v>406</v>
      </c>
      <c r="H168" s="2">
        <v>2549</v>
      </c>
      <c r="I168" s="2">
        <v>3230</v>
      </c>
      <c r="J168" s="2">
        <v>2.2999999999999998</v>
      </c>
      <c r="K168" s="2">
        <v>4.07</v>
      </c>
      <c r="L168" s="2">
        <v>14.63</v>
      </c>
      <c r="M168" s="2">
        <v>16.16</v>
      </c>
      <c r="N168" s="2">
        <v>0.42553951499999998</v>
      </c>
      <c r="O168" s="2">
        <v>0.36759995899999998</v>
      </c>
      <c r="P168" s="2">
        <v>3.129104323</v>
      </c>
      <c r="Q168" s="2">
        <v>3.2184475959999999</v>
      </c>
      <c r="R168" s="2">
        <v>0.32062357699999999</v>
      </c>
      <c r="S168" s="2">
        <v>0.41922182600000002</v>
      </c>
      <c r="T168" s="2">
        <v>3.1126346370000002</v>
      </c>
      <c r="U168" s="2">
        <v>3.1910277319999998</v>
      </c>
      <c r="V168" s="2">
        <v>1.067437733</v>
      </c>
      <c r="W168" s="2">
        <v>4.0234328E-2</v>
      </c>
      <c r="X168">
        <f t="shared" si="6"/>
        <v>1</v>
      </c>
      <c r="Y168">
        <f t="shared" si="7"/>
        <v>1</v>
      </c>
      <c r="Z168">
        <f t="shared" si="8"/>
        <v>0</v>
      </c>
    </row>
    <row r="169" spans="1:26" ht="15.75" customHeight="1" x14ac:dyDescent="0.2">
      <c r="A169" s="2" t="s">
        <v>23</v>
      </c>
      <c r="B169" s="2" t="s">
        <v>24</v>
      </c>
      <c r="C169" s="2" t="s">
        <v>30</v>
      </c>
      <c r="D169" s="2" t="s">
        <v>31</v>
      </c>
      <c r="E169" s="2">
        <v>160</v>
      </c>
      <c r="F169" s="2">
        <v>242.66666670000001</v>
      </c>
      <c r="G169" s="2">
        <v>568.66666669999995</v>
      </c>
      <c r="H169" s="2">
        <v>1245.666667</v>
      </c>
      <c r="I169" s="2">
        <v>2258.666667</v>
      </c>
      <c r="J169" s="2">
        <v>2.42</v>
      </c>
      <c r="K169" s="2">
        <v>5.5</v>
      </c>
      <c r="L169" s="2">
        <v>9.89</v>
      </c>
      <c r="M169" s="2">
        <v>13.82</v>
      </c>
      <c r="N169" s="2">
        <v>4.722996889</v>
      </c>
      <c r="O169" s="2">
        <v>4.6690353819999997</v>
      </c>
      <c r="P169" s="2">
        <v>1.967281957</v>
      </c>
      <c r="Q169" s="2">
        <v>1.847347802</v>
      </c>
      <c r="R169" s="2">
        <v>1.108089858</v>
      </c>
      <c r="S169" s="2">
        <v>1.0094916089999999</v>
      </c>
      <c r="T169" s="2">
        <v>1.6255261190000001</v>
      </c>
      <c r="U169" s="2">
        <v>1.5471330240000001</v>
      </c>
      <c r="V169" s="2">
        <v>2.4961511679999999</v>
      </c>
      <c r="W169" s="2">
        <v>4.9713252999999999E-2</v>
      </c>
      <c r="X169">
        <f t="shared" si="6"/>
        <v>1</v>
      </c>
      <c r="Y169">
        <f t="shared" si="7"/>
        <v>1</v>
      </c>
      <c r="Z169">
        <f t="shared" si="8"/>
        <v>1</v>
      </c>
    </row>
    <row r="170" spans="1:26" ht="15.75" customHeight="1" x14ac:dyDescent="0.2">
      <c r="A170" s="2" t="s">
        <v>23</v>
      </c>
      <c r="B170" s="2" t="s">
        <v>24</v>
      </c>
      <c r="C170" s="2" t="s">
        <v>27</v>
      </c>
      <c r="D170" s="2" t="s">
        <v>27</v>
      </c>
      <c r="E170" s="2">
        <v>114</v>
      </c>
      <c r="F170" s="2">
        <v>186</v>
      </c>
      <c r="G170" s="2">
        <v>343</v>
      </c>
      <c r="H170" s="2">
        <v>2442.333333</v>
      </c>
      <c r="I170" s="2">
        <v>3163</v>
      </c>
      <c r="J170" s="2">
        <v>1.79</v>
      </c>
      <c r="K170" s="2">
        <v>3.46</v>
      </c>
      <c r="L170" s="2">
        <v>14.34</v>
      </c>
      <c r="M170" s="2">
        <v>16.02</v>
      </c>
      <c r="N170" s="2">
        <v>0.34287205799999998</v>
      </c>
      <c r="O170" s="2">
        <v>0.47196005600000002</v>
      </c>
      <c r="P170" s="2">
        <v>2.9785754280000001</v>
      </c>
      <c r="Q170" s="2">
        <v>3.084567785</v>
      </c>
      <c r="R170" s="2">
        <v>0.92817739799999999</v>
      </c>
      <c r="S170" s="2">
        <v>1.026775647</v>
      </c>
      <c r="T170" s="2">
        <v>2.8302647040000002</v>
      </c>
      <c r="U170" s="2">
        <v>2.9086577990000002</v>
      </c>
      <c r="V170" s="2">
        <v>0.45988391200000001</v>
      </c>
      <c r="W170" s="2">
        <v>6.9647338000000003E-2</v>
      </c>
      <c r="X170">
        <f t="shared" si="6"/>
        <v>1</v>
      </c>
      <c r="Y170">
        <f t="shared" si="7"/>
        <v>1</v>
      </c>
      <c r="Z170">
        <f t="shared" si="8"/>
        <v>0</v>
      </c>
    </row>
    <row r="171" spans="1:26" ht="15.75" customHeight="1" x14ac:dyDescent="0.2">
      <c r="A171" s="2" t="s">
        <v>23</v>
      </c>
      <c r="B171" s="2" t="s">
        <v>24</v>
      </c>
      <c r="C171" s="2" t="s">
        <v>26</v>
      </c>
      <c r="D171" s="2" t="s">
        <v>26</v>
      </c>
      <c r="E171" s="2">
        <v>142</v>
      </c>
      <c r="F171" s="2">
        <v>234</v>
      </c>
      <c r="G171" s="2">
        <v>447.66666670000001</v>
      </c>
      <c r="H171" s="2">
        <v>1135.666667</v>
      </c>
      <c r="I171" s="2">
        <v>2888.666667</v>
      </c>
      <c r="J171" s="2">
        <v>2.33</v>
      </c>
      <c r="K171" s="2">
        <v>4.45</v>
      </c>
      <c r="L171" s="2">
        <v>9.31</v>
      </c>
      <c r="M171" s="2">
        <v>15.44</v>
      </c>
      <c r="N171" s="2">
        <v>0.92695321500000005</v>
      </c>
      <c r="O171" s="2">
        <v>1.206148494</v>
      </c>
      <c r="P171" s="2">
        <v>2.208914917</v>
      </c>
      <c r="Q171" s="2">
        <v>2.1298877329999999</v>
      </c>
      <c r="R171" s="2">
        <v>6.3729659999999994E-2</v>
      </c>
      <c r="S171" s="2">
        <v>3.4868588999999998E-2</v>
      </c>
      <c r="T171" s="2">
        <v>2.2079953899999998</v>
      </c>
      <c r="U171" s="2">
        <v>2.1296022950000002</v>
      </c>
      <c r="V171" s="2">
        <v>1.4517909710000001</v>
      </c>
      <c r="W171" s="2">
        <v>7.8408230999999995E-2</v>
      </c>
      <c r="X171">
        <f t="shared" si="6"/>
        <v>1</v>
      </c>
      <c r="Y171">
        <f t="shared" si="7"/>
        <v>1</v>
      </c>
      <c r="Z171">
        <f t="shared" si="8"/>
        <v>0</v>
      </c>
    </row>
    <row r="172" spans="1:26" ht="15.75" customHeight="1" x14ac:dyDescent="0.2">
      <c r="A172" s="2" t="s">
        <v>23</v>
      </c>
      <c r="B172" s="2" t="s">
        <v>24</v>
      </c>
      <c r="C172" s="2" t="s">
        <v>27</v>
      </c>
      <c r="D172" s="2" t="s">
        <v>27</v>
      </c>
      <c r="E172" s="2">
        <v>91</v>
      </c>
      <c r="F172" s="2">
        <v>227</v>
      </c>
      <c r="G172" s="2">
        <v>421.66666670000001</v>
      </c>
      <c r="H172" s="2">
        <v>1922.666667</v>
      </c>
      <c r="I172" s="2">
        <v>2907.666667</v>
      </c>
      <c r="J172" s="2">
        <v>2.25</v>
      </c>
      <c r="K172" s="2">
        <v>4.22</v>
      </c>
      <c r="L172" s="2">
        <v>12.75</v>
      </c>
      <c r="M172" s="2">
        <v>15.48</v>
      </c>
      <c r="N172" s="2">
        <v>1.6038712980000001</v>
      </c>
      <c r="O172" s="2">
        <v>1.5659144300000001</v>
      </c>
      <c r="P172" s="2">
        <v>1.244971061</v>
      </c>
      <c r="Q172" s="2">
        <v>1.339217417</v>
      </c>
      <c r="R172" s="2">
        <v>0.17452910999999999</v>
      </c>
      <c r="S172" s="2">
        <v>0.27312735900000001</v>
      </c>
      <c r="T172" s="2">
        <v>1.232676978</v>
      </c>
      <c r="U172" s="2">
        <v>1.3110700719999999</v>
      </c>
      <c r="V172" s="2">
        <v>1.213532201</v>
      </c>
      <c r="W172" s="2">
        <v>3.5963621000000001E-2</v>
      </c>
      <c r="X172">
        <f t="shared" si="6"/>
        <v>1</v>
      </c>
      <c r="Y172">
        <f t="shared" si="7"/>
        <v>1</v>
      </c>
      <c r="Z172">
        <f t="shared" si="8"/>
        <v>0</v>
      </c>
    </row>
    <row r="173" spans="1:26" ht="15.75" customHeight="1" x14ac:dyDescent="0.2">
      <c r="A173" s="2" t="s">
        <v>23</v>
      </c>
      <c r="B173" s="2" t="s">
        <v>24</v>
      </c>
      <c r="C173" s="2" t="s">
        <v>30</v>
      </c>
      <c r="D173" s="2" t="s">
        <v>31</v>
      </c>
      <c r="E173" s="2">
        <v>138</v>
      </c>
      <c r="F173" s="2">
        <v>225</v>
      </c>
      <c r="G173" s="2">
        <v>461.66666670000001</v>
      </c>
      <c r="H173" s="2">
        <v>1152.666667</v>
      </c>
      <c r="I173" s="2">
        <v>1971</v>
      </c>
      <c r="J173" s="2">
        <v>2.23</v>
      </c>
      <c r="K173" s="2">
        <v>4.58</v>
      </c>
      <c r="L173" s="2">
        <v>9.4</v>
      </c>
      <c r="M173" s="2">
        <v>12.91</v>
      </c>
      <c r="N173" s="2">
        <v>4.9589434609999996</v>
      </c>
      <c r="O173" s="2">
        <v>4.9306689400000003</v>
      </c>
      <c r="P173" s="2">
        <v>2.1237952290000002</v>
      </c>
      <c r="Q173" s="2">
        <v>2.0389401629999999</v>
      </c>
      <c r="R173" s="2">
        <v>0.18990375400000001</v>
      </c>
      <c r="S173" s="2">
        <v>9.1305504999999995E-2</v>
      </c>
      <c r="T173" s="2">
        <v>2.1152878620000002</v>
      </c>
      <c r="U173" s="2">
        <v>2.0368947670000002</v>
      </c>
      <c r="V173" s="2">
        <v>1.5779650649999999</v>
      </c>
      <c r="W173" s="2">
        <v>3.4645141999999997E-2</v>
      </c>
      <c r="X173">
        <f t="shared" si="6"/>
        <v>1</v>
      </c>
      <c r="Y173">
        <f t="shared" si="7"/>
        <v>1</v>
      </c>
      <c r="Z173">
        <f t="shared" si="8"/>
        <v>1</v>
      </c>
    </row>
    <row r="174" spans="1:26" ht="15.75" customHeight="1" x14ac:dyDescent="0.2">
      <c r="A174" s="2" t="s">
        <v>23</v>
      </c>
      <c r="B174" s="2" t="s">
        <v>24</v>
      </c>
      <c r="C174" s="2" t="s">
        <v>27</v>
      </c>
      <c r="D174" s="2" t="s">
        <v>27</v>
      </c>
      <c r="E174" s="2">
        <v>103</v>
      </c>
      <c r="F174" s="2">
        <v>204.33333329999999</v>
      </c>
      <c r="G174" s="2">
        <v>414</v>
      </c>
      <c r="H174" s="2">
        <v>2427.333333</v>
      </c>
      <c r="I174" s="2">
        <v>3194.333333</v>
      </c>
      <c r="J174" s="2">
        <v>2</v>
      </c>
      <c r="K174" s="2">
        <v>4.1500000000000004</v>
      </c>
      <c r="L174" s="2">
        <v>14.3</v>
      </c>
      <c r="M174" s="2">
        <v>16.09</v>
      </c>
      <c r="N174" s="2">
        <v>0.34299460199999998</v>
      </c>
      <c r="O174" s="2">
        <v>0.214677112</v>
      </c>
      <c r="P174" s="2">
        <v>2.8002623280000001</v>
      </c>
      <c r="Q174" s="2">
        <v>2.8884513950000001</v>
      </c>
      <c r="R174" s="2">
        <v>0.24578122699999999</v>
      </c>
      <c r="S174" s="2">
        <v>0.34437947600000002</v>
      </c>
      <c r="T174" s="2">
        <v>2.7894552689999998</v>
      </c>
      <c r="U174" s="2">
        <v>2.8678483629999998</v>
      </c>
      <c r="V174" s="2">
        <v>1.142280084</v>
      </c>
      <c r="W174" s="2">
        <v>4.2621338000000002E-2</v>
      </c>
      <c r="X174">
        <f t="shared" si="6"/>
        <v>1</v>
      </c>
      <c r="Y174">
        <f t="shared" si="7"/>
        <v>1</v>
      </c>
      <c r="Z174">
        <f t="shared" si="8"/>
        <v>0</v>
      </c>
    </row>
    <row r="175" spans="1:26" ht="15.75" customHeight="1" x14ac:dyDescent="0.2">
      <c r="A175" s="2" t="s">
        <v>23</v>
      </c>
      <c r="B175" s="2" t="s">
        <v>24</v>
      </c>
      <c r="C175" s="2" t="s">
        <v>26</v>
      </c>
      <c r="D175" s="2" t="s">
        <v>26</v>
      </c>
      <c r="E175" s="2">
        <v>169</v>
      </c>
      <c r="F175" s="2">
        <v>215</v>
      </c>
      <c r="G175" s="2">
        <v>410</v>
      </c>
      <c r="H175" s="2">
        <v>1070.333333</v>
      </c>
      <c r="I175" s="2">
        <v>2992.333333</v>
      </c>
      <c r="J175" s="2">
        <v>2.12</v>
      </c>
      <c r="K175" s="2">
        <v>4.1100000000000003</v>
      </c>
      <c r="L175" s="2">
        <v>8.94</v>
      </c>
      <c r="M175" s="2">
        <v>15.67</v>
      </c>
      <c r="N175" s="2">
        <v>0.44235268</v>
      </c>
      <c r="O175" s="2">
        <v>0.71905845899999998</v>
      </c>
      <c r="P175" s="2">
        <v>2.589489398</v>
      </c>
      <c r="Q175" s="2">
        <v>2.524597907</v>
      </c>
      <c r="R175" s="2">
        <v>0.28313924400000001</v>
      </c>
      <c r="S175" s="2">
        <v>0.38173749299999998</v>
      </c>
      <c r="T175" s="2">
        <v>2.573963386</v>
      </c>
      <c r="U175" s="2">
        <v>2.4955702909999999</v>
      </c>
      <c r="V175" s="2">
        <v>1.104922067</v>
      </c>
      <c r="W175" s="2">
        <v>7.0166687000000005E-2</v>
      </c>
      <c r="X175">
        <f t="shared" si="6"/>
        <v>1</v>
      </c>
      <c r="Y175">
        <f t="shared" si="7"/>
        <v>1</v>
      </c>
      <c r="Z175">
        <f t="shared" si="8"/>
        <v>0</v>
      </c>
    </row>
    <row r="176" spans="1:26" ht="15.75" customHeight="1" x14ac:dyDescent="0.2">
      <c r="A176" s="2" t="s">
        <v>23</v>
      </c>
      <c r="B176" s="2" t="s">
        <v>24</v>
      </c>
      <c r="C176" s="2" t="s">
        <v>30</v>
      </c>
      <c r="D176" s="2" t="s">
        <v>31</v>
      </c>
      <c r="E176" s="2">
        <v>87</v>
      </c>
      <c r="F176" s="2">
        <v>183.66666670000001</v>
      </c>
      <c r="G176" s="2">
        <v>381.66666670000001</v>
      </c>
      <c r="H176" s="2">
        <v>1189</v>
      </c>
      <c r="I176" s="2">
        <v>2582</v>
      </c>
      <c r="J176" s="2">
        <v>1.77</v>
      </c>
      <c r="K176" s="2">
        <v>3.84</v>
      </c>
      <c r="L176" s="2">
        <v>9.59</v>
      </c>
      <c r="M176" s="2">
        <v>14.71</v>
      </c>
      <c r="N176" s="2">
        <v>4.7028020570000004</v>
      </c>
      <c r="O176" s="2">
        <v>4.6937899639999996</v>
      </c>
      <c r="P176" s="2">
        <v>1.998096944</v>
      </c>
      <c r="Q176" s="2">
        <v>1.953429436</v>
      </c>
      <c r="R176" s="2">
        <v>0.55141234900000002</v>
      </c>
      <c r="S176" s="2">
        <v>0.65001059900000002</v>
      </c>
      <c r="T176" s="2">
        <v>1.9205040529999999</v>
      </c>
      <c r="U176" s="2">
        <v>1.842110959</v>
      </c>
      <c r="V176" s="2">
        <v>0.83664896099999997</v>
      </c>
      <c r="W176" s="2">
        <v>3.8137744000000001E-2</v>
      </c>
      <c r="X176">
        <f t="shared" si="6"/>
        <v>1</v>
      </c>
      <c r="Y176">
        <f t="shared" si="7"/>
        <v>1</v>
      </c>
      <c r="Z176">
        <f t="shared" si="8"/>
        <v>1</v>
      </c>
    </row>
    <row r="177" spans="1:26" ht="15.75" customHeight="1" x14ac:dyDescent="0.2">
      <c r="A177" s="2" t="s">
        <v>23</v>
      </c>
      <c r="B177" s="2" t="s">
        <v>24</v>
      </c>
      <c r="C177" s="2" t="s">
        <v>32</v>
      </c>
      <c r="D177" s="2" t="s">
        <v>33</v>
      </c>
      <c r="E177" s="2">
        <v>99</v>
      </c>
      <c r="F177" s="2">
        <v>194.66666670000001</v>
      </c>
      <c r="G177" s="2">
        <v>679</v>
      </c>
      <c r="H177" s="2">
        <v>1380.666667</v>
      </c>
      <c r="I177" s="2">
        <v>2877</v>
      </c>
      <c r="J177" s="2">
        <v>1.89</v>
      </c>
      <c r="K177" s="2">
        <v>6.37</v>
      </c>
      <c r="L177" s="2">
        <v>10.55</v>
      </c>
      <c r="M177" s="2">
        <v>15.42</v>
      </c>
      <c r="N177" s="2">
        <v>1.474207971</v>
      </c>
      <c r="O177" s="2">
        <v>1.6907763280000001</v>
      </c>
      <c r="P177" s="2">
        <v>2.199029737</v>
      </c>
      <c r="Q177" s="2">
        <v>2.076236572</v>
      </c>
      <c r="R177" s="2">
        <v>1.9769075389999999</v>
      </c>
      <c r="S177" s="2">
        <v>1.87830929</v>
      </c>
      <c r="T177" s="2">
        <v>0.96310350700000003</v>
      </c>
      <c r="U177" s="2">
        <v>0.884710412</v>
      </c>
      <c r="V177" s="2">
        <v>3.3649688499999999</v>
      </c>
      <c r="W177" s="2">
        <v>6.0738279999999999E-2</v>
      </c>
      <c r="X177">
        <f t="shared" si="6"/>
        <v>1</v>
      </c>
      <c r="Y177">
        <f t="shared" si="7"/>
        <v>1</v>
      </c>
      <c r="Z177">
        <f t="shared" si="8"/>
        <v>1</v>
      </c>
    </row>
    <row r="178" spans="1:26" ht="15.75" customHeight="1" x14ac:dyDescent="0.2">
      <c r="A178" s="2" t="s">
        <v>23</v>
      </c>
      <c r="B178" s="2" t="s">
        <v>24</v>
      </c>
      <c r="C178" s="2" t="s">
        <v>28</v>
      </c>
      <c r="D178" s="2" t="s">
        <v>29</v>
      </c>
      <c r="E178" s="2">
        <v>152</v>
      </c>
      <c r="F178" s="2">
        <v>213</v>
      </c>
      <c r="G178" s="2">
        <v>457.33333329999999</v>
      </c>
      <c r="H178" s="2">
        <v>1892.333333</v>
      </c>
      <c r="I178" s="2">
        <v>2217</v>
      </c>
      <c r="J178" s="2">
        <v>2.1</v>
      </c>
      <c r="K178" s="2">
        <v>4.54</v>
      </c>
      <c r="L178" s="2">
        <v>12.64</v>
      </c>
      <c r="M178" s="2">
        <v>13.7</v>
      </c>
      <c r="N178" s="2">
        <v>4.1571222199999998</v>
      </c>
      <c r="O178" s="2">
        <v>4.4172893990000004</v>
      </c>
      <c r="P178" s="2">
        <v>1.1361903630000001</v>
      </c>
      <c r="Q178" s="2">
        <v>1.2056435649999999</v>
      </c>
      <c r="R178" s="2">
        <v>0.15100604000000001</v>
      </c>
      <c r="S178" s="2">
        <v>5.2407791000000002E-2</v>
      </c>
      <c r="T178" s="2">
        <v>1.126110881</v>
      </c>
      <c r="U178" s="2">
        <v>1.204503976</v>
      </c>
      <c r="V178" s="2">
        <v>1.5390673509999999</v>
      </c>
      <c r="W178" s="2">
        <v>5.9158677E-2</v>
      </c>
      <c r="X178">
        <f t="shared" si="6"/>
        <v>1</v>
      </c>
      <c r="Y178">
        <f t="shared" si="7"/>
        <v>1</v>
      </c>
      <c r="Z178">
        <f t="shared" si="8"/>
        <v>1</v>
      </c>
    </row>
    <row r="179" spans="1:26" ht="15.75" customHeight="1" x14ac:dyDescent="0.2">
      <c r="A179" s="2" t="s">
        <v>23</v>
      </c>
      <c r="B179" s="2" t="s">
        <v>24</v>
      </c>
      <c r="C179" s="2" t="s">
        <v>28</v>
      </c>
      <c r="D179" s="2" t="s">
        <v>29</v>
      </c>
      <c r="E179" s="2">
        <v>114</v>
      </c>
      <c r="F179" s="2">
        <v>258</v>
      </c>
      <c r="G179" s="2">
        <v>367</v>
      </c>
      <c r="H179" s="2">
        <v>1367.333333</v>
      </c>
      <c r="I179" s="2">
        <v>2205.333333</v>
      </c>
      <c r="J179" s="2">
        <v>2.59</v>
      </c>
      <c r="K179" s="2">
        <v>3.7</v>
      </c>
      <c r="L179" s="2">
        <v>10.49</v>
      </c>
      <c r="M179" s="2">
        <v>13.66</v>
      </c>
      <c r="N179" s="2">
        <v>1.9803089309999999</v>
      </c>
      <c r="O179" s="2">
        <v>2.2081063099999998</v>
      </c>
      <c r="P179" s="2">
        <v>1.2381415659999999</v>
      </c>
      <c r="Q179" s="2">
        <v>1.234749036</v>
      </c>
      <c r="R179" s="2">
        <v>0.69284928899999998</v>
      </c>
      <c r="S179" s="2">
        <v>0.79144753800000001</v>
      </c>
      <c r="T179" s="2">
        <v>1.0261356639999999</v>
      </c>
      <c r="U179" s="2">
        <v>0.94774256899999998</v>
      </c>
      <c r="V179" s="2">
        <v>0.69521202199999999</v>
      </c>
      <c r="W179" s="2">
        <v>5.2309886E-2</v>
      </c>
      <c r="X179">
        <f t="shared" si="6"/>
        <v>1</v>
      </c>
      <c r="Y179">
        <f t="shared" si="7"/>
        <v>1</v>
      </c>
      <c r="Z179">
        <f t="shared" si="8"/>
        <v>1</v>
      </c>
    </row>
    <row r="180" spans="1:26" ht="15.75" customHeight="1" x14ac:dyDescent="0.2">
      <c r="A180" s="2" t="s">
        <v>23</v>
      </c>
      <c r="B180" s="2" t="s">
        <v>24</v>
      </c>
      <c r="C180" s="2" t="s">
        <v>26</v>
      </c>
      <c r="D180" s="2" t="s">
        <v>26</v>
      </c>
      <c r="E180" s="2">
        <v>151</v>
      </c>
      <c r="F180" s="2">
        <v>207</v>
      </c>
      <c r="G180" s="2">
        <v>403.66666670000001</v>
      </c>
      <c r="H180" s="2">
        <v>918.33333330000005</v>
      </c>
      <c r="I180" s="2">
        <v>2704.333333</v>
      </c>
      <c r="J180" s="2">
        <v>2.0299999999999998</v>
      </c>
      <c r="K180" s="2">
        <v>4.05</v>
      </c>
      <c r="L180" s="2">
        <v>8.02</v>
      </c>
      <c r="M180" s="2">
        <v>15.01</v>
      </c>
      <c r="N180" s="2">
        <v>0.50855982899999996</v>
      </c>
      <c r="O180" s="2">
        <v>0.34775219699999999</v>
      </c>
      <c r="P180" s="2">
        <v>3.506460165</v>
      </c>
      <c r="Q180" s="2">
        <v>3.4397011989999999</v>
      </c>
      <c r="R180" s="2">
        <v>0.34254802699999998</v>
      </c>
      <c r="S180" s="2">
        <v>0.441146276</v>
      </c>
      <c r="T180" s="2">
        <v>3.4896882009999999</v>
      </c>
      <c r="U180" s="2">
        <v>3.4112951059999999</v>
      </c>
      <c r="V180" s="2">
        <v>1.0455132840000001</v>
      </c>
      <c r="W180" s="2">
        <v>7.1383318000000001E-2</v>
      </c>
      <c r="X180">
        <f t="shared" si="6"/>
        <v>1</v>
      </c>
      <c r="Y180">
        <f t="shared" si="7"/>
        <v>1</v>
      </c>
      <c r="Z180">
        <f t="shared" si="8"/>
        <v>0</v>
      </c>
    </row>
    <row r="181" spans="1:26" ht="15.75" customHeight="1" x14ac:dyDescent="0.2">
      <c r="A181" s="2" t="s">
        <v>23</v>
      </c>
      <c r="B181" s="2" t="s">
        <v>24</v>
      </c>
      <c r="C181" s="2" t="s">
        <v>25</v>
      </c>
      <c r="D181" s="2" t="s">
        <v>25</v>
      </c>
      <c r="E181" s="2">
        <v>104</v>
      </c>
      <c r="F181" s="2">
        <v>178.33333329999999</v>
      </c>
      <c r="G181" s="2">
        <v>809.33333330000005</v>
      </c>
      <c r="H181" s="2">
        <v>1628.666667</v>
      </c>
      <c r="I181" s="2">
        <v>2963</v>
      </c>
      <c r="J181" s="2">
        <v>1.71</v>
      </c>
      <c r="K181" s="2">
        <v>7.31</v>
      </c>
      <c r="L181" s="2">
        <v>11.64</v>
      </c>
      <c r="M181" s="2">
        <v>15.61</v>
      </c>
      <c r="N181" s="2">
        <v>0.295372464</v>
      </c>
      <c r="O181" s="2">
        <v>0.26822200099999999</v>
      </c>
      <c r="P181" s="2">
        <v>2.9166580419999999</v>
      </c>
      <c r="Q181" s="2">
        <v>2.8226856910000002</v>
      </c>
      <c r="R181" s="2">
        <v>2.9140244270000002</v>
      </c>
      <c r="S181" s="2">
        <v>2.8154261780000001</v>
      </c>
      <c r="T181" s="2">
        <v>0.12391841300000001</v>
      </c>
      <c r="U181" s="2">
        <v>0.202311507</v>
      </c>
      <c r="V181" s="2">
        <v>4.3020857379999997</v>
      </c>
      <c r="W181" s="2">
        <v>5.4785724000000001E-2</v>
      </c>
      <c r="X181">
        <f t="shared" si="6"/>
        <v>1</v>
      </c>
      <c r="Y181">
        <f t="shared" si="7"/>
        <v>1</v>
      </c>
      <c r="Z181">
        <f t="shared" si="8"/>
        <v>0</v>
      </c>
    </row>
    <row r="182" spans="1:26" ht="15.75" customHeight="1" x14ac:dyDescent="0.2">
      <c r="A182" s="2" t="s">
        <v>23</v>
      </c>
      <c r="B182" s="2" t="s">
        <v>24</v>
      </c>
      <c r="C182" s="2" t="s">
        <v>30</v>
      </c>
      <c r="D182" s="2" t="s">
        <v>31</v>
      </c>
      <c r="E182" s="2">
        <v>141</v>
      </c>
      <c r="F182" s="2">
        <v>236.33333329999999</v>
      </c>
      <c r="G182" s="2">
        <v>397</v>
      </c>
      <c r="H182" s="2">
        <v>1305</v>
      </c>
      <c r="I182" s="2">
        <v>2420.666667</v>
      </c>
      <c r="J182" s="2">
        <v>2.35</v>
      </c>
      <c r="K182" s="2">
        <v>3.99</v>
      </c>
      <c r="L182" s="2">
        <v>10.19</v>
      </c>
      <c r="M182" s="2">
        <v>14.28</v>
      </c>
      <c r="N182" s="2">
        <v>4.1138745940000003</v>
      </c>
      <c r="O182" s="2">
        <v>4.1003917300000001</v>
      </c>
      <c r="P182" s="2">
        <v>1.38816446</v>
      </c>
      <c r="Q182" s="2">
        <v>1.3470935770000001</v>
      </c>
      <c r="R182" s="2">
        <v>0.40542850200000002</v>
      </c>
      <c r="S182" s="2">
        <v>0.50402675100000005</v>
      </c>
      <c r="T182" s="2">
        <v>1.327640124</v>
      </c>
      <c r="U182" s="2">
        <v>1.249247029</v>
      </c>
      <c r="V182" s="2">
        <v>0.98263280900000005</v>
      </c>
      <c r="W182" s="2">
        <v>6.6440939000000004E-2</v>
      </c>
      <c r="X182">
        <f t="shared" si="6"/>
        <v>1</v>
      </c>
      <c r="Y182">
        <f t="shared" si="7"/>
        <v>1</v>
      </c>
      <c r="Z182">
        <f t="shared" si="8"/>
        <v>1</v>
      </c>
    </row>
    <row r="183" spans="1:26" ht="15.75" customHeight="1" x14ac:dyDescent="0.2">
      <c r="A183" s="2" t="s">
        <v>23</v>
      </c>
      <c r="B183" s="2" t="s">
        <v>24</v>
      </c>
      <c r="C183" s="2" t="s">
        <v>28</v>
      </c>
      <c r="D183" s="2" t="s">
        <v>29</v>
      </c>
      <c r="E183" s="2">
        <v>126</v>
      </c>
      <c r="F183" s="2">
        <v>240.66666670000001</v>
      </c>
      <c r="G183" s="2">
        <v>416</v>
      </c>
      <c r="H183" s="2">
        <v>931.66666669999995</v>
      </c>
      <c r="I183" s="2">
        <v>2168.666667</v>
      </c>
      <c r="J183" s="2">
        <v>2.4</v>
      </c>
      <c r="K183" s="2">
        <v>4.16</v>
      </c>
      <c r="L183" s="2">
        <v>8.11</v>
      </c>
      <c r="M183" s="2">
        <v>13.55</v>
      </c>
      <c r="N183" s="2">
        <v>0.46486483699999998</v>
      </c>
      <c r="O183" s="2">
        <v>0.389181899</v>
      </c>
      <c r="P183" s="2">
        <v>3.413076572</v>
      </c>
      <c r="Q183" s="2">
        <v>3.3430248260000002</v>
      </c>
      <c r="R183" s="2">
        <v>0.22714938800000001</v>
      </c>
      <c r="S183" s="2">
        <v>0.32574763699999998</v>
      </c>
      <c r="T183" s="2">
        <v>3.4055094829999999</v>
      </c>
      <c r="U183" s="2">
        <v>3.3271163879999999</v>
      </c>
      <c r="V183" s="2">
        <v>1.160911923</v>
      </c>
      <c r="W183" s="2">
        <v>4.7252386E-2</v>
      </c>
      <c r="X183">
        <f t="shared" si="6"/>
        <v>1</v>
      </c>
      <c r="Y183">
        <f t="shared" si="7"/>
        <v>1</v>
      </c>
      <c r="Z183">
        <f t="shared" si="8"/>
        <v>1</v>
      </c>
    </row>
    <row r="184" spans="1:26" ht="15.75" customHeight="1" x14ac:dyDescent="0.2">
      <c r="A184" s="2" t="s">
        <v>23</v>
      </c>
      <c r="B184" s="2" t="s">
        <v>24</v>
      </c>
      <c r="C184" s="2" t="s">
        <v>28</v>
      </c>
      <c r="D184" s="2" t="s">
        <v>29</v>
      </c>
      <c r="E184" s="2">
        <v>130</v>
      </c>
      <c r="F184" s="2">
        <v>182</v>
      </c>
      <c r="G184" s="2">
        <v>286.66666670000001</v>
      </c>
      <c r="H184" s="2">
        <v>1354</v>
      </c>
      <c r="I184" s="2">
        <v>2250.333333</v>
      </c>
      <c r="J184" s="2">
        <v>1.75</v>
      </c>
      <c r="K184" s="2">
        <v>2.89</v>
      </c>
      <c r="L184" s="2">
        <v>10.42</v>
      </c>
      <c r="M184" s="2">
        <v>13.8</v>
      </c>
      <c r="N184" s="2">
        <v>2.1783072159999999</v>
      </c>
      <c r="O184" s="2">
        <v>2.3327559120000001</v>
      </c>
      <c r="P184" s="2">
        <v>1.8542595550000001</v>
      </c>
      <c r="Q184" s="2">
        <v>1.891864856</v>
      </c>
      <c r="R184" s="2">
        <v>1.500295588</v>
      </c>
      <c r="S184" s="2">
        <v>1.5988938370000001</v>
      </c>
      <c r="T184" s="2">
        <v>1.08967502</v>
      </c>
      <c r="U184" s="2">
        <v>1.011281925</v>
      </c>
      <c r="V184" s="2">
        <v>-0.11223427699999999</v>
      </c>
      <c r="W184" s="2">
        <v>4.4382876000000002E-2</v>
      </c>
      <c r="X184">
        <f t="shared" si="6"/>
        <v>1</v>
      </c>
      <c r="Y184">
        <f t="shared" si="7"/>
        <v>1</v>
      </c>
      <c r="Z184">
        <f t="shared" si="8"/>
        <v>1</v>
      </c>
    </row>
    <row r="185" spans="1:26" ht="15.75" customHeight="1" x14ac:dyDescent="0.2">
      <c r="A185" s="2" t="s">
        <v>23</v>
      </c>
      <c r="B185" s="2" t="s">
        <v>24</v>
      </c>
      <c r="C185" s="2" t="s">
        <v>32</v>
      </c>
      <c r="D185" s="2" t="s">
        <v>33</v>
      </c>
      <c r="E185" s="2">
        <v>130</v>
      </c>
      <c r="F185" s="2">
        <v>177.33333329999999</v>
      </c>
      <c r="G185" s="2">
        <v>460.33333329999999</v>
      </c>
      <c r="H185" s="2">
        <v>926</v>
      </c>
      <c r="I185" s="2">
        <v>2088</v>
      </c>
      <c r="J185" s="2">
        <v>1.69</v>
      </c>
      <c r="K185" s="2">
        <v>4.57</v>
      </c>
      <c r="L185" s="2">
        <v>8.07</v>
      </c>
      <c r="M185" s="2">
        <v>13.3</v>
      </c>
      <c r="N185" s="2">
        <v>4.5294884059999996</v>
      </c>
      <c r="O185" s="2">
        <v>4.752458388</v>
      </c>
      <c r="P185" s="2">
        <v>3.4457883840000001</v>
      </c>
      <c r="Q185" s="2">
        <v>3.3637334050000001</v>
      </c>
      <c r="R185" s="2">
        <v>0.17795006199999999</v>
      </c>
      <c r="S185" s="2">
        <v>7.9351812999999993E-2</v>
      </c>
      <c r="T185" s="2">
        <v>3.4411903989999999</v>
      </c>
      <c r="U185" s="2">
        <v>3.3627973039999999</v>
      </c>
      <c r="V185" s="2">
        <v>1.566011373</v>
      </c>
      <c r="W185" s="2">
        <v>4.2869245E-2</v>
      </c>
      <c r="X185">
        <f t="shared" si="6"/>
        <v>1</v>
      </c>
      <c r="Y185">
        <f t="shared" si="7"/>
        <v>1</v>
      </c>
      <c r="Z185">
        <f t="shared" si="8"/>
        <v>1</v>
      </c>
    </row>
    <row r="186" spans="1:26" ht="15.75" customHeight="1" x14ac:dyDescent="0.2">
      <c r="A186" s="2" t="s">
        <v>23</v>
      </c>
      <c r="B186" s="2" t="s">
        <v>24</v>
      </c>
      <c r="C186" s="2" t="s">
        <v>25</v>
      </c>
      <c r="D186" s="2" t="s">
        <v>25</v>
      </c>
      <c r="E186" s="2">
        <v>100</v>
      </c>
      <c r="F186" s="2">
        <v>181.33333329999999</v>
      </c>
      <c r="G186" s="2">
        <v>762.66666669999995</v>
      </c>
      <c r="H186" s="2">
        <v>1849.666667</v>
      </c>
      <c r="I186" s="2">
        <v>2884.333333</v>
      </c>
      <c r="J186" s="2">
        <v>1.74</v>
      </c>
      <c r="K186" s="2">
        <v>6.98</v>
      </c>
      <c r="L186" s="2">
        <v>12.49</v>
      </c>
      <c r="M186" s="2">
        <v>15.43</v>
      </c>
      <c r="N186" s="2">
        <v>0.65857776700000004</v>
      </c>
      <c r="O186" s="2">
        <v>0.73447681799999998</v>
      </c>
      <c r="P186" s="2">
        <v>2.7657289359999999</v>
      </c>
      <c r="Q186" s="2">
        <v>2.7031887029999999</v>
      </c>
      <c r="R186" s="2">
        <v>2.588794907</v>
      </c>
      <c r="S186" s="2">
        <v>2.4901966579999999</v>
      </c>
      <c r="T186" s="2">
        <v>0.97334345499999997</v>
      </c>
      <c r="U186" s="2">
        <v>1.0517365489999999</v>
      </c>
      <c r="V186" s="2">
        <v>3.9768562169999999</v>
      </c>
      <c r="W186" s="2">
        <v>3.7346639000000001E-2</v>
      </c>
      <c r="X186">
        <f t="shared" si="6"/>
        <v>1</v>
      </c>
      <c r="Y186">
        <f t="shared" si="7"/>
        <v>1</v>
      </c>
      <c r="Z186">
        <f t="shared" si="8"/>
        <v>0</v>
      </c>
    </row>
    <row r="187" spans="1:26" ht="15.75" customHeight="1" x14ac:dyDescent="0.2">
      <c r="A187" s="2" t="s">
        <v>23</v>
      </c>
      <c r="B187" s="2" t="s">
        <v>24</v>
      </c>
      <c r="C187" s="2" t="s">
        <v>27</v>
      </c>
      <c r="D187" s="2" t="s">
        <v>27</v>
      </c>
      <c r="E187" s="2">
        <v>112</v>
      </c>
      <c r="F187" s="2">
        <v>234.33333329999999</v>
      </c>
      <c r="G187" s="2">
        <v>385.66666670000001</v>
      </c>
      <c r="H187" s="2">
        <v>2515.333333</v>
      </c>
      <c r="I187" s="2">
        <v>3140</v>
      </c>
      <c r="J187" s="2">
        <v>2.33</v>
      </c>
      <c r="K187" s="2">
        <v>3.88</v>
      </c>
      <c r="L187" s="2">
        <v>14.54</v>
      </c>
      <c r="M187" s="2">
        <v>15.98</v>
      </c>
      <c r="N187" s="2">
        <v>0.25429781400000001</v>
      </c>
      <c r="O187" s="2">
        <v>0.25815034999999997</v>
      </c>
      <c r="P187" s="2">
        <v>3.0681808780000002</v>
      </c>
      <c r="Q187" s="2">
        <v>3.163078295</v>
      </c>
      <c r="R187" s="2">
        <v>0.51314560600000003</v>
      </c>
      <c r="S187" s="2">
        <v>0.61174385499999995</v>
      </c>
      <c r="T187" s="2">
        <v>3.0249653689999998</v>
      </c>
      <c r="U187" s="2">
        <v>3.1033584639999998</v>
      </c>
      <c r="V187" s="2">
        <v>0.87491570500000004</v>
      </c>
      <c r="W187" s="2">
        <v>6.0535561000000002E-2</v>
      </c>
      <c r="X187">
        <f t="shared" si="6"/>
        <v>1</v>
      </c>
      <c r="Y187">
        <f t="shared" si="7"/>
        <v>1</v>
      </c>
      <c r="Z187">
        <f t="shared" si="8"/>
        <v>0</v>
      </c>
    </row>
    <row r="188" spans="1:26" ht="15.75" customHeight="1" x14ac:dyDescent="0.2">
      <c r="A188" s="2" t="s">
        <v>23</v>
      </c>
      <c r="B188" s="2" t="s">
        <v>24</v>
      </c>
      <c r="C188" s="2" t="s">
        <v>32</v>
      </c>
      <c r="D188" s="2" t="s">
        <v>33</v>
      </c>
      <c r="E188" s="2">
        <v>110</v>
      </c>
      <c r="F188" s="2">
        <v>209.33333329999999</v>
      </c>
      <c r="G188" s="2">
        <v>477.33333329999999</v>
      </c>
      <c r="H188" s="2">
        <v>1166</v>
      </c>
      <c r="I188" s="2">
        <v>2160</v>
      </c>
      <c r="J188" s="2">
        <v>2.06</v>
      </c>
      <c r="K188" s="2">
        <v>4.72</v>
      </c>
      <c r="L188" s="2">
        <v>9.4700000000000006</v>
      </c>
      <c r="M188" s="2">
        <v>13.53</v>
      </c>
      <c r="N188" s="2">
        <v>3.3473732090000001</v>
      </c>
      <c r="O188" s="2">
        <v>3.6110317940000001</v>
      </c>
      <c r="P188" s="2">
        <v>2.0696596409999999</v>
      </c>
      <c r="Q188" s="2">
        <v>1.9783951070000001</v>
      </c>
      <c r="R188" s="2">
        <v>0.32937998299999999</v>
      </c>
      <c r="S188" s="2">
        <v>0.23078173399999999</v>
      </c>
      <c r="T188" s="2">
        <v>2.0432816389999999</v>
      </c>
      <c r="U188" s="2">
        <v>1.9648885439999999</v>
      </c>
      <c r="V188" s="2">
        <v>1.7174412939999999</v>
      </c>
      <c r="W188" s="2">
        <v>3.8327994999999997E-2</v>
      </c>
      <c r="X188">
        <f t="shared" si="6"/>
        <v>1</v>
      </c>
      <c r="Y188">
        <f t="shared" si="7"/>
        <v>1</v>
      </c>
      <c r="Z188">
        <f t="shared" si="8"/>
        <v>1</v>
      </c>
    </row>
    <row r="189" spans="1:26" ht="15.75" customHeight="1" x14ac:dyDescent="0.2">
      <c r="A189" s="2" t="s">
        <v>23</v>
      </c>
      <c r="B189" s="2" t="s">
        <v>24</v>
      </c>
      <c r="C189" s="2" t="s">
        <v>28</v>
      </c>
      <c r="D189" s="2" t="s">
        <v>29</v>
      </c>
      <c r="E189" s="2">
        <v>107</v>
      </c>
      <c r="F189" s="2">
        <v>208</v>
      </c>
      <c r="G189" s="2">
        <v>253</v>
      </c>
      <c r="H189" s="2">
        <v>1317.666667</v>
      </c>
      <c r="I189" s="2">
        <v>2382.666667</v>
      </c>
      <c r="J189" s="2">
        <v>2.04</v>
      </c>
      <c r="K189" s="2">
        <v>2.54</v>
      </c>
      <c r="L189" s="2">
        <v>10.25</v>
      </c>
      <c r="M189" s="2">
        <v>14.18</v>
      </c>
      <c r="N189" s="2">
        <v>2.234498608</v>
      </c>
      <c r="O189" s="2">
        <v>2.3462527689999999</v>
      </c>
      <c r="P189" s="2">
        <v>2.2464460939999999</v>
      </c>
      <c r="Q189" s="2">
        <v>2.2869199820000001</v>
      </c>
      <c r="R189" s="2">
        <v>1.8561177120000001</v>
      </c>
      <c r="S189" s="2">
        <v>1.954715961</v>
      </c>
      <c r="T189" s="2">
        <v>1.265443436</v>
      </c>
      <c r="U189" s="2">
        <v>1.187050341</v>
      </c>
      <c r="V189" s="2">
        <v>-0.46805640199999998</v>
      </c>
      <c r="W189" s="2">
        <v>4.2385120999999998E-2</v>
      </c>
      <c r="X189">
        <f t="shared" si="6"/>
        <v>1</v>
      </c>
      <c r="Y189">
        <f t="shared" si="7"/>
        <v>1</v>
      </c>
      <c r="Z189">
        <f t="shared" si="8"/>
        <v>1</v>
      </c>
    </row>
    <row r="190" spans="1:26" ht="15.75" customHeight="1" x14ac:dyDescent="0.2">
      <c r="A190" s="2" t="s">
        <v>23</v>
      </c>
      <c r="B190" s="2" t="s">
        <v>24</v>
      </c>
      <c r="C190" s="2" t="s">
        <v>27</v>
      </c>
      <c r="D190" s="2" t="s">
        <v>27</v>
      </c>
      <c r="E190" s="2">
        <v>109</v>
      </c>
      <c r="F190" s="2">
        <v>190.33333329999999</v>
      </c>
      <c r="G190" s="2">
        <v>343</v>
      </c>
      <c r="H190" s="2">
        <v>2479</v>
      </c>
      <c r="I190" s="2">
        <v>3141.666667</v>
      </c>
      <c r="J190" s="2">
        <v>1.84</v>
      </c>
      <c r="K190" s="2">
        <v>3.46</v>
      </c>
      <c r="L190" s="2">
        <v>14.44</v>
      </c>
      <c r="M190" s="2">
        <v>15.98</v>
      </c>
      <c r="N190" s="2">
        <v>0.36982429999999999</v>
      </c>
      <c r="O190" s="2">
        <v>0.493841478</v>
      </c>
      <c r="P190" s="2">
        <v>3.0724150520000002</v>
      </c>
      <c r="Q190" s="2">
        <v>3.1777097849999998</v>
      </c>
      <c r="R190" s="2">
        <v>0.92817739799999999</v>
      </c>
      <c r="S190" s="2">
        <v>1.026775647</v>
      </c>
      <c r="T190" s="2">
        <v>2.9288600119999999</v>
      </c>
      <c r="U190" s="2">
        <v>3.0072531069999999</v>
      </c>
      <c r="V190" s="2">
        <v>0.45988391200000001</v>
      </c>
      <c r="W190" s="2">
        <v>4.2533888999999998E-2</v>
      </c>
      <c r="X190">
        <f t="shared" si="6"/>
        <v>1</v>
      </c>
      <c r="Y190">
        <f t="shared" si="7"/>
        <v>1</v>
      </c>
      <c r="Z190">
        <f t="shared" si="8"/>
        <v>0</v>
      </c>
    </row>
    <row r="191" spans="1:26" ht="15.75" customHeight="1" x14ac:dyDescent="0.2">
      <c r="A191" s="2" t="s">
        <v>23</v>
      </c>
      <c r="B191" s="2" t="s">
        <v>24</v>
      </c>
      <c r="C191" s="2" t="s">
        <v>26</v>
      </c>
      <c r="D191" s="2" t="s">
        <v>26</v>
      </c>
      <c r="E191" s="2">
        <v>137</v>
      </c>
      <c r="F191" s="2">
        <v>223.33333329999999</v>
      </c>
      <c r="G191" s="2">
        <v>409</v>
      </c>
      <c r="H191" s="2">
        <v>934.33333330000005</v>
      </c>
      <c r="I191" s="2">
        <v>2841.333333</v>
      </c>
      <c r="J191" s="2">
        <v>2.21</v>
      </c>
      <c r="K191" s="2">
        <v>4.0999999999999996</v>
      </c>
      <c r="L191" s="2">
        <v>8.1199999999999992</v>
      </c>
      <c r="M191" s="2">
        <v>15.34</v>
      </c>
      <c r="N191" s="2">
        <v>0.42378799499999997</v>
      </c>
      <c r="O191" s="2">
        <v>0.32357626699999997</v>
      </c>
      <c r="P191" s="2">
        <v>3.4013667590000001</v>
      </c>
      <c r="Q191" s="2">
        <v>3.3333962800000001</v>
      </c>
      <c r="R191" s="2">
        <v>0.29249846000000002</v>
      </c>
      <c r="S191" s="2">
        <v>0.39109670899999999</v>
      </c>
      <c r="T191" s="2">
        <v>3.3887668080000002</v>
      </c>
      <c r="U191" s="2">
        <v>3.3103737139999998</v>
      </c>
      <c r="V191" s="2">
        <v>1.0955628500000001</v>
      </c>
      <c r="W191" s="2">
        <v>6.7886981999999998E-2</v>
      </c>
      <c r="X191">
        <f t="shared" si="6"/>
        <v>1</v>
      </c>
      <c r="Y191">
        <f t="shared" si="7"/>
        <v>1</v>
      </c>
      <c r="Z191">
        <f t="shared" si="8"/>
        <v>0</v>
      </c>
    </row>
    <row r="192" spans="1:26" ht="15.75" customHeight="1" x14ac:dyDescent="0.2">
      <c r="A192" s="2" t="s">
        <v>23</v>
      </c>
      <c r="B192" s="2" t="s">
        <v>24</v>
      </c>
      <c r="C192" s="2" t="s">
        <v>27</v>
      </c>
      <c r="D192" s="2" t="s">
        <v>27</v>
      </c>
      <c r="E192" s="2">
        <v>87</v>
      </c>
      <c r="F192" s="2">
        <v>179.66666670000001</v>
      </c>
      <c r="G192" s="2">
        <v>330.66666670000001</v>
      </c>
      <c r="H192" s="2">
        <v>2414</v>
      </c>
      <c r="I192" s="2">
        <v>3089.333333</v>
      </c>
      <c r="J192" s="2">
        <v>1.72</v>
      </c>
      <c r="K192" s="2">
        <v>3.34</v>
      </c>
      <c r="L192" s="2">
        <v>14.27</v>
      </c>
      <c r="M192" s="2">
        <v>15.87</v>
      </c>
      <c r="N192" s="2">
        <v>0.46325154400000002</v>
      </c>
      <c r="O192" s="2">
        <v>0.59156867800000001</v>
      </c>
      <c r="P192" s="2">
        <v>2.9467554140000001</v>
      </c>
      <c r="Q192" s="2">
        <v>3.0558333420000001</v>
      </c>
      <c r="R192" s="2">
        <v>1.051028066</v>
      </c>
      <c r="S192" s="2">
        <v>1.1496263149999999</v>
      </c>
      <c r="T192" s="2">
        <v>2.752945237</v>
      </c>
      <c r="U192" s="2">
        <v>2.8313383320000001</v>
      </c>
      <c r="V192" s="2">
        <v>0.33703324499999998</v>
      </c>
      <c r="W192" s="2">
        <v>4.1472706999999998E-2</v>
      </c>
      <c r="X192">
        <f t="shared" si="6"/>
        <v>1</v>
      </c>
      <c r="Y192">
        <f t="shared" si="7"/>
        <v>1</v>
      </c>
      <c r="Z192">
        <f t="shared" si="8"/>
        <v>0</v>
      </c>
    </row>
    <row r="193" spans="1:26" ht="15.75" customHeight="1" x14ac:dyDescent="0.2">
      <c r="A193" s="2" t="s">
        <v>23</v>
      </c>
      <c r="B193" s="2" t="s">
        <v>24</v>
      </c>
      <c r="C193" s="2" t="s">
        <v>27</v>
      </c>
      <c r="D193" s="2" t="s">
        <v>27</v>
      </c>
      <c r="E193" s="2">
        <v>112</v>
      </c>
      <c r="F193" s="2">
        <v>181.33333329999999</v>
      </c>
      <c r="G193" s="2">
        <v>373</v>
      </c>
      <c r="H193" s="2">
        <v>2364</v>
      </c>
      <c r="I193" s="2">
        <v>3034</v>
      </c>
      <c r="J193" s="2">
        <v>1.74</v>
      </c>
      <c r="K193" s="2">
        <v>3.76</v>
      </c>
      <c r="L193" s="2">
        <v>14.13</v>
      </c>
      <c r="M193" s="2">
        <v>15.76</v>
      </c>
      <c r="N193" s="2">
        <v>0.174322383</v>
      </c>
      <c r="O193" s="2">
        <v>0.236013419</v>
      </c>
      <c r="P193" s="2">
        <v>2.6899955969999998</v>
      </c>
      <c r="Q193" s="2">
        <v>2.7905128459999999</v>
      </c>
      <c r="R193" s="2">
        <v>0.63477378100000004</v>
      </c>
      <c r="S193" s="2">
        <v>0.73337202999999995</v>
      </c>
      <c r="T193" s="2">
        <v>2.6140272680000001</v>
      </c>
      <c r="U193" s="2">
        <v>2.692420362</v>
      </c>
      <c r="V193" s="2">
        <v>0.75328752899999996</v>
      </c>
      <c r="W193" s="2">
        <v>7.6446897E-2</v>
      </c>
      <c r="X193">
        <f t="shared" si="6"/>
        <v>1</v>
      </c>
      <c r="Y193">
        <f t="shared" si="7"/>
        <v>1</v>
      </c>
      <c r="Z193">
        <f t="shared" si="8"/>
        <v>0</v>
      </c>
    </row>
    <row r="194" spans="1:26" ht="15.75" customHeight="1" x14ac:dyDescent="0.2">
      <c r="A194" s="2" t="s">
        <v>23</v>
      </c>
      <c r="B194" s="2" t="s">
        <v>24</v>
      </c>
      <c r="C194" s="2" t="s">
        <v>32</v>
      </c>
      <c r="D194" s="2" t="s">
        <v>33</v>
      </c>
      <c r="E194" s="2">
        <v>155</v>
      </c>
      <c r="F194" s="2">
        <v>208</v>
      </c>
      <c r="G194" s="2">
        <v>470.33333329999999</v>
      </c>
      <c r="H194" s="2">
        <v>1282</v>
      </c>
      <c r="I194" s="2">
        <v>2160.666667</v>
      </c>
      <c r="J194" s="2">
        <v>2.04</v>
      </c>
      <c r="K194" s="2">
        <v>4.66</v>
      </c>
      <c r="L194" s="2">
        <v>10.07</v>
      </c>
      <c r="M194" s="2">
        <v>13.53</v>
      </c>
      <c r="N194" s="2">
        <v>3.0028801340000002</v>
      </c>
      <c r="O194" s="2">
        <v>3.2910933600000001</v>
      </c>
      <c r="P194" s="2">
        <v>1.4663837550000001</v>
      </c>
      <c r="Q194" s="2">
        <v>1.3738209029999999</v>
      </c>
      <c r="R194" s="2">
        <v>0.26728305000000002</v>
      </c>
      <c r="S194" s="2">
        <v>0.168684801</v>
      </c>
      <c r="T194" s="2">
        <v>1.4418186740000001</v>
      </c>
      <c r="U194" s="2">
        <v>1.3634255799999999</v>
      </c>
      <c r="V194" s="2">
        <v>1.655344361</v>
      </c>
      <c r="W194" s="2">
        <v>8.0138676000000006E-2</v>
      </c>
      <c r="X194">
        <f t="shared" si="6"/>
        <v>1</v>
      </c>
      <c r="Y194">
        <f t="shared" si="7"/>
        <v>1</v>
      </c>
      <c r="Z194">
        <f t="shared" si="8"/>
        <v>1</v>
      </c>
    </row>
    <row r="195" spans="1:26" ht="15.75" customHeight="1" x14ac:dyDescent="0.2">
      <c r="A195" s="2" t="s">
        <v>23</v>
      </c>
      <c r="B195" s="2" t="s">
        <v>24</v>
      </c>
      <c r="C195" s="2" t="s">
        <v>28</v>
      </c>
      <c r="D195" s="2" t="s">
        <v>29</v>
      </c>
      <c r="E195" s="2">
        <v>110</v>
      </c>
      <c r="F195" s="2">
        <v>189.33333329999999</v>
      </c>
      <c r="G195" s="2">
        <v>403.33333329999999</v>
      </c>
      <c r="H195" s="2">
        <v>1407.666667</v>
      </c>
      <c r="I195" s="2">
        <v>2334</v>
      </c>
      <c r="J195" s="2">
        <v>1.83</v>
      </c>
      <c r="K195" s="2">
        <v>4.05</v>
      </c>
      <c r="L195" s="2">
        <v>10.68</v>
      </c>
      <c r="M195" s="2">
        <v>14.04</v>
      </c>
      <c r="N195" s="2">
        <v>2.1543925430000002</v>
      </c>
      <c r="O195" s="2">
        <v>2.4050693129999998</v>
      </c>
      <c r="P195" s="2">
        <v>0.90556773700000004</v>
      </c>
      <c r="Q195" s="2">
        <v>0.87912389300000005</v>
      </c>
      <c r="R195" s="2">
        <v>0.34568362499999999</v>
      </c>
      <c r="S195" s="2">
        <v>0.44428187400000002</v>
      </c>
      <c r="T195" s="2">
        <v>0.83699208999999997</v>
      </c>
      <c r="U195" s="2">
        <v>0.75859899500000005</v>
      </c>
      <c r="V195" s="2">
        <v>1.042377686</v>
      </c>
      <c r="W195" s="2">
        <v>9.3194170000000007E-2</v>
      </c>
      <c r="X195">
        <f t="shared" ref="X195:X258" si="9">IF(B195="normal",1,0)</f>
        <v>1</v>
      </c>
      <c r="Y195">
        <f t="shared" ref="Y195:Y258" si="10">IF(A195="lecture",1,0)</f>
        <v>1</v>
      </c>
      <c r="Z195">
        <f t="shared" ref="Z195:Z258" si="11">IF(ISNUMBER(FIND("~",D195)),1,0)</f>
        <v>1</v>
      </c>
    </row>
    <row r="196" spans="1:26" ht="15.75" customHeight="1" x14ac:dyDescent="0.2">
      <c r="A196" s="2" t="s">
        <v>23</v>
      </c>
      <c r="B196" s="2" t="s">
        <v>24</v>
      </c>
      <c r="C196" s="2" t="s">
        <v>26</v>
      </c>
      <c r="D196" s="2" t="s">
        <v>26</v>
      </c>
      <c r="E196" s="2">
        <v>120</v>
      </c>
      <c r="F196" s="2">
        <v>201.33333329999999</v>
      </c>
      <c r="G196" s="2">
        <v>343.66666670000001</v>
      </c>
      <c r="H196" s="2">
        <v>1154.333333</v>
      </c>
      <c r="I196" s="2">
        <v>2926.333333</v>
      </c>
      <c r="J196" s="2">
        <v>1.97</v>
      </c>
      <c r="K196" s="2">
        <v>3.47</v>
      </c>
      <c r="L196" s="2">
        <v>9.41</v>
      </c>
      <c r="M196" s="2">
        <v>15.53</v>
      </c>
      <c r="N196" s="2">
        <v>1.0085935479999999</v>
      </c>
      <c r="O196" s="2">
        <v>1.1770074530000001</v>
      </c>
      <c r="P196" s="2">
        <v>2.2990438069999999</v>
      </c>
      <c r="Q196" s="2">
        <v>2.270015264</v>
      </c>
      <c r="R196" s="2">
        <v>0.92157429599999996</v>
      </c>
      <c r="S196" s="2">
        <v>1.0201725450000001</v>
      </c>
      <c r="T196" s="2">
        <v>2.1062533659999998</v>
      </c>
      <c r="U196" s="2">
        <v>2.0278602710000002</v>
      </c>
      <c r="V196" s="2">
        <v>0.466487015</v>
      </c>
      <c r="W196" s="2">
        <v>5.7905968000000002E-2</v>
      </c>
      <c r="X196">
        <f t="shared" si="9"/>
        <v>1</v>
      </c>
      <c r="Y196">
        <f t="shared" si="10"/>
        <v>1</v>
      </c>
      <c r="Z196">
        <f t="shared" si="11"/>
        <v>0</v>
      </c>
    </row>
    <row r="197" spans="1:26" ht="15.75" customHeight="1" x14ac:dyDescent="0.2">
      <c r="A197" s="2" t="s">
        <v>23</v>
      </c>
      <c r="B197" s="2" t="s">
        <v>24</v>
      </c>
      <c r="C197" s="2" t="s">
        <v>30</v>
      </c>
      <c r="D197" s="2" t="s">
        <v>31</v>
      </c>
      <c r="E197" s="2">
        <v>97</v>
      </c>
      <c r="F197" s="2">
        <v>181.66666670000001</v>
      </c>
      <c r="G197" s="2">
        <v>603</v>
      </c>
      <c r="H197" s="2">
        <v>1275</v>
      </c>
      <c r="I197" s="2">
        <v>2481.666667</v>
      </c>
      <c r="J197" s="2">
        <v>1.74</v>
      </c>
      <c r="K197" s="2">
        <v>5.78</v>
      </c>
      <c r="L197" s="2">
        <v>10.039999999999999</v>
      </c>
      <c r="M197" s="2">
        <v>14.45</v>
      </c>
      <c r="N197" s="2">
        <v>4.694751933</v>
      </c>
      <c r="O197" s="2">
        <v>4.6330349819999999</v>
      </c>
      <c r="P197" s="2">
        <v>2.025706993</v>
      </c>
      <c r="Q197" s="2">
        <v>1.901155964</v>
      </c>
      <c r="R197" s="2">
        <v>1.3864638549999999</v>
      </c>
      <c r="S197" s="2">
        <v>1.287865606</v>
      </c>
      <c r="T197" s="2">
        <v>1.4768909240000001</v>
      </c>
      <c r="U197" s="2">
        <v>1.3984978299999999</v>
      </c>
      <c r="V197" s="2">
        <v>2.7745251660000001</v>
      </c>
      <c r="W197" s="2">
        <v>4.0026218000000002E-2</v>
      </c>
      <c r="X197">
        <f t="shared" si="9"/>
        <v>1</v>
      </c>
      <c r="Y197">
        <f t="shared" si="10"/>
        <v>1</v>
      </c>
      <c r="Z197">
        <f t="shared" si="11"/>
        <v>1</v>
      </c>
    </row>
    <row r="198" spans="1:26" ht="15.75" customHeight="1" x14ac:dyDescent="0.2">
      <c r="A198" s="2" t="s">
        <v>23</v>
      </c>
      <c r="B198" s="2" t="s">
        <v>24</v>
      </c>
      <c r="C198" s="2" t="s">
        <v>27</v>
      </c>
      <c r="D198" s="2" t="s">
        <v>27</v>
      </c>
      <c r="E198" s="2">
        <v>80</v>
      </c>
      <c r="F198" s="2">
        <v>180.33333329999999</v>
      </c>
      <c r="G198" s="2">
        <v>356.33333329999999</v>
      </c>
      <c r="H198" s="2">
        <v>2522.333333</v>
      </c>
      <c r="I198" s="2">
        <v>3209</v>
      </c>
      <c r="J198" s="2">
        <v>1.73</v>
      </c>
      <c r="K198" s="2">
        <v>3.59</v>
      </c>
      <c r="L198" s="2">
        <v>14.56</v>
      </c>
      <c r="M198" s="2">
        <v>16.11</v>
      </c>
      <c r="N198" s="2">
        <v>0.33394962500000003</v>
      </c>
      <c r="O198" s="2">
        <v>0.43243610500000002</v>
      </c>
      <c r="P198" s="2">
        <v>3.145892173</v>
      </c>
      <c r="Q198" s="2">
        <v>3.247581555</v>
      </c>
      <c r="R198" s="2">
        <v>0.796837515</v>
      </c>
      <c r="S198" s="2">
        <v>0.89543576400000002</v>
      </c>
      <c r="T198" s="2">
        <v>3.043302078</v>
      </c>
      <c r="U198" s="2">
        <v>3.121695173</v>
      </c>
      <c r="V198" s="2">
        <v>0.59122379599999997</v>
      </c>
      <c r="W198" s="2">
        <v>3.8785983000000003E-2</v>
      </c>
      <c r="X198">
        <f t="shared" si="9"/>
        <v>1</v>
      </c>
      <c r="Y198">
        <f t="shared" si="10"/>
        <v>1</v>
      </c>
      <c r="Z198">
        <f t="shared" si="11"/>
        <v>0</v>
      </c>
    </row>
    <row r="199" spans="1:26" ht="15.75" customHeight="1" x14ac:dyDescent="0.2">
      <c r="A199" s="2" t="s">
        <v>23</v>
      </c>
      <c r="B199" s="2" t="s">
        <v>24</v>
      </c>
      <c r="C199" s="2" t="s">
        <v>30</v>
      </c>
      <c r="D199" s="2" t="s">
        <v>31</v>
      </c>
      <c r="E199" s="2">
        <v>121</v>
      </c>
      <c r="F199" s="2">
        <v>208.33333329999999</v>
      </c>
      <c r="G199" s="2">
        <v>357.66666670000001</v>
      </c>
      <c r="H199" s="2">
        <v>1218</v>
      </c>
      <c r="I199" s="2">
        <v>2201.333333</v>
      </c>
      <c r="J199" s="2">
        <v>2.0499999999999998</v>
      </c>
      <c r="K199" s="2">
        <v>3.61</v>
      </c>
      <c r="L199" s="2">
        <v>9.75</v>
      </c>
      <c r="M199" s="2">
        <v>13.65</v>
      </c>
      <c r="N199" s="2">
        <v>4.5545608470000003</v>
      </c>
      <c r="O199" s="2">
        <v>4.5521674460000003</v>
      </c>
      <c r="P199" s="2">
        <v>1.9341563509999999</v>
      </c>
      <c r="Q199" s="2">
        <v>1.9063456480000001</v>
      </c>
      <c r="R199" s="2">
        <v>0.78378664099999995</v>
      </c>
      <c r="S199" s="2">
        <v>0.88238488999999998</v>
      </c>
      <c r="T199" s="2">
        <v>1.7682305540000001</v>
      </c>
      <c r="U199" s="2">
        <v>1.689837459</v>
      </c>
      <c r="V199" s="2">
        <v>0.60427467000000001</v>
      </c>
      <c r="W199" s="2">
        <v>7.0666627999999995E-2</v>
      </c>
      <c r="X199">
        <f t="shared" si="9"/>
        <v>1</v>
      </c>
      <c r="Y199">
        <f t="shared" si="10"/>
        <v>1</v>
      </c>
      <c r="Z199">
        <f t="shared" si="11"/>
        <v>1</v>
      </c>
    </row>
    <row r="200" spans="1:26" ht="15.75" customHeight="1" x14ac:dyDescent="0.2">
      <c r="A200" s="2" t="s">
        <v>23</v>
      </c>
      <c r="B200" s="2" t="s">
        <v>24</v>
      </c>
      <c r="C200" s="2" t="s">
        <v>26</v>
      </c>
      <c r="D200" s="2" t="s">
        <v>26</v>
      </c>
      <c r="E200" s="2">
        <v>114</v>
      </c>
      <c r="F200" s="2">
        <v>215</v>
      </c>
      <c r="G200" s="2">
        <v>394</v>
      </c>
      <c r="H200" s="2">
        <v>1114.333333</v>
      </c>
      <c r="I200" s="2">
        <v>2926.333333</v>
      </c>
      <c r="J200" s="2">
        <v>2.12</v>
      </c>
      <c r="K200" s="2">
        <v>3.96</v>
      </c>
      <c r="L200" s="2">
        <v>9.19</v>
      </c>
      <c r="M200" s="2">
        <v>15.53</v>
      </c>
      <c r="N200" s="2">
        <v>0.663760935</v>
      </c>
      <c r="O200" s="2">
        <v>0.91626175899999995</v>
      </c>
      <c r="P200" s="2">
        <v>2.3659021839999999</v>
      </c>
      <c r="Q200" s="2">
        <v>2.3096019569999999</v>
      </c>
      <c r="R200" s="2">
        <v>0.43384091400000002</v>
      </c>
      <c r="S200" s="2">
        <v>0.53243916300000005</v>
      </c>
      <c r="T200" s="2">
        <v>2.325784858</v>
      </c>
      <c r="U200" s="2">
        <v>2.247391763</v>
      </c>
      <c r="V200" s="2">
        <v>0.95422039700000005</v>
      </c>
      <c r="W200" s="2">
        <v>7.6622277000000003E-2</v>
      </c>
      <c r="X200">
        <f t="shared" si="9"/>
        <v>1</v>
      </c>
      <c r="Y200">
        <f t="shared" si="10"/>
        <v>1</v>
      </c>
      <c r="Z200">
        <f t="shared" si="11"/>
        <v>0</v>
      </c>
    </row>
    <row r="201" spans="1:26" ht="15.75" customHeight="1" x14ac:dyDescent="0.2">
      <c r="A201" s="2" t="s">
        <v>23</v>
      </c>
      <c r="B201" s="2" t="s">
        <v>24</v>
      </c>
      <c r="C201" s="2" t="s">
        <v>26</v>
      </c>
      <c r="D201" s="2" t="s">
        <v>26</v>
      </c>
      <c r="E201" s="2">
        <v>144</v>
      </c>
      <c r="F201" s="2">
        <v>228.66666670000001</v>
      </c>
      <c r="G201" s="2">
        <v>408</v>
      </c>
      <c r="H201" s="2">
        <v>1002.333333</v>
      </c>
      <c r="I201" s="2">
        <v>2614.666667</v>
      </c>
      <c r="J201" s="2">
        <v>2.27</v>
      </c>
      <c r="K201" s="2">
        <v>4.09</v>
      </c>
      <c r="L201" s="2">
        <v>8.5399999999999991</v>
      </c>
      <c r="M201" s="2">
        <v>14.79</v>
      </c>
      <c r="N201" s="2">
        <v>0.13397640399999999</v>
      </c>
      <c r="O201" s="2">
        <v>0.37651205700000001</v>
      </c>
      <c r="P201" s="2">
        <v>2.9873040569999998</v>
      </c>
      <c r="Q201" s="2">
        <v>2.921199895</v>
      </c>
      <c r="R201" s="2">
        <v>0.30186558099999999</v>
      </c>
      <c r="S201" s="2">
        <v>0.40046383000000002</v>
      </c>
      <c r="T201" s="2">
        <v>2.972013241</v>
      </c>
      <c r="U201" s="2">
        <v>2.8936201459999999</v>
      </c>
      <c r="V201" s="2">
        <v>1.08619573</v>
      </c>
      <c r="W201" s="2">
        <v>6.4604075999999996E-2</v>
      </c>
      <c r="X201">
        <f t="shared" si="9"/>
        <v>1</v>
      </c>
      <c r="Y201">
        <f t="shared" si="10"/>
        <v>1</v>
      </c>
      <c r="Z201">
        <f t="shared" si="11"/>
        <v>0</v>
      </c>
    </row>
    <row r="202" spans="1:26" ht="15.75" customHeight="1" x14ac:dyDescent="0.2">
      <c r="A202" s="2" t="s">
        <v>23</v>
      </c>
      <c r="B202" s="2" t="s">
        <v>24</v>
      </c>
      <c r="C202" s="2" t="s">
        <v>26</v>
      </c>
      <c r="D202" s="2" t="s">
        <v>26</v>
      </c>
      <c r="E202" s="2">
        <v>132</v>
      </c>
      <c r="F202" s="2">
        <v>234.66666670000001</v>
      </c>
      <c r="G202" s="2">
        <v>348.66666670000001</v>
      </c>
      <c r="H202" s="2">
        <v>826.33333330000005</v>
      </c>
      <c r="I202" s="2">
        <v>2914.333333</v>
      </c>
      <c r="J202" s="2">
        <v>2.34</v>
      </c>
      <c r="K202" s="2">
        <v>3.52</v>
      </c>
      <c r="L202" s="2">
        <v>7.42</v>
      </c>
      <c r="M202" s="2">
        <v>15.5</v>
      </c>
      <c r="N202" s="2">
        <v>1.186530131</v>
      </c>
      <c r="O202" s="2">
        <v>0.91118134299999998</v>
      </c>
      <c r="P202" s="2">
        <v>4.1843839090000001</v>
      </c>
      <c r="Q202" s="2">
        <v>4.1298039900000001</v>
      </c>
      <c r="R202" s="2">
        <v>0.87217258099999995</v>
      </c>
      <c r="S202" s="2">
        <v>0.97077083099999995</v>
      </c>
      <c r="T202" s="2">
        <v>4.0924789170000002</v>
      </c>
      <c r="U202" s="2">
        <v>4.0140858220000002</v>
      </c>
      <c r="V202" s="2">
        <v>0.51588872900000005</v>
      </c>
      <c r="W202" s="2">
        <v>5.8941278E-2</v>
      </c>
      <c r="X202">
        <f t="shared" si="9"/>
        <v>1</v>
      </c>
      <c r="Y202">
        <f t="shared" si="10"/>
        <v>1</v>
      </c>
      <c r="Z202">
        <f t="shared" si="11"/>
        <v>0</v>
      </c>
    </row>
    <row r="203" spans="1:26" ht="15.75" customHeight="1" x14ac:dyDescent="0.2">
      <c r="A203" s="2" t="s">
        <v>23</v>
      </c>
      <c r="B203" s="2" t="s">
        <v>24</v>
      </c>
      <c r="C203" s="2" t="s">
        <v>25</v>
      </c>
      <c r="D203" s="2" t="s">
        <v>25</v>
      </c>
      <c r="E203" s="2">
        <v>181</v>
      </c>
      <c r="F203" s="2">
        <v>174.66666670000001</v>
      </c>
      <c r="G203" s="2">
        <v>711</v>
      </c>
      <c r="H203" s="2">
        <v>1485</v>
      </c>
      <c r="I203" s="2">
        <v>2406</v>
      </c>
      <c r="J203" s="2">
        <v>1.66</v>
      </c>
      <c r="K203" s="2">
        <v>6.61</v>
      </c>
      <c r="L203" s="2">
        <v>11.03</v>
      </c>
      <c r="M203" s="2">
        <v>14.24</v>
      </c>
      <c r="N203" s="2">
        <v>0.94230155599999998</v>
      </c>
      <c r="O203" s="2">
        <v>1.1726474099999999</v>
      </c>
      <c r="P203" s="2">
        <v>2.2682981579999999</v>
      </c>
      <c r="Q203" s="2">
        <v>2.155887415</v>
      </c>
      <c r="R203" s="2">
        <v>2.2154631220000001</v>
      </c>
      <c r="S203" s="2">
        <v>2.1168648729999999</v>
      </c>
      <c r="T203" s="2">
        <v>0.48672342099999999</v>
      </c>
      <c r="U203" s="2">
        <v>0.40833032699999999</v>
      </c>
      <c r="V203" s="2">
        <v>3.603524433</v>
      </c>
      <c r="W203" s="2">
        <v>5.6108036E-2</v>
      </c>
      <c r="X203">
        <f t="shared" si="9"/>
        <v>1</v>
      </c>
      <c r="Y203">
        <f t="shared" si="10"/>
        <v>1</v>
      </c>
      <c r="Z203">
        <f t="shared" si="11"/>
        <v>0</v>
      </c>
    </row>
    <row r="204" spans="1:26" ht="15.75" customHeight="1" x14ac:dyDescent="0.2">
      <c r="A204" s="2" t="s">
        <v>23</v>
      </c>
      <c r="B204" s="2" t="s">
        <v>24</v>
      </c>
      <c r="C204" s="2" t="s">
        <v>25</v>
      </c>
      <c r="D204" s="2" t="s">
        <v>25</v>
      </c>
      <c r="E204" s="2">
        <v>134</v>
      </c>
      <c r="F204" s="2">
        <v>215.66666670000001</v>
      </c>
      <c r="G204" s="2">
        <v>720.66666669999995</v>
      </c>
      <c r="H204" s="2">
        <v>1749</v>
      </c>
      <c r="I204" s="2">
        <v>3074</v>
      </c>
      <c r="J204" s="2">
        <v>2.13</v>
      </c>
      <c r="K204" s="2">
        <v>6.68</v>
      </c>
      <c r="L204" s="2">
        <v>12.11</v>
      </c>
      <c r="M204" s="2">
        <v>15.84</v>
      </c>
      <c r="N204" s="2">
        <v>0.49387104999999998</v>
      </c>
      <c r="O204" s="2">
        <v>0.76033170100000003</v>
      </c>
      <c r="P204" s="2">
        <v>2.3635632329999998</v>
      </c>
      <c r="Q204" s="2">
        <v>2.2902703930000001</v>
      </c>
      <c r="R204" s="2">
        <v>2.2864066740000002</v>
      </c>
      <c r="S204" s="2">
        <v>2.187808424</v>
      </c>
      <c r="T204" s="2">
        <v>0.59897886600000005</v>
      </c>
      <c r="U204" s="2">
        <v>0.67737196</v>
      </c>
      <c r="V204" s="2">
        <v>3.6744679840000001</v>
      </c>
      <c r="W204" s="2">
        <v>5.8140230000000001E-2</v>
      </c>
      <c r="X204">
        <f t="shared" si="9"/>
        <v>1</v>
      </c>
      <c r="Y204">
        <f t="shared" si="10"/>
        <v>1</v>
      </c>
      <c r="Z204">
        <f t="shared" si="11"/>
        <v>0</v>
      </c>
    </row>
    <row r="205" spans="1:26" ht="15.75" customHeight="1" x14ac:dyDescent="0.2">
      <c r="A205" s="2" t="s">
        <v>23</v>
      </c>
      <c r="B205" s="2" t="s">
        <v>24</v>
      </c>
      <c r="C205" s="2" t="s">
        <v>25</v>
      </c>
      <c r="D205" s="2" t="s">
        <v>25</v>
      </c>
      <c r="E205" s="2">
        <v>196</v>
      </c>
      <c r="F205" s="2">
        <v>209.66666670000001</v>
      </c>
      <c r="G205" s="2">
        <v>885</v>
      </c>
      <c r="H205" s="2">
        <v>1772.666667</v>
      </c>
      <c r="I205" s="2">
        <v>2832.333333</v>
      </c>
      <c r="J205" s="2">
        <v>2.06</v>
      </c>
      <c r="K205" s="2">
        <v>7.81</v>
      </c>
      <c r="L205" s="2">
        <v>12.2</v>
      </c>
      <c r="M205" s="2">
        <v>15.32</v>
      </c>
      <c r="N205" s="2">
        <v>0.809372745</v>
      </c>
      <c r="O205" s="2">
        <v>0.51425581600000003</v>
      </c>
      <c r="P205" s="2">
        <v>3.4873869129999999</v>
      </c>
      <c r="Q205" s="2">
        <v>3.4075764409999998</v>
      </c>
      <c r="R205" s="2">
        <v>3.4186857060000002</v>
      </c>
      <c r="S205" s="2">
        <v>3.3200874570000001</v>
      </c>
      <c r="T205" s="2">
        <v>0.68880732200000006</v>
      </c>
      <c r="U205" s="2">
        <v>0.76720041699999997</v>
      </c>
      <c r="V205" s="2">
        <v>4.8067470170000002</v>
      </c>
      <c r="W205" s="2">
        <v>5.1323071999999997E-2</v>
      </c>
      <c r="X205">
        <f t="shared" si="9"/>
        <v>1</v>
      </c>
      <c r="Y205">
        <f t="shared" si="10"/>
        <v>1</v>
      </c>
      <c r="Z205">
        <f t="shared" si="11"/>
        <v>0</v>
      </c>
    </row>
    <row r="206" spans="1:26" ht="15.75" customHeight="1" x14ac:dyDescent="0.2">
      <c r="A206" s="2" t="s">
        <v>23</v>
      </c>
      <c r="B206" s="2" t="s">
        <v>24</v>
      </c>
      <c r="C206" s="2" t="s">
        <v>28</v>
      </c>
      <c r="D206" s="2" t="s">
        <v>29</v>
      </c>
      <c r="E206" s="2">
        <v>128</v>
      </c>
      <c r="F206" s="2">
        <v>213.66666670000001</v>
      </c>
      <c r="G206" s="2">
        <v>391.66666670000001</v>
      </c>
      <c r="H206" s="2">
        <v>1468.333333</v>
      </c>
      <c r="I206" s="2">
        <v>2497</v>
      </c>
      <c r="J206" s="2">
        <v>2.11</v>
      </c>
      <c r="K206" s="2">
        <v>3.94</v>
      </c>
      <c r="L206" s="2">
        <v>10.95</v>
      </c>
      <c r="M206" s="2">
        <v>14.49</v>
      </c>
      <c r="N206" s="2">
        <v>2.4287621170000002</v>
      </c>
      <c r="O206" s="2">
        <v>2.672875205</v>
      </c>
      <c r="P206" s="2">
        <v>0.72284782199999997</v>
      </c>
      <c r="Q206" s="2">
        <v>0.73509041500000005</v>
      </c>
      <c r="R206" s="2">
        <v>0.45598957299999998</v>
      </c>
      <c r="S206" s="2">
        <v>0.55458782200000001</v>
      </c>
      <c r="T206" s="2">
        <v>0.56087653100000001</v>
      </c>
      <c r="U206" s="2">
        <v>0.48248343599999999</v>
      </c>
      <c r="V206" s="2">
        <v>0.93207173799999998</v>
      </c>
      <c r="W206" s="2">
        <v>5.3171802999999997E-2</v>
      </c>
      <c r="X206">
        <f t="shared" si="9"/>
        <v>1</v>
      </c>
      <c r="Y206">
        <f t="shared" si="10"/>
        <v>1</v>
      </c>
      <c r="Z206">
        <f t="shared" si="11"/>
        <v>1</v>
      </c>
    </row>
    <row r="207" spans="1:26" ht="15.75" customHeight="1" x14ac:dyDescent="0.2">
      <c r="A207" s="2" t="s">
        <v>23</v>
      </c>
      <c r="B207" s="2" t="s">
        <v>24</v>
      </c>
      <c r="C207" s="2" t="s">
        <v>30</v>
      </c>
      <c r="D207" s="2" t="s">
        <v>31</v>
      </c>
      <c r="E207" s="2">
        <v>194</v>
      </c>
      <c r="F207" s="2">
        <v>208.33333329999999</v>
      </c>
      <c r="G207" s="2">
        <v>339</v>
      </c>
      <c r="H207" s="2">
        <v>1155</v>
      </c>
      <c r="I207" s="2">
        <v>2073.333333</v>
      </c>
      <c r="J207" s="2">
        <v>2.0499999999999998</v>
      </c>
      <c r="K207" s="2">
        <v>3.42</v>
      </c>
      <c r="L207" s="2">
        <v>9.41</v>
      </c>
      <c r="M207" s="2">
        <v>13.25</v>
      </c>
      <c r="N207" s="2">
        <v>4.8994870879999999</v>
      </c>
      <c r="O207" s="2">
        <v>4.901440204</v>
      </c>
      <c r="P207" s="2">
        <v>2.3147115</v>
      </c>
      <c r="Q207" s="2">
        <v>2.2880019649999999</v>
      </c>
      <c r="R207" s="2">
        <v>0.96787643499999998</v>
      </c>
      <c r="S207" s="2">
        <v>1.0664746839999999</v>
      </c>
      <c r="T207" s="2">
        <v>2.102642275</v>
      </c>
      <c r="U207" s="2">
        <v>2.02424918</v>
      </c>
      <c r="V207" s="2">
        <v>0.42018487599999998</v>
      </c>
      <c r="W207" s="2">
        <v>4.7423117000000001E-2</v>
      </c>
      <c r="X207">
        <f t="shared" si="9"/>
        <v>1</v>
      </c>
      <c r="Y207">
        <f t="shared" si="10"/>
        <v>1</v>
      </c>
      <c r="Z207">
        <f t="shared" si="11"/>
        <v>1</v>
      </c>
    </row>
    <row r="208" spans="1:26" ht="15.75" customHeight="1" x14ac:dyDescent="0.2">
      <c r="A208" s="2" t="s">
        <v>23</v>
      </c>
      <c r="B208" s="2" t="s">
        <v>24</v>
      </c>
      <c r="C208" s="2" t="s">
        <v>32</v>
      </c>
      <c r="D208" s="2" t="s">
        <v>33</v>
      </c>
      <c r="E208" s="2">
        <v>130</v>
      </c>
      <c r="F208" s="2">
        <v>224</v>
      </c>
      <c r="G208" s="2">
        <v>613</v>
      </c>
      <c r="H208" s="2">
        <v>1357.666667</v>
      </c>
      <c r="I208" s="2">
        <v>2852</v>
      </c>
      <c r="J208" s="2">
        <v>2.2200000000000002</v>
      </c>
      <c r="K208" s="2">
        <v>5.86</v>
      </c>
      <c r="L208" s="2">
        <v>10.44</v>
      </c>
      <c r="M208" s="2">
        <v>15.36</v>
      </c>
      <c r="N208" s="2">
        <v>1.86054977</v>
      </c>
      <c r="O208" s="2">
        <v>2.1168054569999999</v>
      </c>
      <c r="P208" s="2">
        <v>1.8163406259999999</v>
      </c>
      <c r="Q208" s="2">
        <v>1.6904860079999999</v>
      </c>
      <c r="R208" s="2">
        <v>1.4661466379999999</v>
      </c>
      <c r="S208" s="2">
        <v>1.367548389</v>
      </c>
      <c r="T208" s="2">
        <v>1.0721507850000001</v>
      </c>
      <c r="U208" s="2">
        <v>0.99375769000000003</v>
      </c>
      <c r="V208" s="2">
        <v>2.854207948</v>
      </c>
      <c r="W208" s="2">
        <v>5.9413465999999998E-2</v>
      </c>
      <c r="X208">
        <f t="shared" si="9"/>
        <v>1</v>
      </c>
      <c r="Y208">
        <f t="shared" si="10"/>
        <v>1</v>
      </c>
      <c r="Z208">
        <f t="shared" si="11"/>
        <v>1</v>
      </c>
    </row>
    <row r="209" spans="1:26" ht="15.75" customHeight="1" x14ac:dyDescent="0.2">
      <c r="A209" s="2" t="s">
        <v>23</v>
      </c>
      <c r="B209" s="2" t="s">
        <v>24</v>
      </c>
      <c r="C209" s="2" t="s">
        <v>26</v>
      </c>
      <c r="D209" s="2" t="s">
        <v>26</v>
      </c>
      <c r="E209" s="2">
        <v>169</v>
      </c>
      <c r="F209" s="2">
        <v>245.66666670000001</v>
      </c>
      <c r="G209" s="2">
        <v>382.33333329999999</v>
      </c>
      <c r="H209" s="2">
        <v>1012.333333</v>
      </c>
      <c r="I209" s="2">
        <v>2724.333333</v>
      </c>
      <c r="J209" s="2">
        <v>2.46</v>
      </c>
      <c r="K209" s="2">
        <v>3.85</v>
      </c>
      <c r="L209" s="2">
        <v>8.6</v>
      </c>
      <c r="M209" s="2">
        <v>15.06</v>
      </c>
      <c r="N209" s="2">
        <v>0.134668014</v>
      </c>
      <c r="O209" s="2">
        <v>0.32017593900000002</v>
      </c>
      <c r="P209" s="2">
        <v>2.9628944590000001</v>
      </c>
      <c r="Q209" s="2">
        <v>2.90610977</v>
      </c>
      <c r="R209" s="2">
        <v>0.54502548299999998</v>
      </c>
      <c r="S209" s="2">
        <v>0.643623732</v>
      </c>
      <c r="T209" s="2">
        <v>2.912334253</v>
      </c>
      <c r="U209" s="2">
        <v>2.833941158</v>
      </c>
      <c r="V209" s="2">
        <v>0.84303582799999999</v>
      </c>
      <c r="W209" s="2">
        <v>4.7892224999999997E-2</v>
      </c>
      <c r="X209">
        <f t="shared" si="9"/>
        <v>1</v>
      </c>
      <c r="Y209">
        <f t="shared" si="10"/>
        <v>1</v>
      </c>
      <c r="Z209">
        <f t="shared" si="11"/>
        <v>0</v>
      </c>
    </row>
    <row r="210" spans="1:26" ht="15.75" customHeight="1" x14ac:dyDescent="0.2">
      <c r="A210" s="2" t="s">
        <v>23</v>
      </c>
      <c r="B210" s="2" t="s">
        <v>24</v>
      </c>
      <c r="C210" s="2" t="s">
        <v>32</v>
      </c>
      <c r="D210" s="2" t="s">
        <v>33</v>
      </c>
      <c r="E210" s="2">
        <v>164</v>
      </c>
      <c r="F210" s="2">
        <v>217.66666670000001</v>
      </c>
      <c r="G210" s="2">
        <v>564.33333330000005</v>
      </c>
      <c r="H210" s="2">
        <v>1347</v>
      </c>
      <c r="I210" s="2">
        <v>2707.333333</v>
      </c>
      <c r="J210" s="2">
        <v>2.15</v>
      </c>
      <c r="K210" s="2">
        <v>5.46</v>
      </c>
      <c r="L210" s="2">
        <v>10.39</v>
      </c>
      <c r="M210" s="2">
        <v>15.02</v>
      </c>
      <c r="N210" s="2">
        <v>2.1750064899999999</v>
      </c>
      <c r="O210" s="2">
        <v>2.450284345</v>
      </c>
      <c r="P210" s="2">
        <v>1.5529786480000001</v>
      </c>
      <c r="Q210" s="2">
        <v>1.428294307</v>
      </c>
      <c r="R210" s="2">
        <v>1.0724170989999999</v>
      </c>
      <c r="S210" s="2">
        <v>0.97381885000000001</v>
      </c>
      <c r="T210" s="2">
        <v>1.1232382860000001</v>
      </c>
      <c r="U210" s="2">
        <v>1.0448451919999999</v>
      </c>
      <c r="V210" s="2">
        <v>2.4604784099999999</v>
      </c>
      <c r="W210" s="2">
        <v>5.8499246999999997E-2</v>
      </c>
      <c r="X210">
        <f t="shared" si="9"/>
        <v>1</v>
      </c>
      <c r="Y210">
        <f t="shared" si="10"/>
        <v>1</v>
      </c>
      <c r="Z210">
        <f t="shared" si="11"/>
        <v>1</v>
      </c>
    </row>
    <row r="211" spans="1:26" ht="15.75" customHeight="1" x14ac:dyDescent="0.2">
      <c r="A211" s="2" t="s">
        <v>23</v>
      </c>
      <c r="B211" s="2" t="s">
        <v>24</v>
      </c>
      <c r="C211" s="2" t="s">
        <v>28</v>
      </c>
      <c r="D211" s="2" t="s">
        <v>29</v>
      </c>
      <c r="E211" s="2">
        <v>100</v>
      </c>
      <c r="F211" s="2">
        <v>197.66666670000001</v>
      </c>
      <c r="G211" s="2">
        <v>265.33333329999999</v>
      </c>
      <c r="H211" s="2">
        <v>1141.333333</v>
      </c>
      <c r="I211" s="2">
        <v>2241.666667</v>
      </c>
      <c r="J211" s="2">
        <v>1.93</v>
      </c>
      <c r="K211" s="2">
        <v>2.67</v>
      </c>
      <c r="L211" s="2">
        <v>9.34</v>
      </c>
      <c r="M211" s="2">
        <v>13.77</v>
      </c>
      <c r="N211" s="2">
        <v>1.524440005</v>
      </c>
      <c r="O211" s="2">
        <v>1.559619434</v>
      </c>
      <c r="P211" s="2">
        <v>2.7772652070000001</v>
      </c>
      <c r="Q211" s="2">
        <v>2.7798952369999999</v>
      </c>
      <c r="R211" s="2">
        <v>1.7245174160000001</v>
      </c>
      <c r="S211" s="2">
        <v>1.823115665</v>
      </c>
      <c r="T211" s="2">
        <v>2.1769799519999999</v>
      </c>
      <c r="U211" s="2">
        <v>2.098586858</v>
      </c>
      <c r="V211" s="2">
        <v>-0.33645610500000001</v>
      </c>
      <c r="W211" s="2">
        <v>3.0533945999999999E-2</v>
      </c>
      <c r="X211">
        <f t="shared" si="9"/>
        <v>1</v>
      </c>
      <c r="Y211">
        <f t="shared" si="10"/>
        <v>1</v>
      </c>
      <c r="Z211">
        <f t="shared" si="11"/>
        <v>1</v>
      </c>
    </row>
    <row r="212" spans="1:26" ht="15.75" customHeight="1" x14ac:dyDescent="0.2">
      <c r="A212" s="2" t="s">
        <v>23</v>
      </c>
      <c r="B212" s="2" t="s">
        <v>24</v>
      </c>
      <c r="C212" s="2" t="s">
        <v>32</v>
      </c>
      <c r="D212" s="2" t="s">
        <v>33</v>
      </c>
      <c r="E212" s="2">
        <v>103</v>
      </c>
      <c r="F212" s="2">
        <v>186.33333329999999</v>
      </c>
      <c r="G212" s="2">
        <v>426</v>
      </c>
      <c r="H212" s="2">
        <v>1085.333333</v>
      </c>
      <c r="I212" s="2">
        <v>2209</v>
      </c>
      <c r="J212" s="2">
        <v>1.8</v>
      </c>
      <c r="K212" s="2">
        <v>4.26</v>
      </c>
      <c r="L212" s="2">
        <v>9.02</v>
      </c>
      <c r="M212" s="2">
        <v>13.68</v>
      </c>
      <c r="N212" s="2">
        <v>3.9902318170000002</v>
      </c>
      <c r="O212" s="2">
        <v>4.2537271150000002</v>
      </c>
      <c r="P212" s="2">
        <v>2.4921812000000001</v>
      </c>
      <c r="Q212" s="2">
        <v>2.4214001170000001</v>
      </c>
      <c r="R212" s="2">
        <v>0.13445872</v>
      </c>
      <c r="S212" s="2">
        <v>0.233056969</v>
      </c>
      <c r="T212" s="2">
        <v>2.4885513829999999</v>
      </c>
      <c r="U212" s="2">
        <v>2.410158289</v>
      </c>
      <c r="V212" s="2">
        <v>1.2536025909999999</v>
      </c>
      <c r="W212" s="2">
        <v>3.6002579999999999E-2</v>
      </c>
      <c r="X212">
        <f t="shared" si="9"/>
        <v>1</v>
      </c>
      <c r="Y212">
        <f t="shared" si="10"/>
        <v>1</v>
      </c>
      <c r="Z212">
        <f t="shared" si="11"/>
        <v>1</v>
      </c>
    </row>
    <row r="213" spans="1:26" ht="15.75" customHeight="1" x14ac:dyDescent="0.2">
      <c r="A213" s="2" t="s">
        <v>23</v>
      </c>
      <c r="B213" s="2" t="s">
        <v>24</v>
      </c>
      <c r="C213" s="2" t="s">
        <v>25</v>
      </c>
      <c r="D213" s="2" t="s">
        <v>25</v>
      </c>
      <c r="E213" s="2">
        <v>180</v>
      </c>
      <c r="F213" s="2">
        <v>185</v>
      </c>
      <c r="G213" s="2">
        <v>710.66666669999995</v>
      </c>
      <c r="H213" s="2">
        <v>1764.666667</v>
      </c>
      <c r="I213" s="2">
        <v>2875</v>
      </c>
      <c r="J213" s="2">
        <v>1.78</v>
      </c>
      <c r="K213" s="2">
        <v>6.6</v>
      </c>
      <c r="L213" s="2">
        <v>12.17</v>
      </c>
      <c r="M213" s="2">
        <v>15.41</v>
      </c>
      <c r="N213" s="2">
        <v>0.58809031599999995</v>
      </c>
      <c r="O213" s="2">
        <v>0.84883298600000001</v>
      </c>
      <c r="P213" s="2">
        <v>2.3089213659999999</v>
      </c>
      <c r="Q213" s="2">
        <v>2.2391610860000002</v>
      </c>
      <c r="R213" s="2">
        <v>2.2130076330000001</v>
      </c>
      <c r="S213" s="2">
        <v>2.114409384</v>
      </c>
      <c r="T213" s="2">
        <v>0.65857049300000003</v>
      </c>
      <c r="U213" s="2">
        <v>0.73696358699999998</v>
      </c>
      <c r="V213" s="2">
        <v>3.601068943</v>
      </c>
      <c r="W213" s="2">
        <v>4.542765E-2</v>
      </c>
      <c r="X213">
        <f t="shared" si="9"/>
        <v>1</v>
      </c>
      <c r="Y213">
        <f t="shared" si="10"/>
        <v>1</v>
      </c>
      <c r="Z213">
        <f t="shared" si="11"/>
        <v>0</v>
      </c>
    </row>
    <row r="214" spans="1:26" ht="15.75" customHeight="1" x14ac:dyDescent="0.2">
      <c r="A214" s="2" t="s">
        <v>23</v>
      </c>
      <c r="B214" s="2" t="s">
        <v>24</v>
      </c>
      <c r="C214" s="2" t="s">
        <v>27</v>
      </c>
      <c r="D214" s="2" t="s">
        <v>27</v>
      </c>
      <c r="E214" s="2">
        <v>114</v>
      </c>
      <c r="F214" s="2">
        <v>207.66666670000001</v>
      </c>
      <c r="G214" s="2">
        <v>404.66666670000001</v>
      </c>
      <c r="H214" s="2">
        <v>2518.666667</v>
      </c>
      <c r="I214" s="2">
        <v>3154.666667</v>
      </c>
      <c r="J214" s="2">
        <v>2.04</v>
      </c>
      <c r="K214" s="2">
        <v>4.0599999999999996</v>
      </c>
      <c r="L214" s="2">
        <v>14.55</v>
      </c>
      <c r="M214" s="2">
        <v>16.010000000000002</v>
      </c>
      <c r="N214" s="2">
        <v>0.358588937</v>
      </c>
      <c r="O214" s="2">
        <v>0.29037946999999997</v>
      </c>
      <c r="P214" s="2">
        <v>3.0519417259999999</v>
      </c>
      <c r="Q214" s="2">
        <v>3.1419028710000001</v>
      </c>
      <c r="R214" s="2">
        <v>0.33314653599999999</v>
      </c>
      <c r="S214" s="2">
        <v>0.43174478500000002</v>
      </c>
      <c r="T214" s="2">
        <v>3.0337042840000001</v>
      </c>
      <c r="U214" s="2">
        <v>3.1120973790000002</v>
      </c>
      <c r="V214" s="2">
        <v>1.0549147750000001</v>
      </c>
      <c r="W214" s="2">
        <v>5.5815110000000001E-2</v>
      </c>
      <c r="X214">
        <f t="shared" si="9"/>
        <v>1</v>
      </c>
      <c r="Y214">
        <f t="shared" si="10"/>
        <v>1</v>
      </c>
      <c r="Z214">
        <f t="shared" si="11"/>
        <v>0</v>
      </c>
    </row>
    <row r="215" spans="1:26" ht="15.75" customHeight="1" x14ac:dyDescent="0.2">
      <c r="A215" s="2" t="s">
        <v>23</v>
      </c>
      <c r="B215" s="2" t="s">
        <v>24</v>
      </c>
      <c r="C215" s="2" t="s">
        <v>30</v>
      </c>
      <c r="D215" s="2" t="s">
        <v>31</v>
      </c>
      <c r="E215" s="2">
        <v>112</v>
      </c>
      <c r="F215" s="2">
        <v>190</v>
      </c>
      <c r="G215" s="2">
        <v>477</v>
      </c>
      <c r="H215" s="2">
        <v>1394.666667</v>
      </c>
      <c r="I215" s="2">
        <v>2420.333333</v>
      </c>
      <c r="J215" s="2">
        <v>1.84</v>
      </c>
      <c r="K215" s="2">
        <v>4.72</v>
      </c>
      <c r="L215" s="2">
        <v>10.62</v>
      </c>
      <c r="M215" s="2">
        <v>14.28</v>
      </c>
      <c r="N215" s="2">
        <v>3.7916994979999998</v>
      </c>
      <c r="O215" s="2">
        <v>3.7531224660000002</v>
      </c>
      <c r="P215" s="2">
        <v>0.954981623</v>
      </c>
      <c r="Q215" s="2">
        <v>0.85016277900000004</v>
      </c>
      <c r="R215" s="2">
        <v>0.32643107599999999</v>
      </c>
      <c r="S215" s="2">
        <v>0.22783282699999999</v>
      </c>
      <c r="T215" s="2">
        <v>0.89745899799999995</v>
      </c>
      <c r="U215" s="2">
        <v>0.81906590300000004</v>
      </c>
      <c r="V215" s="2">
        <v>1.7144923860000001</v>
      </c>
      <c r="W215" s="2">
        <v>4.9784208000000003E-2</v>
      </c>
      <c r="X215">
        <f t="shared" si="9"/>
        <v>1</v>
      </c>
      <c r="Y215">
        <f t="shared" si="10"/>
        <v>1</v>
      </c>
      <c r="Z215">
        <f t="shared" si="11"/>
        <v>1</v>
      </c>
    </row>
    <row r="216" spans="1:26" ht="15.75" customHeight="1" x14ac:dyDescent="0.2">
      <c r="A216" s="2" t="s">
        <v>23</v>
      </c>
      <c r="B216" s="2" t="s">
        <v>24</v>
      </c>
      <c r="C216" s="2" t="s">
        <v>25</v>
      </c>
      <c r="D216" s="2" t="s">
        <v>25</v>
      </c>
      <c r="E216" s="2">
        <v>170</v>
      </c>
      <c r="F216" s="2">
        <v>215</v>
      </c>
      <c r="G216" s="2">
        <v>868.33333330000005</v>
      </c>
      <c r="H216" s="2">
        <v>1615.333333</v>
      </c>
      <c r="I216" s="2">
        <v>2891</v>
      </c>
      <c r="J216" s="2">
        <v>2.12</v>
      </c>
      <c r="K216" s="2">
        <v>7.7</v>
      </c>
      <c r="L216" s="2">
        <v>11.58</v>
      </c>
      <c r="M216" s="2">
        <v>15.45</v>
      </c>
      <c r="N216" s="2">
        <v>0.66408030100000004</v>
      </c>
      <c r="O216" s="2">
        <v>0.42530423099999998</v>
      </c>
      <c r="P216" s="2">
        <v>3.3105713080000001</v>
      </c>
      <c r="Q216" s="2">
        <v>3.214642547</v>
      </c>
      <c r="R216" s="2">
        <v>3.3098456459999999</v>
      </c>
      <c r="S216" s="2">
        <v>3.2112473970000002</v>
      </c>
      <c r="T216" s="2">
        <v>6.9312211999999998E-2</v>
      </c>
      <c r="U216" s="2">
        <v>0.14770530600000001</v>
      </c>
      <c r="V216" s="2">
        <v>4.6979069569999998</v>
      </c>
      <c r="W216" s="2">
        <v>6.3376020000000005E-2</v>
      </c>
      <c r="X216">
        <f t="shared" si="9"/>
        <v>1</v>
      </c>
      <c r="Y216">
        <f t="shared" si="10"/>
        <v>1</v>
      </c>
      <c r="Z216">
        <f t="shared" si="11"/>
        <v>0</v>
      </c>
    </row>
    <row r="217" spans="1:26" ht="15.75" customHeight="1" x14ac:dyDescent="0.2">
      <c r="A217" s="2" t="s">
        <v>23</v>
      </c>
      <c r="B217" s="2" t="s">
        <v>24</v>
      </c>
      <c r="C217" s="2" t="s">
        <v>30</v>
      </c>
      <c r="D217" s="2" t="s">
        <v>31</v>
      </c>
      <c r="E217" s="2">
        <v>153</v>
      </c>
      <c r="F217" s="2">
        <v>221</v>
      </c>
      <c r="G217" s="2">
        <v>472.66666670000001</v>
      </c>
      <c r="H217" s="2">
        <v>1267</v>
      </c>
      <c r="I217" s="2">
        <v>2192.666667</v>
      </c>
      <c r="J217" s="2">
        <v>2.19</v>
      </c>
      <c r="K217" s="2">
        <v>4.68</v>
      </c>
      <c r="L217" s="2">
        <v>10</v>
      </c>
      <c r="M217" s="2">
        <v>13.63</v>
      </c>
      <c r="N217" s="2">
        <v>4.3877903390000004</v>
      </c>
      <c r="O217" s="2">
        <v>4.3542456889999999</v>
      </c>
      <c r="P217" s="2">
        <v>1.544257236</v>
      </c>
      <c r="Q217" s="2">
        <v>1.451182594</v>
      </c>
      <c r="R217" s="2">
        <v>0.288021735</v>
      </c>
      <c r="S217" s="2">
        <v>0.189423486</v>
      </c>
      <c r="T217" s="2">
        <v>1.517159811</v>
      </c>
      <c r="U217" s="2">
        <v>1.4387667159999999</v>
      </c>
      <c r="V217" s="2">
        <v>1.676083046</v>
      </c>
      <c r="W217" s="2">
        <v>7.5326391000000006E-2</v>
      </c>
      <c r="X217">
        <f t="shared" si="9"/>
        <v>1</v>
      </c>
      <c r="Y217">
        <f t="shared" si="10"/>
        <v>1</v>
      </c>
      <c r="Z217">
        <f t="shared" si="11"/>
        <v>1</v>
      </c>
    </row>
    <row r="218" spans="1:26" ht="15.75" customHeight="1" x14ac:dyDescent="0.2">
      <c r="A218" s="2" t="s">
        <v>23</v>
      </c>
      <c r="B218" s="2" t="s">
        <v>24</v>
      </c>
      <c r="C218" s="2" t="s">
        <v>25</v>
      </c>
      <c r="D218" s="2" t="s">
        <v>25</v>
      </c>
      <c r="E218" s="2">
        <v>80</v>
      </c>
      <c r="F218" s="2">
        <v>204</v>
      </c>
      <c r="G218" s="2">
        <v>736.66666669999995</v>
      </c>
      <c r="H218" s="2">
        <v>1749.333333</v>
      </c>
      <c r="I218" s="2">
        <v>3034.333333</v>
      </c>
      <c r="J218" s="2">
        <v>2</v>
      </c>
      <c r="K218" s="2">
        <v>6.79</v>
      </c>
      <c r="L218" s="2">
        <v>12.11</v>
      </c>
      <c r="M218" s="2">
        <v>15.76</v>
      </c>
      <c r="N218" s="2">
        <v>0.22440510999999999</v>
      </c>
      <c r="O218" s="2">
        <v>0.55203923700000002</v>
      </c>
      <c r="P218" s="2">
        <v>2.19860086</v>
      </c>
      <c r="Q218" s="2">
        <v>2.2456904789999999</v>
      </c>
      <c r="R218" s="2">
        <v>2.1952925429999999</v>
      </c>
      <c r="S218" s="2">
        <v>2.1916910590000001</v>
      </c>
      <c r="T218" s="2">
        <v>0.12056697199999999</v>
      </c>
      <c r="U218" s="2">
        <v>0.48950590199999999</v>
      </c>
      <c r="V218" s="2">
        <v>3.4852382249999998</v>
      </c>
      <c r="W218" s="2">
        <v>4.1453346000000002E-2</v>
      </c>
      <c r="X218">
        <f t="shared" si="9"/>
        <v>1</v>
      </c>
      <c r="Y218">
        <f t="shared" si="10"/>
        <v>1</v>
      </c>
      <c r="Z218">
        <f t="shared" si="11"/>
        <v>0</v>
      </c>
    </row>
    <row r="219" spans="1:26" ht="15.75" customHeight="1" x14ac:dyDescent="0.2">
      <c r="A219" s="2" t="s">
        <v>23</v>
      </c>
      <c r="B219" s="2" t="s">
        <v>24</v>
      </c>
      <c r="C219" s="2" t="s">
        <v>26</v>
      </c>
      <c r="D219" s="2" t="s">
        <v>26</v>
      </c>
      <c r="E219" s="2">
        <v>158</v>
      </c>
      <c r="F219" s="2">
        <v>229.33333329999999</v>
      </c>
      <c r="G219" s="2">
        <v>402.66666670000001</v>
      </c>
      <c r="H219" s="2">
        <v>936.66666669999995</v>
      </c>
      <c r="I219" s="2">
        <v>2978</v>
      </c>
      <c r="J219" s="2">
        <v>2.2799999999999998</v>
      </c>
      <c r="K219" s="2">
        <v>4.04</v>
      </c>
      <c r="L219" s="2">
        <v>8.14</v>
      </c>
      <c r="M219" s="2">
        <v>15.64</v>
      </c>
      <c r="N219" s="2">
        <v>1.529171391</v>
      </c>
      <c r="O219" s="2">
        <v>0.64242306299999996</v>
      </c>
      <c r="P219" s="2">
        <v>3.8942121589999998</v>
      </c>
      <c r="Q219" s="2">
        <v>3.530069771</v>
      </c>
      <c r="R219" s="2">
        <v>0.55937778599999999</v>
      </c>
      <c r="S219" s="2">
        <v>0.56297926899999995</v>
      </c>
      <c r="T219" s="2">
        <v>3.853827297</v>
      </c>
      <c r="U219" s="2">
        <v>3.4848883669999999</v>
      </c>
      <c r="V219" s="2">
        <v>0.73056789700000002</v>
      </c>
      <c r="W219" s="2">
        <v>3.1228032999999999E-2</v>
      </c>
      <c r="X219">
        <f t="shared" si="9"/>
        <v>1</v>
      </c>
      <c r="Y219">
        <f t="shared" si="10"/>
        <v>1</v>
      </c>
      <c r="Z219">
        <f t="shared" si="11"/>
        <v>0</v>
      </c>
    </row>
    <row r="220" spans="1:26" ht="15.75" customHeight="1" x14ac:dyDescent="0.2">
      <c r="A220" s="2" t="s">
        <v>23</v>
      </c>
      <c r="B220" s="2" t="s">
        <v>24</v>
      </c>
      <c r="C220" s="2" t="s">
        <v>27</v>
      </c>
      <c r="D220" s="2" t="s">
        <v>27</v>
      </c>
      <c r="E220" s="2">
        <v>98</v>
      </c>
      <c r="F220" s="2">
        <v>199.33333329999999</v>
      </c>
      <c r="G220" s="2">
        <v>408.33333329999999</v>
      </c>
      <c r="H220" s="2">
        <v>2233</v>
      </c>
      <c r="I220" s="2">
        <v>3278</v>
      </c>
      <c r="J220" s="2">
        <v>1.94</v>
      </c>
      <c r="K220" s="2">
        <v>4.09</v>
      </c>
      <c r="L220" s="2">
        <v>13.75</v>
      </c>
      <c r="M220" s="2">
        <v>16.25</v>
      </c>
      <c r="N220" s="2">
        <v>0.20862086299999999</v>
      </c>
      <c r="O220" s="2">
        <v>0.40863466100000001</v>
      </c>
      <c r="P220" s="2">
        <v>1.8262126620000001</v>
      </c>
      <c r="Q220" s="2">
        <v>2.1839314339999998</v>
      </c>
      <c r="R220" s="2">
        <v>0.50616263800000005</v>
      </c>
      <c r="S220" s="2">
        <v>0.50976412199999999</v>
      </c>
      <c r="T220" s="2">
        <v>1.7546657999999999</v>
      </c>
      <c r="U220" s="2">
        <v>2.1236047299999998</v>
      </c>
      <c r="V220" s="2">
        <v>0.78378304399999998</v>
      </c>
      <c r="W220" s="2">
        <v>4.462327E-2</v>
      </c>
      <c r="X220">
        <f t="shared" si="9"/>
        <v>1</v>
      </c>
      <c r="Y220">
        <f t="shared" si="10"/>
        <v>1</v>
      </c>
      <c r="Z220">
        <f t="shared" si="11"/>
        <v>0</v>
      </c>
    </row>
    <row r="221" spans="1:26" ht="15.75" customHeight="1" x14ac:dyDescent="0.2">
      <c r="A221" s="2" t="s">
        <v>23</v>
      </c>
      <c r="B221" s="2" t="s">
        <v>24</v>
      </c>
      <c r="C221" s="2" t="s">
        <v>28</v>
      </c>
      <c r="D221" s="2" t="s">
        <v>29</v>
      </c>
      <c r="E221" s="2">
        <v>80</v>
      </c>
      <c r="F221" s="2">
        <v>213.66666670000001</v>
      </c>
      <c r="G221" s="2">
        <v>507</v>
      </c>
      <c r="H221" s="2">
        <v>1263.333333</v>
      </c>
      <c r="I221" s="2">
        <v>2443.333333</v>
      </c>
      <c r="J221" s="2">
        <v>2.11</v>
      </c>
      <c r="K221" s="2">
        <v>4.9800000000000004</v>
      </c>
      <c r="L221" s="2">
        <v>9.98</v>
      </c>
      <c r="M221" s="2">
        <v>14.35</v>
      </c>
      <c r="N221" s="2">
        <v>0.89051639900000001</v>
      </c>
      <c r="O221" s="2">
        <v>1.457675482</v>
      </c>
      <c r="P221" s="2">
        <v>2.0511066439999999</v>
      </c>
      <c r="Q221" s="2">
        <v>1.6891790470000001</v>
      </c>
      <c r="R221" s="2">
        <v>0.38122089300000001</v>
      </c>
      <c r="S221" s="2">
        <v>0.37761940999999999</v>
      </c>
      <c r="T221" s="2">
        <v>2.0153682279999998</v>
      </c>
      <c r="U221" s="2">
        <v>1.6464292979999999</v>
      </c>
      <c r="V221" s="2">
        <v>1.6711665760000001</v>
      </c>
      <c r="W221" s="2">
        <v>3.1949281000000003E-2</v>
      </c>
      <c r="X221">
        <f t="shared" si="9"/>
        <v>1</v>
      </c>
      <c r="Y221">
        <f t="shared" si="10"/>
        <v>1</v>
      </c>
      <c r="Z221">
        <f t="shared" si="11"/>
        <v>1</v>
      </c>
    </row>
    <row r="222" spans="1:26" ht="15.75" customHeight="1" x14ac:dyDescent="0.2">
      <c r="A222" s="2" t="s">
        <v>23</v>
      </c>
      <c r="B222" s="2" t="s">
        <v>24</v>
      </c>
      <c r="C222" s="2" t="s">
        <v>30</v>
      </c>
      <c r="D222" s="2" t="s">
        <v>31</v>
      </c>
      <c r="E222" s="2">
        <v>126</v>
      </c>
      <c r="F222" s="2">
        <v>221.33333329999999</v>
      </c>
      <c r="G222" s="2">
        <v>818.33333330000005</v>
      </c>
      <c r="H222" s="2">
        <v>1690</v>
      </c>
      <c r="I222" s="2">
        <v>3260.333333</v>
      </c>
      <c r="J222" s="2">
        <v>2.19</v>
      </c>
      <c r="K222" s="2">
        <v>7.37</v>
      </c>
      <c r="L222" s="2">
        <v>11.88</v>
      </c>
      <c r="M222" s="2">
        <v>16.21</v>
      </c>
      <c r="N222" s="2">
        <v>3.8400256779999999</v>
      </c>
      <c r="O222" s="2">
        <v>3.7820107520000001</v>
      </c>
      <c r="P222" s="2">
        <v>2.770243775</v>
      </c>
      <c r="Q222" s="2">
        <v>2.776595709</v>
      </c>
      <c r="R222" s="2">
        <v>2.768070239</v>
      </c>
      <c r="S222" s="2">
        <v>2.7644687559999999</v>
      </c>
      <c r="T222" s="2">
        <v>0.109716573</v>
      </c>
      <c r="U222" s="2">
        <v>0.25922235700000001</v>
      </c>
      <c r="V222" s="2">
        <v>4.0580159220000001</v>
      </c>
      <c r="W222" s="2">
        <v>2.9802915999999999E-2</v>
      </c>
      <c r="X222">
        <f t="shared" si="9"/>
        <v>1</v>
      </c>
      <c r="Y222">
        <f t="shared" si="10"/>
        <v>1</v>
      </c>
      <c r="Z222">
        <f t="shared" si="11"/>
        <v>1</v>
      </c>
    </row>
    <row r="223" spans="1:26" ht="15.75" customHeight="1" x14ac:dyDescent="0.2">
      <c r="A223" s="2" t="s">
        <v>23</v>
      </c>
      <c r="B223" s="2" t="s">
        <v>24</v>
      </c>
      <c r="C223" s="2" t="s">
        <v>26</v>
      </c>
      <c r="D223" s="2" t="s">
        <v>26</v>
      </c>
      <c r="E223" s="2">
        <v>150</v>
      </c>
      <c r="F223" s="2">
        <v>216.33333329999999</v>
      </c>
      <c r="G223" s="2">
        <v>391.33333329999999</v>
      </c>
      <c r="H223" s="2">
        <v>995.33333330000005</v>
      </c>
      <c r="I223" s="2">
        <v>3080</v>
      </c>
      <c r="J223" s="2">
        <v>2.13</v>
      </c>
      <c r="K223" s="2">
        <v>3.93</v>
      </c>
      <c r="L223" s="2">
        <v>8.5</v>
      </c>
      <c r="M223" s="2">
        <v>15.85</v>
      </c>
      <c r="N223" s="2">
        <v>1.1848229969999999</v>
      </c>
      <c r="O223" s="2">
        <v>0.35631455099999998</v>
      </c>
      <c r="P223" s="2">
        <v>3.556734783</v>
      </c>
      <c r="Q223" s="2">
        <v>3.1958345440000002</v>
      </c>
      <c r="R223" s="2">
        <v>0.66657756599999995</v>
      </c>
      <c r="S223" s="2">
        <v>0.67017904900000003</v>
      </c>
      <c r="T223" s="2">
        <v>3.4937138779999999</v>
      </c>
      <c r="U223" s="2">
        <v>3.1247749480000002</v>
      </c>
      <c r="V223" s="2">
        <v>0.62336811700000005</v>
      </c>
      <c r="W223" s="2">
        <v>4.1526325000000003E-2</v>
      </c>
      <c r="X223">
        <f t="shared" si="9"/>
        <v>1</v>
      </c>
      <c r="Y223">
        <f t="shared" si="10"/>
        <v>1</v>
      </c>
      <c r="Z223">
        <f t="shared" si="11"/>
        <v>0</v>
      </c>
    </row>
    <row r="224" spans="1:26" ht="15.75" customHeight="1" x14ac:dyDescent="0.2">
      <c r="A224" s="2" t="s">
        <v>23</v>
      </c>
      <c r="B224" s="2" t="s">
        <v>24</v>
      </c>
      <c r="C224" s="2" t="s">
        <v>28</v>
      </c>
      <c r="D224" s="2" t="s">
        <v>29</v>
      </c>
      <c r="E224" s="2">
        <v>112</v>
      </c>
      <c r="F224" s="2">
        <v>232.33333329999999</v>
      </c>
      <c r="G224" s="2">
        <v>300.33333329999999</v>
      </c>
      <c r="H224" s="2">
        <v>1278.333333</v>
      </c>
      <c r="I224" s="2">
        <v>2215.333333</v>
      </c>
      <c r="J224" s="2">
        <v>2.31</v>
      </c>
      <c r="K224" s="2">
        <v>3.03</v>
      </c>
      <c r="L224" s="2">
        <v>10.050000000000001</v>
      </c>
      <c r="M224" s="2">
        <v>13.69</v>
      </c>
      <c r="N224" s="2">
        <v>1.179656397</v>
      </c>
      <c r="O224" s="2">
        <v>1.711851357</v>
      </c>
      <c r="P224" s="2">
        <v>2.4932570429999998</v>
      </c>
      <c r="Q224" s="2">
        <v>2.220892793</v>
      </c>
      <c r="R224" s="2">
        <v>1.566298006</v>
      </c>
      <c r="S224" s="2">
        <v>1.5698994900000001</v>
      </c>
      <c r="T224" s="2">
        <v>1.939855984</v>
      </c>
      <c r="U224" s="2">
        <v>1.5709170539999999</v>
      </c>
      <c r="V224" s="2">
        <v>-0.27635232399999998</v>
      </c>
      <c r="W224" s="2">
        <v>3.9297004000000003E-2</v>
      </c>
      <c r="X224">
        <f t="shared" si="9"/>
        <v>1</v>
      </c>
      <c r="Y224">
        <f t="shared" si="10"/>
        <v>1</v>
      </c>
      <c r="Z224">
        <f t="shared" si="11"/>
        <v>1</v>
      </c>
    </row>
    <row r="225" spans="1:26" ht="15.75" customHeight="1" x14ac:dyDescent="0.2">
      <c r="A225" s="2" t="s">
        <v>23</v>
      </c>
      <c r="B225" s="2" t="s">
        <v>24</v>
      </c>
      <c r="C225" s="2" t="s">
        <v>32</v>
      </c>
      <c r="D225" s="2" t="s">
        <v>33</v>
      </c>
      <c r="E225" s="2">
        <v>88</v>
      </c>
      <c r="F225" s="2">
        <v>199.33333329999999</v>
      </c>
      <c r="G225" s="2">
        <v>572.66666669999995</v>
      </c>
      <c r="H225" s="2">
        <v>1169.333333</v>
      </c>
      <c r="I225" s="2">
        <v>2725.666667</v>
      </c>
      <c r="J225" s="2">
        <v>1.94</v>
      </c>
      <c r="K225" s="2">
        <v>5.53</v>
      </c>
      <c r="L225" s="2">
        <v>9.49</v>
      </c>
      <c r="M225" s="2">
        <v>15.07</v>
      </c>
      <c r="N225" s="2">
        <v>2.9581653879999998</v>
      </c>
      <c r="O225" s="2">
        <v>2.8796877919999999</v>
      </c>
      <c r="P225" s="2">
        <v>2.673337616</v>
      </c>
      <c r="Q225" s="2">
        <v>2.329744614</v>
      </c>
      <c r="R225" s="2">
        <v>0.93348990200000004</v>
      </c>
      <c r="S225" s="2">
        <v>0.92988841799999999</v>
      </c>
      <c r="T225" s="2">
        <v>2.505061</v>
      </c>
      <c r="U225" s="2">
        <v>2.1361220699999999</v>
      </c>
      <c r="V225" s="2">
        <v>2.2234355840000002</v>
      </c>
      <c r="W225" s="2">
        <v>5.3809098999999999E-2</v>
      </c>
      <c r="X225">
        <f t="shared" si="9"/>
        <v>1</v>
      </c>
      <c r="Y225">
        <f t="shared" si="10"/>
        <v>1</v>
      </c>
      <c r="Z225">
        <f t="shared" si="11"/>
        <v>1</v>
      </c>
    </row>
    <row r="226" spans="1:26" ht="15.75" customHeight="1" x14ac:dyDescent="0.2">
      <c r="A226" s="2" t="s">
        <v>23</v>
      </c>
      <c r="B226" s="2" t="s">
        <v>24</v>
      </c>
      <c r="C226" s="2" t="s">
        <v>32</v>
      </c>
      <c r="D226" s="2" t="s">
        <v>33</v>
      </c>
      <c r="E226" s="2">
        <v>91</v>
      </c>
      <c r="F226" s="2">
        <v>223.33333329999999</v>
      </c>
      <c r="G226" s="2">
        <v>859</v>
      </c>
      <c r="H226" s="2">
        <v>1425</v>
      </c>
      <c r="I226" s="2">
        <v>3388.333333</v>
      </c>
      <c r="J226" s="2">
        <v>2.21</v>
      </c>
      <c r="K226" s="2">
        <v>7.64</v>
      </c>
      <c r="L226" s="2">
        <v>10.76</v>
      </c>
      <c r="M226" s="2">
        <v>16.45</v>
      </c>
      <c r="N226" s="2">
        <v>1.4398355700000001</v>
      </c>
      <c r="O226" s="2">
        <v>1.114889668</v>
      </c>
      <c r="P226" s="2">
        <v>3.2827987799999998</v>
      </c>
      <c r="Q226" s="2">
        <v>3.1588609870000002</v>
      </c>
      <c r="R226" s="2">
        <v>3.0409127489999999</v>
      </c>
      <c r="S226" s="2">
        <v>3.0373112660000001</v>
      </c>
      <c r="T226" s="2">
        <v>1.236777053</v>
      </c>
      <c r="U226" s="2">
        <v>0.86783812299999996</v>
      </c>
      <c r="V226" s="2">
        <v>4.3308584320000003</v>
      </c>
      <c r="W226" s="2">
        <v>3.7469664E-2</v>
      </c>
      <c r="X226">
        <f t="shared" si="9"/>
        <v>1</v>
      </c>
      <c r="Y226">
        <f t="shared" si="10"/>
        <v>1</v>
      </c>
      <c r="Z226">
        <f t="shared" si="11"/>
        <v>1</v>
      </c>
    </row>
    <row r="227" spans="1:26" ht="15.75" customHeight="1" x14ac:dyDescent="0.2">
      <c r="A227" s="2" t="s">
        <v>23</v>
      </c>
      <c r="B227" s="2" t="s">
        <v>24</v>
      </c>
      <c r="C227" s="2" t="s">
        <v>25</v>
      </c>
      <c r="D227" s="2" t="s">
        <v>25</v>
      </c>
      <c r="E227" s="2">
        <v>159</v>
      </c>
      <c r="F227" s="2">
        <v>177.33333329999999</v>
      </c>
      <c r="G227" s="2">
        <v>901</v>
      </c>
      <c r="H227" s="2">
        <v>1741</v>
      </c>
      <c r="I227" s="2">
        <v>2863.333333</v>
      </c>
      <c r="J227" s="2">
        <v>1.69</v>
      </c>
      <c r="K227" s="2">
        <v>7.91</v>
      </c>
      <c r="L227" s="2">
        <v>12.08</v>
      </c>
      <c r="M227" s="2">
        <v>15.39</v>
      </c>
      <c r="N227" s="2">
        <v>0.90433331100000003</v>
      </c>
      <c r="O227" s="2">
        <v>0.72185759500000002</v>
      </c>
      <c r="P227" s="2">
        <v>3.3157446450000001</v>
      </c>
      <c r="Q227" s="2">
        <v>3.3424308580000002</v>
      </c>
      <c r="R227" s="2">
        <v>3.3145588359999998</v>
      </c>
      <c r="S227" s="2">
        <v>3.310957353</v>
      </c>
      <c r="T227" s="2">
        <v>8.8669469000000001E-2</v>
      </c>
      <c r="U227" s="2">
        <v>0.457608399</v>
      </c>
      <c r="V227" s="2">
        <v>4.6045045179999997</v>
      </c>
      <c r="W227" s="2">
        <v>3.9665020000000002E-2</v>
      </c>
      <c r="X227">
        <f t="shared" si="9"/>
        <v>1</v>
      </c>
      <c r="Y227">
        <f t="shared" si="10"/>
        <v>1</v>
      </c>
      <c r="Z227">
        <f t="shared" si="11"/>
        <v>0</v>
      </c>
    </row>
    <row r="228" spans="1:26" ht="15.75" customHeight="1" x14ac:dyDescent="0.2">
      <c r="A228" s="2" t="s">
        <v>23</v>
      </c>
      <c r="B228" s="2" t="s">
        <v>24</v>
      </c>
      <c r="C228" s="2" t="s">
        <v>32</v>
      </c>
      <c r="D228" s="2" t="s">
        <v>33</v>
      </c>
      <c r="E228" s="2">
        <v>105</v>
      </c>
      <c r="F228" s="2">
        <v>202</v>
      </c>
      <c r="G228" s="2">
        <v>680</v>
      </c>
      <c r="H228" s="2">
        <v>1240</v>
      </c>
      <c r="I228" s="2">
        <v>2933.666667</v>
      </c>
      <c r="J228" s="2">
        <v>1.97</v>
      </c>
      <c r="K228" s="2">
        <v>6.38</v>
      </c>
      <c r="L228" s="2">
        <v>9.86</v>
      </c>
      <c r="M228" s="2">
        <v>15.54</v>
      </c>
      <c r="N228" s="2">
        <v>2.2818403489999999</v>
      </c>
      <c r="O228" s="2">
        <v>2.128656136</v>
      </c>
      <c r="P228" s="2">
        <v>2.7771945740000001</v>
      </c>
      <c r="Q228" s="2">
        <v>2.5022652010000002</v>
      </c>
      <c r="R228" s="2">
        <v>1.7770296290000001</v>
      </c>
      <c r="S228" s="2">
        <v>1.7734281460000001</v>
      </c>
      <c r="T228" s="2">
        <v>2.1342388329999999</v>
      </c>
      <c r="U228" s="2">
        <v>1.7652999030000001</v>
      </c>
      <c r="V228" s="2">
        <v>3.0669753119999998</v>
      </c>
      <c r="W228" s="2">
        <v>3.3205220000000001E-2</v>
      </c>
      <c r="X228">
        <f t="shared" si="9"/>
        <v>1</v>
      </c>
      <c r="Y228">
        <f t="shared" si="10"/>
        <v>1</v>
      </c>
      <c r="Z228">
        <f t="shared" si="11"/>
        <v>1</v>
      </c>
    </row>
    <row r="229" spans="1:26" ht="15.75" customHeight="1" x14ac:dyDescent="0.2">
      <c r="A229" s="2" t="s">
        <v>23</v>
      </c>
      <c r="B229" s="2" t="s">
        <v>24</v>
      </c>
      <c r="C229" s="2" t="s">
        <v>32</v>
      </c>
      <c r="D229" s="2" t="s">
        <v>33</v>
      </c>
      <c r="E229" s="2">
        <v>98</v>
      </c>
      <c r="F229" s="2">
        <v>192.33333329999999</v>
      </c>
      <c r="G229" s="2">
        <v>497.66666670000001</v>
      </c>
      <c r="H229" s="2">
        <v>1174.333333</v>
      </c>
      <c r="I229" s="2">
        <v>2806.666667</v>
      </c>
      <c r="J229" s="2">
        <v>1.87</v>
      </c>
      <c r="K229" s="2">
        <v>4.9000000000000004</v>
      </c>
      <c r="L229" s="2">
        <v>9.51</v>
      </c>
      <c r="M229" s="2">
        <v>15.26</v>
      </c>
      <c r="N229" s="2">
        <v>3.2993529650000002</v>
      </c>
      <c r="O229" s="2">
        <v>3.2777645459999998</v>
      </c>
      <c r="P229" s="2">
        <v>2.496405378</v>
      </c>
      <c r="Q229" s="2">
        <v>2.130103756</v>
      </c>
      <c r="R229" s="2">
        <v>0.30033039099999997</v>
      </c>
      <c r="S229" s="2">
        <v>0.29672890699999999</v>
      </c>
      <c r="T229" s="2">
        <v>2.4782738879999999</v>
      </c>
      <c r="U229" s="2">
        <v>2.1093349579999998</v>
      </c>
      <c r="V229" s="2">
        <v>1.5902760730000001</v>
      </c>
      <c r="W229" s="2">
        <v>4.0765549999999998E-2</v>
      </c>
      <c r="X229">
        <f t="shared" si="9"/>
        <v>1</v>
      </c>
      <c r="Y229">
        <f t="shared" si="10"/>
        <v>1</v>
      </c>
      <c r="Z229">
        <f t="shared" si="11"/>
        <v>1</v>
      </c>
    </row>
    <row r="230" spans="1:26" ht="15.75" customHeight="1" x14ac:dyDescent="0.2">
      <c r="A230" s="2" t="s">
        <v>23</v>
      </c>
      <c r="B230" s="2" t="s">
        <v>24</v>
      </c>
      <c r="C230" s="2" t="s">
        <v>25</v>
      </c>
      <c r="D230" s="2" t="s">
        <v>25</v>
      </c>
      <c r="E230" s="2">
        <v>100</v>
      </c>
      <c r="F230" s="2">
        <v>207.66666670000001</v>
      </c>
      <c r="G230" s="2">
        <v>809.33333330000005</v>
      </c>
      <c r="H230" s="2">
        <v>1660.333333</v>
      </c>
      <c r="I230" s="2">
        <v>2970</v>
      </c>
      <c r="J230" s="2">
        <v>2.04</v>
      </c>
      <c r="K230" s="2">
        <v>7.31</v>
      </c>
      <c r="L230" s="2">
        <v>11.77</v>
      </c>
      <c r="M230" s="2">
        <v>15.62</v>
      </c>
      <c r="N230" s="2">
        <v>0.41116101100000002</v>
      </c>
      <c r="O230" s="2">
        <v>6.6685704999999998E-2</v>
      </c>
      <c r="P230" s="2">
        <v>2.7161642239999999</v>
      </c>
      <c r="Q230" s="2">
        <v>2.7066907480000002</v>
      </c>
      <c r="R230" s="2">
        <v>2.7066041169999999</v>
      </c>
      <c r="S230" s="2">
        <v>2.7030026340000002</v>
      </c>
      <c r="T230" s="2">
        <v>0.22768891799999999</v>
      </c>
      <c r="U230" s="2">
        <v>0.14125001200000001</v>
      </c>
      <c r="V230" s="2">
        <v>3.9965497999999999</v>
      </c>
      <c r="W230" s="2">
        <v>3.6995304999999999E-2</v>
      </c>
      <c r="X230">
        <f t="shared" si="9"/>
        <v>1</v>
      </c>
      <c r="Y230">
        <f t="shared" si="10"/>
        <v>1</v>
      </c>
      <c r="Z230">
        <f t="shared" si="11"/>
        <v>0</v>
      </c>
    </row>
    <row r="231" spans="1:26" ht="15.75" customHeight="1" x14ac:dyDescent="0.2">
      <c r="A231" s="2" t="s">
        <v>23</v>
      </c>
      <c r="B231" s="2" t="s">
        <v>24</v>
      </c>
      <c r="C231" s="2" t="s">
        <v>25</v>
      </c>
      <c r="D231" s="2" t="s">
        <v>25</v>
      </c>
      <c r="E231" s="2">
        <v>91</v>
      </c>
      <c r="F231" s="2">
        <v>230</v>
      </c>
      <c r="G231" s="2">
        <v>767</v>
      </c>
      <c r="H231" s="2">
        <v>1872</v>
      </c>
      <c r="I231" s="2">
        <v>3035.333333</v>
      </c>
      <c r="J231" s="2">
        <v>2.29</v>
      </c>
      <c r="K231" s="2">
        <v>7.01</v>
      </c>
      <c r="L231" s="2">
        <v>12.57</v>
      </c>
      <c r="M231" s="2">
        <v>15.76</v>
      </c>
      <c r="N231" s="2">
        <v>0.51621250500000004</v>
      </c>
      <c r="O231" s="2">
        <v>0.80280252200000002</v>
      </c>
      <c r="P231" s="2">
        <v>2.4794117710000001</v>
      </c>
      <c r="Q231" s="2">
        <v>2.5864675300000002</v>
      </c>
      <c r="R231" s="2">
        <v>2.4120432969999999</v>
      </c>
      <c r="S231" s="2">
        <v>2.4084418140000001</v>
      </c>
      <c r="T231" s="2">
        <v>0.57404691900000004</v>
      </c>
      <c r="U231" s="2">
        <v>0.94298584900000004</v>
      </c>
      <c r="V231" s="2">
        <v>3.7019889799999999</v>
      </c>
      <c r="W231" s="2">
        <v>3.9844381999999998E-2</v>
      </c>
      <c r="X231">
        <f t="shared" si="9"/>
        <v>1</v>
      </c>
      <c r="Y231">
        <f t="shared" si="10"/>
        <v>1</v>
      </c>
      <c r="Z231">
        <f t="shared" si="11"/>
        <v>0</v>
      </c>
    </row>
    <row r="232" spans="1:26" ht="15.75" customHeight="1" x14ac:dyDescent="0.2">
      <c r="A232" s="2" t="s">
        <v>23</v>
      </c>
      <c r="B232" s="2" t="s">
        <v>24</v>
      </c>
      <c r="C232" s="2" t="s">
        <v>27</v>
      </c>
      <c r="D232" s="2" t="s">
        <v>27</v>
      </c>
      <c r="E232" s="2">
        <v>120</v>
      </c>
      <c r="F232" s="2">
        <v>203.33333329999999</v>
      </c>
      <c r="G232" s="2">
        <v>404</v>
      </c>
      <c r="H232" s="2">
        <v>2353.333333</v>
      </c>
      <c r="I232" s="2">
        <v>3199.666667</v>
      </c>
      <c r="J232" s="2">
        <v>1.99</v>
      </c>
      <c r="K232" s="2">
        <v>4.05</v>
      </c>
      <c r="L232" s="2">
        <v>14.1</v>
      </c>
      <c r="M232" s="2">
        <v>16.100000000000001</v>
      </c>
      <c r="N232" s="2">
        <v>0.16543912199999999</v>
      </c>
      <c r="O232" s="2">
        <v>0.24974369499999999</v>
      </c>
      <c r="P232" s="2">
        <v>2.1741806719999999</v>
      </c>
      <c r="Q232" s="2">
        <v>2.5337399249999999</v>
      </c>
      <c r="R232" s="2">
        <v>0.54683362300000005</v>
      </c>
      <c r="S232" s="2">
        <v>0.55043510600000001</v>
      </c>
      <c r="T232" s="2">
        <v>2.1042895669999999</v>
      </c>
      <c r="U232" s="2">
        <v>2.473228497</v>
      </c>
      <c r="V232" s="2">
        <v>0.74311205999999996</v>
      </c>
      <c r="W232" s="2">
        <v>4.1593298000000001E-2</v>
      </c>
      <c r="X232">
        <f t="shared" si="9"/>
        <v>1</v>
      </c>
      <c r="Y232">
        <f t="shared" si="10"/>
        <v>1</v>
      </c>
      <c r="Z232">
        <f t="shared" si="11"/>
        <v>0</v>
      </c>
    </row>
    <row r="233" spans="1:26" ht="15.75" customHeight="1" x14ac:dyDescent="0.2">
      <c r="A233" s="2" t="s">
        <v>23</v>
      </c>
      <c r="B233" s="2" t="s">
        <v>24</v>
      </c>
      <c r="C233" s="2" t="s">
        <v>30</v>
      </c>
      <c r="D233" s="2" t="s">
        <v>31</v>
      </c>
      <c r="E233" s="2">
        <v>88</v>
      </c>
      <c r="F233" s="2">
        <v>217.33333329999999</v>
      </c>
      <c r="G233" s="2">
        <v>899.66666669999995</v>
      </c>
      <c r="H233" s="2">
        <v>1668</v>
      </c>
      <c r="I233" s="2">
        <v>3337</v>
      </c>
      <c r="J233" s="2">
        <v>2.15</v>
      </c>
      <c r="K233" s="2">
        <v>7.9</v>
      </c>
      <c r="L233" s="2">
        <v>11.8</v>
      </c>
      <c r="M233" s="2">
        <v>16.36</v>
      </c>
      <c r="N233" s="2">
        <v>4.3456009140000003</v>
      </c>
      <c r="O233" s="2">
        <v>4.2761047200000002</v>
      </c>
      <c r="P233" s="2">
        <v>3.3118604839999999</v>
      </c>
      <c r="Q233" s="2">
        <v>3.3068658050000002</v>
      </c>
      <c r="R233" s="2">
        <v>3.3059951970000001</v>
      </c>
      <c r="S233" s="2">
        <v>3.3023937139999999</v>
      </c>
      <c r="T233" s="2">
        <v>0.19701680999999999</v>
      </c>
      <c r="U233" s="2">
        <v>0.17192212000000001</v>
      </c>
      <c r="V233" s="2">
        <v>4.5959408789999996</v>
      </c>
      <c r="W233" s="2">
        <v>4.2446106999999997E-2</v>
      </c>
      <c r="X233">
        <f t="shared" si="9"/>
        <v>1</v>
      </c>
      <c r="Y233">
        <f t="shared" si="10"/>
        <v>1</v>
      </c>
      <c r="Z233">
        <f t="shared" si="11"/>
        <v>1</v>
      </c>
    </row>
    <row r="234" spans="1:26" ht="15.75" customHeight="1" x14ac:dyDescent="0.2">
      <c r="A234" s="2" t="s">
        <v>23</v>
      </c>
      <c r="B234" s="2" t="s">
        <v>24</v>
      </c>
      <c r="C234" s="2" t="s">
        <v>28</v>
      </c>
      <c r="D234" s="2" t="s">
        <v>29</v>
      </c>
      <c r="E234" s="2">
        <v>120</v>
      </c>
      <c r="F234" s="2">
        <v>202.66666670000001</v>
      </c>
      <c r="G234" s="2">
        <v>367.66666670000001</v>
      </c>
      <c r="H234" s="2">
        <v>1190.333333</v>
      </c>
      <c r="I234" s="2">
        <v>2025.666667</v>
      </c>
      <c r="J234" s="2">
        <v>1.98</v>
      </c>
      <c r="K234" s="2">
        <v>3.7</v>
      </c>
      <c r="L234" s="2">
        <v>9.6</v>
      </c>
      <c r="M234" s="2">
        <v>13.1</v>
      </c>
      <c r="N234" s="2">
        <v>0.44605860899999999</v>
      </c>
      <c r="O234" s="2">
        <v>0.94938697900000002</v>
      </c>
      <c r="P234" s="2">
        <v>2.5545912720000001</v>
      </c>
      <c r="Q234" s="2">
        <v>2.2141970139999998</v>
      </c>
      <c r="R234" s="2">
        <v>0.89380197900000002</v>
      </c>
      <c r="S234" s="2">
        <v>0.89740346299999996</v>
      </c>
      <c r="T234" s="2">
        <v>2.39312653</v>
      </c>
      <c r="U234" s="2">
        <v>2.0241875999999999</v>
      </c>
      <c r="V234" s="2">
        <v>0.39614370300000001</v>
      </c>
      <c r="W234" s="2">
        <v>4.3929071E-2</v>
      </c>
      <c r="X234">
        <f t="shared" si="9"/>
        <v>1</v>
      </c>
      <c r="Y234">
        <f t="shared" si="10"/>
        <v>1</v>
      </c>
      <c r="Z234">
        <f t="shared" si="11"/>
        <v>1</v>
      </c>
    </row>
    <row r="235" spans="1:26" ht="15.75" customHeight="1" x14ac:dyDescent="0.2">
      <c r="A235" s="2" t="s">
        <v>23</v>
      </c>
      <c r="B235" s="2" t="s">
        <v>24</v>
      </c>
      <c r="C235" s="2" t="s">
        <v>28</v>
      </c>
      <c r="D235" s="2" t="s">
        <v>29</v>
      </c>
      <c r="E235" s="2">
        <v>122</v>
      </c>
      <c r="F235" s="2">
        <v>217.66666670000001</v>
      </c>
      <c r="G235" s="2">
        <v>340.66666670000001</v>
      </c>
      <c r="H235" s="2">
        <v>1350.666667</v>
      </c>
      <c r="I235" s="2">
        <v>2102</v>
      </c>
      <c r="J235" s="2">
        <v>2.15</v>
      </c>
      <c r="K235" s="2">
        <v>3.44</v>
      </c>
      <c r="L235" s="2">
        <v>10.41</v>
      </c>
      <c r="M235" s="2">
        <v>13.34</v>
      </c>
      <c r="N235" s="2">
        <v>1.0251733380000001</v>
      </c>
      <c r="O235" s="2">
        <v>1.791551632</v>
      </c>
      <c r="P235" s="2">
        <v>1.963652291</v>
      </c>
      <c r="Q235" s="2">
        <v>1.682447461</v>
      </c>
      <c r="R235" s="2">
        <v>1.158738703</v>
      </c>
      <c r="S235" s="2">
        <v>1.1623401870000001</v>
      </c>
      <c r="T235" s="2">
        <v>1.5853248680000001</v>
      </c>
      <c r="U235" s="2">
        <v>1.2163859379999999</v>
      </c>
      <c r="V235" s="2">
        <v>0.131206979</v>
      </c>
      <c r="W235" s="2">
        <v>5.0239016999999997E-2</v>
      </c>
      <c r="X235">
        <f t="shared" si="9"/>
        <v>1</v>
      </c>
      <c r="Y235">
        <f t="shared" si="10"/>
        <v>1</v>
      </c>
      <c r="Z235">
        <f t="shared" si="11"/>
        <v>1</v>
      </c>
    </row>
    <row r="236" spans="1:26" ht="15.75" customHeight="1" x14ac:dyDescent="0.2">
      <c r="A236" s="2" t="s">
        <v>23</v>
      </c>
      <c r="B236" s="2" t="s">
        <v>24</v>
      </c>
      <c r="C236" s="2" t="s">
        <v>32</v>
      </c>
      <c r="D236" s="2" t="s">
        <v>33</v>
      </c>
      <c r="E236" s="2">
        <v>77</v>
      </c>
      <c r="F236" s="2">
        <v>224.33333329999999</v>
      </c>
      <c r="G236" s="2">
        <v>739.66666669999995</v>
      </c>
      <c r="H236" s="2">
        <v>1208.333333</v>
      </c>
      <c r="I236" s="2">
        <v>3199</v>
      </c>
      <c r="J236" s="2">
        <v>2.2200000000000002</v>
      </c>
      <c r="K236" s="2">
        <v>6.82</v>
      </c>
      <c r="L236" s="2">
        <v>9.69</v>
      </c>
      <c r="M236" s="2">
        <v>16.09</v>
      </c>
      <c r="N236" s="2">
        <v>2.3641568240000002</v>
      </c>
      <c r="O236" s="2">
        <v>2.149659266</v>
      </c>
      <c r="P236" s="2">
        <v>3.1933254400000002</v>
      </c>
      <c r="Q236" s="2">
        <v>2.936252031</v>
      </c>
      <c r="R236" s="2">
        <v>2.2169464730000001</v>
      </c>
      <c r="S236" s="2">
        <v>2.2133449889999999</v>
      </c>
      <c r="T236" s="2">
        <v>2.2983637020000001</v>
      </c>
      <c r="U236" s="2">
        <v>1.929424772</v>
      </c>
      <c r="V236" s="2">
        <v>3.5068921550000001</v>
      </c>
      <c r="W236" s="2">
        <v>4.9668048999999999E-2</v>
      </c>
      <c r="X236">
        <f t="shared" si="9"/>
        <v>1</v>
      </c>
      <c r="Y236">
        <f t="shared" si="10"/>
        <v>1</v>
      </c>
      <c r="Z236">
        <f t="shared" si="11"/>
        <v>1</v>
      </c>
    </row>
    <row r="237" spans="1:26" ht="15.75" customHeight="1" x14ac:dyDescent="0.2">
      <c r="A237" s="2" t="s">
        <v>23</v>
      </c>
      <c r="B237" s="2" t="s">
        <v>24</v>
      </c>
      <c r="C237" s="2" t="s">
        <v>26</v>
      </c>
      <c r="D237" s="2" t="s">
        <v>26</v>
      </c>
      <c r="E237" s="2">
        <v>69</v>
      </c>
      <c r="F237" s="2">
        <v>242</v>
      </c>
      <c r="G237" s="2">
        <v>458.66666670000001</v>
      </c>
      <c r="H237" s="2">
        <v>1631.333333</v>
      </c>
      <c r="I237" s="2">
        <v>2850</v>
      </c>
      <c r="J237" s="2">
        <v>2.42</v>
      </c>
      <c r="K237" s="2">
        <v>4.55</v>
      </c>
      <c r="L237" s="2">
        <v>11.65</v>
      </c>
      <c r="M237" s="2">
        <v>15.36</v>
      </c>
      <c r="N237" s="2">
        <v>2.0250381069999999</v>
      </c>
      <c r="O237" s="2">
        <v>2.905100805</v>
      </c>
      <c r="P237" s="2">
        <v>0.34774416800000002</v>
      </c>
      <c r="Q237" s="2">
        <v>5.3714672999999998E-2</v>
      </c>
      <c r="R237" s="2">
        <v>4.4430896999999997E-2</v>
      </c>
      <c r="S237" s="2">
        <v>4.803238E-2</v>
      </c>
      <c r="T237" s="2">
        <v>0.34489404499999998</v>
      </c>
      <c r="U237" s="2">
        <v>2.4044884999999998E-2</v>
      </c>
      <c r="V237" s="2">
        <v>1.245514786</v>
      </c>
      <c r="W237" s="2">
        <v>5.6061657000000001E-2</v>
      </c>
      <c r="X237">
        <f t="shared" si="9"/>
        <v>1</v>
      </c>
      <c r="Y237">
        <f t="shared" si="10"/>
        <v>1</v>
      </c>
      <c r="Z237">
        <f t="shared" si="11"/>
        <v>0</v>
      </c>
    </row>
    <row r="238" spans="1:26" ht="15.75" customHeight="1" x14ac:dyDescent="0.2">
      <c r="A238" s="2" t="s">
        <v>23</v>
      </c>
      <c r="B238" s="2" t="s">
        <v>24</v>
      </c>
      <c r="C238" s="2" t="s">
        <v>25</v>
      </c>
      <c r="D238" s="2" t="s">
        <v>25</v>
      </c>
      <c r="E238" s="2">
        <v>131</v>
      </c>
      <c r="F238" s="2">
        <v>200.33333329999999</v>
      </c>
      <c r="G238" s="2">
        <v>726.66666669999995</v>
      </c>
      <c r="H238" s="2">
        <v>1552.666667</v>
      </c>
      <c r="I238" s="2">
        <v>2975.666667</v>
      </c>
      <c r="J238" s="2">
        <v>1.96</v>
      </c>
      <c r="K238" s="2">
        <v>6.72</v>
      </c>
      <c r="L238" s="2">
        <v>11.32</v>
      </c>
      <c r="M238" s="2">
        <v>15.63</v>
      </c>
      <c r="N238" s="2">
        <v>0.78513501799999996</v>
      </c>
      <c r="O238" s="2">
        <v>0.71275799100000004</v>
      </c>
      <c r="P238" s="2">
        <v>2.2267648869999999</v>
      </c>
      <c r="Q238" s="2">
        <v>2.14080417</v>
      </c>
      <c r="R238" s="2">
        <v>2.1227635189999998</v>
      </c>
      <c r="S238" s="2">
        <v>2.1191620360000001</v>
      </c>
      <c r="T238" s="2">
        <v>0.67257483100000004</v>
      </c>
      <c r="U238" s="2">
        <v>0.30363590099999999</v>
      </c>
      <c r="V238" s="2">
        <v>3.4127092010000002</v>
      </c>
      <c r="W238" s="2">
        <v>3.8543708000000003E-2</v>
      </c>
      <c r="X238">
        <f t="shared" si="9"/>
        <v>1</v>
      </c>
      <c r="Y238">
        <f t="shared" si="10"/>
        <v>1</v>
      </c>
      <c r="Z238">
        <f t="shared" si="11"/>
        <v>0</v>
      </c>
    </row>
    <row r="239" spans="1:26" ht="15.75" customHeight="1" x14ac:dyDescent="0.2">
      <c r="A239" s="2" t="s">
        <v>23</v>
      </c>
      <c r="B239" s="2" t="s">
        <v>24</v>
      </c>
      <c r="C239" s="2" t="s">
        <v>30</v>
      </c>
      <c r="D239" s="2" t="s">
        <v>31</v>
      </c>
      <c r="E239" s="2">
        <v>90</v>
      </c>
      <c r="F239" s="2">
        <v>218</v>
      </c>
      <c r="G239" s="2">
        <v>811.33333330000005</v>
      </c>
      <c r="H239" s="2">
        <v>1679.666667</v>
      </c>
      <c r="I239" s="2">
        <v>3436.333333</v>
      </c>
      <c r="J239" s="2">
        <v>2.15</v>
      </c>
      <c r="K239" s="2">
        <v>7.32</v>
      </c>
      <c r="L239" s="2">
        <v>11.84</v>
      </c>
      <c r="M239" s="2">
        <v>16.54</v>
      </c>
      <c r="N239" s="2">
        <v>3.822281163</v>
      </c>
      <c r="O239" s="2">
        <v>3.7677320879999998</v>
      </c>
      <c r="P239" s="2">
        <v>2.724462731</v>
      </c>
      <c r="Q239" s="2">
        <v>2.7254568400000001</v>
      </c>
      <c r="R239" s="2">
        <v>2.720297757</v>
      </c>
      <c r="S239" s="2">
        <v>2.7166962730000002</v>
      </c>
      <c r="T239" s="2">
        <v>0.150589792</v>
      </c>
      <c r="U239" s="2">
        <v>0.218349138</v>
      </c>
      <c r="V239" s="2">
        <v>4.0102434389999999</v>
      </c>
      <c r="W239" s="2">
        <v>4.2581754999999999E-2</v>
      </c>
      <c r="X239">
        <f t="shared" si="9"/>
        <v>1</v>
      </c>
      <c r="Y239">
        <f t="shared" si="10"/>
        <v>1</v>
      </c>
      <c r="Z239">
        <f t="shared" si="11"/>
        <v>1</v>
      </c>
    </row>
    <row r="240" spans="1:26" ht="15.75" customHeight="1" x14ac:dyDescent="0.2">
      <c r="A240" s="2" t="s">
        <v>23</v>
      </c>
      <c r="B240" s="2" t="s">
        <v>24</v>
      </c>
      <c r="C240" s="2" t="s">
        <v>27</v>
      </c>
      <c r="D240" s="2" t="s">
        <v>27</v>
      </c>
      <c r="E240" s="2">
        <v>114</v>
      </c>
      <c r="F240" s="2">
        <v>221.66666670000001</v>
      </c>
      <c r="G240" s="2">
        <v>430.66666670000001</v>
      </c>
      <c r="H240" s="2">
        <v>2413</v>
      </c>
      <c r="I240" s="2">
        <v>3324.333333</v>
      </c>
      <c r="J240" s="2">
        <v>2.19</v>
      </c>
      <c r="K240" s="2">
        <v>4.3</v>
      </c>
      <c r="L240" s="2">
        <v>14.26</v>
      </c>
      <c r="M240" s="2">
        <v>16.34</v>
      </c>
      <c r="N240" s="2">
        <v>0.35339282599999999</v>
      </c>
      <c r="O240" s="2">
        <v>0.16475479400000001</v>
      </c>
      <c r="P240" s="2">
        <v>2.290101226</v>
      </c>
      <c r="Q240" s="2">
        <v>2.6567285649999999</v>
      </c>
      <c r="R240" s="2">
        <v>0.298888757</v>
      </c>
      <c r="S240" s="2">
        <v>0.30249024099999999</v>
      </c>
      <c r="T240" s="2">
        <v>2.2705129679999998</v>
      </c>
      <c r="U240" s="2">
        <v>2.6394518979999999</v>
      </c>
      <c r="V240" s="2">
        <v>0.99105692499999998</v>
      </c>
      <c r="W240" s="2">
        <v>4.0405331000000003E-2</v>
      </c>
      <c r="X240">
        <f t="shared" si="9"/>
        <v>1</v>
      </c>
      <c r="Y240">
        <f t="shared" si="10"/>
        <v>1</v>
      </c>
      <c r="Z240">
        <f t="shared" si="11"/>
        <v>0</v>
      </c>
    </row>
    <row r="241" spans="1:26" ht="15.75" customHeight="1" x14ac:dyDescent="0.2">
      <c r="A241" s="2" t="s">
        <v>23</v>
      </c>
      <c r="B241" s="2" t="s">
        <v>24</v>
      </c>
      <c r="C241" s="2" t="s">
        <v>30</v>
      </c>
      <c r="D241" s="2" t="s">
        <v>31</v>
      </c>
      <c r="E241" s="2">
        <v>122</v>
      </c>
      <c r="F241" s="2">
        <v>212.33333329999999</v>
      </c>
      <c r="G241" s="2">
        <v>887.33333330000005</v>
      </c>
      <c r="H241" s="2">
        <v>1496.666667</v>
      </c>
      <c r="I241" s="2">
        <v>3234</v>
      </c>
      <c r="J241" s="2">
        <v>2.09</v>
      </c>
      <c r="K241" s="2">
        <v>7.82</v>
      </c>
      <c r="L241" s="2">
        <v>11.08</v>
      </c>
      <c r="M241" s="2">
        <v>16.16</v>
      </c>
      <c r="N241" s="2">
        <v>4.6799374289999998</v>
      </c>
      <c r="O241" s="2">
        <v>4.641079392</v>
      </c>
      <c r="P241" s="2">
        <v>3.3536184160000002</v>
      </c>
      <c r="Q241" s="2">
        <v>3.2687216960000001</v>
      </c>
      <c r="R241" s="2">
        <v>3.226401326</v>
      </c>
      <c r="S241" s="2">
        <v>3.2227998420000001</v>
      </c>
      <c r="T241" s="2">
        <v>0.91492675499999998</v>
      </c>
      <c r="U241" s="2">
        <v>0.54598782499999998</v>
      </c>
      <c r="V241" s="2">
        <v>4.5163470080000003</v>
      </c>
      <c r="W241" s="2">
        <v>3.2872096000000003E-2</v>
      </c>
      <c r="X241">
        <f t="shared" si="9"/>
        <v>1</v>
      </c>
      <c r="Y241">
        <f t="shared" si="10"/>
        <v>1</v>
      </c>
      <c r="Z241">
        <f t="shared" si="11"/>
        <v>1</v>
      </c>
    </row>
    <row r="242" spans="1:26" ht="15.75" customHeight="1" x14ac:dyDescent="0.2">
      <c r="A242" s="2" t="s">
        <v>23</v>
      </c>
      <c r="B242" s="2" t="s">
        <v>24</v>
      </c>
      <c r="C242" s="2" t="s">
        <v>27</v>
      </c>
      <c r="D242" s="2" t="s">
        <v>27</v>
      </c>
      <c r="E242" s="2">
        <v>72</v>
      </c>
      <c r="F242" s="2">
        <v>228.33333329999999</v>
      </c>
      <c r="G242" s="2">
        <v>408</v>
      </c>
      <c r="H242" s="2">
        <v>2052.333333</v>
      </c>
      <c r="I242" s="2">
        <v>3306.333333</v>
      </c>
      <c r="J242" s="2">
        <v>2.27</v>
      </c>
      <c r="K242" s="2">
        <v>4.09</v>
      </c>
      <c r="L242" s="2">
        <v>13.18</v>
      </c>
      <c r="M242" s="2">
        <v>16.3</v>
      </c>
      <c r="N242" s="2">
        <v>0.77033720999999999</v>
      </c>
      <c r="O242" s="2">
        <v>0.93967227099999995</v>
      </c>
      <c r="P242" s="2">
        <v>1.2947377929999999</v>
      </c>
      <c r="Q242" s="2">
        <v>1.6414897980000001</v>
      </c>
      <c r="R242" s="2">
        <v>0.50928589099999999</v>
      </c>
      <c r="S242" s="2">
        <v>0.51288737399999995</v>
      </c>
      <c r="T242" s="2">
        <v>1.1903671010000001</v>
      </c>
      <c r="U242" s="2">
        <v>1.559306031</v>
      </c>
      <c r="V242" s="2">
        <v>0.78065979200000002</v>
      </c>
      <c r="W242" s="2">
        <v>4.7273493999999999E-2</v>
      </c>
      <c r="X242">
        <f t="shared" si="9"/>
        <v>1</v>
      </c>
      <c r="Y242">
        <f t="shared" si="10"/>
        <v>1</v>
      </c>
      <c r="Z242">
        <f t="shared" si="11"/>
        <v>0</v>
      </c>
    </row>
    <row r="243" spans="1:26" ht="15.75" customHeight="1" x14ac:dyDescent="0.2">
      <c r="A243" s="2" t="s">
        <v>23</v>
      </c>
      <c r="B243" s="2" t="s">
        <v>24</v>
      </c>
      <c r="C243" s="2" t="s">
        <v>26</v>
      </c>
      <c r="D243" s="2" t="s">
        <v>26</v>
      </c>
      <c r="E243" s="2">
        <v>98</v>
      </c>
      <c r="F243" s="2">
        <v>218.33333329999999</v>
      </c>
      <c r="G243" s="2">
        <v>417.66666670000001</v>
      </c>
      <c r="H243" s="2">
        <v>1448.333333</v>
      </c>
      <c r="I243" s="2">
        <v>2841.666667</v>
      </c>
      <c r="J243" s="2">
        <v>2.16</v>
      </c>
      <c r="K243" s="2">
        <v>4.18</v>
      </c>
      <c r="L243" s="2">
        <v>10.86</v>
      </c>
      <c r="M243" s="2">
        <v>15.34</v>
      </c>
      <c r="N243" s="2">
        <v>1.19836082</v>
      </c>
      <c r="O243" s="2">
        <v>2.0933036550000002</v>
      </c>
      <c r="P243" s="2">
        <v>1.2056754700000001</v>
      </c>
      <c r="Q243" s="2">
        <v>0.87099250299999997</v>
      </c>
      <c r="R243" s="2">
        <v>0.41906710899999999</v>
      </c>
      <c r="S243" s="2">
        <v>0.42266859200000001</v>
      </c>
      <c r="T243" s="2">
        <v>1.130502586</v>
      </c>
      <c r="U243" s="2">
        <v>0.76156365599999998</v>
      </c>
      <c r="V243" s="2">
        <v>0.87087857400000002</v>
      </c>
      <c r="W243" s="2">
        <v>3.8318571000000003E-2</v>
      </c>
      <c r="X243">
        <f t="shared" si="9"/>
        <v>1</v>
      </c>
      <c r="Y243">
        <f t="shared" si="10"/>
        <v>1</v>
      </c>
      <c r="Z243">
        <f t="shared" si="11"/>
        <v>0</v>
      </c>
    </row>
    <row r="244" spans="1:26" ht="15.75" customHeight="1" x14ac:dyDescent="0.2">
      <c r="A244" s="2" t="s">
        <v>23</v>
      </c>
      <c r="B244" s="2" t="s">
        <v>24</v>
      </c>
      <c r="C244" s="2" t="s">
        <v>27</v>
      </c>
      <c r="D244" s="2" t="s">
        <v>27</v>
      </c>
      <c r="E244" s="2">
        <v>132</v>
      </c>
      <c r="F244" s="2">
        <v>190</v>
      </c>
      <c r="G244" s="2">
        <v>416.33333329999999</v>
      </c>
      <c r="H244" s="2">
        <v>2313.666667</v>
      </c>
      <c r="I244" s="2">
        <v>3195.333333</v>
      </c>
      <c r="J244" s="2">
        <v>1.84</v>
      </c>
      <c r="K244" s="2">
        <v>4.17</v>
      </c>
      <c r="L244" s="2">
        <v>13.98</v>
      </c>
      <c r="M244" s="2">
        <v>16.09</v>
      </c>
      <c r="N244" s="2">
        <v>4.7417668000000003E-2</v>
      </c>
      <c r="O244" s="2">
        <v>0.176574394</v>
      </c>
      <c r="P244" s="2">
        <v>2.037425174</v>
      </c>
      <c r="Q244" s="2">
        <v>2.3999190719999999</v>
      </c>
      <c r="R244" s="2">
        <v>0.43146743999999998</v>
      </c>
      <c r="S244" s="2">
        <v>0.435068923</v>
      </c>
      <c r="T244" s="2">
        <v>1.9912150019999999</v>
      </c>
      <c r="U244" s="2">
        <v>2.3601539319999998</v>
      </c>
      <c r="V244" s="2">
        <v>0.85847824299999997</v>
      </c>
      <c r="W244" s="2">
        <v>4.3967262999999999E-2</v>
      </c>
      <c r="X244">
        <f t="shared" si="9"/>
        <v>1</v>
      </c>
      <c r="Y244">
        <f t="shared" si="10"/>
        <v>1</v>
      </c>
      <c r="Z244">
        <f t="shared" si="11"/>
        <v>0</v>
      </c>
    </row>
    <row r="245" spans="1:26" ht="15.75" customHeight="1" x14ac:dyDescent="0.2">
      <c r="A245" s="2" t="s">
        <v>23</v>
      </c>
      <c r="B245" s="2" t="s">
        <v>24</v>
      </c>
      <c r="C245" s="2" t="s">
        <v>30</v>
      </c>
      <c r="D245" s="2" t="s">
        <v>31</v>
      </c>
      <c r="E245" s="2">
        <v>90</v>
      </c>
      <c r="F245" s="2">
        <v>201</v>
      </c>
      <c r="G245" s="2">
        <v>822</v>
      </c>
      <c r="H245" s="2">
        <v>1561</v>
      </c>
      <c r="I245" s="2">
        <v>3279</v>
      </c>
      <c r="J245" s="2">
        <v>1.96</v>
      </c>
      <c r="K245" s="2">
        <v>7.39</v>
      </c>
      <c r="L245" s="2">
        <v>11.36</v>
      </c>
      <c r="M245" s="2">
        <v>16.25</v>
      </c>
      <c r="N245" s="2">
        <v>4.1675841120000001</v>
      </c>
      <c r="O245" s="2">
        <v>4.131873197</v>
      </c>
      <c r="P245" s="2">
        <v>2.8647552529999998</v>
      </c>
      <c r="Q245" s="2">
        <v>2.8022634470000001</v>
      </c>
      <c r="R245" s="2">
        <v>2.792997975</v>
      </c>
      <c r="S245" s="2">
        <v>2.7893964919999998</v>
      </c>
      <c r="T245" s="2">
        <v>0.63716949899999997</v>
      </c>
      <c r="U245" s="2">
        <v>0.26823056899999997</v>
      </c>
      <c r="V245" s="2">
        <v>4.0829436579999996</v>
      </c>
      <c r="W245" s="2">
        <v>3.1400033000000001E-2</v>
      </c>
      <c r="X245">
        <f t="shared" si="9"/>
        <v>1</v>
      </c>
      <c r="Y245">
        <f t="shared" si="10"/>
        <v>1</v>
      </c>
      <c r="Z245">
        <f t="shared" si="11"/>
        <v>1</v>
      </c>
    </row>
    <row r="246" spans="1:26" ht="15.75" customHeight="1" x14ac:dyDescent="0.2">
      <c r="A246" s="2" t="s">
        <v>23</v>
      </c>
      <c r="B246" s="2" t="s">
        <v>24</v>
      </c>
      <c r="C246" s="2" t="s">
        <v>27</v>
      </c>
      <c r="D246" s="2" t="s">
        <v>27</v>
      </c>
      <c r="E246" s="2">
        <v>101</v>
      </c>
      <c r="F246" s="2">
        <v>204</v>
      </c>
      <c r="G246" s="2">
        <v>428.66666670000001</v>
      </c>
      <c r="H246" s="2">
        <v>2329.333333</v>
      </c>
      <c r="I246" s="2">
        <v>3221</v>
      </c>
      <c r="J246" s="2">
        <v>2</v>
      </c>
      <c r="K246" s="2">
        <v>4.28</v>
      </c>
      <c r="L246" s="2">
        <v>14.03</v>
      </c>
      <c r="M246" s="2">
        <v>16.14</v>
      </c>
      <c r="N246" s="2">
        <v>0.16793617999999999</v>
      </c>
      <c r="O246" s="2">
        <v>7.2513227E-2</v>
      </c>
      <c r="P246" s="2">
        <v>2.0606984069999998</v>
      </c>
      <c r="Q246" s="2">
        <v>2.4263766260000001</v>
      </c>
      <c r="R246" s="2">
        <v>0.31729259100000001</v>
      </c>
      <c r="S246" s="2">
        <v>0.32089407399999997</v>
      </c>
      <c r="T246" s="2">
        <v>2.0361245879999998</v>
      </c>
      <c r="U246" s="2">
        <v>2.405063518</v>
      </c>
      <c r="V246" s="2">
        <v>0.97265309099999997</v>
      </c>
      <c r="W246" s="2">
        <v>3.2129001999999997E-2</v>
      </c>
      <c r="X246">
        <f t="shared" si="9"/>
        <v>1</v>
      </c>
      <c r="Y246">
        <f t="shared" si="10"/>
        <v>1</v>
      </c>
      <c r="Z246">
        <f t="shared" si="11"/>
        <v>0</v>
      </c>
    </row>
    <row r="247" spans="1:26" ht="15.75" customHeight="1" x14ac:dyDescent="0.2">
      <c r="A247" s="2" t="s">
        <v>23</v>
      </c>
      <c r="B247" s="2" t="s">
        <v>24</v>
      </c>
      <c r="C247" s="2" t="s">
        <v>26</v>
      </c>
      <c r="D247" s="2" t="s">
        <v>26</v>
      </c>
      <c r="E247" s="2">
        <v>104</v>
      </c>
      <c r="F247" s="2">
        <v>219.66666670000001</v>
      </c>
      <c r="G247" s="2">
        <v>429</v>
      </c>
      <c r="H247" s="2">
        <v>1381.666667</v>
      </c>
      <c r="I247" s="2">
        <v>2972.666667</v>
      </c>
      <c r="J247" s="2">
        <v>2.17</v>
      </c>
      <c r="K247" s="2">
        <v>4.28</v>
      </c>
      <c r="L247" s="2">
        <v>10.56</v>
      </c>
      <c r="M247" s="2">
        <v>15.63</v>
      </c>
      <c r="N247" s="2">
        <v>0.90098515700000004</v>
      </c>
      <c r="O247" s="2">
        <v>1.7896856160000001</v>
      </c>
      <c r="P247" s="2">
        <v>1.472010305</v>
      </c>
      <c r="Q247" s="2">
        <v>1.115382511</v>
      </c>
      <c r="R247" s="2">
        <v>0.31422314600000001</v>
      </c>
      <c r="S247" s="2">
        <v>0.31782462900000003</v>
      </c>
      <c r="T247" s="2">
        <v>1.438081414</v>
      </c>
      <c r="U247" s="2">
        <v>1.0691424839999999</v>
      </c>
      <c r="V247" s="2">
        <v>0.975722537</v>
      </c>
      <c r="W247" s="2">
        <v>4.2337284000000003E-2</v>
      </c>
      <c r="X247">
        <f t="shared" si="9"/>
        <v>1</v>
      </c>
      <c r="Y247">
        <f t="shared" si="10"/>
        <v>1</v>
      </c>
      <c r="Z247">
        <f t="shared" si="11"/>
        <v>0</v>
      </c>
    </row>
    <row r="248" spans="1:26" ht="15.75" customHeight="1" x14ac:dyDescent="0.2">
      <c r="A248" s="2" t="s">
        <v>23</v>
      </c>
      <c r="B248" s="2" t="s">
        <v>24</v>
      </c>
      <c r="C248" s="2" t="s">
        <v>30</v>
      </c>
      <c r="D248" s="2" t="s">
        <v>31</v>
      </c>
      <c r="E248" s="2">
        <v>85</v>
      </c>
      <c r="F248" s="2">
        <v>219</v>
      </c>
      <c r="G248" s="2">
        <v>862.33333330000005</v>
      </c>
      <c r="H248" s="2">
        <v>1536</v>
      </c>
      <c r="I248" s="2">
        <v>3415</v>
      </c>
      <c r="J248" s="2">
        <v>2.16</v>
      </c>
      <c r="K248" s="2">
        <v>7.66</v>
      </c>
      <c r="L248" s="2">
        <v>11.25</v>
      </c>
      <c r="M248" s="2">
        <v>16.5</v>
      </c>
      <c r="N248" s="2">
        <v>4.4460169489999997</v>
      </c>
      <c r="O248" s="2">
        <v>4.4057136180000001</v>
      </c>
      <c r="P248" s="2">
        <v>3.1519683490000001</v>
      </c>
      <c r="Q248" s="2">
        <v>3.0822183359999999</v>
      </c>
      <c r="R248" s="2">
        <v>3.0629282340000001</v>
      </c>
      <c r="S248" s="2">
        <v>3.0593267499999999</v>
      </c>
      <c r="T248" s="2">
        <v>0.74389186500000004</v>
      </c>
      <c r="U248" s="2">
        <v>0.37495293499999999</v>
      </c>
      <c r="V248" s="2">
        <v>4.3528739160000001</v>
      </c>
      <c r="W248" s="2">
        <v>2.9670618999999999E-2</v>
      </c>
      <c r="X248">
        <f t="shared" si="9"/>
        <v>1</v>
      </c>
      <c r="Y248">
        <f t="shared" si="10"/>
        <v>1</v>
      </c>
      <c r="Z248">
        <f t="shared" si="11"/>
        <v>1</v>
      </c>
    </row>
    <row r="249" spans="1:26" ht="15.75" customHeight="1" x14ac:dyDescent="0.2">
      <c r="A249" s="2" t="s">
        <v>23</v>
      </c>
      <c r="B249" s="2" t="s">
        <v>24</v>
      </c>
      <c r="C249" s="2" t="s">
        <v>32</v>
      </c>
      <c r="D249" s="2" t="s">
        <v>33</v>
      </c>
      <c r="E249" s="2">
        <v>90</v>
      </c>
      <c r="F249" s="2">
        <v>213.33333329999999</v>
      </c>
      <c r="G249" s="2">
        <v>771</v>
      </c>
      <c r="H249" s="2">
        <v>1496.666667</v>
      </c>
      <c r="I249" s="2">
        <v>3217</v>
      </c>
      <c r="J249" s="2">
        <v>2.1</v>
      </c>
      <c r="K249" s="2">
        <v>7.04</v>
      </c>
      <c r="L249" s="2">
        <v>11.08</v>
      </c>
      <c r="M249" s="2">
        <v>16.13</v>
      </c>
      <c r="N249" s="2">
        <v>0.97321044999999995</v>
      </c>
      <c r="O249" s="2">
        <v>0.75197530400000001</v>
      </c>
      <c r="P249" s="2">
        <v>2.606144945</v>
      </c>
      <c r="Q249" s="2">
        <v>2.4970861069999999</v>
      </c>
      <c r="R249" s="2">
        <v>2.4402664829999998</v>
      </c>
      <c r="S249" s="2">
        <v>2.4366650000000001</v>
      </c>
      <c r="T249" s="2">
        <v>0.91492675499999998</v>
      </c>
      <c r="U249" s="2">
        <v>0.54598782499999998</v>
      </c>
      <c r="V249" s="2">
        <v>3.7302121659999998</v>
      </c>
      <c r="W249" s="2">
        <v>4.0317991999999997E-2</v>
      </c>
      <c r="X249">
        <f t="shared" si="9"/>
        <v>1</v>
      </c>
      <c r="Y249">
        <f t="shared" si="10"/>
        <v>1</v>
      </c>
      <c r="Z249">
        <f t="shared" si="11"/>
        <v>1</v>
      </c>
    </row>
    <row r="250" spans="1:26" ht="15.75" customHeight="1" x14ac:dyDescent="0.2">
      <c r="A250" s="2" t="s">
        <v>23</v>
      </c>
      <c r="B250" s="2" t="s">
        <v>24</v>
      </c>
      <c r="C250" s="2" t="s">
        <v>28</v>
      </c>
      <c r="D250" s="2" t="s">
        <v>29</v>
      </c>
      <c r="E250" s="2">
        <v>100</v>
      </c>
      <c r="F250" s="2">
        <v>233</v>
      </c>
      <c r="G250" s="2">
        <v>291</v>
      </c>
      <c r="H250" s="2">
        <v>1283</v>
      </c>
      <c r="I250" s="2">
        <v>2273.333333</v>
      </c>
      <c r="J250" s="2">
        <v>2.3199999999999998</v>
      </c>
      <c r="K250" s="2">
        <v>2.94</v>
      </c>
      <c r="L250" s="2">
        <v>10.08</v>
      </c>
      <c r="M250" s="2">
        <v>13.87</v>
      </c>
      <c r="N250" s="2">
        <v>1.2783976450000001</v>
      </c>
      <c r="O250" s="2">
        <v>1.7940220019999999</v>
      </c>
      <c r="P250" s="2">
        <v>2.5372293689999998</v>
      </c>
      <c r="Q250" s="2">
        <v>2.2740912280000001</v>
      </c>
      <c r="R250" s="2">
        <v>1.6626901590000001</v>
      </c>
      <c r="S250" s="2">
        <v>1.666291642</v>
      </c>
      <c r="T250" s="2">
        <v>1.9165057539999999</v>
      </c>
      <c r="U250" s="2">
        <v>1.547566824</v>
      </c>
      <c r="V250" s="2">
        <v>-0.37274447599999999</v>
      </c>
      <c r="W250" s="2">
        <v>3.8266144000000002E-2</v>
      </c>
      <c r="X250">
        <f t="shared" si="9"/>
        <v>1</v>
      </c>
      <c r="Y250">
        <f t="shared" si="10"/>
        <v>1</v>
      </c>
      <c r="Z250">
        <f t="shared" si="11"/>
        <v>1</v>
      </c>
    </row>
    <row r="251" spans="1:26" ht="15.75" customHeight="1" x14ac:dyDescent="0.2">
      <c r="A251" s="2" t="s">
        <v>23</v>
      </c>
      <c r="B251" s="2" t="s">
        <v>24</v>
      </c>
      <c r="C251" s="2" t="s">
        <v>28</v>
      </c>
      <c r="D251" s="2" t="s">
        <v>29</v>
      </c>
      <c r="E251" s="2">
        <v>90</v>
      </c>
      <c r="F251" s="2">
        <v>230</v>
      </c>
      <c r="G251" s="2">
        <v>407.33333329999999</v>
      </c>
      <c r="H251" s="2">
        <v>1253.333333</v>
      </c>
      <c r="I251" s="2">
        <v>2215.666667</v>
      </c>
      <c r="J251" s="2">
        <v>2.29</v>
      </c>
      <c r="K251" s="2">
        <v>4.08</v>
      </c>
      <c r="L251" s="2">
        <v>9.93</v>
      </c>
      <c r="M251" s="2">
        <v>13.7</v>
      </c>
      <c r="N251" s="2">
        <v>0.26977273499999999</v>
      </c>
      <c r="O251" s="2">
        <v>1.1605174840000001</v>
      </c>
      <c r="P251" s="2">
        <v>2.1294485920000001</v>
      </c>
      <c r="Q251" s="2">
        <v>1.7747853739999999</v>
      </c>
      <c r="R251" s="2">
        <v>0.51553503499999997</v>
      </c>
      <c r="S251" s="2">
        <v>0.51913651800000005</v>
      </c>
      <c r="T251" s="2">
        <v>2.0661013850000001</v>
      </c>
      <c r="U251" s="2">
        <v>1.697162455</v>
      </c>
      <c r="V251" s="2">
        <v>0.77441064800000003</v>
      </c>
      <c r="W251" s="2">
        <v>3.5818587999999998E-2</v>
      </c>
      <c r="X251">
        <f t="shared" si="9"/>
        <v>1</v>
      </c>
      <c r="Y251">
        <f t="shared" si="10"/>
        <v>1</v>
      </c>
      <c r="Z251">
        <f t="shared" si="11"/>
        <v>1</v>
      </c>
    </row>
    <row r="252" spans="1:26" ht="15.75" customHeight="1" x14ac:dyDescent="0.2">
      <c r="A252" s="2" t="s">
        <v>23</v>
      </c>
      <c r="B252" s="2" t="s">
        <v>24</v>
      </c>
      <c r="C252" s="2" t="s">
        <v>26</v>
      </c>
      <c r="D252" s="2" t="s">
        <v>26</v>
      </c>
      <c r="E252" s="2">
        <v>170</v>
      </c>
      <c r="F252" s="2">
        <v>162</v>
      </c>
      <c r="G252" s="2">
        <v>381.66666670000001</v>
      </c>
      <c r="H252" s="2">
        <v>901.66666669999995</v>
      </c>
      <c r="I252" s="2">
        <v>2976.666667</v>
      </c>
      <c r="J252" s="2">
        <v>1.52</v>
      </c>
      <c r="K252" s="2">
        <v>3.84</v>
      </c>
      <c r="L252" s="2">
        <v>7.92</v>
      </c>
      <c r="M252" s="2">
        <v>15.64</v>
      </c>
      <c r="N252" s="2">
        <v>1.773957405</v>
      </c>
      <c r="O252" s="2">
        <v>0.91176429400000003</v>
      </c>
      <c r="P252" s="2">
        <v>4.1457394230000002</v>
      </c>
      <c r="Q252" s="2">
        <v>3.7843601200000001</v>
      </c>
      <c r="R252" s="2">
        <v>0.75883265899999996</v>
      </c>
      <c r="S252" s="2">
        <v>0.76243414300000001</v>
      </c>
      <c r="T252" s="2">
        <v>4.075699739</v>
      </c>
      <c r="U252" s="2">
        <v>3.7067608089999999</v>
      </c>
      <c r="V252" s="2">
        <v>0.53111302299999996</v>
      </c>
      <c r="W252" s="2">
        <v>4.2738087000000001E-2</v>
      </c>
      <c r="X252">
        <f t="shared" si="9"/>
        <v>1</v>
      </c>
      <c r="Y252">
        <f t="shared" si="10"/>
        <v>1</v>
      </c>
      <c r="Z252">
        <f t="shared" si="11"/>
        <v>0</v>
      </c>
    </row>
    <row r="253" spans="1:26" ht="15.75" customHeight="1" x14ac:dyDescent="0.2">
      <c r="A253" s="2" t="s">
        <v>23</v>
      </c>
      <c r="B253" s="2" t="s">
        <v>24</v>
      </c>
      <c r="C253" s="2" t="s">
        <v>25</v>
      </c>
      <c r="D253" s="2" t="s">
        <v>25</v>
      </c>
      <c r="E253" s="2">
        <v>88</v>
      </c>
      <c r="F253" s="2">
        <v>205</v>
      </c>
      <c r="G253" s="2">
        <v>659.33333330000005</v>
      </c>
      <c r="H253" s="2">
        <v>1824.333333</v>
      </c>
      <c r="I253" s="2">
        <v>3091</v>
      </c>
      <c r="J253" s="2">
        <v>2.0099999999999998</v>
      </c>
      <c r="K253" s="2">
        <v>6.22</v>
      </c>
      <c r="L253" s="2">
        <v>12.39</v>
      </c>
      <c r="M253" s="2">
        <v>15.88</v>
      </c>
      <c r="N253" s="2">
        <v>0.86214717100000005</v>
      </c>
      <c r="O253" s="2">
        <v>1.1888880740000001</v>
      </c>
      <c r="P253" s="2">
        <v>1.668953256</v>
      </c>
      <c r="Q253" s="2">
        <v>1.790528541</v>
      </c>
      <c r="R253" s="2">
        <v>1.619982998</v>
      </c>
      <c r="S253" s="2">
        <v>1.616381515</v>
      </c>
      <c r="T253" s="2">
        <v>0.40132287999999999</v>
      </c>
      <c r="U253" s="2">
        <v>0.77026181000000005</v>
      </c>
      <c r="V253" s="2">
        <v>2.9099286809999998</v>
      </c>
      <c r="W253" s="2">
        <v>5.6122493000000002E-2</v>
      </c>
      <c r="X253">
        <f t="shared" si="9"/>
        <v>1</v>
      </c>
      <c r="Y253">
        <f t="shared" si="10"/>
        <v>1</v>
      </c>
      <c r="Z253">
        <f t="shared" si="11"/>
        <v>0</v>
      </c>
    </row>
    <row r="254" spans="1:26" ht="15.75" customHeight="1" x14ac:dyDescent="0.2">
      <c r="A254" s="2" t="s">
        <v>23</v>
      </c>
      <c r="B254" s="2" t="s">
        <v>24</v>
      </c>
      <c r="C254" s="2" t="s">
        <v>30</v>
      </c>
      <c r="D254" s="2" t="s">
        <v>31</v>
      </c>
      <c r="E254" s="2">
        <v>89</v>
      </c>
      <c r="F254" s="2">
        <v>228</v>
      </c>
      <c r="G254" s="2">
        <v>849</v>
      </c>
      <c r="H254" s="2">
        <v>1778.666667</v>
      </c>
      <c r="I254" s="2">
        <v>3421</v>
      </c>
      <c r="J254" s="2">
        <v>2.2599999999999998</v>
      </c>
      <c r="K254" s="2">
        <v>7.57</v>
      </c>
      <c r="L254" s="2">
        <v>12.22</v>
      </c>
      <c r="M254" s="2">
        <v>16.510000000000002</v>
      </c>
      <c r="N254" s="2">
        <v>3.8506962740000001</v>
      </c>
      <c r="O254" s="2">
        <v>3.770377866</v>
      </c>
      <c r="P254" s="2">
        <v>2.98356434</v>
      </c>
      <c r="Q254" s="2">
        <v>3.031061996</v>
      </c>
      <c r="R254" s="2">
        <v>2.9745527960000002</v>
      </c>
      <c r="S254" s="2">
        <v>2.970951313</v>
      </c>
      <c r="T254" s="2">
        <v>0.23171498300000001</v>
      </c>
      <c r="U254" s="2">
        <v>0.60065391300000004</v>
      </c>
      <c r="V254" s="2">
        <v>4.2644984790000002</v>
      </c>
      <c r="W254" s="2">
        <v>4.7051038000000003E-2</v>
      </c>
      <c r="X254">
        <f t="shared" si="9"/>
        <v>1</v>
      </c>
      <c r="Y254">
        <f t="shared" si="10"/>
        <v>1</v>
      </c>
      <c r="Z254">
        <f t="shared" si="11"/>
        <v>1</v>
      </c>
    </row>
    <row r="255" spans="1:26" ht="15.75" customHeight="1" x14ac:dyDescent="0.2">
      <c r="A255" s="2" t="s">
        <v>23</v>
      </c>
      <c r="B255" s="2" t="s">
        <v>24</v>
      </c>
      <c r="C255" s="2" t="s">
        <v>28</v>
      </c>
      <c r="D255" s="2" t="s">
        <v>29</v>
      </c>
      <c r="E255" s="2">
        <v>80</v>
      </c>
      <c r="F255" s="2">
        <v>223.66666670000001</v>
      </c>
      <c r="G255" s="2">
        <v>359.33333329999999</v>
      </c>
      <c r="H255" s="2">
        <v>1186.333333</v>
      </c>
      <c r="I255" s="2">
        <v>3109</v>
      </c>
      <c r="J255" s="2">
        <v>2.2200000000000002</v>
      </c>
      <c r="K255" s="2">
        <v>3.62</v>
      </c>
      <c r="L255" s="2">
        <v>9.58</v>
      </c>
      <c r="M255" s="2">
        <v>15.91</v>
      </c>
      <c r="N255" s="2">
        <v>0.52946985199999996</v>
      </c>
      <c r="O255" s="2">
        <v>0.97351119200000003</v>
      </c>
      <c r="P255" s="2">
        <v>2.603739252</v>
      </c>
      <c r="Q255" s="2">
        <v>2.267405347</v>
      </c>
      <c r="R255" s="2">
        <v>0.97491446000000004</v>
      </c>
      <c r="S255" s="2">
        <v>0.978515943</v>
      </c>
      <c r="T255" s="2">
        <v>2.4143321819999999</v>
      </c>
      <c r="U255" s="2">
        <v>2.0453932520000002</v>
      </c>
      <c r="V255" s="2">
        <v>0.31503122300000003</v>
      </c>
      <c r="W255" s="2">
        <v>4.2099468000000001E-2</v>
      </c>
      <c r="X255">
        <f t="shared" si="9"/>
        <v>1</v>
      </c>
      <c r="Y255">
        <f t="shared" si="10"/>
        <v>1</v>
      </c>
      <c r="Z255">
        <f t="shared" si="11"/>
        <v>1</v>
      </c>
    </row>
    <row r="256" spans="1:26" ht="15.75" customHeight="1" x14ac:dyDescent="0.2">
      <c r="A256" s="2" t="s">
        <v>23</v>
      </c>
      <c r="B256" s="2" t="s">
        <v>24</v>
      </c>
      <c r="C256" s="2" t="s">
        <v>28</v>
      </c>
      <c r="D256" s="2" t="s">
        <v>29</v>
      </c>
      <c r="E256" s="2">
        <v>100</v>
      </c>
      <c r="F256" s="2">
        <v>210</v>
      </c>
      <c r="G256" s="2">
        <v>487.33333329999999</v>
      </c>
      <c r="H256" s="2">
        <v>1276.666667</v>
      </c>
      <c r="I256" s="2">
        <v>2486</v>
      </c>
      <c r="J256" s="2">
        <v>2.06</v>
      </c>
      <c r="K256" s="2">
        <v>4.8099999999999996</v>
      </c>
      <c r="L256" s="2">
        <v>10.039999999999999</v>
      </c>
      <c r="M256" s="2">
        <v>14.46</v>
      </c>
      <c r="N256" s="2">
        <v>0.76385334900000001</v>
      </c>
      <c r="O256" s="2">
        <v>1.428930045</v>
      </c>
      <c r="P256" s="2">
        <v>1.9595027759999999</v>
      </c>
      <c r="Q256" s="2">
        <v>1.5927098820000001</v>
      </c>
      <c r="R256" s="2">
        <v>0.21005336999999999</v>
      </c>
      <c r="S256" s="2">
        <v>0.206451886</v>
      </c>
      <c r="T256" s="2">
        <v>1.9482116700000001</v>
      </c>
      <c r="U256" s="2">
        <v>1.57927274</v>
      </c>
      <c r="V256" s="2">
        <v>1.4999990519999999</v>
      </c>
      <c r="W256" s="2">
        <v>3.3244434000000003E-2</v>
      </c>
      <c r="X256">
        <f t="shared" si="9"/>
        <v>1</v>
      </c>
      <c r="Y256">
        <f t="shared" si="10"/>
        <v>1</v>
      </c>
      <c r="Z256">
        <f t="shared" si="11"/>
        <v>1</v>
      </c>
    </row>
    <row r="257" spans="1:26" ht="15.75" customHeight="1" x14ac:dyDescent="0.2">
      <c r="A257" s="2" t="s">
        <v>23</v>
      </c>
      <c r="B257" s="2" t="s">
        <v>24</v>
      </c>
      <c r="C257" s="2" t="s">
        <v>32</v>
      </c>
      <c r="D257" s="2" t="s">
        <v>33</v>
      </c>
      <c r="E257" s="2">
        <v>110</v>
      </c>
      <c r="F257" s="2">
        <v>220.33333329999999</v>
      </c>
      <c r="G257" s="2">
        <v>393.66666670000001</v>
      </c>
      <c r="H257" s="2">
        <v>1131.333333</v>
      </c>
      <c r="I257" s="2">
        <v>3184.333333</v>
      </c>
      <c r="J257" s="2">
        <v>2.1800000000000002</v>
      </c>
      <c r="K257" s="2">
        <v>3.95</v>
      </c>
      <c r="L257" s="2">
        <v>9.2799999999999994</v>
      </c>
      <c r="M257" s="2">
        <v>16.07</v>
      </c>
      <c r="N257" s="2">
        <v>4.1234900909999999</v>
      </c>
      <c r="O257" s="2">
        <v>4.1468083289999997</v>
      </c>
      <c r="P257" s="2">
        <v>2.7870013180000002</v>
      </c>
      <c r="Q257" s="2">
        <v>2.430516355</v>
      </c>
      <c r="R257" s="2">
        <v>0.64442262900000002</v>
      </c>
      <c r="S257" s="2">
        <v>0.64802411199999999</v>
      </c>
      <c r="T257" s="2">
        <v>2.7114748419999999</v>
      </c>
      <c r="U257" s="2">
        <v>2.3425359120000002</v>
      </c>
      <c r="V257" s="2">
        <v>0.64552305399999999</v>
      </c>
      <c r="W257" s="2">
        <v>3.4111029000000001E-2</v>
      </c>
      <c r="X257">
        <f t="shared" si="9"/>
        <v>1</v>
      </c>
      <c r="Y257">
        <f t="shared" si="10"/>
        <v>1</v>
      </c>
      <c r="Z257">
        <f t="shared" si="11"/>
        <v>1</v>
      </c>
    </row>
    <row r="258" spans="1:26" ht="15.75" customHeight="1" x14ac:dyDescent="0.2">
      <c r="A258" s="2" t="s">
        <v>23</v>
      </c>
      <c r="B258" s="2" t="s">
        <v>24</v>
      </c>
      <c r="C258" s="2" t="s">
        <v>25</v>
      </c>
      <c r="D258" s="2" t="s">
        <v>25</v>
      </c>
      <c r="E258" s="2">
        <v>100</v>
      </c>
      <c r="F258" s="2">
        <v>216</v>
      </c>
      <c r="G258" s="2">
        <v>715.33333330000005</v>
      </c>
      <c r="H258" s="2">
        <v>1692</v>
      </c>
      <c r="I258" s="2">
        <v>3082</v>
      </c>
      <c r="J258" s="2">
        <v>2.13</v>
      </c>
      <c r="K258" s="2">
        <v>6.64</v>
      </c>
      <c r="L258" s="2">
        <v>11.89</v>
      </c>
      <c r="M258" s="2">
        <v>15.86</v>
      </c>
      <c r="N258" s="2">
        <v>0.40375535600000001</v>
      </c>
      <c r="O258" s="2">
        <v>0.61664070199999999</v>
      </c>
      <c r="P258" s="2">
        <v>2.0424486489999998</v>
      </c>
      <c r="Q258" s="2">
        <v>2.0537507549999998</v>
      </c>
      <c r="R258" s="2">
        <v>2.039908493</v>
      </c>
      <c r="S258" s="2">
        <v>2.0363070090000002</v>
      </c>
      <c r="T258" s="2">
        <v>0.10183234300000001</v>
      </c>
      <c r="U258" s="2">
        <v>0.26710658700000001</v>
      </c>
      <c r="V258" s="2">
        <v>3.3298541749999999</v>
      </c>
      <c r="W258" s="2">
        <v>3.5237541999999997E-2</v>
      </c>
      <c r="X258">
        <f t="shared" si="9"/>
        <v>1</v>
      </c>
      <c r="Y258">
        <f t="shared" si="10"/>
        <v>1</v>
      </c>
      <c r="Z258">
        <f t="shared" si="11"/>
        <v>0</v>
      </c>
    </row>
    <row r="259" spans="1:26" ht="15.75" customHeight="1" x14ac:dyDescent="0.2">
      <c r="A259" s="2" t="s">
        <v>23</v>
      </c>
      <c r="B259" s="2" t="s">
        <v>24</v>
      </c>
      <c r="C259" s="2" t="s">
        <v>27</v>
      </c>
      <c r="D259" s="2" t="s">
        <v>27</v>
      </c>
      <c r="E259" s="2">
        <v>72</v>
      </c>
      <c r="F259" s="2">
        <v>213.33333329999999</v>
      </c>
      <c r="G259" s="2">
        <v>421.66666670000001</v>
      </c>
      <c r="H259" s="2">
        <v>2314.333333</v>
      </c>
      <c r="I259" s="2">
        <v>3313</v>
      </c>
      <c r="J259" s="2">
        <v>2.1</v>
      </c>
      <c r="K259" s="2">
        <v>4.22</v>
      </c>
      <c r="L259" s="2">
        <v>13.99</v>
      </c>
      <c r="M259" s="2">
        <v>16.309999999999999</v>
      </c>
      <c r="N259" s="2">
        <v>9.1210201000000005E-2</v>
      </c>
      <c r="O259" s="2">
        <v>0.141021548</v>
      </c>
      <c r="P259" s="2">
        <v>2.029399798</v>
      </c>
      <c r="Q259" s="2">
        <v>2.3933307639999999</v>
      </c>
      <c r="R259" s="2">
        <v>0.38194941999999998</v>
      </c>
      <c r="S259" s="2">
        <v>0.385550903</v>
      </c>
      <c r="T259" s="2">
        <v>1.993132755</v>
      </c>
      <c r="U259" s="2">
        <v>2.3620716850000001</v>
      </c>
      <c r="V259" s="2">
        <v>0.90799626300000003</v>
      </c>
      <c r="W259" s="2">
        <v>4.9417366999999997E-2</v>
      </c>
      <c r="X259">
        <f t="shared" ref="X259:X322" si="12">IF(B259="normal",1,0)</f>
        <v>1</v>
      </c>
      <c r="Y259">
        <f t="shared" ref="Y259:Y322" si="13">IF(A259="lecture",1,0)</f>
        <v>1</v>
      </c>
      <c r="Z259">
        <f t="shared" ref="Z259:Z322" si="14">IF(ISNUMBER(FIND("~",D259)),1,0)</f>
        <v>0</v>
      </c>
    </row>
    <row r="260" spans="1:26" ht="15.75" customHeight="1" x14ac:dyDescent="0.2">
      <c r="A260" s="2" t="s">
        <v>23</v>
      </c>
      <c r="B260" s="2" t="s">
        <v>24</v>
      </c>
      <c r="C260" s="2" t="s">
        <v>32</v>
      </c>
      <c r="D260" s="2" t="s">
        <v>33</v>
      </c>
      <c r="E260" s="2">
        <v>100</v>
      </c>
      <c r="F260" s="2">
        <v>193.33333329999999</v>
      </c>
      <c r="G260" s="2">
        <v>449.66666670000001</v>
      </c>
      <c r="H260" s="2">
        <v>1072.666667</v>
      </c>
      <c r="I260" s="2">
        <v>2116.666667</v>
      </c>
      <c r="J260" s="2">
        <v>1.88</v>
      </c>
      <c r="K260" s="2">
        <v>4.47</v>
      </c>
      <c r="L260" s="2">
        <v>8.9499999999999993</v>
      </c>
      <c r="M260" s="2">
        <v>13.39</v>
      </c>
      <c r="N260" s="2">
        <v>4.003928599</v>
      </c>
      <c r="O260" s="2">
        <v>3.9763587130000002</v>
      </c>
      <c r="P260" s="2">
        <v>3.0428988970000002</v>
      </c>
      <c r="Q260" s="2">
        <v>2.6744891430000002</v>
      </c>
      <c r="R260" s="2">
        <v>0.12557601600000001</v>
      </c>
      <c r="S260" s="2">
        <v>0.1291775</v>
      </c>
      <c r="T260" s="2">
        <v>3.0403066230000002</v>
      </c>
      <c r="U260" s="2">
        <v>2.6713676930000001</v>
      </c>
      <c r="V260" s="2">
        <v>1.164369666</v>
      </c>
      <c r="W260" s="2">
        <v>3.4708241000000001E-2</v>
      </c>
      <c r="X260">
        <f t="shared" si="12"/>
        <v>1</v>
      </c>
      <c r="Y260">
        <f t="shared" si="13"/>
        <v>1</v>
      </c>
      <c r="Z260">
        <f t="shared" si="14"/>
        <v>1</v>
      </c>
    </row>
    <row r="261" spans="1:26" ht="15.75" customHeight="1" x14ac:dyDescent="0.2">
      <c r="A261" s="2" t="s">
        <v>23</v>
      </c>
      <c r="B261" s="2" t="s">
        <v>24</v>
      </c>
      <c r="C261" s="2" t="s">
        <v>28</v>
      </c>
      <c r="D261" s="2" t="s">
        <v>29</v>
      </c>
      <c r="E261" s="2">
        <v>99</v>
      </c>
      <c r="F261" s="2">
        <v>216.33333329999999</v>
      </c>
      <c r="G261" s="2">
        <v>268.33333329999999</v>
      </c>
      <c r="H261" s="2">
        <v>1313.333333</v>
      </c>
      <c r="I261" s="2">
        <v>2214.333333</v>
      </c>
      <c r="J261" s="2">
        <v>2.13</v>
      </c>
      <c r="K261" s="2">
        <v>2.7</v>
      </c>
      <c r="L261" s="2">
        <v>10.23</v>
      </c>
      <c r="M261" s="2">
        <v>13.69</v>
      </c>
      <c r="N261" s="2">
        <v>1.55295831</v>
      </c>
      <c r="O261" s="2">
        <v>2.0672525749999999</v>
      </c>
      <c r="P261" s="2">
        <v>2.5943320660000002</v>
      </c>
      <c r="Q261" s="2">
        <v>2.3615720069999999</v>
      </c>
      <c r="R261" s="2">
        <v>1.900147112</v>
      </c>
      <c r="S261" s="2">
        <v>1.9037485949999999</v>
      </c>
      <c r="T261" s="2">
        <v>1.766352122</v>
      </c>
      <c r="U261" s="2">
        <v>1.3974131919999999</v>
      </c>
      <c r="V261" s="2">
        <v>-0.61020143000000004</v>
      </c>
      <c r="W261" s="2">
        <v>2.6796912999999999E-2</v>
      </c>
      <c r="X261">
        <f t="shared" si="12"/>
        <v>1</v>
      </c>
      <c r="Y261">
        <f t="shared" si="13"/>
        <v>1</v>
      </c>
      <c r="Z261">
        <f t="shared" si="14"/>
        <v>1</v>
      </c>
    </row>
    <row r="262" spans="1:26" ht="15.75" customHeight="1" x14ac:dyDescent="0.2">
      <c r="A262" s="2" t="s">
        <v>23</v>
      </c>
      <c r="B262" s="2" t="s">
        <v>24</v>
      </c>
      <c r="C262" s="2" t="s">
        <v>27</v>
      </c>
      <c r="D262" s="2" t="s">
        <v>27</v>
      </c>
      <c r="E262" s="2">
        <v>94</v>
      </c>
      <c r="F262" s="2">
        <v>218.66666670000001</v>
      </c>
      <c r="G262" s="2">
        <v>435</v>
      </c>
      <c r="H262" s="2">
        <v>2219</v>
      </c>
      <c r="I262" s="2">
        <v>3248</v>
      </c>
      <c r="J262" s="2">
        <v>2.16</v>
      </c>
      <c r="K262" s="2">
        <v>4.34</v>
      </c>
      <c r="L262" s="2">
        <v>13.71</v>
      </c>
      <c r="M262" s="2">
        <v>16.190000000000001</v>
      </c>
      <c r="N262" s="2">
        <v>0.32255434999999999</v>
      </c>
      <c r="O262" s="2">
        <v>0.39491621300000002</v>
      </c>
      <c r="P262" s="2">
        <v>1.7321725560000001</v>
      </c>
      <c r="Q262" s="2">
        <v>2.0981341919999998</v>
      </c>
      <c r="R262" s="2">
        <v>0.25911922900000001</v>
      </c>
      <c r="S262" s="2">
        <v>0.26272071200000002</v>
      </c>
      <c r="T262" s="2">
        <v>1.712681812</v>
      </c>
      <c r="U262" s="2">
        <v>2.0816207420000001</v>
      </c>
      <c r="V262" s="2">
        <v>1.0308264540000001</v>
      </c>
      <c r="W262" s="2">
        <v>3.6637181999999997E-2</v>
      </c>
      <c r="X262">
        <f t="shared" si="12"/>
        <v>1</v>
      </c>
      <c r="Y262">
        <f t="shared" si="13"/>
        <v>1</v>
      </c>
      <c r="Z262">
        <f t="shared" si="14"/>
        <v>0</v>
      </c>
    </row>
    <row r="263" spans="1:26" ht="15.75" customHeight="1" x14ac:dyDescent="0.2">
      <c r="A263" s="2" t="s">
        <v>23</v>
      </c>
      <c r="B263" s="2" t="s">
        <v>24</v>
      </c>
      <c r="C263" s="2" t="s">
        <v>26</v>
      </c>
      <c r="D263" s="2" t="s">
        <v>26</v>
      </c>
      <c r="E263" s="2">
        <v>87</v>
      </c>
      <c r="F263" s="2">
        <v>215.33333329999999</v>
      </c>
      <c r="G263" s="2">
        <v>398</v>
      </c>
      <c r="H263" s="2">
        <v>1177</v>
      </c>
      <c r="I263" s="2">
        <v>2883.333333</v>
      </c>
      <c r="J263" s="2">
        <v>2.12</v>
      </c>
      <c r="K263" s="2">
        <v>4</v>
      </c>
      <c r="L263" s="2">
        <v>9.5299999999999994</v>
      </c>
      <c r="M263" s="2">
        <v>15.43</v>
      </c>
      <c r="N263" s="2">
        <v>0.20291284500000001</v>
      </c>
      <c r="O263" s="2">
        <v>0.778380713</v>
      </c>
      <c r="P263" s="2">
        <v>2.5368268610000002</v>
      </c>
      <c r="Q263" s="2">
        <v>2.1812423339999998</v>
      </c>
      <c r="R263" s="2">
        <v>0.60339407300000003</v>
      </c>
      <c r="S263" s="2">
        <v>0.60699555699999996</v>
      </c>
      <c r="T263" s="2">
        <v>2.464022344</v>
      </c>
      <c r="U263" s="2">
        <v>2.0950834139999999</v>
      </c>
      <c r="V263" s="2">
        <v>0.68655160900000001</v>
      </c>
      <c r="W263" s="2">
        <v>4.3640801E-2</v>
      </c>
      <c r="X263">
        <f t="shared" si="12"/>
        <v>1</v>
      </c>
      <c r="Y263">
        <f t="shared" si="13"/>
        <v>1</v>
      </c>
      <c r="Z263">
        <f t="shared" si="14"/>
        <v>0</v>
      </c>
    </row>
    <row r="264" spans="1:26" ht="15.75" customHeight="1" x14ac:dyDescent="0.2">
      <c r="A264" s="2" t="s">
        <v>23</v>
      </c>
      <c r="B264" s="2" t="s">
        <v>24</v>
      </c>
      <c r="C264" s="2" t="s">
        <v>27</v>
      </c>
      <c r="D264" s="2" t="s">
        <v>27</v>
      </c>
      <c r="E264" s="2">
        <v>167</v>
      </c>
      <c r="F264" s="2">
        <v>195.33333329999999</v>
      </c>
      <c r="G264" s="2">
        <v>384.33333329999999</v>
      </c>
      <c r="H264" s="2">
        <v>2478</v>
      </c>
      <c r="I264" s="2">
        <v>3381.333333</v>
      </c>
      <c r="J264" s="2">
        <v>1.9</v>
      </c>
      <c r="K264" s="2">
        <v>3.87</v>
      </c>
      <c r="L264" s="2">
        <v>14.44</v>
      </c>
      <c r="M264" s="2">
        <v>16.440000000000001</v>
      </c>
      <c r="N264" s="2">
        <v>0.55516164199999996</v>
      </c>
      <c r="O264" s="2">
        <v>0.55352057799999999</v>
      </c>
      <c r="P264" s="2">
        <v>2.5540435910000001</v>
      </c>
      <c r="Q264" s="2">
        <v>2.9102875049999999</v>
      </c>
      <c r="R264" s="2">
        <v>0.73330698699999997</v>
      </c>
      <c r="S264" s="2">
        <v>0.73690847100000001</v>
      </c>
      <c r="T264" s="2">
        <v>2.4465076180000001</v>
      </c>
      <c r="U264" s="2">
        <v>2.8154465480000002</v>
      </c>
      <c r="V264" s="2">
        <v>0.55663869499999996</v>
      </c>
      <c r="W264" s="2">
        <v>3.4818956999999998E-2</v>
      </c>
      <c r="X264">
        <f t="shared" si="12"/>
        <v>1</v>
      </c>
      <c r="Y264">
        <f t="shared" si="13"/>
        <v>1</v>
      </c>
      <c r="Z264">
        <f t="shared" si="14"/>
        <v>0</v>
      </c>
    </row>
    <row r="265" spans="1:26" ht="15.75" customHeight="1" x14ac:dyDescent="0.2">
      <c r="A265" s="2" t="s">
        <v>23</v>
      </c>
      <c r="B265" s="2" t="s">
        <v>24</v>
      </c>
      <c r="C265" s="2" t="s">
        <v>27</v>
      </c>
      <c r="D265" s="2" t="s">
        <v>27</v>
      </c>
      <c r="E265" s="2">
        <v>123</v>
      </c>
      <c r="F265" s="2">
        <v>220.33333329999999</v>
      </c>
      <c r="G265" s="2">
        <v>415.66666670000001</v>
      </c>
      <c r="H265" s="2">
        <v>2261.666667</v>
      </c>
      <c r="I265" s="2">
        <v>3087.666667</v>
      </c>
      <c r="J265" s="2">
        <v>2.1800000000000002</v>
      </c>
      <c r="K265" s="2">
        <v>4.16</v>
      </c>
      <c r="L265" s="2">
        <v>13.83</v>
      </c>
      <c r="M265" s="2">
        <v>15.87</v>
      </c>
      <c r="N265" s="2">
        <v>0.123242275</v>
      </c>
      <c r="O265" s="2">
        <v>0.30086595999999999</v>
      </c>
      <c r="P265" s="2">
        <v>1.8911080689999999</v>
      </c>
      <c r="Q265" s="2">
        <v>2.2523526440000001</v>
      </c>
      <c r="R265" s="2">
        <v>0.43767282499999999</v>
      </c>
      <c r="S265" s="2">
        <v>0.44127430899999998</v>
      </c>
      <c r="T265" s="2">
        <v>1.8397641769999999</v>
      </c>
      <c r="U265" s="2">
        <v>2.2087031069999998</v>
      </c>
      <c r="V265" s="2">
        <v>0.85227285699999999</v>
      </c>
      <c r="W265" s="2">
        <v>5.1475096999999997E-2</v>
      </c>
      <c r="X265">
        <f t="shared" si="12"/>
        <v>1</v>
      </c>
      <c r="Y265">
        <f t="shared" si="13"/>
        <v>1</v>
      </c>
      <c r="Z265">
        <f t="shared" si="14"/>
        <v>0</v>
      </c>
    </row>
    <row r="266" spans="1:26" ht="15.75" customHeight="1" x14ac:dyDescent="0.2">
      <c r="A266" s="2" t="s">
        <v>23</v>
      </c>
      <c r="B266" s="2" t="s">
        <v>24</v>
      </c>
      <c r="C266" s="2" t="s">
        <v>32</v>
      </c>
      <c r="D266" s="2" t="s">
        <v>33</v>
      </c>
      <c r="E266" s="2">
        <v>78</v>
      </c>
      <c r="F266" s="2">
        <v>221.66666670000001</v>
      </c>
      <c r="G266" s="2">
        <v>726.66666669999995</v>
      </c>
      <c r="H266" s="2">
        <v>1482</v>
      </c>
      <c r="I266" s="2">
        <v>3094</v>
      </c>
      <c r="J266" s="2">
        <v>2.19</v>
      </c>
      <c r="K266" s="2">
        <v>6.72</v>
      </c>
      <c r="L266" s="2">
        <v>11.01</v>
      </c>
      <c r="M266" s="2">
        <v>15.88</v>
      </c>
      <c r="N266" s="2">
        <v>1.0767656480000001</v>
      </c>
      <c r="O266" s="2">
        <v>0.94715096700000001</v>
      </c>
      <c r="P266" s="2">
        <v>2.3379356229999999</v>
      </c>
      <c r="Q266" s="2">
        <v>2.2054207109999999</v>
      </c>
      <c r="R266" s="2">
        <v>2.1227635189999998</v>
      </c>
      <c r="S266" s="2">
        <v>2.1191620360000001</v>
      </c>
      <c r="T266" s="2">
        <v>0.97970302499999995</v>
      </c>
      <c r="U266" s="2">
        <v>0.61076409499999995</v>
      </c>
      <c r="V266" s="2">
        <v>3.4127092010000002</v>
      </c>
      <c r="W266" s="2">
        <v>3.7690715999999999E-2</v>
      </c>
      <c r="X266">
        <f t="shared" si="12"/>
        <v>1</v>
      </c>
      <c r="Y266">
        <f t="shared" si="13"/>
        <v>1</v>
      </c>
      <c r="Z266">
        <f t="shared" si="14"/>
        <v>1</v>
      </c>
    </row>
    <row r="267" spans="1:26" ht="15.75" customHeight="1" x14ac:dyDescent="0.2">
      <c r="A267" s="2" t="s">
        <v>23</v>
      </c>
      <c r="B267" s="2" t="s">
        <v>24</v>
      </c>
      <c r="C267" s="2" t="s">
        <v>28</v>
      </c>
      <c r="D267" s="2" t="s">
        <v>29</v>
      </c>
      <c r="E267" s="2">
        <v>99</v>
      </c>
      <c r="F267" s="2">
        <v>217</v>
      </c>
      <c r="G267" s="2">
        <v>367</v>
      </c>
      <c r="H267" s="2">
        <v>1150.666667</v>
      </c>
      <c r="I267" s="2">
        <v>2260.666667</v>
      </c>
      <c r="J267" s="2">
        <v>2.14</v>
      </c>
      <c r="K267" s="2">
        <v>3.7</v>
      </c>
      <c r="L267" s="2">
        <v>9.39</v>
      </c>
      <c r="M267" s="2">
        <v>13.83</v>
      </c>
      <c r="N267" s="2">
        <v>0.52677894400000003</v>
      </c>
      <c r="O267" s="2">
        <v>0.77409107799999999</v>
      </c>
      <c r="P267" s="2">
        <v>2.7569584890000001</v>
      </c>
      <c r="Q267" s="2">
        <v>2.4126026440000001</v>
      </c>
      <c r="R267" s="2">
        <v>0.90026959900000003</v>
      </c>
      <c r="S267" s="2">
        <v>0.90387108199999999</v>
      </c>
      <c r="T267" s="2">
        <v>2.6058270779999999</v>
      </c>
      <c r="U267" s="2">
        <v>2.2368881479999998</v>
      </c>
      <c r="V267" s="2">
        <v>0.38967608399999998</v>
      </c>
      <c r="W267" s="2">
        <v>4.1579410999999997E-2</v>
      </c>
      <c r="X267">
        <f t="shared" si="12"/>
        <v>1</v>
      </c>
      <c r="Y267">
        <f t="shared" si="13"/>
        <v>1</v>
      </c>
      <c r="Z267">
        <f t="shared" si="14"/>
        <v>1</v>
      </c>
    </row>
    <row r="268" spans="1:26" ht="15.75" customHeight="1" x14ac:dyDescent="0.2">
      <c r="A268" s="2" t="s">
        <v>23</v>
      </c>
      <c r="B268" s="2" t="s">
        <v>24</v>
      </c>
      <c r="C268" s="2" t="s">
        <v>26</v>
      </c>
      <c r="D268" s="2" t="s">
        <v>26</v>
      </c>
      <c r="E268" s="2">
        <v>94</v>
      </c>
      <c r="F268" s="2">
        <v>221.66666670000001</v>
      </c>
      <c r="G268" s="2">
        <v>413.66666670000001</v>
      </c>
      <c r="H268" s="2">
        <v>1465.666667</v>
      </c>
      <c r="I268" s="2">
        <v>3048.333333</v>
      </c>
      <c r="J268" s="2">
        <v>2.19</v>
      </c>
      <c r="K268" s="2">
        <v>4.1399999999999997</v>
      </c>
      <c r="L268" s="2">
        <v>10.94</v>
      </c>
      <c r="M268" s="2">
        <v>15.79</v>
      </c>
      <c r="N268" s="2">
        <v>1.2759106920000001</v>
      </c>
      <c r="O268" s="2">
        <v>2.171374143</v>
      </c>
      <c r="P268" s="2">
        <v>1.1471531269999999</v>
      </c>
      <c r="Q268" s="2">
        <v>0.82387176399999995</v>
      </c>
      <c r="R268" s="2">
        <v>0.45630989599999999</v>
      </c>
      <c r="S268" s="2">
        <v>0.45991137900000001</v>
      </c>
      <c r="T268" s="2">
        <v>1.0524930290000001</v>
      </c>
      <c r="U268" s="2">
        <v>0.68355409899999997</v>
      </c>
      <c r="V268" s="2">
        <v>0.83363578699999996</v>
      </c>
      <c r="W268" s="2">
        <v>3.9864743000000001E-2</v>
      </c>
      <c r="X268">
        <f t="shared" si="12"/>
        <v>1</v>
      </c>
      <c r="Y268">
        <f t="shared" si="13"/>
        <v>1</v>
      </c>
      <c r="Z268">
        <f t="shared" si="14"/>
        <v>0</v>
      </c>
    </row>
    <row r="269" spans="1:26" ht="15.75" customHeight="1" x14ac:dyDescent="0.2">
      <c r="A269" s="2" t="s">
        <v>23</v>
      </c>
      <c r="B269" s="2" t="s">
        <v>24</v>
      </c>
      <c r="C269" s="2" t="s">
        <v>30</v>
      </c>
      <c r="D269" s="2" t="s">
        <v>31</v>
      </c>
      <c r="E269" s="2">
        <v>80</v>
      </c>
      <c r="F269" s="2">
        <v>199.33333329999999</v>
      </c>
      <c r="G269" s="2">
        <v>883.66666669999995</v>
      </c>
      <c r="H269" s="2">
        <v>1632.666667</v>
      </c>
      <c r="I269" s="2">
        <v>3235</v>
      </c>
      <c r="J269" s="2">
        <v>1.94</v>
      </c>
      <c r="K269" s="2">
        <v>7.8</v>
      </c>
      <c r="L269" s="2">
        <v>11.65</v>
      </c>
      <c r="M269" s="2">
        <v>16.16</v>
      </c>
      <c r="N269" s="2">
        <v>4.3300678340000003</v>
      </c>
      <c r="O269" s="2">
        <v>4.2693154629999999</v>
      </c>
      <c r="P269" s="2">
        <v>3.2205458180000002</v>
      </c>
      <c r="Q269" s="2">
        <v>3.1991394450000001</v>
      </c>
      <c r="R269" s="2">
        <v>3.2026051419999999</v>
      </c>
      <c r="S269" s="2">
        <v>3.1990036580000001</v>
      </c>
      <c r="T269" s="2">
        <v>0.33946380500000001</v>
      </c>
      <c r="U269" s="2">
        <v>2.9475125000000001E-2</v>
      </c>
      <c r="V269" s="2">
        <v>4.4925508240000003</v>
      </c>
      <c r="W269" s="2">
        <v>3.1892892999999999E-2</v>
      </c>
      <c r="X269">
        <f t="shared" si="12"/>
        <v>1</v>
      </c>
      <c r="Y269">
        <f t="shared" si="13"/>
        <v>1</v>
      </c>
      <c r="Z269">
        <f t="shared" si="14"/>
        <v>1</v>
      </c>
    </row>
    <row r="270" spans="1:26" ht="15.75" customHeight="1" x14ac:dyDescent="0.2">
      <c r="A270" s="2" t="s">
        <v>23</v>
      </c>
      <c r="B270" s="2" t="s">
        <v>24</v>
      </c>
      <c r="C270" s="2" t="s">
        <v>27</v>
      </c>
      <c r="D270" s="2" t="s">
        <v>27</v>
      </c>
      <c r="E270" s="2">
        <v>90</v>
      </c>
      <c r="F270" s="2">
        <v>207</v>
      </c>
      <c r="G270" s="2">
        <v>391.66666670000001</v>
      </c>
      <c r="H270" s="2">
        <v>2328</v>
      </c>
      <c r="I270" s="2">
        <v>3352.666667</v>
      </c>
      <c r="J270" s="2">
        <v>2.0299999999999998</v>
      </c>
      <c r="K270" s="2">
        <v>3.94</v>
      </c>
      <c r="L270" s="2">
        <v>14.03</v>
      </c>
      <c r="M270" s="2">
        <v>16.39</v>
      </c>
      <c r="N270" s="2">
        <v>0.20970330000000001</v>
      </c>
      <c r="O270" s="2">
        <v>0.37360727900000001</v>
      </c>
      <c r="P270" s="2">
        <v>2.1378536050000001</v>
      </c>
      <c r="Q270" s="2">
        <v>2.492172928</v>
      </c>
      <c r="R270" s="2">
        <v>0.66340988300000003</v>
      </c>
      <c r="S270" s="2">
        <v>0.66701136599999999</v>
      </c>
      <c r="T270" s="2">
        <v>2.0323152709999999</v>
      </c>
      <c r="U270" s="2">
        <v>2.401254201</v>
      </c>
      <c r="V270" s="2">
        <v>0.62653579999999998</v>
      </c>
      <c r="W270" s="2">
        <v>2.6814636999999999E-2</v>
      </c>
      <c r="X270">
        <f t="shared" si="12"/>
        <v>1</v>
      </c>
      <c r="Y270">
        <f t="shared" si="13"/>
        <v>1</v>
      </c>
      <c r="Z270">
        <f t="shared" si="14"/>
        <v>0</v>
      </c>
    </row>
    <row r="271" spans="1:26" ht="15.75" customHeight="1" x14ac:dyDescent="0.2">
      <c r="A271" s="2" t="s">
        <v>23</v>
      </c>
      <c r="B271" s="2" t="s">
        <v>24</v>
      </c>
      <c r="C271" s="2" t="s">
        <v>30</v>
      </c>
      <c r="D271" s="2" t="s">
        <v>31</v>
      </c>
      <c r="E271" s="2">
        <v>128</v>
      </c>
      <c r="F271" s="2">
        <v>216.66666670000001</v>
      </c>
      <c r="G271" s="2">
        <v>863.66666669999995</v>
      </c>
      <c r="H271" s="2">
        <v>1464.333333</v>
      </c>
      <c r="I271" s="2">
        <v>3317.333333</v>
      </c>
      <c r="J271" s="2">
        <v>2.14</v>
      </c>
      <c r="K271" s="2">
        <v>7.67</v>
      </c>
      <c r="L271" s="2">
        <v>10.93</v>
      </c>
      <c r="M271" s="2">
        <v>16.32</v>
      </c>
      <c r="N271" s="2">
        <v>4.650700466</v>
      </c>
      <c r="O271" s="2">
        <v>4.6218268780000002</v>
      </c>
      <c r="P271" s="2">
        <v>3.2489710180000002</v>
      </c>
      <c r="Q271" s="2">
        <v>3.1446458719999999</v>
      </c>
      <c r="R271" s="2">
        <v>3.0717198739999998</v>
      </c>
      <c r="S271" s="2">
        <v>3.06811839</v>
      </c>
      <c r="T271" s="2">
        <v>1.0584657260000001</v>
      </c>
      <c r="U271" s="2">
        <v>0.689526796</v>
      </c>
      <c r="V271" s="2">
        <v>4.3616655560000002</v>
      </c>
      <c r="W271" s="2">
        <v>4.1255563000000002E-2</v>
      </c>
      <c r="X271">
        <f t="shared" si="12"/>
        <v>1</v>
      </c>
      <c r="Y271">
        <f t="shared" si="13"/>
        <v>1</v>
      </c>
      <c r="Z271">
        <f t="shared" si="14"/>
        <v>1</v>
      </c>
    </row>
    <row r="272" spans="1:26" ht="15.75" customHeight="1" x14ac:dyDescent="0.2">
      <c r="A272" s="2" t="s">
        <v>23</v>
      </c>
      <c r="B272" s="2" t="s">
        <v>24</v>
      </c>
      <c r="C272" s="2" t="s">
        <v>26</v>
      </c>
      <c r="D272" s="2" t="s">
        <v>26</v>
      </c>
      <c r="E272" s="2">
        <v>94</v>
      </c>
      <c r="F272" s="2">
        <v>218.66666670000001</v>
      </c>
      <c r="G272" s="2">
        <v>402.33333329999999</v>
      </c>
      <c r="H272" s="2">
        <v>1278.333333</v>
      </c>
      <c r="I272" s="2">
        <v>2738.333333</v>
      </c>
      <c r="J272" s="2">
        <v>2.16</v>
      </c>
      <c r="K272" s="2">
        <v>4.04</v>
      </c>
      <c r="L272" s="2">
        <v>10.050000000000001</v>
      </c>
      <c r="M272" s="2">
        <v>15.1</v>
      </c>
      <c r="N272" s="2">
        <v>0.403826835</v>
      </c>
      <c r="O272" s="2">
        <v>1.2903105070000001</v>
      </c>
      <c r="P272" s="2">
        <v>2.0197686830000001</v>
      </c>
      <c r="Q272" s="2">
        <v>1.669811199</v>
      </c>
      <c r="R272" s="2">
        <v>0.56251603900000002</v>
      </c>
      <c r="S272" s="2">
        <v>0.56611752299999996</v>
      </c>
      <c r="T272" s="2">
        <v>1.939855984</v>
      </c>
      <c r="U272" s="2">
        <v>1.5709170539999999</v>
      </c>
      <c r="V272" s="2">
        <v>0.72742964300000001</v>
      </c>
      <c r="W272" s="2">
        <v>5.7454561000000001E-2</v>
      </c>
      <c r="X272">
        <f t="shared" si="12"/>
        <v>1</v>
      </c>
      <c r="Y272">
        <f t="shared" si="13"/>
        <v>1</v>
      </c>
      <c r="Z272">
        <f t="shared" si="14"/>
        <v>0</v>
      </c>
    </row>
    <row r="273" spans="1:26" ht="15.75" customHeight="1" x14ac:dyDescent="0.2">
      <c r="A273" s="2" t="s">
        <v>23</v>
      </c>
      <c r="B273" s="2" t="s">
        <v>24</v>
      </c>
      <c r="C273" s="2" t="s">
        <v>26</v>
      </c>
      <c r="D273" s="2" t="s">
        <v>26</v>
      </c>
      <c r="E273" s="2">
        <v>92</v>
      </c>
      <c r="F273" s="2">
        <v>223.66666670000001</v>
      </c>
      <c r="G273" s="2">
        <v>433.66666670000001</v>
      </c>
      <c r="H273" s="2">
        <v>1164</v>
      </c>
      <c r="I273" s="2">
        <v>3098.666667</v>
      </c>
      <c r="J273" s="2">
        <v>2.2200000000000002</v>
      </c>
      <c r="K273" s="2">
        <v>4.33</v>
      </c>
      <c r="L273" s="2">
        <v>9.4600000000000009</v>
      </c>
      <c r="M273" s="2">
        <v>15.89</v>
      </c>
      <c r="N273" s="2">
        <v>0.273800241</v>
      </c>
      <c r="O273" s="2">
        <v>0.70894256600000005</v>
      </c>
      <c r="P273" s="2">
        <v>2.548216144</v>
      </c>
      <c r="Q273" s="2">
        <v>2.1821793619999998</v>
      </c>
      <c r="R273" s="2">
        <v>0.27134067000000001</v>
      </c>
      <c r="S273" s="2">
        <v>0.27494215399999999</v>
      </c>
      <c r="T273" s="2">
        <v>2.53372843</v>
      </c>
      <c r="U273" s="2">
        <v>2.1647894999999999</v>
      </c>
      <c r="V273" s="2">
        <v>1.0186050120000001</v>
      </c>
      <c r="W273" s="2">
        <v>4.2258585000000001E-2</v>
      </c>
      <c r="X273">
        <f t="shared" si="12"/>
        <v>1</v>
      </c>
      <c r="Y273">
        <f t="shared" si="13"/>
        <v>1</v>
      </c>
      <c r="Z273">
        <f t="shared" si="14"/>
        <v>0</v>
      </c>
    </row>
    <row r="274" spans="1:26" ht="15.75" customHeight="1" x14ac:dyDescent="0.2">
      <c r="A274" s="2" t="s">
        <v>23</v>
      </c>
      <c r="B274" s="2" t="s">
        <v>24</v>
      </c>
      <c r="C274" s="2" t="s">
        <v>26</v>
      </c>
      <c r="D274" s="2" t="s">
        <v>26</v>
      </c>
      <c r="E274" s="2">
        <v>59</v>
      </c>
      <c r="F274" s="2">
        <v>214.66666670000001</v>
      </c>
      <c r="G274" s="2">
        <v>400.33333329999999</v>
      </c>
      <c r="H274" s="2">
        <v>1017</v>
      </c>
      <c r="I274" s="2">
        <v>2981</v>
      </c>
      <c r="J274" s="2">
        <v>2.12</v>
      </c>
      <c r="K274" s="2">
        <v>4.0199999999999996</v>
      </c>
      <c r="L274" s="2">
        <v>8.6300000000000008</v>
      </c>
      <c r="M274" s="2">
        <v>15.64</v>
      </c>
      <c r="N274" s="2">
        <v>1.04389713</v>
      </c>
      <c r="O274" s="2">
        <v>0.203627998</v>
      </c>
      <c r="P274" s="2">
        <v>3.4141677229999998</v>
      </c>
      <c r="Q274" s="2">
        <v>3.051951925</v>
      </c>
      <c r="R274" s="2">
        <v>0.58136417299999998</v>
      </c>
      <c r="S274" s="2">
        <v>0.58496565700000003</v>
      </c>
      <c r="T274" s="2">
        <v>3.3643063089999998</v>
      </c>
      <c r="U274" s="2">
        <v>2.9953673790000002</v>
      </c>
      <c r="V274" s="2">
        <v>0.70858150900000005</v>
      </c>
      <c r="W274" s="2">
        <v>3.8488256999999998E-2</v>
      </c>
      <c r="X274">
        <f t="shared" si="12"/>
        <v>1</v>
      </c>
      <c r="Y274">
        <f t="shared" si="13"/>
        <v>1</v>
      </c>
      <c r="Z274">
        <f t="shared" si="14"/>
        <v>0</v>
      </c>
    </row>
    <row r="275" spans="1:26" ht="15.75" customHeight="1" x14ac:dyDescent="0.2">
      <c r="A275" s="2" t="s">
        <v>23</v>
      </c>
      <c r="B275" s="2" t="s">
        <v>24</v>
      </c>
      <c r="C275" s="2" t="s">
        <v>25</v>
      </c>
      <c r="D275" s="2" t="s">
        <v>25</v>
      </c>
      <c r="E275" s="2">
        <v>143</v>
      </c>
      <c r="F275" s="2">
        <v>187</v>
      </c>
      <c r="G275" s="2">
        <v>759.33333330000005</v>
      </c>
      <c r="H275" s="2">
        <v>1655</v>
      </c>
      <c r="I275" s="2">
        <v>3009</v>
      </c>
      <c r="J275" s="2">
        <v>1.81</v>
      </c>
      <c r="K275" s="2">
        <v>6.96</v>
      </c>
      <c r="L275" s="2">
        <v>11.74</v>
      </c>
      <c r="M275" s="2">
        <v>15.7</v>
      </c>
      <c r="N275" s="2">
        <v>0.31148689800000001</v>
      </c>
      <c r="O275" s="2">
        <v>0.29748372899999997</v>
      </c>
      <c r="P275" s="2">
        <v>2.3708396390000002</v>
      </c>
      <c r="Q275" s="2">
        <v>2.3571634490000002</v>
      </c>
      <c r="R275" s="2">
        <v>2.3577167779999999</v>
      </c>
      <c r="S275" s="2">
        <v>2.3541152940000001</v>
      </c>
      <c r="T275" s="2">
        <v>0.249102768</v>
      </c>
      <c r="U275" s="2">
        <v>0.119836162</v>
      </c>
      <c r="V275" s="2">
        <v>3.6476624599999998</v>
      </c>
      <c r="W275" s="2">
        <v>3.7671195999999997E-2</v>
      </c>
      <c r="X275">
        <f t="shared" si="12"/>
        <v>1</v>
      </c>
      <c r="Y275">
        <f t="shared" si="13"/>
        <v>1</v>
      </c>
      <c r="Z275">
        <f t="shared" si="14"/>
        <v>0</v>
      </c>
    </row>
    <row r="276" spans="1:26" ht="15.75" customHeight="1" x14ac:dyDescent="0.2">
      <c r="A276" s="2" t="s">
        <v>23</v>
      </c>
      <c r="B276" s="2" t="s">
        <v>24</v>
      </c>
      <c r="C276" s="2" t="s">
        <v>25</v>
      </c>
      <c r="D276" s="2" t="s">
        <v>25</v>
      </c>
      <c r="E276" s="2">
        <v>97</v>
      </c>
      <c r="F276" s="2">
        <v>199.33333329999999</v>
      </c>
      <c r="G276" s="2">
        <v>718.66666669999995</v>
      </c>
      <c r="H276" s="2">
        <v>1811.666667</v>
      </c>
      <c r="I276" s="2">
        <v>3088.333333</v>
      </c>
      <c r="J276" s="2">
        <v>1.94</v>
      </c>
      <c r="K276" s="2">
        <v>6.66</v>
      </c>
      <c r="L276" s="2">
        <v>12.35</v>
      </c>
      <c r="M276" s="2">
        <v>15.87</v>
      </c>
      <c r="N276" s="2">
        <v>0.45619716700000001</v>
      </c>
      <c r="O276" s="2">
        <v>0.80152458500000001</v>
      </c>
      <c r="P276" s="2">
        <v>2.0945996130000002</v>
      </c>
      <c r="Q276" s="2">
        <v>2.1841073390000001</v>
      </c>
      <c r="R276" s="2">
        <v>2.0643503980000002</v>
      </c>
      <c r="S276" s="2">
        <v>2.0607489139999999</v>
      </c>
      <c r="T276" s="2">
        <v>0.35468996699999999</v>
      </c>
      <c r="U276" s="2">
        <v>0.72362889699999999</v>
      </c>
      <c r="V276" s="2">
        <v>3.3542960800000001</v>
      </c>
      <c r="W276" s="2">
        <v>3.2071351999999997E-2</v>
      </c>
      <c r="X276">
        <f t="shared" si="12"/>
        <v>1</v>
      </c>
      <c r="Y276">
        <f t="shared" si="13"/>
        <v>1</v>
      </c>
      <c r="Z276">
        <f t="shared" si="14"/>
        <v>0</v>
      </c>
    </row>
    <row r="277" spans="1:26" ht="15.75" customHeight="1" x14ac:dyDescent="0.2">
      <c r="A277" s="2" t="s">
        <v>23</v>
      </c>
      <c r="B277" s="2" t="s">
        <v>24</v>
      </c>
      <c r="C277" s="2" t="s">
        <v>25</v>
      </c>
      <c r="D277" s="2" t="s">
        <v>25</v>
      </c>
      <c r="E277" s="2">
        <v>156</v>
      </c>
      <c r="F277" s="2">
        <v>231.66666670000001</v>
      </c>
      <c r="G277" s="2">
        <v>815.33333330000005</v>
      </c>
      <c r="H277" s="2">
        <v>1749</v>
      </c>
      <c r="I277" s="2">
        <v>3043</v>
      </c>
      <c r="J277" s="2">
        <v>2.2999999999999998</v>
      </c>
      <c r="K277" s="2">
        <v>7.35</v>
      </c>
      <c r="L277" s="2">
        <v>12.11</v>
      </c>
      <c r="M277" s="2">
        <v>15.78</v>
      </c>
      <c r="N277" s="2">
        <v>0.342434662</v>
      </c>
      <c r="O277" s="2">
        <v>0.32700306099999998</v>
      </c>
      <c r="P277" s="2">
        <v>2.7502143010000002</v>
      </c>
      <c r="Q277" s="2">
        <v>2.7871205240000001</v>
      </c>
      <c r="R277" s="2">
        <v>2.7476258269999998</v>
      </c>
      <c r="S277" s="2">
        <v>2.744024343</v>
      </c>
      <c r="T277" s="2">
        <v>0.11929382400000001</v>
      </c>
      <c r="U277" s="2">
        <v>0.48823275399999999</v>
      </c>
      <c r="V277" s="2">
        <v>4.0375715090000002</v>
      </c>
      <c r="W277" s="2">
        <v>2.7805135000000002E-2</v>
      </c>
      <c r="X277">
        <f t="shared" si="12"/>
        <v>1</v>
      </c>
      <c r="Y277">
        <f t="shared" si="13"/>
        <v>1</v>
      </c>
      <c r="Z277">
        <f t="shared" si="14"/>
        <v>0</v>
      </c>
    </row>
    <row r="278" spans="1:26" ht="15.75" customHeight="1" x14ac:dyDescent="0.2">
      <c r="A278" s="2" t="s">
        <v>23</v>
      </c>
      <c r="B278" s="2" t="s">
        <v>24</v>
      </c>
      <c r="C278" s="2" t="s">
        <v>28</v>
      </c>
      <c r="D278" s="2" t="s">
        <v>29</v>
      </c>
      <c r="E278" s="2">
        <v>53</v>
      </c>
      <c r="F278" s="2">
        <v>210</v>
      </c>
      <c r="G278" s="2">
        <v>357.66666670000001</v>
      </c>
      <c r="H278" s="2">
        <v>1222.666667</v>
      </c>
      <c r="I278" s="2">
        <v>1767.666667</v>
      </c>
      <c r="J278" s="2">
        <v>2.06</v>
      </c>
      <c r="K278" s="2">
        <v>3.61</v>
      </c>
      <c r="L278" s="2">
        <v>9.77</v>
      </c>
      <c r="M278" s="2">
        <v>12.18</v>
      </c>
      <c r="N278" s="2">
        <v>0.548826759</v>
      </c>
      <c r="O278" s="2">
        <v>1.1448214809999999</v>
      </c>
      <c r="P278" s="2">
        <v>2.4345849780000002</v>
      </c>
      <c r="Q278" s="2">
        <v>2.104679296</v>
      </c>
      <c r="R278" s="2">
        <v>0.991206951</v>
      </c>
      <c r="S278" s="2">
        <v>0.99480843399999996</v>
      </c>
      <c r="T278" s="2">
        <v>2.2236710180000001</v>
      </c>
      <c r="U278" s="2">
        <v>1.854732088</v>
      </c>
      <c r="V278" s="2">
        <v>0.29873873200000001</v>
      </c>
      <c r="W278" s="2">
        <v>3.0074683000000001E-2</v>
      </c>
      <c r="X278">
        <f t="shared" si="12"/>
        <v>1</v>
      </c>
      <c r="Y278">
        <f t="shared" si="13"/>
        <v>1</v>
      </c>
      <c r="Z278">
        <f t="shared" si="14"/>
        <v>1</v>
      </c>
    </row>
    <row r="279" spans="1:26" ht="15.75" customHeight="1" x14ac:dyDescent="0.2">
      <c r="A279" s="2" t="s">
        <v>23</v>
      </c>
      <c r="B279" s="2" t="s">
        <v>24</v>
      </c>
      <c r="C279" s="2" t="s">
        <v>30</v>
      </c>
      <c r="D279" s="2" t="s">
        <v>31</v>
      </c>
      <c r="E279" s="2">
        <v>89</v>
      </c>
      <c r="F279" s="2">
        <v>215.66666670000001</v>
      </c>
      <c r="G279" s="2">
        <v>888.66666669999995</v>
      </c>
      <c r="H279" s="2">
        <v>1521.666667</v>
      </c>
      <c r="I279" s="2">
        <v>3339.666667</v>
      </c>
      <c r="J279" s="2">
        <v>2.13</v>
      </c>
      <c r="K279" s="2">
        <v>7.83</v>
      </c>
      <c r="L279" s="2">
        <v>11.19</v>
      </c>
      <c r="M279" s="2">
        <v>16.36</v>
      </c>
      <c r="N279" s="2">
        <v>4.6206144169999996</v>
      </c>
      <c r="O279" s="2">
        <v>4.5774473779999996</v>
      </c>
      <c r="P279" s="2">
        <v>3.3338784490000002</v>
      </c>
      <c r="Q279" s="2">
        <v>3.2608299930000002</v>
      </c>
      <c r="R279" s="2">
        <v>3.235039295</v>
      </c>
      <c r="S279" s="2">
        <v>3.2314378119999998</v>
      </c>
      <c r="T279" s="2">
        <v>0.80577060700000003</v>
      </c>
      <c r="U279" s="2">
        <v>0.43683167699999997</v>
      </c>
      <c r="V279" s="2">
        <v>4.524984978</v>
      </c>
      <c r="W279" s="2">
        <v>3.2499131000000001E-2</v>
      </c>
      <c r="X279">
        <f t="shared" si="12"/>
        <v>1</v>
      </c>
      <c r="Y279">
        <f t="shared" si="13"/>
        <v>1</v>
      </c>
      <c r="Z279">
        <f t="shared" si="14"/>
        <v>1</v>
      </c>
    </row>
    <row r="280" spans="1:26" ht="15.75" customHeight="1" x14ac:dyDescent="0.2">
      <c r="A280" s="2" t="s">
        <v>23</v>
      </c>
      <c r="B280" s="2" t="s">
        <v>24</v>
      </c>
      <c r="C280" s="2" t="s">
        <v>32</v>
      </c>
      <c r="D280" s="2" t="s">
        <v>33</v>
      </c>
      <c r="E280" s="2">
        <v>110</v>
      </c>
      <c r="F280" s="2">
        <v>192.33333329999999</v>
      </c>
      <c r="G280" s="2">
        <v>472.66666670000001</v>
      </c>
      <c r="H280" s="2">
        <v>1107</v>
      </c>
      <c r="I280" s="2">
        <v>2413.333333</v>
      </c>
      <c r="J280" s="2">
        <v>1.87</v>
      </c>
      <c r="K280" s="2">
        <v>4.68</v>
      </c>
      <c r="L280" s="2">
        <v>9.15</v>
      </c>
      <c r="M280" s="2">
        <v>14.26</v>
      </c>
      <c r="N280" s="2">
        <v>3.7234161870000002</v>
      </c>
      <c r="O280" s="2">
        <v>3.6935675460000001</v>
      </c>
      <c r="P280" s="2">
        <v>2.8474794729999999</v>
      </c>
      <c r="Q280" s="2">
        <v>2.4785958799999999</v>
      </c>
      <c r="R280" s="2">
        <v>8.0601426000000004E-2</v>
      </c>
      <c r="S280" s="2">
        <v>7.6999942000000002E-2</v>
      </c>
      <c r="T280" s="2">
        <v>2.8463384829999998</v>
      </c>
      <c r="U280" s="2">
        <v>2.4773995530000001</v>
      </c>
      <c r="V280" s="2">
        <v>1.370547108</v>
      </c>
      <c r="W280" s="2">
        <v>5.3605626000000003E-2</v>
      </c>
      <c r="X280">
        <f t="shared" si="12"/>
        <v>1</v>
      </c>
      <c r="Y280">
        <f t="shared" si="13"/>
        <v>1</v>
      </c>
      <c r="Z280">
        <f t="shared" si="14"/>
        <v>1</v>
      </c>
    </row>
    <row r="281" spans="1:26" ht="15.75" customHeight="1" x14ac:dyDescent="0.2">
      <c r="A281" s="2" t="s">
        <v>23</v>
      </c>
      <c r="B281" s="2" t="s">
        <v>24</v>
      </c>
      <c r="C281" s="2" t="s">
        <v>26</v>
      </c>
      <c r="D281" s="2" t="s">
        <v>26</v>
      </c>
      <c r="E281" s="2">
        <v>80</v>
      </c>
      <c r="F281" s="2">
        <v>229</v>
      </c>
      <c r="G281" s="2">
        <v>442.33333329999999</v>
      </c>
      <c r="H281" s="2">
        <v>1217.666667</v>
      </c>
      <c r="I281" s="2">
        <v>3111.333333</v>
      </c>
      <c r="J281" s="2">
        <v>2.27</v>
      </c>
      <c r="K281" s="2">
        <v>4.41</v>
      </c>
      <c r="L281" s="2">
        <v>9.74</v>
      </c>
      <c r="M281" s="2">
        <v>15.92</v>
      </c>
      <c r="N281" s="2">
        <v>0.27197106100000001</v>
      </c>
      <c r="O281" s="2">
        <v>1.0036843360000001</v>
      </c>
      <c r="P281" s="2">
        <v>2.257840716</v>
      </c>
      <c r="Q281" s="2">
        <v>1.8908703360000001</v>
      </c>
      <c r="R281" s="2">
        <v>0.19214379600000001</v>
      </c>
      <c r="S281" s="2">
        <v>0.19574527999999999</v>
      </c>
      <c r="T281" s="2">
        <v>2.249650076</v>
      </c>
      <c r="U281" s="2">
        <v>1.8807111459999999</v>
      </c>
      <c r="V281" s="2">
        <v>1.0978018860000001</v>
      </c>
      <c r="W281" s="2">
        <v>3.9911862999999999E-2</v>
      </c>
      <c r="X281">
        <f t="shared" si="12"/>
        <v>1</v>
      </c>
      <c r="Y281">
        <f t="shared" si="13"/>
        <v>1</v>
      </c>
      <c r="Z281">
        <f t="shared" si="14"/>
        <v>0</v>
      </c>
    </row>
    <row r="282" spans="1:26" ht="15.75" customHeight="1" x14ac:dyDescent="0.2">
      <c r="A282" s="2" t="s">
        <v>23</v>
      </c>
      <c r="B282" s="2" t="s">
        <v>24</v>
      </c>
      <c r="C282" s="2" t="s">
        <v>32</v>
      </c>
      <c r="D282" s="2" t="s">
        <v>33</v>
      </c>
      <c r="E282" s="2">
        <v>131</v>
      </c>
      <c r="F282" s="2">
        <v>239.66666670000001</v>
      </c>
      <c r="G282" s="2">
        <v>733</v>
      </c>
      <c r="H282" s="2">
        <v>1289.333333</v>
      </c>
      <c r="I282" s="2">
        <v>2661.666667</v>
      </c>
      <c r="J282" s="2">
        <v>2.39</v>
      </c>
      <c r="K282" s="2">
        <v>6.77</v>
      </c>
      <c r="L282" s="2">
        <v>10.11</v>
      </c>
      <c r="M282" s="2">
        <v>14.91</v>
      </c>
      <c r="N282" s="2">
        <v>1.957772611</v>
      </c>
      <c r="O282" s="2">
        <v>1.75923384</v>
      </c>
      <c r="P282" s="2">
        <v>2.873405838</v>
      </c>
      <c r="Q282" s="2">
        <v>2.6431279249999999</v>
      </c>
      <c r="R282" s="2">
        <v>2.1687611100000002</v>
      </c>
      <c r="S282" s="2">
        <v>2.165159627</v>
      </c>
      <c r="T282" s="2">
        <v>1.8849234349999999</v>
      </c>
      <c r="U282" s="2">
        <v>1.515984505</v>
      </c>
      <c r="V282" s="2">
        <v>3.4587067930000002</v>
      </c>
      <c r="W282" s="2">
        <v>2.8331559999999999E-2</v>
      </c>
      <c r="X282">
        <f t="shared" si="12"/>
        <v>1</v>
      </c>
      <c r="Y282">
        <f t="shared" si="13"/>
        <v>1</v>
      </c>
      <c r="Z282">
        <f t="shared" si="14"/>
        <v>1</v>
      </c>
    </row>
    <row r="283" spans="1:26" ht="15.75" customHeight="1" x14ac:dyDescent="0.2">
      <c r="A283" s="2" t="s">
        <v>23</v>
      </c>
      <c r="B283" s="2" t="s">
        <v>24</v>
      </c>
      <c r="C283" s="2" t="s">
        <v>28</v>
      </c>
      <c r="D283" s="2" t="s">
        <v>29</v>
      </c>
      <c r="E283" s="2">
        <v>68</v>
      </c>
      <c r="F283" s="2">
        <v>222.66666670000001</v>
      </c>
      <c r="G283" s="2">
        <v>427</v>
      </c>
      <c r="H283" s="2">
        <v>1130.333333</v>
      </c>
      <c r="I283" s="2">
        <v>2402</v>
      </c>
      <c r="J283" s="2">
        <v>2.21</v>
      </c>
      <c r="K283" s="2">
        <v>4.2699999999999996</v>
      </c>
      <c r="L283" s="2">
        <v>9.2799999999999994</v>
      </c>
      <c r="M283" s="2">
        <v>14.23</v>
      </c>
      <c r="N283" s="2">
        <v>0.40662925599999999</v>
      </c>
      <c r="O283" s="2">
        <v>0.516816779</v>
      </c>
      <c r="P283" s="2">
        <v>2.7372637399999999</v>
      </c>
      <c r="Q283" s="2">
        <v>2.3719911100000002</v>
      </c>
      <c r="R283" s="2">
        <v>0.33265267799999998</v>
      </c>
      <c r="S283" s="2">
        <v>0.336254161</v>
      </c>
      <c r="T283" s="2">
        <v>2.716975337</v>
      </c>
      <c r="U283" s="2">
        <v>2.3480364069999999</v>
      </c>
      <c r="V283" s="2">
        <v>0.95729300500000003</v>
      </c>
      <c r="W283" s="2">
        <v>2.5693499000000002E-2</v>
      </c>
      <c r="X283">
        <f t="shared" si="12"/>
        <v>1</v>
      </c>
      <c r="Y283">
        <f t="shared" si="13"/>
        <v>1</v>
      </c>
      <c r="Z283">
        <f t="shared" si="14"/>
        <v>1</v>
      </c>
    </row>
    <row r="284" spans="1:26" ht="15.75" customHeight="1" x14ac:dyDescent="0.2">
      <c r="A284" s="2" t="s">
        <v>23</v>
      </c>
      <c r="B284" s="2" t="s">
        <v>24</v>
      </c>
      <c r="C284" s="2" t="s">
        <v>32</v>
      </c>
      <c r="D284" s="2" t="s">
        <v>33</v>
      </c>
      <c r="E284" s="2">
        <v>90</v>
      </c>
      <c r="F284" s="2">
        <v>193</v>
      </c>
      <c r="G284" s="2">
        <v>737.33333330000005</v>
      </c>
      <c r="H284" s="2">
        <v>1281</v>
      </c>
      <c r="I284" s="2">
        <v>3350.333333</v>
      </c>
      <c r="J284" s="2">
        <v>1.87</v>
      </c>
      <c r="K284" s="2">
        <v>6.8</v>
      </c>
      <c r="L284" s="2">
        <v>10.07</v>
      </c>
      <c r="M284" s="2">
        <v>16.38</v>
      </c>
      <c r="N284" s="2">
        <v>1.995489587</v>
      </c>
      <c r="O284" s="2">
        <v>1.791140006</v>
      </c>
      <c r="P284" s="2">
        <v>2.9243629809999998</v>
      </c>
      <c r="Q284" s="2">
        <v>2.6927040739999999</v>
      </c>
      <c r="R284" s="2">
        <v>2.20010869</v>
      </c>
      <c r="S284" s="2">
        <v>2.1965072060000002</v>
      </c>
      <c r="T284" s="2">
        <v>1.926504762</v>
      </c>
      <c r="U284" s="2">
        <v>1.5575658320000001</v>
      </c>
      <c r="V284" s="2">
        <v>3.4900543719999999</v>
      </c>
      <c r="W284" s="2">
        <v>3.6371059999999997E-2</v>
      </c>
      <c r="X284">
        <f t="shared" si="12"/>
        <v>1</v>
      </c>
      <c r="Y284">
        <f t="shared" si="13"/>
        <v>1</v>
      </c>
      <c r="Z284">
        <f t="shared" si="14"/>
        <v>1</v>
      </c>
    </row>
    <row r="285" spans="1:26" ht="15.75" customHeight="1" x14ac:dyDescent="0.2">
      <c r="A285" s="2" t="s">
        <v>23</v>
      </c>
      <c r="B285" s="2" t="s">
        <v>24</v>
      </c>
      <c r="C285" s="2" t="s">
        <v>25</v>
      </c>
      <c r="D285" s="2" t="s">
        <v>25</v>
      </c>
      <c r="E285" s="2">
        <v>117</v>
      </c>
      <c r="F285" s="2">
        <v>201.66666670000001</v>
      </c>
      <c r="G285" s="2">
        <v>743.66666669999995</v>
      </c>
      <c r="H285" s="2">
        <v>1744.333333</v>
      </c>
      <c r="I285" s="2">
        <v>3047.666667</v>
      </c>
      <c r="J285" s="2">
        <v>1.97</v>
      </c>
      <c r="K285" s="2">
        <v>6.84</v>
      </c>
      <c r="L285" s="2">
        <v>12.09</v>
      </c>
      <c r="M285" s="2">
        <v>15.79</v>
      </c>
      <c r="N285" s="2">
        <v>0.170673194</v>
      </c>
      <c r="O285" s="2">
        <v>0.49981468299999998</v>
      </c>
      <c r="P285" s="2">
        <v>2.2480337339999998</v>
      </c>
      <c r="Q285" s="2">
        <v>2.290952441</v>
      </c>
      <c r="R285" s="2">
        <v>2.245743628</v>
      </c>
      <c r="S285" s="2">
        <v>2.2421421439999998</v>
      </c>
      <c r="T285" s="2">
        <v>0.101445692</v>
      </c>
      <c r="U285" s="2">
        <v>0.47038462199999997</v>
      </c>
      <c r="V285" s="2">
        <v>3.53568931</v>
      </c>
      <c r="W285" s="2">
        <v>3.8121576999999997E-2</v>
      </c>
      <c r="X285">
        <f t="shared" si="12"/>
        <v>1</v>
      </c>
      <c r="Y285">
        <f t="shared" si="13"/>
        <v>1</v>
      </c>
      <c r="Z285">
        <f t="shared" si="14"/>
        <v>0</v>
      </c>
    </row>
    <row r="286" spans="1:26" ht="15.75" customHeight="1" x14ac:dyDescent="0.2">
      <c r="A286" s="2" t="s">
        <v>23</v>
      </c>
      <c r="B286" s="2" t="s">
        <v>24</v>
      </c>
      <c r="C286" s="2" t="s">
        <v>27</v>
      </c>
      <c r="D286" s="2" t="s">
        <v>27</v>
      </c>
      <c r="E286" s="2">
        <v>123</v>
      </c>
      <c r="F286" s="2">
        <v>193.33333329999999</v>
      </c>
      <c r="G286" s="2">
        <v>407.33333329999999</v>
      </c>
      <c r="H286" s="2">
        <v>2367</v>
      </c>
      <c r="I286" s="2">
        <v>3222</v>
      </c>
      <c r="J286" s="2">
        <v>1.88</v>
      </c>
      <c r="K286" s="2">
        <v>4.08</v>
      </c>
      <c r="L286" s="2">
        <v>14.14</v>
      </c>
      <c r="M286" s="2">
        <v>16.14</v>
      </c>
      <c r="N286" s="2">
        <v>0.189623771</v>
      </c>
      <c r="O286" s="2">
        <v>0.22155212799999999</v>
      </c>
      <c r="P286" s="2">
        <v>2.2039125180000001</v>
      </c>
      <c r="Q286" s="2">
        <v>2.5647950449999999</v>
      </c>
      <c r="R286" s="2">
        <v>0.51553503499999997</v>
      </c>
      <c r="S286" s="2">
        <v>0.51913651800000005</v>
      </c>
      <c r="T286" s="2">
        <v>2.1427678399999999</v>
      </c>
      <c r="U286" s="2">
        <v>2.51170677</v>
      </c>
      <c r="V286" s="2">
        <v>0.77441064800000003</v>
      </c>
      <c r="W286" s="2">
        <v>3.335846E-2</v>
      </c>
      <c r="X286">
        <f t="shared" si="12"/>
        <v>1</v>
      </c>
      <c r="Y286">
        <f t="shared" si="13"/>
        <v>1</v>
      </c>
      <c r="Z286">
        <f t="shared" si="14"/>
        <v>0</v>
      </c>
    </row>
    <row r="287" spans="1:26" ht="15.75" customHeight="1" x14ac:dyDescent="0.2">
      <c r="A287" s="2" t="s">
        <v>23</v>
      </c>
      <c r="B287" s="2" t="s">
        <v>24</v>
      </c>
      <c r="C287" s="2" t="s">
        <v>30</v>
      </c>
      <c r="D287" s="2" t="s">
        <v>31</v>
      </c>
      <c r="E287" s="2">
        <v>125</v>
      </c>
      <c r="F287" s="2">
        <v>216.66666670000001</v>
      </c>
      <c r="G287" s="2">
        <v>932.66666669999995</v>
      </c>
      <c r="H287" s="2">
        <v>1549</v>
      </c>
      <c r="I287" s="2">
        <v>3160</v>
      </c>
      <c r="J287" s="2">
        <v>2.14</v>
      </c>
      <c r="K287" s="2">
        <v>8.11</v>
      </c>
      <c r="L287" s="2">
        <v>11.3</v>
      </c>
      <c r="M287" s="2">
        <v>16.02</v>
      </c>
      <c r="N287" s="2">
        <v>4.7822339830000002</v>
      </c>
      <c r="O287" s="2">
        <v>4.7268511090000001</v>
      </c>
      <c r="P287" s="2">
        <v>3.5823521939999998</v>
      </c>
      <c r="Q287" s="2">
        <v>3.5265054820000001</v>
      </c>
      <c r="R287" s="2">
        <v>3.5156249970000002</v>
      </c>
      <c r="S287" s="2">
        <v>3.512023514</v>
      </c>
      <c r="T287" s="2">
        <v>0.68820645199999997</v>
      </c>
      <c r="U287" s="2">
        <v>0.31926752200000003</v>
      </c>
      <c r="V287" s="2">
        <v>4.8055706799999998</v>
      </c>
      <c r="W287" s="2">
        <v>4.3672935000000003E-2</v>
      </c>
      <c r="X287">
        <f t="shared" si="12"/>
        <v>1</v>
      </c>
      <c r="Y287">
        <f t="shared" si="13"/>
        <v>1</v>
      </c>
      <c r="Z287">
        <f t="shared" si="14"/>
        <v>1</v>
      </c>
    </row>
    <row r="288" spans="1:26" ht="15.75" customHeight="1" x14ac:dyDescent="0.2">
      <c r="A288" s="2" t="s">
        <v>23</v>
      </c>
      <c r="B288" s="2" t="s">
        <v>24</v>
      </c>
      <c r="C288" s="2" t="s">
        <v>25</v>
      </c>
      <c r="D288" s="2" t="s">
        <v>25</v>
      </c>
      <c r="E288" s="2">
        <v>95</v>
      </c>
      <c r="F288" s="2">
        <v>219</v>
      </c>
      <c r="G288" s="2">
        <v>868.33333330000005</v>
      </c>
      <c r="H288" s="2">
        <v>1766.333333</v>
      </c>
      <c r="I288" s="2">
        <v>3047</v>
      </c>
      <c r="J288" s="2">
        <v>2.16</v>
      </c>
      <c r="K288" s="2">
        <v>7.7</v>
      </c>
      <c r="L288" s="2">
        <v>12.18</v>
      </c>
      <c r="M288" s="2">
        <v>15.79</v>
      </c>
      <c r="N288" s="2">
        <v>0.70330177500000002</v>
      </c>
      <c r="O288" s="2">
        <v>0.58965431199999996</v>
      </c>
      <c r="P288" s="2">
        <v>3.107947931</v>
      </c>
      <c r="Q288" s="2">
        <v>3.1479793890000001</v>
      </c>
      <c r="R288" s="2">
        <v>3.102425336</v>
      </c>
      <c r="S288" s="2">
        <v>3.0988238529999999</v>
      </c>
      <c r="T288" s="2">
        <v>0.18519549699999999</v>
      </c>
      <c r="U288" s="2">
        <v>0.55413442700000004</v>
      </c>
      <c r="V288" s="2">
        <v>4.3923710189999996</v>
      </c>
      <c r="W288" s="2">
        <v>3.6467856E-2</v>
      </c>
      <c r="X288">
        <f t="shared" si="12"/>
        <v>1</v>
      </c>
      <c r="Y288">
        <f t="shared" si="13"/>
        <v>1</v>
      </c>
      <c r="Z288">
        <f t="shared" si="14"/>
        <v>0</v>
      </c>
    </row>
    <row r="289" spans="1:26" ht="15.75" customHeight="1" x14ac:dyDescent="0.2">
      <c r="A289" s="2" t="s">
        <v>23</v>
      </c>
      <c r="B289" s="2" t="s">
        <v>24</v>
      </c>
      <c r="C289" s="2" t="s">
        <v>30</v>
      </c>
      <c r="D289" s="2" t="s">
        <v>31</v>
      </c>
      <c r="E289" s="2">
        <v>97</v>
      </c>
      <c r="F289" s="2">
        <v>212.33333329999999</v>
      </c>
      <c r="G289" s="2">
        <v>890.33333330000005</v>
      </c>
      <c r="H289" s="2">
        <v>1571</v>
      </c>
      <c r="I289" s="2">
        <v>3496.333333</v>
      </c>
      <c r="J289" s="2">
        <v>2.09</v>
      </c>
      <c r="K289" s="2">
        <v>7.84</v>
      </c>
      <c r="L289" s="2">
        <v>11.4</v>
      </c>
      <c r="M289" s="2">
        <v>16.649999999999999</v>
      </c>
      <c r="N289" s="2">
        <v>4.5064724700000003</v>
      </c>
      <c r="O289" s="2">
        <v>4.4548745529999998</v>
      </c>
      <c r="P289" s="2">
        <v>3.2998928599999999</v>
      </c>
      <c r="Q289" s="2">
        <v>3.2500886069999999</v>
      </c>
      <c r="R289" s="2">
        <v>3.2458253930000001</v>
      </c>
      <c r="S289" s="2">
        <v>3.2422239099999999</v>
      </c>
      <c r="T289" s="2">
        <v>0.59490369399999998</v>
      </c>
      <c r="U289" s="2">
        <v>0.22596476400000001</v>
      </c>
      <c r="V289" s="2">
        <v>4.5357710750000004</v>
      </c>
      <c r="W289" s="2">
        <v>4.7596325000000002E-2</v>
      </c>
      <c r="X289">
        <f t="shared" si="12"/>
        <v>1</v>
      </c>
      <c r="Y289">
        <f t="shared" si="13"/>
        <v>1</v>
      </c>
      <c r="Z289">
        <f t="shared" si="14"/>
        <v>1</v>
      </c>
    </row>
    <row r="290" spans="1:26" ht="15.75" customHeight="1" x14ac:dyDescent="0.2">
      <c r="A290" s="2" t="s">
        <v>23</v>
      </c>
      <c r="B290" s="2" t="s">
        <v>24</v>
      </c>
      <c r="C290" s="2" t="s">
        <v>25</v>
      </c>
      <c r="D290" s="2" t="s">
        <v>25</v>
      </c>
      <c r="E290" s="2">
        <v>93</v>
      </c>
      <c r="F290" s="2">
        <v>90.666666669999998</v>
      </c>
      <c r="G290" s="2">
        <v>782.66666669999995</v>
      </c>
      <c r="H290" s="2">
        <v>1396.333333</v>
      </c>
      <c r="I290" s="2">
        <v>2557.333333</v>
      </c>
      <c r="J290" s="2">
        <v>0.66</v>
      </c>
      <c r="K290" s="2">
        <v>7.12</v>
      </c>
      <c r="L290" s="2">
        <v>10.62</v>
      </c>
      <c r="M290" s="2">
        <v>14.65</v>
      </c>
      <c r="N290" s="2">
        <v>1.127512887</v>
      </c>
      <c r="O290" s="2">
        <v>0.96266299700000002</v>
      </c>
      <c r="P290" s="2">
        <v>3.0886790469999998</v>
      </c>
      <c r="Q290" s="2">
        <v>3.033721726</v>
      </c>
      <c r="R290" s="2">
        <v>2.8401418459999999</v>
      </c>
      <c r="S290" s="2">
        <v>2.7579060000000002</v>
      </c>
      <c r="T290" s="2">
        <v>1.213891488</v>
      </c>
      <c r="U290" s="2">
        <v>1.2638916120000001</v>
      </c>
      <c r="V290" s="2">
        <v>3.9528188370000001</v>
      </c>
      <c r="W290" s="2">
        <v>4.1544361000000002E-2</v>
      </c>
      <c r="X290">
        <f t="shared" si="12"/>
        <v>1</v>
      </c>
      <c r="Y290">
        <f t="shared" si="13"/>
        <v>1</v>
      </c>
      <c r="Z290">
        <f t="shared" si="14"/>
        <v>0</v>
      </c>
    </row>
    <row r="291" spans="1:26" ht="15.75" customHeight="1" x14ac:dyDescent="0.2">
      <c r="A291" s="2" t="s">
        <v>23</v>
      </c>
      <c r="B291" s="2" t="s">
        <v>24</v>
      </c>
      <c r="C291" s="2" t="s">
        <v>26</v>
      </c>
      <c r="D291" s="2" t="s">
        <v>26</v>
      </c>
      <c r="E291" s="2">
        <v>70</v>
      </c>
      <c r="F291" s="2">
        <v>192.33333329999999</v>
      </c>
      <c r="G291" s="2">
        <v>371</v>
      </c>
      <c r="H291" s="2">
        <v>1166.666667</v>
      </c>
      <c r="I291" s="2">
        <v>2678.333333</v>
      </c>
      <c r="J291" s="2">
        <v>1.87</v>
      </c>
      <c r="K291" s="2">
        <v>3.74</v>
      </c>
      <c r="L291" s="2">
        <v>9.4700000000000006</v>
      </c>
      <c r="M291" s="2">
        <v>14.95</v>
      </c>
      <c r="N291" s="2">
        <v>1.246821564</v>
      </c>
      <c r="O291" s="2">
        <v>1.333655993</v>
      </c>
      <c r="P291" s="2">
        <v>2.4255814349999998</v>
      </c>
      <c r="Q291" s="2">
        <v>2.4936897180000002</v>
      </c>
      <c r="R291" s="2">
        <v>0.543491422</v>
      </c>
      <c r="S291" s="2">
        <v>0.62572726899999997</v>
      </c>
      <c r="T291" s="2">
        <v>2.3639082830000002</v>
      </c>
      <c r="U291" s="2">
        <v>2.4139084070000001</v>
      </c>
      <c r="V291" s="2">
        <v>0.56918556799999998</v>
      </c>
      <c r="W291" s="2">
        <v>3.9053694E-2</v>
      </c>
      <c r="X291">
        <f t="shared" si="12"/>
        <v>1</v>
      </c>
      <c r="Y291">
        <f t="shared" si="13"/>
        <v>1</v>
      </c>
      <c r="Z291">
        <f t="shared" si="14"/>
        <v>0</v>
      </c>
    </row>
    <row r="292" spans="1:26" ht="15.75" customHeight="1" x14ac:dyDescent="0.2">
      <c r="A292" s="2" t="s">
        <v>23</v>
      </c>
      <c r="B292" s="2" t="s">
        <v>24</v>
      </c>
      <c r="C292" s="2" t="s">
        <v>27</v>
      </c>
      <c r="D292" s="2" t="s">
        <v>27</v>
      </c>
      <c r="E292" s="2">
        <v>160</v>
      </c>
      <c r="F292" s="2">
        <v>222</v>
      </c>
      <c r="G292" s="2">
        <v>331</v>
      </c>
      <c r="H292" s="2">
        <v>2391</v>
      </c>
      <c r="I292" s="2">
        <v>3284.666667</v>
      </c>
      <c r="J292" s="2">
        <v>2.2000000000000002</v>
      </c>
      <c r="K292" s="2">
        <v>3.34</v>
      </c>
      <c r="L292" s="2">
        <v>14.2</v>
      </c>
      <c r="M292" s="2">
        <v>16.260000000000002</v>
      </c>
      <c r="N292" s="2">
        <v>0.32128799400000002</v>
      </c>
      <c r="O292" s="2">
        <v>0.38500229200000002</v>
      </c>
      <c r="P292" s="2">
        <v>2.5440972419999999</v>
      </c>
      <c r="Q292" s="2">
        <v>2.5296825209999998</v>
      </c>
      <c r="R292" s="2">
        <v>0.93708274400000002</v>
      </c>
      <c r="S292" s="2">
        <v>1.019318591</v>
      </c>
      <c r="T292" s="2">
        <v>2.36522868</v>
      </c>
      <c r="U292" s="2">
        <v>2.3152285560000001</v>
      </c>
      <c r="V292" s="2">
        <v>0.17559424600000001</v>
      </c>
      <c r="W292" s="2">
        <v>3.8413203999999999E-2</v>
      </c>
      <c r="X292">
        <f t="shared" si="12"/>
        <v>1</v>
      </c>
      <c r="Y292">
        <f t="shared" si="13"/>
        <v>1</v>
      </c>
      <c r="Z292">
        <f t="shared" si="14"/>
        <v>0</v>
      </c>
    </row>
    <row r="293" spans="1:26" ht="15.75" customHeight="1" x14ac:dyDescent="0.2">
      <c r="A293" s="2" t="s">
        <v>23</v>
      </c>
      <c r="B293" s="2" t="s">
        <v>24</v>
      </c>
      <c r="C293" s="2" t="s">
        <v>28</v>
      </c>
      <c r="D293" s="2" t="s">
        <v>29</v>
      </c>
      <c r="E293" s="2">
        <v>89</v>
      </c>
      <c r="F293" s="2">
        <v>214</v>
      </c>
      <c r="G293" s="2">
        <v>415</v>
      </c>
      <c r="H293" s="2">
        <v>688.66666669999995</v>
      </c>
      <c r="I293" s="2">
        <v>2569</v>
      </c>
      <c r="J293" s="2">
        <v>2.11</v>
      </c>
      <c r="K293" s="2">
        <v>4.1500000000000004</v>
      </c>
      <c r="L293" s="2">
        <v>6.44</v>
      </c>
      <c r="M293" s="2">
        <v>14.68</v>
      </c>
      <c r="N293" s="2">
        <v>1.8569967169999999</v>
      </c>
      <c r="O293" s="2">
        <v>1.749896291</v>
      </c>
      <c r="P293" s="2">
        <v>5.3983718959999996</v>
      </c>
      <c r="Q293" s="2">
        <v>5.4508781920000002</v>
      </c>
      <c r="R293" s="2">
        <v>0.12585374299999999</v>
      </c>
      <c r="S293" s="2">
        <v>0.20808958899999999</v>
      </c>
      <c r="T293" s="2">
        <v>5.3969046650000001</v>
      </c>
      <c r="U293" s="2">
        <v>5.4469047890000004</v>
      </c>
      <c r="V293" s="2">
        <v>0.98682324799999999</v>
      </c>
      <c r="W293" s="2">
        <v>4.8791335999999998E-2</v>
      </c>
      <c r="X293">
        <f t="shared" si="12"/>
        <v>1</v>
      </c>
      <c r="Y293">
        <f t="shared" si="13"/>
        <v>1</v>
      </c>
      <c r="Z293">
        <f t="shared" si="14"/>
        <v>1</v>
      </c>
    </row>
    <row r="294" spans="1:26" ht="15.75" customHeight="1" x14ac:dyDescent="0.2">
      <c r="A294" s="2" t="s">
        <v>23</v>
      </c>
      <c r="B294" s="2" t="s">
        <v>24</v>
      </c>
      <c r="C294" s="2" t="s">
        <v>30</v>
      </c>
      <c r="D294" s="2" t="s">
        <v>31</v>
      </c>
      <c r="E294" s="2">
        <v>110</v>
      </c>
      <c r="F294" s="2">
        <v>90.666666669999998</v>
      </c>
      <c r="G294" s="2">
        <v>449.33333329999999</v>
      </c>
      <c r="H294" s="2">
        <v>1529</v>
      </c>
      <c r="I294" s="2">
        <v>2498.666667</v>
      </c>
      <c r="J294" s="2">
        <v>0.66</v>
      </c>
      <c r="K294" s="2">
        <v>4.47</v>
      </c>
      <c r="L294" s="2">
        <v>11.22</v>
      </c>
      <c r="M294" s="2">
        <v>14.49</v>
      </c>
      <c r="N294" s="2">
        <v>3.11465411</v>
      </c>
      <c r="O294" s="2">
        <v>3.0832526040000001</v>
      </c>
      <c r="P294" s="2">
        <v>0.64693073099999998</v>
      </c>
      <c r="Q294" s="2">
        <v>0.67711371899999995</v>
      </c>
      <c r="R294" s="2">
        <v>0.18943491900000001</v>
      </c>
      <c r="S294" s="2">
        <v>0.10719907200000001</v>
      </c>
      <c r="T294" s="2">
        <v>0.61857399099999999</v>
      </c>
      <c r="U294" s="2">
        <v>0.66857411499999997</v>
      </c>
      <c r="V294" s="2">
        <v>1.302111909</v>
      </c>
      <c r="W294" s="2">
        <v>4.7217055000000001E-2</v>
      </c>
      <c r="X294">
        <f t="shared" si="12"/>
        <v>1</v>
      </c>
      <c r="Y294">
        <f t="shared" si="13"/>
        <v>1</v>
      </c>
      <c r="Z294">
        <f t="shared" si="14"/>
        <v>1</v>
      </c>
    </row>
    <row r="295" spans="1:26" ht="15.75" customHeight="1" x14ac:dyDescent="0.2">
      <c r="A295" s="2" t="s">
        <v>23</v>
      </c>
      <c r="B295" s="2" t="s">
        <v>24</v>
      </c>
      <c r="C295" s="2" t="s">
        <v>26</v>
      </c>
      <c r="D295" s="2" t="s">
        <v>26</v>
      </c>
      <c r="E295" s="2">
        <v>121</v>
      </c>
      <c r="F295" s="2">
        <v>225.66666670000001</v>
      </c>
      <c r="G295" s="2">
        <v>377.66666670000001</v>
      </c>
      <c r="H295" s="2">
        <v>667</v>
      </c>
      <c r="I295" s="2">
        <v>2798</v>
      </c>
      <c r="J295" s="2">
        <v>2.2400000000000002</v>
      </c>
      <c r="K295" s="2">
        <v>3.8</v>
      </c>
      <c r="L295" s="2">
        <v>6.28</v>
      </c>
      <c r="M295" s="2">
        <v>15.24</v>
      </c>
      <c r="N295" s="2">
        <v>1.9578305650000001</v>
      </c>
      <c r="O295" s="2">
        <v>1.864075594</v>
      </c>
      <c r="P295" s="2">
        <v>5.5811431100000002</v>
      </c>
      <c r="Q295" s="2">
        <v>5.6385539839999996</v>
      </c>
      <c r="R295" s="2">
        <v>0.47920240800000002</v>
      </c>
      <c r="S295" s="2">
        <v>0.561438255</v>
      </c>
      <c r="T295" s="2">
        <v>5.5605326599999998</v>
      </c>
      <c r="U295" s="2">
        <v>5.6105327840000001</v>
      </c>
      <c r="V295" s="2">
        <v>0.63347458199999995</v>
      </c>
      <c r="W295" s="2">
        <v>4.5821026000000001E-2</v>
      </c>
      <c r="X295">
        <f t="shared" si="12"/>
        <v>1</v>
      </c>
      <c r="Y295">
        <f t="shared" si="13"/>
        <v>1</v>
      </c>
      <c r="Z295">
        <f t="shared" si="14"/>
        <v>0</v>
      </c>
    </row>
    <row r="296" spans="1:26" ht="15.75" customHeight="1" x14ac:dyDescent="0.2">
      <c r="A296" s="2" t="s">
        <v>23</v>
      </c>
      <c r="B296" s="2" t="s">
        <v>24</v>
      </c>
      <c r="C296" s="2" t="s">
        <v>28</v>
      </c>
      <c r="D296" s="2" t="s">
        <v>29</v>
      </c>
      <c r="E296" s="2">
        <v>108</v>
      </c>
      <c r="F296" s="2">
        <v>238.33333329999999</v>
      </c>
      <c r="G296" s="2">
        <v>471.33333329999999</v>
      </c>
      <c r="H296" s="2">
        <v>1675.666667</v>
      </c>
      <c r="I296" s="2">
        <v>2709.333333</v>
      </c>
      <c r="J296" s="2">
        <v>2.38</v>
      </c>
      <c r="K296" s="2">
        <v>4.67</v>
      </c>
      <c r="L296" s="2">
        <v>11.83</v>
      </c>
      <c r="M296" s="2">
        <v>15.03</v>
      </c>
      <c r="N296" s="2">
        <v>3.736539579</v>
      </c>
      <c r="O296" s="2">
        <v>3.8021145870000002</v>
      </c>
      <c r="P296" s="2">
        <v>0.386939957</v>
      </c>
      <c r="Q296" s="2">
        <v>0.31059670900000003</v>
      </c>
      <c r="R296" s="2">
        <v>0.38678357400000002</v>
      </c>
      <c r="S296" s="2">
        <v>0.30454772800000002</v>
      </c>
      <c r="T296" s="2">
        <v>1.0999854E-2</v>
      </c>
      <c r="U296" s="2">
        <v>6.0999978000000003E-2</v>
      </c>
      <c r="V296" s="2">
        <v>1.4994605649999999</v>
      </c>
      <c r="W296" s="2">
        <v>4.7956496000000001E-2</v>
      </c>
      <c r="X296">
        <f t="shared" si="12"/>
        <v>1</v>
      </c>
      <c r="Y296">
        <f t="shared" si="13"/>
        <v>1</v>
      </c>
      <c r="Z296">
        <f t="shared" si="14"/>
        <v>1</v>
      </c>
    </row>
    <row r="297" spans="1:26" ht="15.75" customHeight="1" x14ac:dyDescent="0.2">
      <c r="A297" s="2" t="s">
        <v>23</v>
      </c>
      <c r="B297" s="2" t="s">
        <v>24</v>
      </c>
      <c r="C297" s="2" t="s">
        <v>32</v>
      </c>
      <c r="D297" s="2" t="s">
        <v>33</v>
      </c>
      <c r="E297" s="2">
        <v>117</v>
      </c>
      <c r="F297" s="2">
        <v>211.66666670000001</v>
      </c>
      <c r="G297" s="2">
        <v>485</v>
      </c>
      <c r="H297" s="2">
        <v>1360.333333</v>
      </c>
      <c r="I297" s="2">
        <v>2646.666667</v>
      </c>
      <c r="J297" s="2">
        <v>2.08</v>
      </c>
      <c r="K297" s="2">
        <v>4.79</v>
      </c>
      <c r="L297" s="2">
        <v>10.45</v>
      </c>
      <c r="M297" s="2">
        <v>14.87</v>
      </c>
      <c r="N297" s="2">
        <v>2.9856529090000001</v>
      </c>
      <c r="O297" s="2">
        <v>2.9271603900000001</v>
      </c>
      <c r="P297" s="2">
        <v>1.473808231</v>
      </c>
      <c r="Q297" s="2">
        <v>1.4954108509999999</v>
      </c>
      <c r="R297" s="2">
        <v>0.50759058000000001</v>
      </c>
      <c r="S297" s="2">
        <v>0.42535473299999998</v>
      </c>
      <c r="T297" s="2">
        <v>1.3836410320000001</v>
      </c>
      <c r="U297" s="2">
        <v>1.433641156</v>
      </c>
      <c r="V297" s="2">
        <v>1.62026757</v>
      </c>
      <c r="W297" s="2">
        <v>3.8333178000000002E-2</v>
      </c>
      <c r="X297">
        <f t="shared" si="12"/>
        <v>1</v>
      </c>
      <c r="Y297">
        <f t="shared" si="13"/>
        <v>1</v>
      </c>
      <c r="Z297">
        <f t="shared" si="14"/>
        <v>1</v>
      </c>
    </row>
    <row r="298" spans="1:26" ht="15.75" customHeight="1" x14ac:dyDescent="0.2">
      <c r="A298" s="2" t="s">
        <v>23</v>
      </c>
      <c r="B298" s="2" t="s">
        <v>24</v>
      </c>
      <c r="C298" s="2" t="s">
        <v>32</v>
      </c>
      <c r="D298" s="2" t="s">
        <v>33</v>
      </c>
      <c r="E298" s="2">
        <v>105</v>
      </c>
      <c r="F298" s="2">
        <v>188.66666670000001</v>
      </c>
      <c r="G298" s="2">
        <v>424.33333329999999</v>
      </c>
      <c r="H298" s="2">
        <v>1107.666667</v>
      </c>
      <c r="I298" s="2">
        <v>2486.333333</v>
      </c>
      <c r="J298" s="2">
        <v>1.82</v>
      </c>
      <c r="K298" s="2">
        <v>4.24</v>
      </c>
      <c r="L298" s="2">
        <v>9.15</v>
      </c>
      <c r="M298" s="2">
        <v>14.46</v>
      </c>
      <c r="N298" s="2">
        <v>4.1340305580000001</v>
      </c>
      <c r="O298" s="2">
        <v>4.0348512809999999</v>
      </c>
      <c r="P298" s="2">
        <v>2.6874274499999999</v>
      </c>
      <c r="Q298" s="2">
        <v>2.739835502</v>
      </c>
      <c r="R298" s="2">
        <v>3.9245530000000001E-2</v>
      </c>
      <c r="S298" s="2">
        <v>0.121481376</v>
      </c>
      <c r="T298" s="2">
        <v>2.687140876</v>
      </c>
      <c r="U298" s="2">
        <v>2.7371409999999998</v>
      </c>
      <c r="V298" s="2">
        <v>1.073431461</v>
      </c>
      <c r="W298" s="2">
        <v>4.4902408999999997E-2</v>
      </c>
      <c r="X298">
        <f t="shared" si="12"/>
        <v>1</v>
      </c>
      <c r="Y298">
        <f t="shared" si="13"/>
        <v>1</v>
      </c>
      <c r="Z298">
        <f t="shared" si="14"/>
        <v>1</v>
      </c>
    </row>
    <row r="299" spans="1:26" ht="15.75" customHeight="1" x14ac:dyDescent="0.2">
      <c r="A299" s="2" t="s">
        <v>23</v>
      </c>
      <c r="B299" s="2" t="s">
        <v>24</v>
      </c>
      <c r="C299" s="2" t="s">
        <v>25</v>
      </c>
      <c r="D299" s="2" t="s">
        <v>25</v>
      </c>
      <c r="E299" s="2">
        <v>279</v>
      </c>
      <c r="F299" s="2">
        <v>148.66666670000001</v>
      </c>
      <c r="G299" s="2">
        <v>949</v>
      </c>
      <c r="H299" s="2">
        <v>1628</v>
      </c>
      <c r="I299" s="2">
        <v>2494</v>
      </c>
      <c r="J299" s="2">
        <v>1.36</v>
      </c>
      <c r="K299" s="2">
        <v>8.2200000000000006</v>
      </c>
      <c r="L299" s="2">
        <v>11.63</v>
      </c>
      <c r="M299" s="2">
        <v>14.48</v>
      </c>
      <c r="N299" s="2">
        <v>0.70827273099999999</v>
      </c>
      <c r="O299" s="2">
        <v>0.70682810299999999</v>
      </c>
      <c r="P299" s="2">
        <v>3.940882073</v>
      </c>
      <c r="Q299" s="2">
        <v>3.8617111070000001</v>
      </c>
      <c r="R299" s="2">
        <v>3.9356495269999998</v>
      </c>
      <c r="S299" s="2">
        <v>3.8534136800000001</v>
      </c>
      <c r="T299" s="2">
        <v>0.20301309300000001</v>
      </c>
      <c r="U299" s="2">
        <v>0.25301321700000001</v>
      </c>
      <c r="V299" s="2">
        <v>5.0483265169999996</v>
      </c>
      <c r="W299" s="2">
        <v>3.9536987000000003E-2</v>
      </c>
      <c r="X299">
        <f t="shared" si="12"/>
        <v>1</v>
      </c>
      <c r="Y299">
        <f t="shared" si="13"/>
        <v>1</v>
      </c>
      <c r="Z299">
        <f t="shared" si="14"/>
        <v>0</v>
      </c>
    </row>
    <row r="300" spans="1:26" ht="15.75" customHeight="1" x14ac:dyDescent="0.2">
      <c r="A300" s="2" t="s">
        <v>23</v>
      </c>
      <c r="B300" s="2" t="s">
        <v>24</v>
      </c>
      <c r="C300" s="2" t="s">
        <v>32</v>
      </c>
      <c r="D300" s="2" t="s">
        <v>33</v>
      </c>
      <c r="E300" s="2">
        <v>180</v>
      </c>
      <c r="F300" s="2">
        <v>190</v>
      </c>
      <c r="G300" s="2">
        <v>346.66666670000001</v>
      </c>
      <c r="H300" s="2">
        <v>912.33333330000005</v>
      </c>
      <c r="I300" s="2">
        <v>2428</v>
      </c>
      <c r="J300" s="2">
        <v>1.84</v>
      </c>
      <c r="K300" s="2">
        <v>3.5</v>
      </c>
      <c r="L300" s="2">
        <v>7.99</v>
      </c>
      <c r="M300" s="2">
        <v>14.3</v>
      </c>
      <c r="N300" s="2">
        <v>5.4540166369999996</v>
      </c>
      <c r="O300" s="2">
        <v>5.3411412169999997</v>
      </c>
      <c r="P300" s="2">
        <v>3.930470557</v>
      </c>
      <c r="Q300" s="2">
        <v>3.9964443780000001</v>
      </c>
      <c r="R300" s="2">
        <v>0.78129992400000003</v>
      </c>
      <c r="S300" s="2">
        <v>0.86353577100000001</v>
      </c>
      <c r="T300" s="2">
        <v>3.852034427</v>
      </c>
      <c r="U300" s="2">
        <v>3.9020345509999999</v>
      </c>
      <c r="V300" s="2">
        <v>0.331377066</v>
      </c>
      <c r="W300" s="2">
        <v>4.9094334000000003E-2</v>
      </c>
      <c r="X300">
        <f t="shared" si="12"/>
        <v>1</v>
      </c>
      <c r="Y300">
        <f t="shared" si="13"/>
        <v>1</v>
      </c>
      <c r="Z300">
        <f t="shared" si="14"/>
        <v>1</v>
      </c>
    </row>
    <row r="301" spans="1:26" ht="15.75" customHeight="1" x14ac:dyDescent="0.2">
      <c r="A301" s="2" t="s">
        <v>23</v>
      </c>
      <c r="B301" s="2" t="s">
        <v>24</v>
      </c>
      <c r="C301" s="2" t="s">
        <v>32</v>
      </c>
      <c r="D301" s="2" t="s">
        <v>33</v>
      </c>
      <c r="E301" s="2">
        <v>98</v>
      </c>
      <c r="F301" s="2">
        <v>196.66666670000001</v>
      </c>
      <c r="G301" s="2">
        <v>368.66666670000001</v>
      </c>
      <c r="H301" s="2">
        <v>794</v>
      </c>
      <c r="I301" s="2">
        <v>2546.333333</v>
      </c>
      <c r="J301" s="2">
        <v>1.91</v>
      </c>
      <c r="K301" s="2">
        <v>3.71</v>
      </c>
      <c r="L301" s="2">
        <v>7.2</v>
      </c>
      <c r="M301" s="2">
        <v>14.62</v>
      </c>
      <c r="N301" s="2">
        <v>5.8733073830000002</v>
      </c>
      <c r="O301" s="2">
        <v>5.7430791780000003</v>
      </c>
      <c r="P301" s="2">
        <v>4.6725216439999997</v>
      </c>
      <c r="Q301" s="2">
        <v>4.732719822</v>
      </c>
      <c r="R301" s="2">
        <v>0.56607954100000002</v>
      </c>
      <c r="S301" s="2">
        <v>0.64831538799999999</v>
      </c>
      <c r="T301" s="2">
        <v>4.638104405</v>
      </c>
      <c r="U301" s="2">
        <v>4.6881045290000003</v>
      </c>
      <c r="V301" s="2">
        <v>0.54659744899999996</v>
      </c>
      <c r="W301" s="2">
        <v>4.0296604999999999E-2</v>
      </c>
      <c r="X301">
        <f t="shared" si="12"/>
        <v>1</v>
      </c>
      <c r="Y301">
        <f t="shared" si="13"/>
        <v>1</v>
      </c>
      <c r="Z301">
        <f t="shared" si="14"/>
        <v>1</v>
      </c>
    </row>
    <row r="302" spans="1:26" ht="15.75" customHeight="1" x14ac:dyDescent="0.2">
      <c r="A302" s="2" t="s">
        <v>23</v>
      </c>
      <c r="B302" s="2" t="s">
        <v>24</v>
      </c>
      <c r="C302" s="2" t="s">
        <v>25</v>
      </c>
      <c r="D302" s="2" t="s">
        <v>25</v>
      </c>
      <c r="E302" s="2">
        <v>100</v>
      </c>
      <c r="F302" s="2">
        <v>205.33333329999999</v>
      </c>
      <c r="G302" s="2">
        <v>868.33333330000005</v>
      </c>
      <c r="H302" s="2">
        <v>1662.666667</v>
      </c>
      <c r="I302" s="2">
        <v>2616.333333</v>
      </c>
      <c r="J302" s="2">
        <v>2.0099999999999998</v>
      </c>
      <c r="K302" s="2">
        <v>7.7</v>
      </c>
      <c r="L302" s="2">
        <v>11.77</v>
      </c>
      <c r="M302" s="2">
        <v>14.8</v>
      </c>
      <c r="N302" s="2">
        <v>0.212733214</v>
      </c>
      <c r="O302" s="2">
        <v>0.32886890499999999</v>
      </c>
      <c r="P302" s="2">
        <v>3.42103096</v>
      </c>
      <c r="Q302" s="2">
        <v>3.3401249150000001</v>
      </c>
      <c r="R302" s="2">
        <v>3.420453288</v>
      </c>
      <c r="S302" s="2">
        <v>3.3382174419999999</v>
      </c>
      <c r="T302" s="2">
        <v>6.2865979000000002E-2</v>
      </c>
      <c r="U302" s="2">
        <v>0.112866103</v>
      </c>
      <c r="V302" s="2">
        <v>4.5331302789999999</v>
      </c>
      <c r="W302" s="2">
        <v>3.1272518999999999E-2</v>
      </c>
      <c r="X302">
        <f t="shared" si="12"/>
        <v>1</v>
      </c>
      <c r="Y302">
        <f t="shared" si="13"/>
        <v>1</v>
      </c>
      <c r="Z302">
        <f t="shared" si="14"/>
        <v>0</v>
      </c>
    </row>
    <row r="303" spans="1:26" ht="15.75" customHeight="1" x14ac:dyDescent="0.2">
      <c r="A303" s="2" t="s">
        <v>23</v>
      </c>
      <c r="B303" s="2" t="s">
        <v>24</v>
      </c>
      <c r="C303" s="2" t="s">
        <v>25</v>
      </c>
      <c r="D303" s="2" t="s">
        <v>25</v>
      </c>
      <c r="E303" s="2">
        <v>161</v>
      </c>
      <c r="F303" s="2">
        <v>110.66666669999999</v>
      </c>
      <c r="G303" s="2">
        <v>909.66666669999995</v>
      </c>
      <c r="H303" s="2">
        <v>1470</v>
      </c>
      <c r="I303" s="2">
        <v>2316</v>
      </c>
      <c r="J303" s="2">
        <v>0.9</v>
      </c>
      <c r="K303" s="2">
        <v>7.97</v>
      </c>
      <c r="L303" s="2">
        <v>10.96</v>
      </c>
      <c r="M303" s="2">
        <v>13.99</v>
      </c>
      <c r="N303" s="2">
        <v>0.85567666899999995</v>
      </c>
      <c r="O303" s="2">
        <v>0.69921244400000004</v>
      </c>
      <c r="P303" s="2">
        <v>3.7910436340000002</v>
      </c>
      <c r="Q303" s="2">
        <v>3.7232321800000001</v>
      </c>
      <c r="R303" s="2">
        <v>3.6880564690000002</v>
      </c>
      <c r="S303" s="2">
        <v>3.605820622</v>
      </c>
      <c r="T303" s="2">
        <v>0.87763962600000001</v>
      </c>
      <c r="U303" s="2">
        <v>0.92763974999999999</v>
      </c>
      <c r="V303" s="2">
        <v>4.8007334589999999</v>
      </c>
      <c r="W303" s="2">
        <v>4.8889092000000002E-2</v>
      </c>
      <c r="X303">
        <f t="shared" si="12"/>
        <v>1</v>
      </c>
      <c r="Y303">
        <f t="shared" si="13"/>
        <v>1</v>
      </c>
      <c r="Z303">
        <f t="shared" si="14"/>
        <v>0</v>
      </c>
    </row>
    <row r="304" spans="1:26" ht="15.75" customHeight="1" x14ac:dyDescent="0.2">
      <c r="A304" s="2" t="s">
        <v>23</v>
      </c>
      <c r="B304" s="2" t="s">
        <v>24</v>
      </c>
      <c r="C304" s="2" t="s">
        <v>27</v>
      </c>
      <c r="D304" s="2" t="s">
        <v>27</v>
      </c>
      <c r="E304" s="2">
        <v>130</v>
      </c>
      <c r="F304" s="2">
        <v>255.66666670000001</v>
      </c>
      <c r="G304" s="2">
        <v>385</v>
      </c>
      <c r="H304" s="2">
        <v>2392.666667</v>
      </c>
      <c r="I304" s="2">
        <v>3171.666667</v>
      </c>
      <c r="J304" s="2">
        <v>2.56</v>
      </c>
      <c r="K304" s="2">
        <v>3.87</v>
      </c>
      <c r="L304" s="2">
        <v>14.21</v>
      </c>
      <c r="M304" s="2">
        <v>16.04</v>
      </c>
      <c r="N304" s="2">
        <v>0.208807777</v>
      </c>
      <c r="O304" s="2">
        <v>0.14334201199999999</v>
      </c>
      <c r="P304" s="2">
        <v>2.4048718029999998</v>
      </c>
      <c r="Q304" s="2">
        <v>2.3712736689999998</v>
      </c>
      <c r="R304" s="2">
        <v>0.40890668800000002</v>
      </c>
      <c r="S304" s="2">
        <v>0.49114253499999999</v>
      </c>
      <c r="T304" s="2">
        <v>2.3698530990000002</v>
      </c>
      <c r="U304" s="2">
        <v>2.3198529749999999</v>
      </c>
      <c r="V304" s="2">
        <v>0.70377030200000001</v>
      </c>
      <c r="W304" s="2">
        <v>4.0308654999999999E-2</v>
      </c>
      <c r="X304">
        <f t="shared" si="12"/>
        <v>1</v>
      </c>
      <c r="Y304">
        <f t="shared" si="13"/>
        <v>1</v>
      </c>
      <c r="Z304">
        <f t="shared" si="14"/>
        <v>0</v>
      </c>
    </row>
    <row r="305" spans="1:26" ht="15.75" customHeight="1" x14ac:dyDescent="0.2">
      <c r="A305" s="2" t="s">
        <v>23</v>
      </c>
      <c r="B305" s="2" t="s">
        <v>24</v>
      </c>
      <c r="C305" s="2" t="s">
        <v>30</v>
      </c>
      <c r="D305" s="2" t="s">
        <v>31</v>
      </c>
      <c r="E305" s="2">
        <v>97</v>
      </c>
      <c r="F305" s="2">
        <v>261</v>
      </c>
      <c r="G305" s="2">
        <v>432</v>
      </c>
      <c r="H305" s="2">
        <v>1228.333333</v>
      </c>
      <c r="I305" s="2">
        <v>2406</v>
      </c>
      <c r="J305" s="2">
        <v>2.62</v>
      </c>
      <c r="K305" s="2">
        <v>4.3099999999999996</v>
      </c>
      <c r="L305" s="2">
        <v>9.8000000000000007</v>
      </c>
      <c r="M305" s="2">
        <v>14.24</v>
      </c>
      <c r="N305" s="2">
        <v>4.4759650559999997</v>
      </c>
      <c r="O305" s="2">
        <v>4.4514296030000002</v>
      </c>
      <c r="P305" s="2">
        <v>2.0390940259999999</v>
      </c>
      <c r="Q305" s="2">
        <v>2.089471214</v>
      </c>
      <c r="R305" s="2">
        <v>3.139132E-2</v>
      </c>
      <c r="S305" s="2">
        <v>5.0844527E-2</v>
      </c>
      <c r="T305" s="2">
        <v>2.0388523809999999</v>
      </c>
      <c r="U305" s="2">
        <v>2.0888525050000002</v>
      </c>
      <c r="V305" s="2">
        <v>1.14406831</v>
      </c>
      <c r="W305" s="2">
        <v>5.0667351999999999E-2</v>
      </c>
      <c r="X305">
        <f t="shared" si="12"/>
        <v>1</v>
      </c>
      <c r="Y305">
        <f t="shared" si="13"/>
        <v>1</v>
      </c>
      <c r="Z305">
        <f t="shared" si="14"/>
        <v>1</v>
      </c>
    </row>
    <row r="306" spans="1:26" ht="15.75" customHeight="1" x14ac:dyDescent="0.2">
      <c r="A306" s="2" t="s">
        <v>23</v>
      </c>
      <c r="B306" s="2" t="s">
        <v>24</v>
      </c>
      <c r="C306" s="2" t="s">
        <v>28</v>
      </c>
      <c r="D306" s="2" t="s">
        <v>29</v>
      </c>
      <c r="E306" s="2">
        <v>98</v>
      </c>
      <c r="F306" s="2">
        <v>219</v>
      </c>
      <c r="G306" s="2">
        <v>439.33333329999999</v>
      </c>
      <c r="H306" s="2">
        <v>2539.666667</v>
      </c>
      <c r="I306" s="2">
        <v>3414.333333</v>
      </c>
      <c r="J306" s="2">
        <v>2.16</v>
      </c>
      <c r="K306" s="2">
        <v>4.38</v>
      </c>
      <c r="L306" s="2">
        <v>14.6</v>
      </c>
      <c r="M306" s="2">
        <v>16.5</v>
      </c>
      <c r="N306" s="2">
        <v>6.4132325269999999</v>
      </c>
      <c r="O306" s="2">
        <v>6.4936267259999996</v>
      </c>
      <c r="P306" s="2">
        <v>2.7660065110000001</v>
      </c>
      <c r="Q306" s="2">
        <v>2.7142996959999999</v>
      </c>
      <c r="R306" s="2">
        <v>9.8534599E-2</v>
      </c>
      <c r="S306" s="2">
        <v>1.6298752E-2</v>
      </c>
      <c r="T306" s="2">
        <v>2.764250884</v>
      </c>
      <c r="U306" s="2">
        <v>2.7142507600000001</v>
      </c>
      <c r="V306" s="2">
        <v>1.2112115889999999</v>
      </c>
      <c r="W306" s="2">
        <v>4.6965304999999999E-2</v>
      </c>
      <c r="X306">
        <f t="shared" si="12"/>
        <v>1</v>
      </c>
      <c r="Y306">
        <f t="shared" si="13"/>
        <v>1</v>
      </c>
      <c r="Z306">
        <f t="shared" si="14"/>
        <v>1</v>
      </c>
    </row>
    <row r="307" spans="1:26" ht="15.75" customHeight="1" x14ac:dyDescent="0.2">
      <c r="A307" s="2" t="s">
        <v>23</v>
      </c>
      <c r="B307" s="2" t="s">
        <v>24</v>
      </c>
      <c r="C307" s="2" t="s">
        <v>28</v>
      </c>
      <c r="D307" s="2" t="s">
        <v>29</v>
      </c>
      <c r="E307" s="2">
        <v>109</v>
      </c>
      <c r="F307" s="2">
        <v>230.66666670000001</v>
      </c>
      <c r="G307" s="2">
        <v>477.33333329999999</v>
      </c>
      <c r="H307" s="2">
        <v>1640</v>
      </c>
      <c r="I307" s="2">
        <v>2788.333333</v>
      </c>
      <c r="J307" s="2">
        <v>2.29</v>
      </c>
      <c r="K307" s="2">
        <v>4.72</v>
      </c>
      <c r="L307" s="2">
        <v>11.68</v>
      </c>
      <c r="M307" s="2">
        <v>15.21</v>
      </c>
      <c r="N307" s="2">
        <v>3.6142070689999999</v>
      </c>
      <c r="O307" s="2">
        <v>3.6773083569999998</v>
      </c>
      <c r="P307" s="2">
        <v>0.46622447900000002</v>
      </c>
      <c r="Q307" s="2">
        <v>0.411924821</v>
      </c>
      <c r="R307" s="2">
        <v>0.43998762600000002</v>
      </c>
      <c r="S307" s="2">
        <v>0.35775177899999999</v>
      </c>
      <c r="T307" s="2">
        <v>0.15419518199999999</v>
      </c>
      <c r="U307" s="2">
        <v>0.20419530599999999</v>
      </c>
      <c r="V307" s="2">
        <v>1.5526646159999999</v>
      </c>
      <c r="W307" s="2">
        <v>4.4650215E-2</v>
      </c>
      <c r="X307">
        <f t="shared" si="12"/>
        <v>1</v>
      </c>
      <c r="Y307">
        <f t="shared" si="13"/>
        <v>1</v>
      </c>
      <c r="Z307">
        <f t="shared" si="14"/>
        <v>1</v>
      </c>
    </row>
    <row r="308" spans="1:26" ht="15.75" customHeight="1" x14ac:dyDescent="0.2">
      <c r="A308" s="2" t="s">
        <v>23</v>
      </c>
      <c r="B308" s="2" t="s">
        <v>24</v>
      </c>
      <c r="C308" s="2" t="s">
        <v>32</v>
      </c>
      <c r="D308" s="2" t="s">
        <v>33</v>
      </c>
      <c r="E308" s="2">
        <v>133</v>
      </c>
      <c r="F308" s="2">
        <v>205.33333329999999</v>
      </c>
      <c r="G308" s="2">
        <v>369</v>
      </c>
      <c r="H308" s="2">
        <v>977</v>
      </c>
      <c r="I308" s="2">
        <v>2478</v>
      </c>
      <c r="J308" s="2">
        <v>2.0099999999999998</v>
      </c>
      <c r="K308" s="2">
        <v>3.72</v>
      </c>
      <c r="L308" s="2">
        <v>8.39</v>
      </c>
      <c r="M308" s="2">
        <v>14.44</v>
      </c>
      <c r="N308" s="2">
        <v>5.0225745679999996</v>
      </c>
      <c r="O308" s="2">
        <v>4.9142586990000003</v>
      </c>
      <c r="P308" s="2">
        <v>3.4948512730000001</v>
      </c>
      <c r="Q308" s="2">
        <v>3.558194045</v>
      </c>
      <c r="R308" s="2">
        <v>0.56284989600000002</v>
      </c>
      <c r="S308" s="2">
        <v>0.64508574299999999</v>
      </c>
      <c r="T308" s="2">
        <v>3.4492296840000001</v>
      </c>
      <c r="U308" s="2">
        <v>3.4992298079999999</v>
      </c>
      <c r="V308" s="2">
        <v>0.54982709399999996</v>
      </c>
      <c r="W308" s="2">
        <v>4.88846E-2</v>
      </c>
      <c r="X308">
        <f t="shared" si="12"/>
        <v>1</v>
      </c>
      <c r="Y308">
        <f t="shared" si="13"/>
        <v>1</v>
      </c>
      <c r="Z308">
        <f t="shared" si="14"/>
        <v>1</v>
      </c>
    </row>
    <row r="309" spans="1:26" ht="15.75" customHeight="1" x14ac:dyDescent="0.2">
      <c r="A309" s="2" t="s">
        <v>23</v>
      </c>
      <c r="B309" s="2" t="s">
        <v>24</v>
      </c>
      <c r="C309" s="2" t="s">
        <v>26</v>
      </c>
      <c r="D309" s="2" t="s">
        <v>26</v>
      </c>
      <c r="E309" s="2">
        <v>120</v>
      </c>
      <c r="F309" s="2">
        <v>128.33333329999999</v>
      </c>
      <c r="G309" s="2">
        <v>333.66666670000001</v>
      </c>
      <c r="H309" s="2">
        <v>933.33333330000005</v>
      </c>
      <c r="I309" s="2">
        <v>2778.333333</v>
      </c>
      <c r="J309" s="2">
        <v>1.1200000000000001</v>
      </c>
      <c r="K309" s="2">
        <v>3.37</v>
      </c>
      <c r="L309" s="2">
        <v>8.1199999999999992</v>
      </c>
      <c r="M309" s="2">
        <v>15.19</v>
      </c>
      <c r="N309" s="2">
        <v>0.30680053000000002</v>
      </c>
      <c r="O309" s="2">
        <v>0.36761538100000002</v>
      </c>
      <c r="P309" s="2">
        <v>3.8290595569999999</v>
      </c>
      <c r="Q309" s="2">
        <v>3.8977716340000002</v>
      </c>
      <c r="R309" s="2">
        <v>0.91041623100000002</v>
      </c>
      <c r="S309" s="2">
        <v>0.99265207799999999</v>
      </c>
      <c r="T309" s="2">
        <v>3.7192525289999998</v>
      </c>
      <c r="U309" s="2">
        <v>3.7692526530000001</v>
      </c>
      <c r="V309" s="2">
        <v>0.20226075900000001</v>
      </c>
      <c r="W309" s="2">
        <v>5.3735236999999998E-2</v>
      </c>
      <c r="X309">
        <f t="shared" si="12"/>
        <v>1</v>
      </c>
      <c r="Y309">
        <f t="shared" si="13"/>
        <v>1</v>
      </c>
      <c r="Z309">
        <f t="shared" si="14"/>
        <v>0</v>
      </c>
    </row>
    <row r="310" spans="1:26" ht="15.75" customHeight="1" x14ac:dyDescent="0.2">
      <c r="A310" s="2" t="s">
        <v>23</v>
      </c>
      <c r="B310" s="2" t="s">
        <v>24</v>
      </c>
      <c r="C310" s="2" t="s">
        <v>25</v>
      </c>
      <c r="D310" s="2" t="s">
        <v>25</v>
      </c>
      <c r="E310" s="2">
        <v>269</v>
      </c>
      <c r="F310" s="2">
        <v>191.66666670000001</v>
      </c>
      <c r="G310" s="2">
        <v>936.66666669999995</v>
      </c>
      <c r="H310" s="2">
        <v>1668.666667</v>
      </c>
      <c r="I310" s="2">
        <v>2595.666667</v>
      </c>
      <c r="J310" s="2">
        <v>1.86</v>
      </c>
      <c r="K310" s="2">
        <v>8.14</v>
      </c>
      <c r="L310" s="2">
        <v>11.8</v>
      </c>
      <c r="M310" s="2">
        <v>14.75</v>
      </c>
      <c r="N310" s="2">
        <v>0.64048336299999997</v>
      </c>
      <c r="O310" s="2">
        <v>0.68589769</v>
      </c>
      <c r="P310" s="2">
        <v>3.8589339420000002</v>
      </c>
      <c r="Q310" s="2">
        <v>3.777548001</v>
      </c>
      <c r="R310" s="2">
        <v>3.8587380570000001</v>
      </c>
      <c r="S310" s="2">
        <v>3.7765022099999999</v>
      </c>
      <c r="T310" s="2">
        <v>3.8881588000000002E-2</v>
      </c>
      <c r="U310" s="2">
        <v>8.8881712000000002E-2</v>
      </c>
      <c r="V310" s="2">
        <v>4.9714150469999998</v>
      </c>
      <c r="W310" s="2">
        <v>3.8732585E-2</v>
      </c>
      <c r="X310">
        <f t="shared" si="12"/>
        <v>1</v>
      </c>
      <c r="Y310">
        <f t="shared" si="13"/>
        <v>1</v>
      </c>
      <c r="Z310">
        <f t="shared" si="14"/>
        <v>0</v>
      </c>
    </row>
    <row r="311" spans="1:26" ht="15.75" customHeight="1" x14ac:dyDescent="0.2">
      <c r="A311" s="2" t="s">
        <v>23</v>
      </c>
      <c r="B311" s="2" t="s">
        <v>24</v>
      </c>
      <c r="C311" s="2" t="s">
        <v>30</v>
      </c>
      <c r="D311" s="2" t="s">
        <v>31</v>
      </c>
      <c r="E311" s="2">
        <v>324</v>
      </c>
      <c r="F311" s="2">
        <v>241.66666670000001</v>
      </c>
      <c r="G311" s="2">
        <v>354</v>
      </c>
      <c r="H311" s="2">
        <v>1281.666667</v>
      </c>
      <c r="I311" s="2">
        <v>2355.666667</v>
      </c>
      <c r="J311" s="2">
        <v>2.41</v>
      </c>
      <c r="K311" s="2">
        <v>3.57</v>
      </c>
      <c r="L311" s="2">
        <v>10.07</v>
      </c>
      <c r="M311" s="2">
        <v>14.1</v>
      </c>
      <c r="N311" s="2">
        <v>4.1586595109999998</v>
      </c>
      <c r="O311" s="2">
        <v>4.144826256</v>
      </c>
      <c r="P311" s="2">
        <v>1.90462065</v>
      </c>
      <c r="Q311" s="2">
        <v>1.9824833770000001</v>
      </c>
      <c r="R311" s="2">
        <v>0.70910509099999997</v>
      </c>
      <c r="S311" s="2">
        <v>0.79134093800000005</v>
      </c>
      <c r="T311" s="2">
        <v>1.767696181</v>
      </c>
      <c r="U311" s="2">
        <v>1.8176963049999999</v>
      </c>
      <c r="V311" s="2">
        <v>0.40357189900000001</v>
      </c>
      <c r="W311" s="2">
        <v>3.1841291000000001E-2</v>
      </c>
      <c r="X311">
        <f t="shared" si="12"/>
        <v>1</v>
      </c>
      <c r="Y311">
        <f t="shared" si="13"/>
        <v>1</v>
      </c>
      <c r="Z311">
        <f t="shared" si="14"/>
        <v>1</v>
      </c>
    </row>
    <row r="312" spans="1:26" ht="15.75" customHeight="1" x14ac:dyDescent="0.2">
      <c r="A312" s="2" t="s">
        <v>23</v>
      </c>
      <c r="B312" s="2" t="s">
        <v>24</v>
      </c>
      <c r="C312" s="2" t="s">
        <v>27</v>
      </c>
      <c r="D312" s="2" t="s">
        <v>27</v>
      </c>
      <c r="E312" s="2">
        <v>91</v>
      </c>
      <c r="F312" s="2">
        <v>219.66666670000001</v>
      </c>
      <c r="G312" s="2">
        <v>355</v>
      </c>
      <c r="H312" s="2">
        <v>2452.333333</v>
      </c>
      <c r="I312" s="2">
        <v>3177.333333</v>
      </c>
      <c r="J312" s="2">
        <v>2.17</v>
      </c>
      <c r="K312" s="2">
        <v>3.58</v>
      </c>
      <c r="L312" s="2">
        <v>14.37</v>
      </c>
      <c r="M312" s="2">
        <v>16.05</v>
      </c>
      <c r="N312" s="2">
        <v>0.16526224</v>
      </c>
      <c r="O312" s="2">
        <v>0.21657831999999999</v>
      </c>
      <c r="P312" s="2">
        <v>2.6278585670000001</v>
      </c>
      <c r="Q312" s="2">
        <v>2.603191604</v>
      </c>
      <c r="R312" s="2">
        <v>0.69929578000000003</v>
      </c>
      <c r="S312" s="2">
        <v>0.78153162600000003</v>
      </c>
      <c r="T312" s="2">
        <v>2.5331060110000001</v>
      </c>
      <c r="U312" s="2">
        <v>2.4831058869999998</v>
      </c>
      <c r="V312" s="2">
        <v>0.41338121100000003</v>
      </c>
      <c r="W312" s="2">
        <v>2.9485589E-2</v>
      </c>
      <c r="X312">
        <f t="shared" si="12"/>
        <v>1</v>
      </c>
      <c r="Y312">
        <f t="shared" si="13"/>
        <v>1</v>
      </c>
      <c r="Z312">
        <f t="shared" si="14"/>
        <v>0</v>
      </c>
    </row>
    <row r="313" spans="1:26" ht="15.75" customHeight="1" x14ac:dyDescent="0.2">
      <c r="A313" s="2" t="s">
        <v>23</v>
      </c>
      <c r="B313" s="2" t="s">
        <v>24</v>
      </c>
      <c r="C313" s="2" t="s">
        <v>30</v>
      </c>
      <c r="D313" s="2" t="s">
        <v>31</v>
      </c>
      <c r="E313" s="2">
        <v>144</v>
      </c>
      <c r="F313" s="2">
        <v>202</v>
      </c>
      <c r="G313" s="2">
        <v>438.33333329999999</v>
      </c>
      <c r="H313" s="2">
        <v>1280.333333</v>
      </c>
      <c r="I313" s="2">
        <v>2452.333333</v>
      </c>
      <c r="J313" s="2">
        <v>1.97</v>
      </c>
      <c r="K313" s="2">
        <v>4.37</v>
      </c>
      <c r="L313" s="2">
        <v>10.06</v>
      </c>
      <c r="M313" s="2">
        <v>14.37</v>
      </c>
      <c r="N313" s="2">
        <v>4.2237511449999996</v>
      </c>
      <c r="O313" s="2">
        <v>4.1978437370000004</v>
      </c>
      <c r="P313" s="2">
        <v>1.7766171909999999</v>
      </c>
      <c r="Q313" s="2">
        <v>1.8243805019999999</v>
      </c>
      <c r="R313" s="2">
        <v>8.9402876000000006E-2</v>
      </c>
      <c r="S313" s="2">
        <v>7.1670290000000001E-3</v>
      </c>
      <c r="T313" s="2">
        <v>1.7743663000000001</v>
      </c>
      <c r="U313" s="2">
        <v>1.8243664239999999</v>
      </c>
      <c r="V313" s="2">
        <v>1.2020798660000001</v>
      </c>
      <c r="W313" s="2">
        <v>3.3451834999999999E-2</v>
      </c>
      <c r="X313">
        <f t="shared" si="12"/>
        <v>1</v>
      </c>
      <c r="Y313">
        <f t="shared" si="13"/>
        <v>1</v>
      </c>
      <c r="Z313">
        <f t="shared" si="14"/>
        <v>1</v>
      </c>
    </row>
    <row r="314" spans="1:26" ht="15.75" customHeight="1" x14ac:dyDescent="0.2">
      <c r="A314" s="2" t="s">
        <v>23</v>
      </c>
      <c r="B314" s="2" t="s">
        <v>24</v>
      </c>
      <c r="C314" s="2" t="s">
        <v>27</v>
      </c>
      <c r="D314" s="2" t="s">
        <v>27</v>
      </c>
      <c r="E314" s="2">
        <v>109</v>
      </c>
      <c r="F314" s="2">
        <v>204.66666670000001</v>
      </c>
      <c r="G314" s="2">
        <v>365.33333329999999</v>
      </c>
      <c r="H314" s="2">
        <v>2421.333333</v>
      </c>
      <c r="I314" s="2">
        <v>3261</v>
      </c>
      <c r="J314" s="2">
        <v>2</v>
      </c>
      <c r="K314" s="2">
        <v>3.68</v>
      </c>
      <c r="L314" s="2">
        <v>14.29</v>
      </c>
      <c r="M314" s="2">
        <v>16.22</v>
      </c>
      <c r="N314" s="2">
        <v>6.1687723999999999E-2</v>
      </c>
      <c r="O314" s="2">
        <v>8.7841266000000001E-2</v>
      </c>
      <c r="P314" s="2">
        <v>2.5209014199999999</v>
      </c>
      <c r="Q314" s="2">
        <v>2.493540887</v>
      </c>
      <c r="R314" s="2">
        <v>0.59842691999999997</v>
      </c>
      <c r="S314" s="2">
        <v>0.68066276699999995</v>
      </c>
      <c r="T314" s="2">
        <v>2.448842419</v>
      </c>
      <c r="U314" s="2">
        <v>2.3988422950000001</v>
      </c>
      <c r="V314" s="2">
        <v>0.51425007</v>
      </c>
      <c r="W314" s="2">
        <v>5.4367494000000002E-2</v>
      </c>
      <c r="X314">
        <f t="shared" si="12"/>
        <v>1</v>
      </c>
      <c r="Y314">
        <f t="shared" si="13"/>
        <v>1</v>
      </c>
      <c r="Z314">
        <f t="shared" si="14"/>
        <v>0</v>
      </c>
    </row>
    <row r="315" spans="1:26" ht="15.75" customHeight="1" x14ac:dyDescent="0.2">
      <c r="A315" s="2" t="s">
        <v>23</v>
      </c>
      <c r="B315" s="2" t="s">
        <v>24</v>
      </c>
      <c r="C315" s="2" t="s">
        <v>26</v>
      </c>
      <c r="D315" s="2" t="s">
        <v>26</v>
      </c>
      <c r="E315" s="2">
        <v>84</v>
      </c>
      <c r="F315" s="2">
        <v>207.33333329999999</v>
      </c>
      <c r="G315" s="2">
        <v>391</v>
      </c>
      <c r="H315" s="2">
        <v>1023.666667</v>
      </c>
      <c r="I315" s="2">
        <v>2887.666667</v>
      </c>
      <c r="J315" s="2">
        <v>2.0299999999999998</v>
      </c>
      <c r="K315" s="2">
        <v>3.93</v>
      </c>
      <c r="L315" s="2">
        <v>8.67</v>
      </c>
      <c r="M315" s="2">
        <v>15.44</v>
      </c>
      <c r="N315" s="2">
        <v>0.51657563200000001</v>
      </c>
      <c r="O315" s="2">
        <v>0.56189244900000002</v>
      </c>
      <c r="P315" s="2">
        <v>3.1888484639999999</v>
      </c>
      <c r="Q315" s="2">
        <v>3.2485081189999998</v>
      </c>
      <c r="R315" s="2">
        <v>0.35171819399999998</v>
      </c>
      <c r="S315" s="2">
        <v>0.43395404100000001</v>
      </c>
      <c r="T315" s="2">
        <v>3.1693925030000001</v>
      </c>
      <c r="U315" s="2">
        <v>3.219392627</v>
      </c>
      <c r="V315" s="2">
        <v>0.76095879600000005</v>
      </c>
      <c r="W315" s="2">
        <v>5.0561137999999999E-2</v>
      </c>
      <c r="X315">
        <f t="shared" si="12"/>
        <v>1</v>
      </c>
      <c r="Y315">
        <f t="shared" si="13"/>
        <v>1</v>
      </c>
      <c r="Z315">
        <f t="shared" si="14"/>
        <v>0</v>
      </c>
    </row>
    <row r="316" spans="1:26" ht="15.75" customHeight="1" x14ac:dyDescent="0.2">
      <c r="A316" s="2" t="s">
        <v>23</v>
      </c>
      <c r="B316" s="2" t="s">
        <v>24</v>
      </c>
      <c r="C316" s="2" t="s">
        <v>27</v>
      </c>
      <c r="D316" s="2" t="s">
        <v>27</v>
      </c>
      <c r="E316" s="2">
        <v>137</v>
      </c>
      <c r="F316" s="2">
        <v>198.66666670000001</v>
      </c>
      <c r="G316" s="2">
        <v>337.66666670000001</v>
      </c>
      <c r="H316" s="2">
        <v>2338</v>
      </c>
      <c r="I316" s="2">
        <v>3151.666667</v>
      </c>
      <c r="J316" s="2">
        <v>1.94</v>
      </c>
      <c r="K316" s="2">
        <v>3.41</v>
      </c>
      <c r="L316" s="2">
        <v>14.05</v>
      </c>
      <c r="M316" s="2">
        <v>16</v>
      </c>
      <c r="N316" s="2">
        <v>0.30750100400000002</v>
      </c>
      <c r="O316" s="2">
        <v>0.35533720600000002</v>
      </c>
      <c r="P316" s="2">
        <v>2.3811384420000001</v>
      </c>
      <c r="Q316" s="2">
        <v>2.3665650770000002</v>
      </c>
      <c r="R316" s="2">
        <v>0.870532521</v>
      </c>
      <c r="S316" s="2">
        <v>0.95276836799999998</v>
      </c>
      <c r="T316" s="2">
        <v>2.2163017420000002</v>
      </c>
      <c r="U316" s="2">
        <v>2.1663016179999999</v>
      </c>
      <c r="V316" s="2">
        <v>0.242144469</v>
      </c>
      <c r="W316" s="2">
        <v>3.8602504000000003E-2</v>
      </c>
      <c r="X316">
        <f t="shared" si="12"/>
        <v>1</v>
      </c>
      <c r="Y316">
        <f t="shared" si="13"/>
        <v>1</v>
      </c>
      <c r="Z316">
        <f t="shared" si="14"/>
        <v>0</v>
      </c>
    </row>
    <row r="317" spans="1:26" ht="15.75" customHeight="1" x14ac:dyDescent="0.2">
      <c r="A317" s="2" t="s">
        <v>23</v>
      </c>
      <c r="B317" s="2" t="s">
        <v>24</v>
      </c>
      <c r="C317" s="2" t="s">
        <v>30</v>
      </c>
      <c r="D317" s="2" t="s">
        <v>31</v>
      </c>
      <c r="E317" s="2">
        <v>80</v>
      </c>
      <c r="F317" s="2">
        <v>188.33333329999999</v>
      </c>
      <c r="G317" s="2">
        <v>580</v>
      </c>
      <c r="H317" s="2">
        <v>1433.666667</v>
      </c>
      <c r="I317" s="2">
        <v>2818.333333</v>
      </c>
      <c r="J317" s="2">
        <v>1.82</v>
      </c>
      <c r="K317" s="2">
        <v>5.59</v>
      </c>
      <c r="L317" s="2">
        <v>10.8</v>
      </c>
      <c r="M317" s="2">
        <v>15.28</v>
      </c>
      <c r="N317" s="2">
        <v>3.936201192</v>
      </c>
      <c r="O317" s="2">
        <v>3.8911217709999999</v>
      </c>
      <c r="P317" s="2">
        <v>1.674776313</v>
      </c>
      <c r="Q317" s="2">
        <v>1.6439626270000001</v>
      </c>
      <c r="R317" s="2">
        <v>1.3114200250000001</v>
      </c>
      <c r="S317" s="2">
        <v>1.2291841779999999</v>
      </c>
      <c r="T317" s="2">
        <v>1.041658878</v>
      </c>
      <c r="U317" s="2">
        <v>1.0916590020000001</v>
      </c>
      <c r="V317" s="2">
        <v>2.4240970150000001</v>
      </c>
      <c r="W317" s="2">
        <v>4.1862072E-2</v>
      </c>
      <c r="X317">
        <f t="shared" si="12"/>
        <v>1</v>
      </c>
      <c r="Y317">
        <f t="shared" si="13"/>
        <v>1</v>
      </c>
      <c r="Z317">
        <f t="shared" si="14"/>
        <v>1</v>
      </c>
    </row>
    <row r="318" spans="1:26" ht="15.75" customHeight="1" x14ac:dyDescent="0.2">
      <c r="A318" s="2" t="s">
        <v>23</v>
      </c>
      <c r="B318" s="2" t="s">
        <v>24</v>
      </c>
      <c r="C318" s="2" t="s">
        <v>27</v>
      </c>
      <c r="D318" s="2" t="s">
        <v>27</v>
      </c>
      <c r="E318" s="2">
        <v>117</v>
      </c>
      <c r="F318" s="2">
        <v>205.33333329999999</v>
      </c>
      <c r="G318" s="2">
        <v>397.33333329999999</v>
      </c>
      <c r="H318" s="2">
        <v>2471</v>
      </c>
      <c r="I318" s="2">
        <v>3275.666667</v>
      </c>
      <c r="J318" s="2">
        <v>2.0099999999999998</v>
      </c>
      <c r="K318" s="2">
        <v>3.99</v>
      </c>
      <c r="L318" s="2">
        <v>14.42</v>
      </c>
      <c r="M318" s="2">
        <v>16.239999999999998</v>
      </c>
      <c r="N318" s="2">
        <v>0.37822694600000001</v>
      </c>
      <c r="O318" s="2">
        <v>0.33406404000000001</v>
      </c>
      <c r="P318" s="2">
        <v>2.5996901120000002</v>
      </c>
      <c r="Q318" s="2">
        <v>2.5607214439999999</v>
      </c>
      <c r="R318" s="2">
        <v>0.29166838899999997</v>
      </c>
      <c r="S318" s="2">
        <v>0.373904236</v>
      </c>
      <c r="T318" s="2">
        <v>2.5832766459999998</v>
      </c>
      <c r="U318" s="2">
        <v>2.533276522</v>
      </c>
      <c r="V318" s="2">
        <v>0.82100860099999995</v>
      </c>
      <c r="W318" s="2">
        <v>4.1174285999999997E-2</v>
      </c>
      <c r="X318">
        <f t="shared" si="12"/>
        <v>1</v>
      </c>
      <c r="Y318">
        <f t="shared" si="13"/>
        <v>1</v>
      </c>
      <c r="Z318">
        <f t="shared" si="14"/>
        <v>0</v>
      </c>
    </row>
    <row r="319" spans="1:26" ht="15.75" customHeight="1" x14ac:dyDescent="0.2">
      <c r="A319" s="2" t="s">
        <v>23</v>
      </c>
      <c r="B319" s="2" t="s">
        <v>24</v>
      </c>
      <c r="C319" s="2" t="s">
        <v>26</v>
      </c>
      <c r="D319" s="2" t="s">
        <v>26</v>
      </c>
      <c r="E319" s="2">
        <v>133</v>
      </c>
      <c r="F319" s="2">
        <v>209</v>
      </c>
      <c r="G319" s="2">
        <v>332.33333329999999</v>
      </c>
      <c r="H319" s="2">
        <v>1172.666667</v>
      </c>
      <c r="I319" s="2">
        <v>2688.333333</v>
      </c>
      <c r="J319" s="2">
        <v>2.0499999999999998</v>
      </c>
      <c r="K319" s="2">
        <v>3.36</v>
      </c>
      <c r="L319" s="2">
        <v>9.51</v>
      </c>
      <c r="M319" s="2">
        <v>14.98</v>
      </c>
      <c r="N319" s="2">
        <v>1.3109968649999999</v>
      </c>
      <c r="O319" s="2">
        <v>1.417801549</v>
      </c>
      <c r="P319" s="2">
        <v>2.5080297640000002</v>
      </c>
      <c r="Q319" s="2">
        <v>2.585455069</v>
      </c>
      <c r="R319" s="2">
        <v>0.92374173199999998</v>
      </c>
      <c r="S319" s="2">
        <v>1.0059775790000001</v>
      </c>
      <c r="T319" s="2">
        <v>2.3317192179999999</v>
      </c>
      <c r="U319" s="2">
        <v>2.3817193419999998</v>
      </c>
      <c r="V319" s="2">
        <v>0.18893525799999999</v>
      </c>
      <c r="W319" s="2">
        <v>3.5612012999999998E-2</v>
      </c>
      <c r="X319">
        <f t="shared" si="12"/>
        <v>1</v>
      </c>
      <c r="Y319">
        <f t="shared" si="13"/>
        <v>1</v>
      </c>
      <c r="Z319">
        <f t="shared" si="14"/>
        <v>0</v>
      </c>
    </row>
    <row r="320" spans="1:26" ht="15.75" customHeight="1" x14ac:dyDescent="0.2">
      <c r="A320" s="2" t="s">
        <v>23</v>
      </c>
      <c r="B320" s="2" t="s">
        <v>24</v>
      </c>
      <c r="C320" s="2" t="s">
        <v>30</v>
      </c>
      <c r="D320" s="2" t="s">
        <v>31</v>
      </c>
      <c r="E320" s="2">
        <v>120</v>
      </c>
      <c r="F320" s="2">
        <v>187.66666670000001</v>
      </c>
      <c r="G320" s="2">
        <v>365</v>
      </c>
      <c r="H320" s="2">
        <v>1352.333333</v>
      </c>
      <c r="I320" s="2">
        <v>2422</v>
      </c>
      <c r="J320" s="2">
        <v>1.81</v>
      </c>
      <c r="K320" s="2">
        <v>3.68</v>
      </c>
      <c r="L320" s="2">
        <v>10.42</v>
      </c>
      <c r="M320" s="2">
        <v>14.29</v>
      </c>
      <c r="N320" s="2">
        <v>3.8118316829999999</v>
      </c>
      <c r="O320" s="2">
        <v>3.7963452740000001</v>
      </c>
      <c r="P320" s="2">
        <v>1.543923835</v>
      </c>
      <c r="Q320" s="2">
        <v>1.622993371</v>
      </c>
      <c r="R320" s="2">
        <v>0.601666759</v>
      </c>
      <c r="S320" s="2">
        <v>0.68390260599999997</v>
      </c>
      <c r="T320" s="2">
        <v>1.421864241</v>
      </c>
      <c r="U320" s="2">
        <v>1.4718643650000001</v>
      </c>
      <c r="V320" s="2">
        <v>0.51101023099999998</v>
      </c>
      <c r="W320" s="2">
        <v>3.2704881999999998E-2</v>
      </c>
      <c r="X320">
        <f t="shared" si="12"/>
        <v>1</v>
      </c>
      <c r="Y320">
        <f t="shared" si="13"/>
        <v>1</v>
      </c>
      <c r="Z320">
        <f t="shared" si="14"/>
        <v>1</v>
      </c>
    </row>
    <row r="321" spans="1:26" ht="15.75" customHeight="1" x14ac:dyDescent="0.2">
      <c r="A321" s="2" t="s">
        <v>23</v>
      </c>
      <c r="B321" s="2" t="s">
        <v>24</v>
      </c>
      <c r="C321" s="2" t="s">
        <v>32</v>
      </c>
      <c r="D321" s="2" t="s">
        <v>33</v>
      </c>
      <c r="E321" s="2">
        <v>109</v>
      </c>
      <c r="F321" s="2">
        <v>205.33333329999999</v>
      </c>
      <c r="G321" s="2">
        <v>435</v>
      </c>
      <c r="H321" s="2">
        <v>853</v>
      </c>
      <c r="I321" s="2">
        <v>2477</v>
      </c>
      <c r="J321" s="2">
        <v>2.0099999999999998</v>
      </c>
      <c r="K321" s="2">
        <v>4.34</v>
      </c>
      <c r="L321" s="2">
        <v>7.6</v>
      </c>
      <c r="M321" s="2">
        <v>14.44</v>
      </c>
      <c r="N321" s="2">
        <v>5.1686546680000003</v>
      </c>
      <c r="O321" s="2">
        <v>5.0331703650000001</v>
      </c>
      <c r="P321" s="2">
        <v>4.2383192090000001</v>
      </c>
      <c r="Q321" s="2">
        <v>4.2879733760000001</v>
      </c>
      <c r="R321" s="2">
        <v>5.8908723000000003E-2</v>
      </c>
      <c r="S321" s="2">
        <v>2.3327124000000001E-2</v>
      </c>
      <c r="T321" s="2">
        <v>4.2379097999999997</v>
      </c>
      <c r="U321" s="2">
        <v>4.287909924</v>
      </c>
      <c r="V321" s="2">
        <v>1.171585713</v>
      </c>
      <c r="W321" s="2">
        <v>3.6898017999999998E-2</v>
      </c>
      <c r="X321">
        <f t="shared" si="12"/>
        <v>1</v>
      </c>
      <c r="Y321">
        <f t="shared" si="13"/>
        <v>1</v>
      </c>
      <c r="Z321">
        <f t="shared" si="14"/>
        <v>1</v>
      </c>
    </row>
    <row r="322" spans="1:26" ht="15.75" customHeight="1" x14ac:dyDescent="0.2">
      <c r="A322" s="2" t="s">
        <v>23</v>
      </c>
      <c r="B322" s="2" t="s">
        <v>24</v>
      </c>
      <c r="C322" s="2" t="s">
        <v>28</v>
      </c>
      <c r="D322" s="2" t="s">
        <v>29</v>
      </c>
      <c r="E322" s="2">
        <v>101</v>
      </c>
      <c r="F322" s="2">
        <v>197</v>
      </c>
      <c r="G322" s="2">
        <v>295</v>
      </c>
      <c r="H322" s="2">
        <v>1590.666667</v>
      </c>
      <c r="I322" s="2">
        <v>2792.666667</v>
      </c>
      <c r="J322" s="2">
        <v>1.92</v>
      </c>
      <c r="K322" s="2">
        <v>2.98</v>
      </c>
      <c r="L322" s="2">
        <v>11.48</v>
      </c>
      <c r="M322" s="2">
        <v>15.22</v>
      </c>
      <c r="N322" s="2">
        <v>3.321203369</v>
      </c>
      <c r="O322" s="2">
        <v>3.425883276</v>
      </c>
      <c r="P322" s="2">
        <v>1.3512659929999999</v>
      </c>
      <c r="Q322" s="2">
        <v>1.4440329169999999</v>
      </c>
      <c r="R322" s="2">
        <v>1.3032535789999999</v>
      </c>
      <c r="S322" s="2">
        <v>1.3854894259999999</v>
      </c>
      <c r="T322" s="2">
        <v>0.35700124799999999</v>
      </c>
      <c r="U322" s="2">
        <v>0.40700137199999997</v>
      </c>
      <c r="V322" s="2">
        <v>-0.19057658899999999</v>
      </c>
      <c r="W322" s="2">
        <v>3.7461823999999998E-2</v>
      </c>
      <c r="X322">
        <f t="shared" si="12"/>
        <v>1</v>
      </c>
      <c r="Y322">
        <f t="shared" si="13"/>
        <v>1</v>
      </c>
      <c r="Z322">
        <f t="shared" si="14"/>
        <v>1</v>
      </c>
    </row>
    <row r="323" spans="1:26" ht="15.75" customHeight="1" x14ac:dyDescent="0.2">
      <c r="A323" s="2" t="s">
        <v>23</v>
      </c>
      <c r="B323" s="2" t="s">
        <v>24</v>
      </c>
      <c r="C323" s="2" t="s">
        <v>28</v>
      </c>
      <c r="D323" s="2" t="s">
        <v>29</v>
      </c>
      <c r="E323" s="2">
        <v>126</v>
      </c>
      <c r="F323" s="2">
        <v>230.66666670000001</v>
      </c>
      <c r="G323" s="2">
        <v>449</v>
      </c>
      <c r="H323" s="2">
        <v>1765.333333</v>
      </c>
      <c r="I323" s="2">
        <v>2541.333333</v>
      </c>
      <c r="J323" s="2">
        <v>2.29</v>
      </c>
      <c r="K323" s="2">
        <v>4.47</v>
      </c>
      <c r="L323" s="2">
        <v>12.17</v>
      </c>
      <c r="M323" s="2">
        <v>14.61</v>
      </c>
      <c r="N323" s="2">
        <v>4.0274566419999998</v>
      </c>
      <c r="O323" s="2">
        <v>4.0999352189999998</v>
      </c>
      <c r="P323" s="2">
        <v>0.385022584</v>
      </c>
      <c r="Q323" s="2">
        <v>0.30521514999999999</v>
      </c>
      <c r="R323" s="2">
        <v>0.18641706699999999</v>
      </c>
      <c r="S323" s="2">
        <v>0.10418122</v>
      </c>
      <c r="T323" s="2">
        <v>0.336884354</v>
      </c>
      <c r="U323" s="2">
        <v>0.28688423000000002</v>
      </c>
      <c r="V323" s="2">
        <v>1.299094057</v>
      </c>
      <c r="W323" s="2">
        <v>4.6412800999999997E-2</v>
      </c>
      <c r="X323">
        <f t="shared" ref="X323:X386" si="15">IF(B323="normal",1,0)</f>
        <v>1</v>
      </c>
      <c r="Y323">
        <f t="shared" ref="Y323:Y386" si="16">IF(A323="lecture",1,0)</f>
        <v>1</v>
      </c>
      <c r="Z323">
        <f t="shared" ref="Z323:Z386" si="17">IF(ISNUMBER(FIND("~",D323)),1,0)</f>
        <v>1</v>
      </c>
    </row>
    <row r="324" spans="1:26" ht="15.75" customHeight="1" x14ac:dyDescent="0.2">
      <c r="A324" s="2" t="s">
        <v>23</v>
      </c>
      <c r="B324" s="2" t="s">
        <v>24</v>
      </c>
      <c r="C324" s="2" t="s">
        <v>26</v>
      </c>
      <c r="D324" s="2" t="s">
        <v>26</v>
      </c>
      <c r="E324" s="2">
        <v>100</v>
      </c>
      <c r="F324" s="2">
        <v>161.33333329999999</v>
      </c>
      <c r="G324" s="2">
        <v>352.33333329999999</v>
      </c>
      <c r="H324" s="2">
        <v>842.33333330000005</v>
      </c>
      <c r="I324" s="2">
        <v>2867</v>
      </c>
      <c r="J324" s="2">
        <v>1.51</v>
      </c>
      <c r="K324" s="2">
        <v>3.56</v>
      </c>
      <c r="L324" s="2">
        <v>7.53</v>
      </c>
      <c r="M324" s="2">
        <v>15.39</v>
      </c>
      <c r="N324" s="2">
        <v>0.70815684899999998</v>
      </c>
      <c r="O324" s="2">
        <v>0.63796993800000001</v>
      </c>
      <c r="P324" s="2">
        <v>4.3696576479999996</v>
      </c>
      <c r="Q324" s="2">
        <v>4.4332147329999998</v>
      </c>
      <c r="R324" s="2">
        <v>0.72547279799999997</v>
      </c>
      <c r="S324" s="2">
        <v>0.80770864499999995</v>
      </c>
      <c r="T324" s="2">
        <v>4.309013481</v>
      </c>
      <c r="U324" s="2">
        <v>4.3590136050000003</v>
      </c>
      <c r="V324" s="2">
        <v>0.387204192</v>
      </c>
      <c r="W324" s="2">
        <v>4.2648522000000001E-2</v>
      </c>
      <c r="X324">
        <f t="shared" si="15"/>
        <v>1</v>
      </c>
      <c r="Y324">
        <f t="shared" si="16"/>
        <v>1</v>
      </c>
      <c r="Z324">
        <f t="shared" si="17"/>
        <v>0</v>
      </c>
    </row>
    <row r="325" spans="1:26" ht="15.75" customHeight="1" x14ac:dyDescent="0.2">
      <c r="A325" s="2" t="s">
        <v>23</v>
      </c>
      <c r="B325" s="2" t="s">
        <v>24</v>
      </c>
      <c r="C325" s="2" t="s">
        <v>25</v>
      </c>
      <c r="D325" s="2" t="s">
        <v>25</v>
      </c>
      <c r="E325" s="2">
        <v>120</v>
      </c>
      <c r="F325" s="2">
        <v>183.33333329999999</v>
      </c>
      <c r="G325" s="2">
        <v>713.66666669999995</v>
      </c>
      <c r="H325" s="2">
        <v>1780</v>
      </c>
      <c r="I325" s="2">
        <v>2789</v>
      </c>
      <c r="J325" s="2">
        <v>1.76</v>
      </c>
      <c r="K325" s="2">
        <v>6.63</v>
      </c>
      <c r="L325" s="2">
        <v>12.23</v>
      </c>
      <c r="M325" s="2">
        <v>15.22</v>
      </c>
      <c r="N325" s="2">
        <v>1.0393274189999999</v>
      </c>
      <c r="O325" s="2">
        <v>1.1568597469999999</v>
      </c>
      <c r="P325" s="2">
        <v>2.3782545590000002</v>
      </c>
      <c r="Q325" s="2">
        <v>2.2891783160000001</v>
      </c>
      <c r="R325" s="2">
        <v>2.3456926380000001</v>
      </c>
      <c r="S325" s="2">
        <v>2.2634567909999999</v>
      </c>
      <c r="T325" s="2">
        <v>0.39219994600000002</v>
      </c>
      <c r="U325" s="2">
        <v>0.34219982199999999</v>
      </c>
      <c r="V325" s="2">
        <v>3.4583696279999998</v>
      </c>
      <c r="W325" s="2">
        <v>4.9655414000000002E-2</v>
      </c>
      <c r="X325">
        <f t="shared" si="15"/>
        <v>1</v>
      </c>
      <c r="Y325">
        <f t="shared" si="16"/>
        <v>1</v>
      </c>
      <c r="Z325">
        <f t="shared" si="17"/>
        <v>0</v>
      </c>
    </row>
    <row r="326" spans="1:26" ht="15.75" customHeight="1" x14ac:dyDescent="0.2">
      <c r="A326" s="2" t="s">
        <v>23</v>
      </c>
      <c r="B326" s="2" t="s">
        <v>24</v>
      </c>
      <c r="C326" s="2" t="s">
        <v>30</v>
      </c>
      <c r="D326" s="2" t="s">
        <v>31</v>
      </c>
      <c r="E326" s="2">
        <v>127</v>
      </c>
      <c r="F326" s="2">
        <v>163.33333329999999</v>
      </c>
      <c r="G326" s="2">
        <v>387</v>
      </c>
      <c r="H326" s="2">
        <v>1737.333333</v>
      </c>
      <c r="I326" s="2">
        <v>2806</v>
      </c>
      <c r="J326" s="2">
        <v>1.53</v>
      </c>
      <c r="K326" s="2">
        <v>3.89</v>
      </c>
      <c r="L326" s="2">
        <v>12.07</v>
      </c>
      <c r="M326" s="2">
        <v>15.25</v>
      </c>
      <c r="N326" s="2">
        <v>2.1717635340000001</v>
      </c>
      <c r="O326" s="2">
        <v>2.1502347730000002</v>
      </c>
      <c r="P326" s="2">
        <v>0.45263891699999997</v>
      </c>
      <c r="Q326" s="2">
        <v>0.50522400199999995</v>
      </c>
      <c r="R326" s="2">
        <v>0.38981136799999999</v>
      </c>
      <c r="S326" s="2">
        <v>0.47204721500000002</v>
      </c>
      <c r="T326" s="2">
        <v>0.23006322300000001</v>
      </c>
      <c r="U326" s="2">
        <v>0.180063099</v>
      </c>
      <c r="V326" s="2">
        <v>0.72286562200000004</v>
      </c>
      <c r="W326" s="2">
        <v>6.2857519000000001E-2</v>
      </c>
      <c r="X326">
        <f t="shared" si="15"/>
        <v>1</v>
      </c>
      <c r="Y326">
        <f t="shared" si="16"/>
        <v>1</v>
      </c>
      <c r="Z326">
        <f t="shared" si="17"/>
        <v>1</v>
      </c>
    </row>
    <row r="327" spans="1:26" ht="15.75" customHeight="1" x14ac:dyDescent="0.2">
      <c r="A327" s="2" t="s">
        <v>23</v>
      </c>
      <c r="B327" s="2" t="s">
        <v>24</v>
      </c>
      <c r="C327" s="2" t="s">
        <v>28</v>
      </c>
      <c r="D327" s="2" t="s">
        <v>29</v>
      </c>
      <c r="E327" s="2">
        <v>149</v>
      </c>
      <c r="F327" s="2">
        <v>222.33333329999999</v>
      </c>
      <c r="G327" s="2">
        <v>388.66666670000001</v>
      </c>
      <c r="H327" s="2">
        <v>1483.666667</v>
      </c>
      <c r="I327" s="2">
        <v>2977</v>
      </c>
      <c r="J327" s="2">
        <v>2.2000000000000002</v>
      </c>
      <c r="K327" s="2">
        <v>3.91</v>
      </c>
      <c r="L327" s="2">
        <v>11.02</v>
      </c>
      <c r="M327" s="2">
        <v>15.64</v>
      </c>
      <c r="N327" s="2">
        <v>2.8024791389999999</v>
      </c>
      <c r="O327" s="2">
        <v>2.8857075550000002</v>
      </c>
      <c r="P327" s="2">
        <v>0.89835765499999998</v>
      </c>
      <c r="Q327" s="2">
        <v>0.97953726600000002</v>
      </c>
      <c r="R327" s="2">
        <v>0.37392344399999999</v>
      </c>
      <c r="S327" s="2">
        <v>0.45615929100000002</v>
      </c>
      <c r="T327" s="2">
        <v>0.81684009099999999</v>
      </c>
      <c r="U327" s="2">
        <v>0.86684021499999997</v>
      </c>
      <c r="V327" s="2">
        <v>0.73875354599999998</v>
      </c>
      <c r="W327" s="2">
        <v>3.9036572999999998E-2</v>
      </c>
      <c r="X327">
        <f t="shared" si="15"/>
        <v>1</v>
      </c>
      <c r="Y327">
        <f t="shared" si="16"/>
        <v>1</v>
      </c>
      <c r="Z327">
        <f t="shared" si="17"/>
        <v>1</v>
      </c>
    </row>
    <row r="328" spans="1:26" ht="15.75" customHeight="1" x14ac:dyDescent="0.2">
      <c r="A328" s="2" t="s">
        <v>23</v>
      </c>
      <c r="B328" s="2" t="s">
        <v>24</v>
      </c>
      <c r="C328" s="2" t="s">
        <v>28</v>
      </c>
      <c r="D328" s="2" t="s">
        <v>29</v>
      </c>
      <c r="E328" s="2">
        <v>138</v>
      </c>
      <c r="F328" s="2">
        <v>211</v>
      </c>
      <c r="G328" s="2">
        <v>389.66666670000001</v>
      </c>
      <c r="H328" s="2">
        <v>1445</v>
      </c>
      <c r="I328" s="2">
        <v>3050</v>
      </c>
      <c r="J328" s="2">
        <v>2.08</v>
      </c>
      <c r="K328" s="2">
        <v>3.92</v>
      </c>
      <c r="L328" s="2">
        <v>10.85</v>
      </c>
      <c r="M328" s="2">
        <v>15.79</v>
      </c>
      <c r="N328" s="2">
        <v>2.6308615679999998</v>
      </c>
      <c r="O328" s="2">
        <v>2.7133563770000002</v>
      </c>
      <c r="P328" s="2">
        <v>1.0550490939999999</v>
      </c>
      <c r="Q328" s="2">
        <v>1.131961767</v>
      </c>
      <c r="R328" s="2">
        <v>0.36440150799999999</v>
      </c>
      <c r="S328" s="2">
        <v>0.44663735500000001</v>
      </c>
      <c r="T328" s="2">
        <v>0.99012127100000002</v>
      </c>
      <c r="U328" s="2">
        <v>1.0401213949999999</v>
      </c>
      <c r="V328" s="2">
        <v>0.74827548200000005</v>
      </c>
      <c r="W328" s="2">
        <v>3.3384700000000003E-2</v>
      </c>
      <c r="X328">
        <f t="shared" si="15"/>
        <v>1</v>
      </c>
      <c r="Y328">
        <f t="shared" si="16"/>
        <v>1</v>
      </c>
      <c r="Z328">
        <f t="shared" si="17"/>
        <v>1</v>
      </c>
    </row>
    <row r="329" spans="1:26" ht="15.75" customHeight="1" x14ac:dyDescent="0.2">
      <c r="A329" s="2" t="s">
        <v>23</v>
      </c>
      <c r="B329" s="2" t="s">
        <v>24</v>
      </c>
      <c r="C329" s="2" t="s">
        <v>32</v>
      </c>
      <c r="D329" s="2" t="s">
        <v>33</v>
      </c>
      <c r="E329" s="2">
        <v>140</v>
      </c>
      <c r="F329" s="2">
        <v>201.33333329999999</v>
      </c>
      <c r="G329" s="2">
        <v>474.66666670000001</v>
      </c>
      <c r="H329" s="2">
        <v>1357.666667</v>
      </c>
      <c r="I329" s="2">
        <v>2594.333333</v>
      </c>
      <c r="J329" s="2">
        <v>1.97</v>
      </c>
      <c r="K329" s="2">
        <v>4.7</v>
      </c>
      <c r="L329" s="2">
        <v>10.44</v>
      </c>
      <c r="M329" s="2">
        <v>14.74</v>
      </c>
      <c r="N329" s="2">
        <v>3.0741374210000001</v>
      </c>
      <c r="O329" s="2">
        <v>3.016982214</v>
      </c>
      <c r="P329" s="2">
        <v>1.457118004</v>
      </c>
      <c r="Q329" s="2">
        <v>1.484456276</v>
      </c>
      <c r="R329" s="2">
        <v>0.41637375500000001</v>
      </c>
      <c r="S329" s="2">
        <v>0.33413790799999998</v>
      </c>
      <c r="T329" s="2">
        <v>1.39636162</v>
      </c>
      <c r="U329" s="2">
        <v>1.4463617440000001</v>
      </c>
      <c r="V329" s="2">
        <v>1.5290507449999999</v>
      </c>
      <c r="W329" s="2">
        <v>3.6949211000000003E-2</v>
      </c>
      <c r="X329">
        <f t="shared" si="15"/>
        <v>1</v>
      </c>
      <c r="Y329">
        <f t="shared" si="16"/>
        <v>1</v>
      </c>
      <c r="Z329">
        <f t="shared" si="17"/>
        <v>1</v>
      </c>
    </row>
    <row r="330" spans="1:26" ht="15.75" customHeight="1" x14ac:dyDescent="0.2">
      <c r="A330" s="2" t="s">
        <v>23</v>
      </c>
      <c r="B330" s="2" t="s">
        <v>24</v>
      </c>
      <c r="C330" s="2" t="s">
        <v>25</v>
      </c>
      <c r="D330" s="2" t="s">
        <v>25</v>
      </c>
      <c r="E330" s="2">
        <v>152</v>
      </c>
      <c r="F330" s="2">
        <v>119.33333330000001</v>
      </c>
      <c r="G330" s="2">
        <v>752.66666669999995</v>
      </c>
      <c r="H330" s="2">
        <v>1683.333333</v>
      </c>
      <c r="I330" s="2">
        <v>2651</v>
      </c>
      <c r="J330" s="2">
        <v>1.01</v>
      </c>
      <c r="K330" s="2">
        <v>6.91</v>
      </c>
      <c r="L330" s="2">
        <v>11.86</v>
      </c>
      <c r="M330" s="2">
        <v>14.88</v>
      </c>
      <c r="N330" s="2">
        <v>0.62567451799999996</v>
      </c>
      <c r="O330" s="2">
        <v>0.71085309100000005</v>
      </c>
      <c r="P330" s="2">
        <v>2.6283263699999999</v>
      </c>
      <c r="Q330" s="2">
        <v>2.5462025289999999</v>
      </c>
      <c r="R330" s="2">
        <v>2.6282546660000001</v>
      </c>
      <c r="S330" s="2">
        <v>2.54601882</v>
      </c>
      <c r="T330" s="2">
        <v>1.9414354000000002E-2</v>
      </c>
      <c r="U330" s="2">
        <v>3.0585770000000002E-2</v>
      </c>
      <c r="V330" s="2">
        <v>3.740931657</v>
      </c>
      <c r="W330" s="2">
        <v>3.3322056000000003E-2</v>
      </c>
      <c r="X330">
        <f t="shared" si="15"/>
        <v>1</v>
      </c>
      <c r="Y330">
        <f t="shared" si="16"/>
        <v>1</v>
      </c>
      <c r="Z330">
        <f t="shared" si="17"/>
        <v>0</v>
      </c>
    </row>
    <row r="331" spans="1:26" ht="15.75" customHeight="1" x14ac:dyDescent="0.2">
      <c r="A331" s="2" t="s">
        <v>23</v>
      </c>
      <c r="B331" s="2" t="s">
        <v>24</v>
      </c>
      <c r="C331" s="2" t="s">
        <v>27</v>
      </c>
      <c r="D331" s="2" t="s">
        <v>27</v>
      </c>
      <c r="E331" s="2">
        <v>108</v>
      </c>
      <c r="F331" s="2">
        <v>207.66666670000001</v>
      </c>
      <c r="G331" s="2">
        <v>342</v>
      </c>
      <c r="H331" s="2">
        <v>2437</v>
      </c>
      <c r="I331" s="2">
        <v>3296</v>
      </c>
      <c r="J331" s="2">
        <v>2.04</v>
      </c>
      <c r="K331" s="2">
        <v>3.45</v>
      </c>
      <c r="L331" s="2">
        <v>14.33</v>
      </c>
      <c r="M331" s="2">
        <v>16.28</v>
      </c>
      <c r="N331" s="2">
        <v>0.233965111</v>
      </c>
      <c r="O331" s="2">
        <v>0.29929173999999997</v>
      </c>
      <c r="P331" s="2">
        <v>2.625390538</v>
      </c>
      <c r="Q331" s="2">
        <v>2.6055474140000001</v>
      </c>
      <c r="R331" s="2">
        <v>0.82748158100000002</v>
      </c>
      <c r="S331" s="2">
        <v>0.90971742799999999</v>
      </c>
      <c r="T331" s="2">
        <v>2.4915757479999998</v>
      </c>
      <c r="U331" s="2">
        <v>2.4415756239999999</v>
      </c>
      <c r="V331" s="2">
        <v>0.28519540900000001</v>
      </c>
      <c r="W331" s="2">
        <v>5.2268099999999998E-2</v>
      </c>
      <c r="X331">
        <f t="shared" si="15"/>
        <v>1</v>
      </c>
      <c r="Y331">
        <f t="shared" si="16"/>
        <v>1</v>
      </c>
      <c r="Z331">
        <f t="shared" si="17"/>
        <v>0</v>
      </c>
    </row>
    <row r="332" spans="1:26" ht="15.75" customHeight="1" x14ac:dyDescent="0.2">
      <c r="A332" s="2" t="s">
        <v>23</v>
      </c>
      <c r="B332" s="2" t="s">
        <v>24</v>
      </c>
      <c r="C332" s="2" t="s">
        <v>32</v>
      </c>
      <c r="D332" s="2" t="s">
        <v>33</v>
      </c>
      <c r="E332" s="2">
        <v>177</v>
      </c>
      <c r="F332" s="2">
        <v>160.66666670000001</v>
      </c>
      <c r="G332" s="2">
        <v>399</v>
      </c>
      <c r="H332" s="2">
        <v>1492.666667</v>
      </c>
      <c r="I332" s="2">
        <v>3099.333333</v>
      </c>
      <c r="J332" s="2">
        <v>1.5</v>
      </c>
      <c r="K332" s="2">
        <v>4</v>
      </c>
      <c r="L332" s="2">
        <v>11.06</v>
      </c>
      <c r="M332" s="2">
        <v>15.89</v>
      </c>
      <c r="N332" s="2">
        <v>3.5595690000000002</v>
      </c>
      <c r="O332" s="2">
        <v>3.545125106</v>
      </c>
      <c r="P332" s="2">
        <v>0.82459706899999996</v>
      </c>
      <c r="Q332" s="2">
        <v>0.90128276299999999</v>
      </c>
      <c r="R332" s="2">
        <v>0.27591939900000001</v>
      </c>
      <c r="S332" s="2">
        <v>0.35815524599999998</v>
      </c>
      <c r="T332" s="2">
        <v>0.77706422600000002</v>
      </c>
      <c r="U332" s="2">
        <v>0.82706435</v>
      </c>
      <c r="V332" s="2">
        <v>0.83675759100000002</v>
      </c>
      <c r="W332" s="2">
        <v>2.9490921E-2</v>
      </c>
      <c r="X332">
        <f t="shared" si="15"/>
        <v>1</v>
      </c>
      <c r="Y332">
        <f t="shared" si="16"/>
        <v>1</v>
      </c>
      <c r="Z332">
        <f t="shared" si="17"/>
        <v>1</v>
      </c>
    </row>
    <row r="333" spans="1:26" ht="15.75" customHeight="1" x14ac:dyDescent="0.2">
      <c r="A333" s="2" t="s">
        <v>23</v>
      </c>
      <c r="B333" s="2" t="s">
        <v>24</v>
      </c>
      <c r="C333" s="2" t="s">
        <v>28</v>
      </c>
      <c r="D333" s="2" t="s">
        <v>29</v>
      </c>
      <c r="E333" s="2">
        <v>84</v>
      </c>
      <c r="F333" s="2">
        <v>110.33333330000001</v>
      </c>
      <c r="G333" s="2">
        <v>476.66666670000001</v>
      </c>
      <c r="H333" s="2">
        <v>1474</v>
      </c>
      <c r="I333" s="2">
        <v>2431.333333</v>
      </c>
      <c r="J333" s="2">
        <v>0.9</v>
      </c>
      <c r="K333" s="2">
        <v>4.71</v>
      </c>
      <c r="L333" s="2">
        <v>10.98</v>
      </c>
      <c r="M333" s="2">
        <v>14.31</v>
      </c>
      <c r="N333" s="2">
        <v>2.9451141070000002</v>
      </c>
      <c r="O333" s="2">
        <v>3.0014167139999999</v>
      </c>
      <c r="P333" s="2">
        <v>0.96316142299999996</v>
      </c>
      <c r="Q333" s="2">
        <v>0.97546244800000004</v>
      </c>
      <c r="R333" s="2">
        <v>0.434089004</v>
      </c>
      <c r="S333" s="2">
        <v>0.35185315700000003</v>
      </c>
      <c r="T333" s="2">
        <v>0.85979454799999999</v>
      </c>
      <c r="U333" s="2">
        <v>0.90979467199999997</v>
      </c>
      <c r="V333" s="2">
        <v>1.546765994</v>
      </c>
      <c r="W333" s="2">
        <v>3.9592233999999997E-2</v>
      </c>
      <c r="X333">
        <f t="shared" si="15"/>
        <v>1</v>
      </c>
      <c r="Y333">
        <f t="shared" si="16"/>
        <v>1</v>
      </c>
      <c r="Z333">
        <f t="shared" si="17"/>
        <v>1</v>
      </c>
    </row>
    <row r="334" spans="1:26" ht="15.75" customHeight="1" x14ac:dyDescent="0.2">
      <c r="A334" s="2" t="s">
        <v>23</v>
      </c>
      <c r="B334" s="2" t="s">
        <v>24</v>
      </c>
      <c r="C334" s="2" t="s">
        <v>27</v>
      </c>
      <c r="D334" s="2" t="s">
        <v>27</v>
      </c>
      <c r="E334" s="2">
        <v>91</v>
      </c>
      <c r="F334" s="2">
        <v>116.33333330000001</v>
      </c>
      <c r="G334" s="2">
        <v>350</v>
      </c>
      <c r="H334" s="2">
        <v>2340.666667</v>
      </c>
      <c r="I334" s="2">
        <v>3142</v>
      </c>
      <c r="J334" s="2">
        <v>0.97</v>
      </c>
      <c r="K334" s="2">
        <v>3.53</v>
      </c>
      <c r="L334" s="2">
        <v>14.06</v>
      </c>
      <c r="M334" s="2">
        <v>15.98</v>
      </c>
      <c r="N334" s="2">
        <v>0.21192956700000001</v>
      </c>
      <c r="O334" s="2">
        <v>0.24717253</v>
      </c>
      <c r="P334" s="2">
        <v>2.3464435379999999</v>
      </c>
      <c r="Q334" s="2">
        <v>2.3271799049999999</v>
      </c>
      <c r="R334" s="2">
        <v>0.74842726699999995</v>
      </c>
      <c r="S334" s="2">
        <v>0.83066311400000004</v>
      </c>
      <c r="T334" s="2">
        <v>2.2238826180000002</v>
      </c>
      <c r="U334" s="2">
        <v>2.1738824939999999</v>
      </c>
      <c r="V334" s="2">
        <v>0.36424972300000003</v>
      </c>
      <c r="W334" s="2">
        <v>2.6130487000000001E-2</v>
      </c>
      <c r="X334">
        <f t="shared" si="15"/>
        <v>1</v>
      </c>
      <c r="Y334">
        <f t="shared" si="16"/>
        <v>1</v>
      </c>
      <c r="Z334">
        <f t="shared" si="17"/>
        <v>0</v>
      </c>
    </row>
    <row r="335" spans="1:26" ht="15.75" customHeight="1" x14ac:dyDescent="0.2">
      <c r="A335" s="2" t="s">
        <v>23</v>
      </c>
      <c r="B335" s="2" t="s">
        <v>24</v>
      </c>
      <c r="C335" s="2" t="s">
        <v>26</v>
      </c>
      <c r="D335" s="2" t="s">
        <v>26</v>
      </c>
      <c r="E335" s="2">
        <v>85</v>
      </c>
      <c r="F335" s="2">
        <v>175</v>
      </c>
      <c r="G335" s="2">
        <v>342.33333329999999</v>
      </c>
      <c r="H335" s="2">
        <v>902.33333330000005</v>
      </c>
      <c r="I335" s="2">
        <v>2761.333333</v>
      </c>
      <c r="J335" s="2">
        <v>1.67</v>
      </c>
      <c r="K335" s="2">
        <v>3.46</v>
      </c>
      <c r="L335" s="2">
        <v>7.92</v>
      </c>
      <c r="M335" s="2">
        <v>15.15</v>
      </c>
      <c r="N335" s="2">
        <v>0.36695908500000002</v>
      </c>
      <c r="O335" s="2">
        <v>0.35567425899999999</v>
      </c>
      <c r="P335" s="2">
        <v>4.001739798</v>
      </c>
      <c r="Q335" s="2">
        <v>4.0682101389999996</v>
      </c>
      <c r="R335" s="2">
        <v>0.82417668300000002</v>
      </c>
      <c r="S335" s="2">
        <v>0.90641252900000002</v>
      </c>
      <c r="T335" s="2">
        <v>3.9159486979999998</v>
      </c>
      <c r="U335" s="2">
        <v>3.9659488220000001</v>
      </c>
      <c r="V335" s="2">
        <v>0.28850030799999998</v>
      </c>
      <c r="W335" s="2">
        <v>4.6740838999999999E-2</v>
      </c>
      <c r="X335">
        <f t="shared" si="15"/>
        <v>1</v>
      </c>
      <c r="Y335">
        <f t="shared" si="16"/>
        <v>1</v>
      </c>
      <c r="Z335">
        <f t="shared" si="17"/>
        <v>0</v>
      </c>
    </row>
    <row r="336" spans="1:26" ht="15.75" customHeight="1" x14ac:dyDescent="0.2">
      <c r="A336" s="2" t="s">
        <v>23</v>
      </c>
      <c r="B336" s="2" t="s">
        <v>24</v>
      </c>
      <c r="C336" s="2" t="s">
        <v>27</v>
      </c>
      <c r="D336" s="2" t="s">
        <v>27</v>
      </c>
      <c r="E336" s="2">
        <v>96</v>
      </c>
      <c r="F336" s="2">
        <v>164.33333329999999</v>
      </c>
      <c r="G336" s="2">
        <v>353.66666670000001</v>
      </c>
      <c r="H336" s="2">
        <v>2409</v>
      </c>
      <c r="I336" s="2">
        <v>3157.666667</v>
      </c>
      <c r="J336" s="2">
        <v>1.54</v>
      </c>
      <c r="K336" s="2">
        <v>3.57</v>
      </c>
      <c r="L336" s="2">
        <v>14.25</v>
      </c>
      <c r="M336" s="2">
        <v>16.010000000000002</v>
      </c>
      <c r="N336" s="2">
        <v>9.8856412000000005E-2</v>
      </c>
      <c r="O336" s="2">
        <v>0.16531353300000001</v>
      </c>
      <c r="P336" s="2">
        <v>2.5178634799999999</v>
      </c>
      <c r="Q336" s="2">
        <v>2.494907993</v>
      </c>
      <c r="R336" s="2">
        <v>0.71237674600000001</v>
      </c>
      <c r="S336" s="2">
        <v>0.79461259299999998</v>
      </c>
      <c r="T336" s="2">
        <v>2.4149856889999999</v>
      </c>
      <c r="U336" s="2">
        <v>2.364985565</v>
      </c>
      <c r="V336" s="2">
        <v>0.40030024400000003</v>
      </c>
      <c r="W336" s="2">
        <v>5.2111273E-2</v>
      </c>
      <c r="X336">
        <f t="shared" si="15"/>
        <v>1</v>
      </c>
      <c r="Y336">
        <f t="shared" si="16"/>
        <v>1</v>
      </c>
      <c r="Z336">
        <f t="shared" si="17"/>
        <v>0</v>
      </c>
    </row>
    <row r="337" spans="1:26" ht="15.75" customHeight="1" x14ac:dyDescent="0.2">
      <c r="A337" s="2" t="s">
        <v>23</v>
      </c>
      <c r="B337" s="2" t="s">
        <v>24</v>
      </c>
      <c r="C337" s="2" t="s">
        <v>27</v>
      </c>
      <c r="D337" s="2" t="s">
        <v>27</v>
      </c>
      <c r="E337" s="2">
        <v>104</v>
      </c>
      <c r="F337" s="2">
        <v>208.66666670000001</v>
      </c>
      <c r="G337" s="2">
        <v>358.66666670000001</v>
      </c>
      <c r="H337" s="2">
        <v>2397.666667</v>
      </c>
      <c r="I337" s="2">
        <v>3168.666667</v>
      </c>
      <c r="J337" s="2">
        <v>2.0499999999999998</v>
      </c>
      <c r="K337" s="2">
        <v>3.62</v>
      </c>
      <c r="L337" s="2">
        <v>14.22</v>
      </c>
      <c r="M337" s="2">
        <v>16.03</v>
      </c>
      <c r="N337" s="2">
        <v>4.7068855999999999E-2</v>
      </c>
      <c r="O337" s="2">
        <v>0.111625644</v>
      </c>
      <c r="P337" s="2">
        <v>2.4742980069999998</v>
      </c>
      <c r="Q337" s="2">
        <v>2.4499291630000002</v>
      </c>
      <c r="R337" s="2">
        <v>0.66340069300000004</v>
      </c>
      <c r="S337" s="2">
        <v>0.74563654000000001</v>
      </c>
      <c r="T337" s="2">
        <v>2.3837051300000001</v>
      </c>
      <c r="U337" s="2">
        <v>2.3337050060000002</v>
      </c>
      <c r="V337" s="2">
        <v>0.44927629699999999</v>
      </c>
      <c r="W337" s="2">
        <v>4.3560504999999999E-2</v>
      </c>
      <c r="X337">
        <f t="shared" si="15"/>
        <v>1</v>
      </c>
      <c r="Y337">
        <f t="shared" si="16"/>
        <v>1</v>
      </c>
      <c r="Z337">
        <f t="shared" si="17"/>
        <v>0</v>
      </c>
    </row>
    <row r="338" spans="1:26" ht="15.75" customHeight="1" x14ac:dyDescent="0.2">
      <c r="A338" s="2" t="s">
        <v>23</v>
      </c>
      <c r="B338" s="2" t="s">
        <v>24</v>
      </c>
      <c r="C338" s="2" t="s">
        <v>32</v>
      </c>
      <c r="D338" s="2" t="s">
        <v>33</v>
      </c>
      <c r="E338" s="2">
        <v>136</v>
      </c>
      <c r="F338" s="2">
        <v>205</v>
      </c>
      <c r="G338" s="2">
        <v>480</v>
      </c>
      <c r="H338" s="2">
        <v>1180</v>
      </c>
      <c r="I338" s="2">
        <v>2393</v>
      </c>
      <c r="J338" s="2">
        <v>2.0099999999999998</v>
      </c>
      <c r="K338" s="2">
        <v>4.74</v>
      </c>
      <c r="L338" s="2">
        <v>9.5500000000000007</v>
      </c>
      <c r="M338" s="2">
        <v>14.21</v>
      </c>
      <c r="N338" s="2">
        <v>3.4948979979999999</v>
      </c>
      <c r="O338" s="2">
        <v>3.3964487989999999</v>
      </c>
      <c r="P338" s="2">
        <v>2.3389392619999998</v>
      </c>
      <c r="Q338" s="2">
        <v>2.3733760259999999</v>
      </c>
      <c r="R338" s="2">
        <v>0.463549881</v>
      </c>
      <c r="S338" s="2">
        <v>0.381314035</v>
      </c>
      <c r="T338" s="2">
        <v>2.2925440849999998</v>
      </c>
      <c r="U338" s="2">
        <v>2.3425442090000002</v>
      </c>
      <c r="V338" s="2">
        <v>1.576226871</v>
      </c>
      <c r="W338" s="2">
        <v>6.9176741E-2</v>
      </c>
      <c r="X338">
        <f t="shared" si="15"/>
        <v>1</v>
      </c>
      <c r="Y338">
        <f t="shared" si="16"/>
        <v>1</v>
      </c>
      <c r="Z338">
        <f t="shared" si="17"/>
        <v>1</v>
      </c>
    </row>
    <row r="339" spans="1:26" ht="15.75" customHeight="1" x14ac:dyDescent="0.2">
      <c r="A339" s="2" t="s">
        <v>23</v>
      </c>
      <c r="B339" s="2" t="s">
        <v>24</v>
      </c>
      <c r="C339" s="2" t="s">
        <v>28</v>
      </c>
      <c r="D339" s="2" t="s">
        <v>29</v>
      </c>
      <c r="E339" s="2">
        <v>167</v>
      </c>
      <c r="F339" s="2">
        <v>236.66666670000001</v>
      </c>
      <c r="G339" s="2">
        <v>470</v>
      </c>
      <c r="H339" s="2">
        <v>2107</v>
      </c>
      <c r="I339" s="2">
        <v>3333.333333</v>
      </c>
      <c r="J339" s="2">
        <v>2.36</v>
      </c>
      <c r="K339" s="2">
        <v>4.66</v>
      </c>
      <c r="L339" s="2">
        <v>13.36</v>
      </c>
      <c r="M339" s="2">
        <v>16.350000000000001</v>
      </c>
      <c r="N339" s="2">
        <v>5.2264163449999996</v>
      </c>
      <c r="O339" s="2">
        <v>5.2996205850000004</v>
      </c>
      <c r="P339" s="2">
        <v>1.567380805</v>
      </c>
      <c r="Q339" s="2">
        <v>1.5006973720000001</v>
      </c>
      <c r="R339" s="2">
        <v>0.37492477200000002</v>
      </c>
      <c r="S339" s="2">
        <v>0.29268892499999999</v>
      </c>
      <c r="T339" s="2">
        <v>1.5218784460000001</v>
      </c>
      <c r="U339" s="2">
        <v>1.471878322</v>
      </c>
      <c r="V339" s="2">
        <v>1.4876017619999999</v>
      </c>
      <c r="W339" s="2">
        <v>5.9581402999999998E-2</v>
      </c>
      <c r="X339">
        <f t="shared" si="15"/>
        <v>1</v>
      </c>
      <c r="Y339">
        <f t="shared" si="16"/>
        <v>1</v>
      </c>
      <c r="Z339">
        <f t="shared" si="17"/>
        <v>1</v>
      </c>
    </row>
    <row r="340" spans="1:26" ht="15.75" customHeight="1" x14ac:dyDescent="0.2">
      <c r="A340" s="2" t="s">
        <v>23</v>
      </c>
      <c r="B340" s="2" t="s">
        <v>24</v>
      </c>
      <c r="C340" s="2" t="s">
        <v>26</v>
      </c>
      <c r="D340" s="2" t="s">
        <v>26</v>
      </c>
      <c r="E340" s="2">
        <v>127</v>
      </c>
      <c r="F340" s="2">
        <v>212</v>
      </c>
      <c r="G340" s="2">
        <v>315.33333329999999</v>
      </c>
      <c r="H340" s="2">
        <v>1000.333333</v>
      </c>
      <c r="I340" s="2">
        <v>2695.333333</v>
      </c>
      <c r="J340" s="2">
        <v>2.09</v>
      </c>
      <c r="K340" s="2">
        <v>3.19</v>
      </c>
      <c r="L340" s="2">
        <v>8.5299999999999994</v>
      </c>
      <c r="M340" s="2">
        <v>14.99</v>
      </c>
      <c r="N340" s="2">
        <v>0.55798963800000001</v>
      </c>
      <c r="O340" s="2">
        <v>0.67514975200000005</v>
      </c>
      <c r="P340" s="2">
        <v>3.4847224539999999</v>
      </c>
      <c r="Q340" s="2">
        <v>3.5585774209999999</v>
      </c>
      <c r="R340" s="2">
        <v>1.095010829</v>
      </c>
      <c r="S340" s="2">
        <v>1.177246676</v>
      </c>
      <c r="T340" s="2">
        <v>3.3082082559999999</v>
      </c>
      <c r="U340" s="2">
        <v>3.3582083800000002</v>
      </c>
      <c r="V340" s="2">
        <v>1.7666161E-2</v>
      </c>
      <c r="W340" s="2">
        <v>3.3933600000000001E-2</v>
      </c>
      <c r="X340">
        <f t="shared" si="15"/>
        <v>1</v>
      </c>
      <c r="Y340">
        <f t="shared" si="16"/>
        <v>1</v>
      </c>
      <c r="Z340">
        <f t="shared" si="17"/>
        <v>0</v>
      </c>
    </row>
    <row r="341" spans="1:26" ht="15.75" customHeight="1" x14ac:dyDescent="0.2">
      <c r="A341" s="2" t="s">
        <v>23</v>
      </c>
      <c r="B341" s="2" t="s">
        <v>24</v>
      </c>
      <c r="C341" s="2" t="s">
        <v>30</v>
      </c>
      <c r="D341" s="2" t="s">
        <v>31</v>
      </c>
      <c r="E341" s="2">
        <v>131</v>
      </c>
      <c r="F341" s="2">
        <v>156.66666670000001</v>
      </c>
      <c r="G341" s="2">
        <v>534</v>
      </c>
      <c r="H341" s="2">
        <v>1319</v>
      </c>
      <c r="I341" s="2">
        <v>2393.666667</v>
      </c>
      <c r="J341" s="2">
        <v>1.45</v>
      </c>
      <c r="K341" s="2">
        <v>5.21</v>
      </c>
      <c r="L341" s="2">
        <v>10.25</v>
      </c>
      <c r="M341" s="2">
        <v>14.21</v>
      </c>
      <c r="N341" s="2">
        <v>4.2634786949999999</v>
      </c>
      <c r="O341" s="2">
        <v>4.2257049310000001</v>
      </c>
      <c r="P341" s="2">
        <v>1.8360086600000001</v>
      </c>
      <c r="Q341" s="2">
        <v>1.839992219</v>
      </c>
      <c r="R341" s="2">
        <v>0.92984446399999998</v>
      </c>
      <c r="S341" s="2">
        <v>0.84760861700000001</v>
      </c>
      <c r="T341" s="2">
        <v>1.583135204</v>
      </c>
      <c r="U341" s="2">
        <v>1.6331353280000001</v>
      </c>
      <c r="V341" s="2">
        <v>2.0425214540000001</v>
      </c>
      <c r="W341" s="2">
        <v>3.2451348999999997E-2</v>
      </c>
      <c r="X341">
        <f t="shared" si="15"/>
        <v>1</v>
      </c>
      <c r="Y341">
        <f t="shared" si="16"/>
        <v>1</v>
      </c>
      <c r="Z341">
        <f t="shared" si="17"/>
        <v>1</v>
      </c>
    </row>
    <row r="342" spans="1:26" ht="15.75" customHeight="1" x14ac:dyDescent="0.2">
      <c r="A342" s="2" t="s">
        <v>23</v>
      </c>
      <c r="B342" s="2" t="s">
        <v>24</v>
      </c>
      <c r="C342" s="2" t="s">
        <v>27</v>
      </c>
      <c r="D342" s="2" t="s">
        <v>27</v>
      </c>
      <c r="E342" s="2">
        <v>90</v>
      </c>
      <c r="F342" s="2">
        <v>222.66666670000001</v>
      </c>
      <c r="G342" s="2">
        <v>391.66666670000001</v>
      </c>
      <c r="H342" s="2">
        <v>2407</v>
      </c>
      <c r="I342" s="2">
        <v>3269.333333</v>
      </c>
      <c r="J342" s="2">
        <v>2.21</v>
      </c>
      <c r="K342" s="2">
        <v>3.94</v>
      </c>
      <c r="L342" s="2">
        <v>14.25</v>
      </c>
      <c r="M342" s="2">
        <v>16.23</v>
      </c>
      <c r="N342" s="2">
        <v>0.27206693700000001</v>
      </c>
      <c r="O342" s="2">
        <v>0.209796397</v>
      </c>
      <c r="P342" s="2">
        <v>2.434105577</v>
      </c>
      <c r="Q342" s="2">
        <v>2.3979136599999999</v>
      </c>
      <c r="R342" s="2">
        <v>0.34538193099999998</v>
      </c>
      <c r="S342" s="2">
        <v>0.427617778</v>
      </c>
      <c r="T342" s="2">
        <v>2.409477388</v>
      </c>
      <c r="U342" s="2">
        <v>2.3594772640000001</v>
      </c>
      <c r="V342" s="2">
        <v>0.76729505899999995</v>
      </c>
      <c r="W342" s="2">
        <v>2.7554914E-2</v>
      </c>
      <c r="X342">
        <f t="shared" si="15"/>
        <v>1</v>
      </c>
      <c r="Y342">
        <f t="shared" si="16"/>
        <v>1</v>
      </c>
      <c r="Z342">
        <f t="shared" si="17"/>
        <v>0</v>
      </c>
    </row>
    <row r="343" spans="1:26" ht="15.75" customHeight="1" x14ac:dyDescent="0.2">
      <c r="A343" s="2" t="s">
        <v>23</v>
      </c>
      <c r="B343" s="2" t="s">
        <v>24</v>
      </c>
      <c r="C343" s="2" t="s">
        <v>30</v>
      </c>
      <c r="D343" s="2" t="s">
        <v>31</v>
      </c>
      <c r="E343" s="2">
        <v>147</v>
      </c>
      <c r="F343" s="2">
        <v>190.33333329999999</v>
      </c>
      <c r="G343" s="2">
        <v>383</v>
      </c>
      <c r="H343" s="2">
        <v>1264.333333</v>
      </c>
      <c r="I343" s="2">
        <v>2408.666667</v>
      </c>
      <c r="J343" s="2">
        <v>1.84</v>
      </c>
      <c r="K343" s="2">
        <v>3.85</v>
      </c>
      <c r="L343" s="2">
        <v>9.98</v>
      </c>
      <c r="M343" s="2">
        <v>14.25</v>
      </c>
      <c r="N343" s="2">
        <v>4.2489683720000002</v>
      </c>
      <c r="O343" s="2">
        <v>4.2308184630000003</v>
      </c>
      <c r="P343" s="2">
        <v>1.9035854809999999</v>
      </c>
      <c r="Q343" s="2">
        <v>1.9720000680000001</v>
      </c>
      <c r="R343" s="2">
        <v>0.42803460799999998</v>
      </c>
      <c r="S343" s="2">
        <v>0.51027045500000001</v>
      </c>
      <c r="T343" s="2">
        <v>1.854838013</v>
      </c>
      <c r="U343" s="2">
        <v>1.904838137</v>
      </c>
      <c r="V343" s="2">
        <v>0.68464238200000005</v>
      </c>
      <c r="W343" s="2">
        <v>3.8207324000000001E-2</v>
      </c>
      <c r="X343">
        <f t="shared" si="15"/>
        <v>1</v>
      </c>
      <c r="Y343">
        <f t="shared" si="16"/>
        <v>1</v>
      </c>
      <c r="Z343">
        <f t="shared" si="17"/>
        <v>1</v>
      </c>
    </row>
    <row r="344" spans="1:26" ht="15.75" customHeight="1" x14ac:dyDescent="0.2">
      <c r="A344" s="2" t="s">
        <v>23</v>
      </c>
      <c r="B344" s="2" t="s">
        <v>24</v>
      </c>
      <c r="C344" s="2" t="s">
        <v>26</v>
      </c>
      <c r="D344" s="2" t="s">
        <v>26</v>
      </c>
      <c r="E344" s="2">
        <v>96</v>
      </c>
      <c r="F344" s="2">
        <v>184.66666670000001</v>
      </c>
      <c r="G344" s="2">
        <v>362</v>
      </c>
      <c r="H344" s="2">
        <v>1022.333333</v>
      </c>
      <c r="I344" s="2">
        <v>2582.333333</v>
      </c>
      <c r="J344" s="2">
        <v>1.78</v>
      </c>
      <c r="K344" s="2">
        <v>3.65</v>
      </c>
      <c r="L344" s="2">
        <v>8.66</v>
      </c>
      <c r="M344" s="2">
        <v>14.71</v>
      </c>
      <c r="N344" s="2">
        <v>0.430879383</v>
      </c>
      <c r="O344" s="2">
        <v>0.52759195400000003</v>
      </c>
      <c r="P344" s="2">
        <v>3.2392923040000001</v>
      </c>
      <c r="Q344" s="2">
        <v>3.3051118879999999</v>
      </c>
      <c r="R344" s="2">
        <v>0.63086717000000003</v>
      </c>
      <c r="S344" s="2">
        <v>0.71310301700000001</v>
      </c>
      <c r="T344" s="2">
        <v>3.177266317</v>
      </c>
      <c r="U344" s="2">
        <v>3.2272664409999998</v>
      </c>
      <c r="V344" s="2">
        <v>0.48180982</v>
      </c>
      <c r="W344" s="2">
        <v>4.5737619E-2</v>
      </c>
      <c r="X344">
        <f t="shared" si="15"/>
        <v>1</v>
      </c>
      <c r="Y344">
        <f t="shared" si="16"/>
        <v>1</v>
      </c>
      <c r="Z344">
        <f t="shared" si="17"/>
        <v>0</v>
      </c>
    </row>
    <row r="345" spans="1:26" ht="15.75" customHeight="1" x14ac:dyDescent="0.2">
      <c r="A345" s="2" t="s">
        <v>23</v>
      </c>
      <c r="B345" s="2" t="s">
        <v>24</v>
      </c>
      <c r="C345" s="2" t="s">
        <v>26</v>
      </c>
      <c r="D345" s="2" t="s">
        <v>26</v>
      </c>
      <c r="E345" s="2">
        <v>78</v>
      </c>
      <c r="F345" s="2">
        <v>204</v>
      </c>
      <c r="G345" s="2">
        <v>392</v>
      </c>
      <c r="H345" s="2">
        <v>1019.333333</v>
      </c>
      <c r="I345" s="2">
        <v>2831.333333</v>
      </c>
      <c r="J345" s="2">
        <v>2</v>
      </c>
      <c r="K345" s="2">
        <v>3.94</v>
      </c>
      <c r="L345" s="2">
        <v>8.64</v>
      </c>
      <c r="M345" s="2">
        <v>15.31</v>
      </c>
      <c r="N345" s="2">
        <v>0.50030504200000003</v>
      </c>
      <c r="O345" s="2">
        <v>0.54134514</v>
      </c>
      <c r="P345" s="2">
        <v>3.2132831159999999</v>
      </c>
      <c r="Q345" s="2">
        <v>3.2726499109999998</v>
      </c>
      <c r="R345" s="2">
        <v>0.34221514600000003</v>
      </c>
      <c r="S345" s="2">
        <v>0.424450993</v>
      </c>
      <c r="T345" s="2">
        <v>3.195008165</v>
      </c>
      <c r="U345" s="2">
        <v>3.2450082889999998</v>
      </c>
      <c r="V345" s="2">
        <v>0.77046184399999995</v>
      </c>
      <c r="W345" s="2">
        <v>5.8538693000000003E-2</v>
      </c>
      <c r="X345">
        <f t="shared" si="15"/>
        <v>1</v>
      </c>
      <c r="Y345">
        <f t="shared" si="16"/>
        <v>1</v>
      </c>
      <c r="Z345">
        <f t="shared" si="17"/>
        <v>0</v>
      </c>
    </row>
    <row r="346" spans="1:26" ht="15.75" customHeight="1" x14ac:dyDescent="0.2">
      <c r="A346" s="2" t="s">
        <v>23</v>
      </c>
      <c r="B346" s="2" t="s">
        <v>24</v>
      </c>
      <c r="C346" s="2" t="s">
        <v>26</v>
      </c>
      <c r="D346" s="2" t="s">
        <v>26</v>
      </c>
      <c r="E346" s="2">
        <v>101</v>
      </c>
      <c r="F346" s="2">
        <v>241</v>
      </c>
      <c r="G346" s="2">
        <v>361.66666670000001</v>
      </c>
      <c r="H346" s="2">
        <v>738</v>
      </c>
      <c r="I346" s="2">
        <v>2562.333333</v>
      </c>
      <c r="J346" s="2">
        <v>2.41</v>
      </c>
      <c r="K346" s="2">
        <v>3.65</v>
      </c>
      <c r="L346" s="2">
        <v>6.8</v>
      </c>
      <c r="M346" s="2">
        <v>14.66</v>
      </c>
      <c r="N346" s="2">
        <v>1.4260753820000001</v>
      </c>
      <c r="O346" s="2">
        <v>1.339648693</v>
      </c>
      <c r="P346" s="2">
        <v>5.0739212130000002</v>
      </c>
      <c r="Q346" s="2">
        <v>5.1343596219999998</v>
      </c>
      <c r="R346" s="2">
        <v>0.63411631899999998</v>
      </c>
      <c r="S346" s="2">
        <v>0.71635216499999999</v>
      </c>
      <c r="T346" s="2">
        <v>5.0341407379999996</v>
      </c>
      <c r="U346" s="2">
        <v>5.0841408619999999</v>
      </c>
      <c r="V346" s="2">
        <v>0.47856067200000002</v>
      </c>
      <c r="W346" s="2">
        <v>4.7718298999999999E-2</v>
      </c>
      <c r="X346">
        <f t="shared" si="15"/>
        <v>1</v>
      </c>
      <c r="Y346">
        <f t="shared" si="16"/>
        <v>1</v>
      </c>
      <c r="Z346">
        <f t="shared" si="17"/>
        <v>0</v>
      </c>
    </row>
    <row r="347" spans="1:26" ht="15.75" customHeight="1" x14ac:dyDescent="0.2">
      <c r="A347" s="2" t="s">
        <v>23</v>
      </c>
      <c r="B347" s="2" t="s">
        <v>24</v>
      </c>
      <c r="C347" s="2" t="s">
        <v>25</v>
      </c>
      <c r="D347" s="2" t="s">
        <v>25</v>
      </c>
      <c r="E347" s="2">
        <v>253</v>
      </c>
      <c r="F347" s="2">
        <v>179.66666670000001</v>
      </c>
      <c r="G347" s="2">
        <v>825.33333330000005</v>
      </c>
      <c r="H347" s="2">
        <v>1616.666667</v>
      </c>
      <c r="I347" s="2">
        <v>2674</v>
      </c>
      <c r="J347" s="2">
        <v>1.72</v>
      </c>
      <c r="K347" s="2">
        <v>7.41</v>
      </c>
      <c r="L347" s="2">
        <v>11.59</v>
      </c>
      <c r="M347" s="2">
        <v>14.94</v>
      </c>
      <c r="N347" s="2">
        <v>0.13379849799999999</v>
      </c>
      <c r="O347" s="2">
        <v>0.14073274799999999</v>
      </c>
      <c r="P347" s="2">
        <v>3.1435410959999999</v>
      </c>
      <c r="Q347" s="2">
        <v>3.0660498820000002</v>
      </c>
      <c r="R347" s="2">
        <v>3.1336305539999998</v>
      </c>
      <c r="S347" s="2">
        <v>3.051394707</v>
      </c>
      <c r="T347" s="2">
        <v>0.249419682</v>
      </c>
      <c r="U347" s="2">
        <v>0.29941980600000001</v>
      </c>
      <c r="V347" s="2">
        <v>4.2463075440000004</v>
      </c>
      <c r="W347" s="2">
        <v>4.2899296000000003E-2</v>
      </c>
      <c r="X347">
        <f t="shared" si="15"/>
        <v>1</v>
      </c>
      <c r="Y347">
        <f t="shared" si="16"/>
        <v>1</v>
      </c>
      <c r="Z347">
        <f t="shared" si="17"/>
        <v>0</v>
      </c>
    </row>
    <row r="348" spans="1:26" ht="15.75" customHeight="1" x14ac:dyDescent="0.2">
      <c r="A348" s="2" t="s">
        <v>23</v>
      </c>
      <c r="B348" s="2" t="s">
        <v>24</v>
      </c>
      <c r="C348" s="2" t="s">
        <v>25</v>
      </c>
      <c r="D348" s="2" t="s">
        <v>25</v>
      </c>
      <c r="E348" s="2">
        <v>112</v>
      </c>
      <c r="F348" s="2">
        <v>181</v>
      </c>
      <c r="G348" s="2">
        <v>797.66666669999995</v>
      </c>
      <c r="H348" s="2">
        <v>1647.333333</v>
      </c>
      <c r="I348" s="2">
        <v>2625.333333</v>
      </c>
      <c r="J348" s="2">
        <v>1.74</v>
      </c>
      <c r="K348" s="2">
        <v>7.22</v>
      </c>
      <c r="L348" s="2">
        <v>11.71</v>
      </c>
      <c r="M348" s="2">
        <v>14.82</v>
      </c>
      <c r="N348" s="2">
        <v>0.286298355</v>
      </c>
      <c r="O348" s="2">
        <v>0.366995128</v>
      </c>
      <c r="P348" s="2">
        <v>2.9469885800000002</v>
      </c>
      <c r="Q348" s="2">
        <v>2.8674367190000001</v>
      </c>
      <c r="R348" s="2">
        <v>2.944356634</v>
      </c>
      <c r="S348" s="2">
        <v>2.8621207869999998</v>
      </c>
      <c r="T348" s="2">
        <v>0.124521903</v>
      </c>
      <c r="U348" s="2">
        <v>0.174522027</v>
      </c>
      <c r="V348" s="2">
        <v>4.0570336239999998</v>
      </c>
      <c r="W348" s="2">
        <v>4.3076643999999997E-2</v>
      </c>
      <c r="X348">
        <f t="shared" si="15"/>
        <v>1</v>
      </c>
      <c r="Y348">
        <f t="shared" si="16"/>
        <v>1</v>
      </c>
      <c r="Z348">
        <f t="shared" si="17"/>
        <v>0</v>
      </c>
    </row>
    <row r="349" spans="1:26" ht="15.75" customHeight="1" x14ac:dyDescent="0.2">
      <c r="A349" s="2" t="s">
        <v>23</v>
      </c>
      <c r="B349" s="2" t="s">
        <v>24</v>
      </c>
      <c r="C349" s="2" t="s">
        <v>25</v>
      </c>
      <c r="D349" s="2" t="s">
        <v>25</v>
      </c>
      <c r="E349" s="2">
        <v>233</v>
      </c>
      <c r="F349" s="2">
        <v>122</v>
      </c>
      <c r="G349" s="2">
        <v>915</v>
      </c>
      <c r="H349" s="2">
        <v>1725</v>
      </c>
      <c r="I349" s="2">
        <v>2510.666667</v>
      </c>
      <c r="J349" s="2">
        <v>1.04</v>
      </c>
      <c r="K349" s="2">
        <v>8</v>
      </c>
      <c r="L349" s="2">
        <v>12.02</v>
      </c>
      <c r="M349" s="2">
        <v>14.53</v>
      </c>
      <c r="N349" s="2">
        <v>0.59780911400000003</v>
      </c>
      <c r="O349" s="2">
        <v>0.70885745600000005</v>
      </c>
      <c r="P349" s="2">
        <v>3.7264967649999998</v>
      </c>
      <c r="Q349" s="2">
        <v>3.6422003529999998</v>
      </c>
      <c r="R349" s="2">
        <v>3.7220254339999999</v>
      </c>
      <c r="S349" s="2">
        <v>3.6397895870000001</v>
      </c>
      <c r="T349" s="2">
        <v>0.18249605899999999</v>
      </c>
      <c r="U349" s="2">
        <v>0.13249593500000001</v>
      </c>
      <c r="V349" s="2">
        <v>4.8347024239999996</v>
      </c>
      <c r="W349" s="2">
        <v>4.3256948000000003E-2</v>
      </c>
      <c r="X349">
        <f t="shared" si="15"/>
        <v>1</v>
      </c>
      <c r="Y349">
        <f t="shared" si="16"/>
        <v>1</v>
      </c>
      <c r="Z349">
        <f t="shared" si="17"/>
        <v>0</v>
      </c>
    </row>
    <row r="350" spans="1:26" ht="15.75" customHeight="1" x14ac:dyDescent="0.2">
      <c r="A350" s="2" t="s">
        <v>23</v>
      </c>
      <c r="B350" s="2" t="s">
        <v>24</v>
      </c>
      <c r="C350" s="2" t="s">
        <v>28</v>
      </c>
      <c r="D350" s="2" t="s">
        <v>29</v>
      </c>
      <c r="E350" s="2">
        <v>100</v>
      </c>
      <c r="F350" s="2">
        <v>196</v>
      </c>
      <c r="G350" s="2">
        <v>497.66666670000001</v>
      </c>
      <c r="H350" s="2">
        <v>1855.666667</v>
      </c>
      <c r="I350" s="2">
        <v>2516</v>
      </c>
      <c r="J350" s="2">
        <v>1.91</v>
      </c>
      <c r="K350" s="2">
        <v>4.9000000000000004</v>
      </c>
      <c r="L350" s="2">
        <v>12.51</v>
      </c>
      <c r="M350" s="2">
        <v>14.54</v>
      </c>
      <c r="N350" s="2">
        <v>4.4557550260000003</v>
      </c>
      <c r="O350" s="2">
        <v>4.5202407679999999</v>
      </c>
      <c r="P350" s="2">
        <v>0.91234268100000004</v>
      </c>
      <c r="Q350" s="2">
        <v>0.820272581</v>
      </c>
      <c r="R350" s="2">
        <v>0.61835834300000003</v>
      </c>
      <c r="S350" s="2">
        <v>0.53612249599999995</v>
      </c>
      <c r="T350" s="2">
        <v>0.67082198000000004</v>
      </c>
      <c r="U350" s="2">
        <v>0.62082185599999995</v>
      </c>
      <c r="V350" s="2">
        <v>1.7310353329999999</v>
      </c>
      <c r="W350" s="2">
        <v>3.1795502000000003E-2</v>
      </c>
      <c r="X350">
        <f t="shared" si="15"/>
        <v>1</v>
      </c>
      <c r="Y350">
        <f t="shared" si="16"/>
        <v>1</v>
      </c>
      <c r="Z350">
        <f t="shared" si="17"/>
        <v>1</v>
      </c>
    </row>
    <row r="351" spans="1:26" ht="15.75" customHeight="1" x14ac:dyDescent="0.2">
      <c r="A351" s="2" t="s">
        <v>23</v>
      </c>
      <c r="B351" s="2" t="s">
        <v>24</v>
      </c>
      <c r="C351" s="2" t="s">
        <v>30</v>
      </c>
      <c r="D351" s="2" t="s">
        <v>31</v>
      </c>
      <c r="E351" s="2">
        <v>100</v>
      </c>
      <c r="F351" s="2">
        <v>236</v>
      </c>
      <c r="G351" s="2">
        <v>487.66666670000001</v>
      </c>
      <c r="H351" s="2">
        <v>1200</v>
      </c>
      <c r="I351" s="2">
        <v>2326.333333</v>
      </c>
      <c r="J351" s="2">
        <v>2.35</v>
      </c>
      <c r="K351" s="2">
        <v>4.8099999999999996</v>
      </c>
      <c r="L351" s="2">
        <v>9.65</v>
      </c>
      <c r="M351" s="2">
        <v>14.02</v>
      </c>
      <c r="N351" s="2">
        <v>4.718291775</v>
      </c>
      <c r="O351" s="2">
        <v>4.6876501230000001</v>
      </c>
      <c r="P351" s="2">
        <v>2.2501787069999999</v>
      </c>
      <c r="Q351" s="2">
        <v>2.2812046910000001</v>
      </c>
      <c r="R351" s="2">
        <v>0.53100538100000005</v>
      </c>
      <c r="S351" s="2">
        <v>0.448769535</v>
      </c>
      <c r="T351" s="2">
        <v>2.1866269680000001</v>
      </c>
      <c r="U351" s="2">
        <v>2.236627092</v>
      </c>
      <c r="V351" s="2">
        <v>1.643682372</v>
      </c>
      <c r="W351" s="2">
        <v>4.9779344000000003E-2</v>
      </c>
      <c r="X351">
        <f t="shared" si="15"/>
        <v>1</v>
      </c>
      <c r="Y351">
        <f t="shared" si="16"/>
        <v>1</v>
      </c>
      <c r="Z351">
        <f t="shared" si="17"/>
        <v>1</v>
      </c>
    </row>
    <row r="352" spans="1:26" ht="15.75" customHeight="1" x14ac:dyDescent="0.2">
      <c r="A352" s="2" t="s">
        <v>23</v>
      </c>
      <c r="B352" s="2" t="s">
        <v>24</v>
      </c>
      <c r="C352" s="2" t="s">
        <v>32</v>
      </c>
      <c r="D352" s="2" t="s">
        <v>33</v>
      </c>
      <c r="E352" s="2">
        <v>131</v>
      </c>
      <c r="F352" s="2">
        <v>205.33333329999999</v>
      </c>
      <c r="G352" s="2">
        <v>547.33333330000005</v>
      </c>
      <c r="H352" s="2">
        <v>1457</v>
      </c>
      <c r="I352" s="2">
        <v>3012.333333</v>
      </c>
      <c r="J352" s="2">
        <v>2.0099999999999998</v>
      </c>
      <c r="K352" s="2">
        <v>5.32</v>
      </c>
      <c r="L352" s="2">
        <v>10.9</v>
      </c>
      <c r="M352" s="2">
        <v>15.71</v>
      </c>
      <c r="N352" s="2">
        <v>2.3221373829999998</v>
      </c>
      <c r="O352" s="2">
        <v>2.2796674729999999</v>
      </c>
      <c r="P352" s="2">
        <v>1.4005297569999999</v>
      </c>
      <c r="Q352" s="2">
        <v>1.3758554140000001</v>
      </c>
      <c r="R352" s="2">
        <v>1.041887043</v>
      </c>
      <c r="S352" s="2">
        <v>0.95965119600000004</v>
      </c>
      <c r="T352" s="2">
        <v>0.93592467199999996</v>
      </c>
      <c r="U352" s="2">
        <v>0.98592479600000005</v>
      </c>
      <c r="V352" s="2">
        <v>2.1545640330000002</v>
      </c>
      <c r="W352" s="2">
        <v>3.5747293999999999E-2</v>
      </c>
      <c r="X352">
        <f t="shared" si="15"/>
        <v>1</v>
      </c>
      <c r="Y352">
        <f t="shared" si="16"/>
        <v>1</v>
      </c>
      <c r="Z352">
        <f t="shared" si="17"/>
        <v>1</v>
      </c>
    </row>
    <row r="353" spans="1:26" ht="15.75" customHeight="1" x14ac:dyDescent="0.2">
      <c r="A353" s="2" t="s">
        <v>23</v>
      </c>
      <c r="B353" s="2" t="s">
        <v>24</v>
      </c>
      <c r="C353" s="2" t="s">
        <v>26</v>
      </c>
      <c r="D353" s="2" t="s">
        <v>26</v>
      </c>
      <c r="E353" s="2">
        <v>81</v>
      </c>
      <c r="F353" s="2">
        <v>228.33333329999999</v>
      </c>
      <c r="G353" s="2">
        <v>425</v>
      </c>
      <c r="H353" s="2">
        <v>1016.333333</v>
      </c>
      <c r="I353" s="2">
        <v>2885.333333</v>
      </c>
      <c r="J353" s="2">
        <v>2.27</v>
      </c>
      <c r="K353" s="2">
        <v>4.25</v>
      </c>
      <c r="L353" s="2">
        <v>8.6199999999999992</v>
      </c>
      <c r="M353" s="2">
        <v>15.44</v>
      </c>
      <c r="N353" s="2">
        <v>0.71133354000000004</v>
      </c>
      <c r="O353" s="2">
        <v>0.70389875000000002</v>
      </c>
      <c r="P353" s="2">
        <v>3.2129561299999998</v>
      </c>
      <c r="Q353" s="2">
        <v>3.2648232400000001</v>
      </c>
      <c r="R353" s="2">
        <v>3.3085166999999999E-2</v>
      </c>
      <c r="S353" s="2">
        <v>0.115321014</v>
      </c>
      <c r="T353" s="2">
        <v>3.2127857789999998</v>
      </c>
      <c r="U353" s="2">
        <v>3.2627859030000002</v>
      </c>
      <c r="V353" s="2">
        <v>1.0795918229999999</v>
      </c>
      <c r="W353" s="2">
        <v>5.0069930999999998E-2</v>
      </c>
      <c r="X353">
        <f t="shared" si="15"/>
        <v>1</v>
      </c>
      <c r="Y353">
        <f t="shared" si="16"/>
        <v>1</v>
      </c>
      <c r="Z353">
        <f t="shared" si="17"/>
        <v>0</v>
      </c>
    </row>
    <row r="354" spans="1:26" ht="15.75" customHeight="1" x14ac:dyDescent="0.2">
      <c r="A354" s="2" t="s">
        <v>23</v>
      </c>
      <c r="B354" s="2" t="s">
        <v>24</v>
      </c>
      <c r="C354" s="2" t="s">
        <v>32</v>
      </c>
      <c r="D354" s="2" t="s">
        <v>33</v>
      </c>
      <c r="E354" s="2">
        <v>194</v>
      </c>
      <c r="F354" s="2">
        <v>186.33333329999999</v>
      </c>
      <c r="G354" s="2">
        <v>416.33333329999999</v>
      </c>
      <c r="H354" s="2">
        <v>896.33333330000005</v>
      </c>
      <c r="I354" s="2">
        <v>2370</v>
      </c>
      <c r="J354" s="2">
        <v>1.8</v>
      </c>
      <c r="K354" s="2">
        <v>4.17</v>
      </c>
      <c r="L354" s="2">
        <v>7.88</v>
      </c>
      <c r="M354" s="2">
        <v>14.14</v>
      </c>
      <c r="N354" s="2">
        <v>5.0600248649999999</v>
      </c>
      <c r="O354" s="2">
        <v>4.9325690020000001</v>
      </c>
      <c r="P354" s="2">
        <v>3.9561388059999998</v>
      </c>
      <c r="Q354" s="2">
        <v>4.0092900589999996</v>
      </c>
      <c r="R354" s="2">
        <v>0.113439488</v>
      </c>
      <c r="S354" s="2">
        <v>0.19567533500000001</v>
      </c>
      <c r="T354" s="2">
        <v>3.9545120730000001</v>
      </c>
      <c r="U354" s="2">
        <v>4.0045121970000004</v>
      </c>
      <c r="V354" s="2">
        <v>0.99923750200000006</v>
      </c>
      <c r="W354" s="2">
        <v>4.7515875999999999E-2</v>
      </c>
      <c r="X354">
        <f t="shared" si="15"/>
        <v>1</v>
      </c>
      <c r="Y354">
        <f t="shared" si="16"/>
        <v>1</v>
      </c>
      <c r="Z354">
        <f t="shared" si="17"/>
        <v>1</v>
      </c>
    </row>
    <row r="355" spans="1:26" ht="15.75" customHeight="1" x14ac:dyDescent="0.2">
      <c r="A355" s="2" t="s">
        <v>23</v>
      </c>
      <c r="B355" s="2" t="s">
        <v>24</v>
      </c>
      <c r="C355" s="2" t="s">
        <v>28</v>
      </c>
      <c r="D355" s="2" t="s">
        <v>29</v>
      </c>
      <c r="E355" s="2">
        <v>78</v>
      </c>
      <c r="F355" s="2">
        <v>242.33333329999999</v>
      </c>
      <c r="G355" s="2">
        <v>483</v>
      </c>
      <c r="H355" s="2">
        <v>1682.666667</v>
      </c>
      <c r="I355" s="2">
        <v>3017</v>
      </c>
      <c r="J355" s="2">
        <v>2.42</v>
      </c>
      <c r="K355" s="2">
        <v>4.7699999999999996</v>
      </c>
      <c r="L355" s="2">
        <v>11.85</v>
      </c>
      <c r="M355" s="2">
        <v>15.72</v>
      </c>
      <c r="N355" s="2">
        <v>3.792322977</v>
      </c>
      <c r="O355" s="2">
        <v>3.855425587</v>
      </c>
      <c r="P355" s="2">
        <v>0.49028298599999998</v>
      </c>
      <c r="Q355" s="2">
        <v>0.40911149499999999</v>
      </c>
      <c r="R355" s="2">
        <v>0.48999593299999999</v>
      </c>
      <c r="S355" s="2">
        <v>0.40776008600000002</v>
      </c>
      <c r="T355" s="2">
        <v>1.6774721999999999E-2</v>
      </c>
      <c r="U355" s="2">
        <v>3.3225402000000001E-2</v>
      </c>
      <c r="V355" s="2">
        <v>1.6026729230000001</v>
      </c>
      <c r="W355" s="2">
        <v>3.6473981000000003E-2</v>
      </c>
      <c r="X355">
        <f t="shared" si="15"/>
        <v>1</v>
      </c>
      <c r="Y355">
        <f t="shared" si="16"/>
        <v>1</v>
      </c>
      <c r="Z355">
        <f t="shared" si="17"/>
        <v>1</v>
      </c>
    </row>
    <row r="356" spans="1:26" ht="15.75" customHeight="1" x14ac:dyDescent="0.2">
      <c r="A356" s="2" t="s">
        <v>23</v>
      </c>
      <c r="B356" s="2" t="s">
        <v>24</v>
      </c>
      <c r="C356" s="2" t="s">
        <v>32</v>
      </c>
      <c r="D356" s="2" t="s">
        <v>33</v>
      </c>
      <c r="E356" s="2">
        <v>140</v>
      </c>
      <c r="F356" s="2">
        <v>148</v>
      </c>
      <c r="G356" s="2">
        <v>484.66666670000001</v>
      </c>
      <c r="H356" s="2">
        <v>900.33333330000005</v>
      </c>
      <c r="I356" s="2">
        <v>2443</v>
      </c>
      <c r="J356" s="2">
        <v>1.35</v>
      </c>
      <c r="K356" s="2">
        <v>4.79</v>
      </c>
      <c r="L356" s="2">
        <v>7.91</v>
      </c>
      <c r="M356" s="2">
        <v>14.35</v>
      </c>
      <c r="N356" s="2">
        <v>4.6539452280000004</v>
      </c>
      <c r="O356" s="2">
        <v>4.5142954140000002</v>
      </c>
      <c r="P356" s="2">
        <v>3.9610648629999998</v>
      </c>
      <c r="Q356" s="2">
        <v>4.001146683</v>
      </c>
      <c r="R356" s="2">
        <v>0.50466013799999998</v>
      </c>
      <c r="S356" s="2">
        <v>0.42242429100000001</v>
      </c>
      <c r="T356" s="2">
        <v>3.9287851800000002</v>
      </c>
      <c r="U356" s="2">
        <v>3.9787853040000001</v>
      </c>
      <c r="V356" s="2">
        <v>1.617337128</v>
      </c>
      <c r="W356" s="2">
        <v>4.4087539000000002E-2</v>
      </c>
      <c r="X356">
        <f t="shared" si="15"/>
        <v>1</v>
      </c>
      <c r="Y356">
        <f t="shared" si="16"/>
        <v>1</v>
      </c>
      <c r="Z356">
        <f t="shared" si="17"/>
        <v>1</v>
      </c>
    </row>
    <row r="357" spans="1:26" ht="15.75" customHeight="1" x14ac:dyDescent="0.2">
      <c r="A357" s="2" t="s">
        <v>23</v>
      </c>
      <c r="B357" s="2" t="s">
        <v>24</v>
      </c>
      <c r="C357" s="2" t="s">
        <v>25</v>
      </c>
      <c r="D357" s="2" t="s">
        <v>25</v>
      </c>
      <c r="E357" s="2">
        <v>272</v>
      </c>
      <c r="F357" s="2">
        <v>200.66666670000001</v>
      </c>
      <c r="G357" s="2">
        <v>770</v>
      </c>
      <c r="H357" s="2">
        <v>1684.333333</v>
      </c>
      <c r="I357" s="2">
        <v>2598.333333</v>
      </c>
      <c r="J357" s="2">
        <v>1.96</v>
      </c>
      <c r="K357" s="2">
        <v>7.03</v>
      </c>
      <c r="L357" s="2">
        <v>11.86</v>
      </c>
      <c r="M357" s="2">
        <v>14.75</v>
      </c>
      <c r="N357" s="2">
        <v>0.51012765500000001</v>
      </c>
      <c r="O357" s="2">
        <v>0.610170765</v>
      </c>
      <c r="P357" s="2">
        <v>2.751345664</v>
      </c>
      <c r="Q357" s="2">
        <v>2.6691433739999999</v>
      </c>
      <c r="R357" s="2">
        <v>2.7512463920000001</v>
      </c>
      <c r="S357" s="2">
        <v>2.669010546</v>
      </c>
      <c r="T357" s="2">
        <v>2.3371989999999999E-2</v>
      </c>
      <c r="U357" s="2">
        <v>2.6628134000000001E-2</v>
      </c>
      <c r="V357" s="2">
        <v>3.8639233829999999</v>
      </c>
      <c r="W357" s="2">
        <v>3.2330744000000002E-2</v>
      </c>
      <c r="X357">
        <f t="shared" si="15"/>
        <v>1</v>
      </c>
      <c r="Y357">
        <f t="shared" si="16"/>
        <v>1</v>
      </c>
      <c r="Z357">
        <f t="shared" si="17"/>
        <v>0</v>
      </c>
    </row>
    <row r="358" spans="1:26" ht="15.75" customHeight="1" x14ac:dyDescent="0.2">
      <c r="A358" s="2" t="s">
        <v>23</v>
      </c>
      <c r="B358" s="2" t="s">
        <v>24</v>
      </c>
      <c r="C358" s="2" t="s">
        <v>27</v>
      </c>
      <c r="D358" s="2" t="s">
        <v>27</v>
      </c>
      <c r="E358" s="2">
        <v>95</v>
      </c>
      <c r="F358" s="2">
        <v>120.33333330000001</v>
      </c>
      <c r="G358" s="2">
        <v>396.66666670000001</v>
      </c>
      <c r="H358" s="2">
        <v>2346</v>
      </c>
      <c r="I358" s="2">
        <v>3017</v>
      </c>
      <c r="J358" s="2">
        <v>1.02</v>
      </c>
      <c r="K358" s="2">
        <v>3.98</v>
      </c>
      <c r="L358" s="2">
        <v>14.08</v>
      </c>
      <c r="M358" s="2">
        <v>15.72</v>
      </c>
      <c r="N358" s="2">
        <v>0.35269378200000001</v>
      </c>
      <c r="O358" s="2">
        <v>0.28789941699999999</v>
      </c>
      <c r="P358" s="2">
        <v>2.2587567810000002</v>
      </c>
      <c r="Q358" s="2">
        <v>2.2217900639999999</v>
      </c>
      <c r="R358" s="2">
        <v>0.29797422200000001</v>
      </c>
      <c r="S358" s="2">
        <v>0.38021006899999998</v>
      </c>
      <c r="T358" s="2">
        <v>2.2390162029999998</v>
      </c>
      <c r="U358" s="2">
        <v>2.1890160789999999</v>
      </c>
      <c r="V358" s="2">
        <v>0.81470276799999997</v>
      </c>
      <c r="W358" s="2">
        <v>3.5276052000000002E-2</v>
      </c>
      <c r="X358">
        <f t="shared" si="15"/>
        <v>1</v>
      </c>
      <c r="Y358">
        <f t="shared" si="16"/>
        <v>1</v>
      </c>
      <c r="Z358">
        <f t="shared" si="17"/>
        <v>0</v>
      </c>
    </row>
    <row r="359" spans="1:26" ht="15.75" customHeight="1" x14ac:dyDescent="0.2">
      <c r="A359" s="2" t="s">
        <v>23</v>
      </c>
      <c r="B359" s="2" t="s">
        <v>24</v>
      </c>
      <c r="C359" s="2" t="s">
        <v>30</v>
      </c>
      <c r="D359" s="2" t="s">
        <v>31</v>
      </c>
      <c r="E359" s="2">
        <v>100</v>
      </c>
      <c r="F359" s="2">
        <v>101.33333330000001</v>
      </c>
      <c r="G359" s="2">
        <v>441.66666670000001</v>
      </c>
      <c r="H359" s="2">
        <v>1267.666667</v>
      </c>
      <c r="I359" s="2">
        <v>2483.333333</v>
      </c>
      <c r="J359" s="2">
        <v>0.79</v>
      </c>
      <c r="K359" s="2">
        <v>4.4000000000000004</v>
      </c>
      <c r="L359" s="2">
        <v>10</v>
      </c>
      <c r="M359" s="2">
        <v>14.45</v>
      </c>
      <c r="N359" s="2">
        <v>4.2916240180000003</v>
      </c>
      <c r="O359" s="2">
        <v>4.2654331560000003</v>
      </c>
      <c r="P359" s="2">
        <v>1.841908187</v>
      </c>
      <c r="Q359" s="2">
        <v>1.8883813060000001</v>
      </c>
      <c r="R359" s="2">
        <v>0.119812381</v>
      </c>
      <c r="S359" s="2">
        <v>3.7576534000000002E-2</v>
      </c>
      <c r="T359" s="2">
        <v>1.8380072810000001</v>
      </c>
      <c r="U359" s="2">
        <v>1.888007405</v>
      </c>
      <c r="V359" s="2">
        <v>1.232489371</v>
      </c>
      <c r="W359" s="2">
        <v>3.539088E-2</v>
      </c>
      <c r="X359">
        <f t="shared" si="15"/>
        <v>1</v>
      </c>
      <c r="Y359">
        <f t="shared" si="16"/>
        <v>1</v>
      </c>
      <c r="Z359">
        <f t="shared" si="17"/>
        <v>1</v>
      </c>
    </row>
    <row r="360" spans="1:26" ht="15.75" customHeight="1" x14ac:dyDescent="0.2">
      <c r="A360" s="2" t="s">
        <v>23</v>
      </c>
      <c r="B360" s="2" t="s">
        <v>24</v>
      </c>
      <c r="C360" s="2" t="s">
        <v>25</v>
      </c>
      <c r="D360" s="2" t="s">
        <v>25</v>
      </c>
      <c r="E360" s="2">
        <v>91</v>
      </c>
      <c r="F360" s="2">
        <v>187</v>
      </c>
      <c r="G360" s="2">
        <v>877.33333330000005</v>
      </c>
      <c r="H360" s="2">
        <v>1752</v>
      </c>
      <c r="I360" s="2">
        <v>2553</v>
      </c>
      <c r="J360" s="2">
        <v>1.81</v>
      </c>
      <c r="K360" s="2">
        <v>7.76</v>
      </c>
      <c r="L360" s="2">
        <v>12.12</v>
      </c>
      <c r="M360" s="2">
        <v>14.64</v>
      </c>
      <c r="N360" s="2">
        <v>0.50780167899999995</v>
      </c>
      <c r="O360" s="2">
        <v>0.66888088300000004</v>
      </c>
      <c r="P360" s="2">
        <v>3.4911381929999998</v>
      </c>
      <c r="Q360" s="2">
        <v>3.4053525929999999</v>
      </c>
      <c r="R360" s="2">
        <v>3.4793857309999998</v>
      </c>
      <c r="S360" s="2">
        <v>3.3971498840000001</v>
      </c>
      <c r="T360" s="2">
        <v>0.28621813200000001</v>
      </c>
      <c r="U360" s="2">
        <v>0.23621800800000001</v>
      </c>
      <c r="V360" s="2">
        <v>4.5920627209999996</v>
      </c>
      <c r="W360" s="2">
        <v>5.4168004999999998E-2</v>
      </c>
      <c r="X360">
        <f t="shared" si="15"/>
        <v>1</v>
      </c>
      <c r="Y360">
        <f t="shared" si="16"/>
        <v>1</v>
      </c>
      <c r="Z360">
        <f t="shared" si="17"/>
        <v>0</v>
      </c>
    </row>
    <row r="361" spans="1:26" ht="15.75" customHeight="1" x14ac:dyDescent="0.2">
      <c r="A361" s="2" t="s">
        <v>23</v>
      </c>
      <c r="B361" s="2" t="s">
        <v>24</v>
      </c>
      <c r="C361" s="2" t="s">
        <v>30</v>
      </c>
      <c r="D361" s="2" t="s">
        <v>31</v>
      </c>
      <c r="E361" s="2">
        <v>81</v>
      </c>
      <c r="F361" s="2">
        <v>179.33333329999999</v>
      </c>
      <c r="G361" s="2">
        <v>487</v>
      </c>
      <c r="H361" s="2">
        <v>1305.333333</v>
      </c>
      <c r="I361" s="2">
        <v>2438</v>
      </c>
      <c r="J361" s="2">
        <v>1.72</v>
      </c>
      <c r="K361" s="2">
        <v>4.8099999999999996</v>
      </c>
      <c r="L361" s="2">
        <v>10.19</v>
      </c>
      <c r="M361" s="2">
        <v>14.33</v>
      </c>
      <c r="N361" s="2">
        <v>4.1984185910000003</v>
      </c>
      <c r="O361" s="2">
        <v>4.1660759350000003</v>
      </c>
      <c r="P361" s="2">
        <v>1.7317551289999999</v>
      </c>
      <c r="Q361" s="2">
        <v>1.7569537310000001</v>
      </c>
      <c r="R361" s="2">
        <v>0.52515646500000002</v>
      </c>
      <c r="S361" s="2">
        <v>0.44292061900000002</v>
      </c>
      <c r="T361" s="2">
        <v>1.6502080210000001</v>
      </c>
      <c r="U361" s="2">
        <v>1.7002081449999999</v>
      </c>
      <c r="V361" s="2">
        <v>1.6378334560000001</v>
      </c>
      <c r="W361" s="2">
        <v>3.9357397000000002E-2</v>
      </c>
      <c r="X361">
        <f t="shared" si="15"/>
        <v>1</v>
      </c>
      <c r="Y361">
        <f t="shared" si="16"/>
        <v>1</v>
      </c>
      <c r="Z361">
        <f t="shared" si="17"/>
        <v>1</v>
      </c>
    </row>
    <row r="362" spans="1:26" ht="15.75" customHeight="1" x14ac:dyDescent="0.2">
      <c r="A362" s="2" t="s">
        <v>23</v>
      </c>
      <c r="B362" s="2" t="s">
        <v>24</v>
      </c>
      <c r="C362" s="2" t="s">
        <v>25</v>
      </c>
      <c r="D362" s="2" t="s">
        <v>25</v>
      </c>
      <c r="E362" s="2">
        <v>149</v>
      </c>
      <c r="F362" s="2">
        <v>204.33333329999999</v>
      </c>
      <c r="G362" s="2">
        <v>828.66666669999995</v>
      </c>
      <c r="H362" s="2">
        <v>1596.333333</v>
      </c>
      <c r="I362" s="2">
        <v>2595</v>
      </c>
      <c r="J362" s="2">
        <v>2</v>
      </c>
      <c r="K362" s="2">
        <v>7.44</v>
      </c>
      <c r="L362" s="2">
        <v>11.5</v>
      </c>
      <c r="M362" s="2">
        <v>14.74</v>
      </c>
      <c r="N362" s="2">
        <v>0.47138890300000003</v>
      </c>
      <c r="O362" s="2">
        <v>0.252991564</v>
      </c>
      <c r="P362" s="2">
        <v>2.6137582610000001</v>
      </c>
      <c r="Q362" s="2">
        <v>2.5710175300000002</v>
      </c>
      <c r="R362" s="2">
        <v>2.6097794830000001</v>
      </c>
      <c r="S362" s="2">
        <v>2.5670702400000001</v>
      </c>
      <c r="T362" s="2">
        <v>0.144164125</v>
      </c>
      <c r="U362" s="2">
        <v>0.14241320499999999</v>
      </c>
      <c r="V362" s="2">
        <v>3.7673040680000001</v>
      </c>
      <c r="W362" s="2">
        <v>0.14716356</v>
      </c>
      <c r="X362">
        <f t="shared" si="15"/>
        <v>1</v>
      </c>
      <c r="Y362">
        <f t="shared" si="16"/>
        <v>1</v>
      </c>
      <c r="Z362">
        <f t="shared" si="17"/>
        <v>0</v>
      </c>
    </row>
    <row r="363" spans="1:26" ht="15.75" customHeight="1" x14ac:dyDescent="0.2">
      <c r="A363" s="2" t="s">
        <v>23</v>
      </c>
      <c r="B363" s="2" t="s">
        <v>24</v>
      </c>
      <c r="C363" s="2" t="s">
        <v>26</v>
      </c>
      <c r="D363" s="2" t="s">
        <v>26</v>
      </c>
      <c r="E363" s="2">
        <v>196</v>
      </c>
      <c r="F363" s="2">
        <v>233.33333329999999</v>
      </c>
      <c r="G363" s="2">
        <v>446.66666670000001</v>
      </c>
      <c r="H363" s="2">
        <v>1007.333333</v>
      </c>
      <c r="I363" s="2">
        <v>2750.666667</v>
      </c>
      <c r="J363" s="2">
        <v>2.3199999999999998</v>
      </c>
      <c r="K363" s="2">
        <v>4.45</v>
      </c>
      <c r="L363" s="2">
        <v>8.57</v>
      </c>
      <c r="M363" s="2">
        <v>15.12</v>
      </c>
      <c r="N363" s="2">
        <v>0.369825289</v>
      </c>
      <c r="O363" s="2">
        <v>0.25419231199999998</v>
      </c>
      <c r="P363" s="2">
        <v>3.1005925959999998</v>
      </c>
      <c r="Q363" s="2">
        <v>3.1043971969999999</v>
      </c>
      <c r="R363" s="2">
        <v>0.38113296200000002</v>
      </c>
      <c r="S363" s="2">
        <v>0.42384220500000003</v>
      </c>
      <c r="T363" s="2">
        <v>3.0770785030000001</v>
      </c>
      <c r="U363" s="2">
        <v>3.075327583</v>
      </c>
      <c r="V363" s="2">
        <v>0.77639162299999998</v>
      </c>
      <c r="W363" s="2">
        <v>0.104922431</v>
      </c>
      <c r="X363">
        <f t="shared" si="15"/>
        <v>1</v>
      </c>
      <c r="Y363">
        <f t="shared" si="16"/>
        <v>1</v>
      </c>
      <c r="Z363">
        <f t="shared" si="17"/>
        <v>0</v>
      </c>
    </row>
    <row r="364" spans="1:26" ht="15.75" customHeight="1" x14ac:dyDescent="0.2">
      <c r="A364" s="2" t="s">
        <v>23</v>
      </c>
      <c r="B364" s="2" t="s">
        <v>24</v>
      </c>
      <c r="C364" s="2" t="s">
        <v>27</v>
      </c>
      <c r="D364" s="2" t="s">
        <v>27</v>
      </c>
      <c r="E364" s="2">
        <v>198</v>
      </c>
      <c r="F364" s="2">
        <v>224.66666670000001</v>
      </c>
      <c r="G364" s="2">
        <v>452</v>
      </c>
      <c r="H364" s="2">
        <v>2340.333333</v>
      </c>
      <c r="I364" s="2">
        <v>3046</v>
      </c>
      <c r="J364" s="2">
        <v>2.23</v>
      </c>
      <c r="K364" s="2">
        <v>4.49</v>
      </c>
      <c r="L364" s="2">
        <v>14.06</v>
      </c>
      <c r="M364" s="2">
        <v>15.78</v>
      </c>
      <c r="N364" s="2">
        <v>0.122987624</v>
      </c>
      <c r="O364" s="2">
        <v>7.7987340000000002E-2</v>
      </c>
      <c r="P364" s="2">
        <v>2.435047993</v>
      </c>
      <c r="Q364" s="2">
        <v>2.4429827789999998</v>
      </c>
      <c r="R364" s="2">
        <v>0.33285395099999998</v>
      </c>
      <c r="S364" s="2">
        <v>0.37556319399999999</v>
      </c>
      <c r="T364" s="2">
        <v>2.412191322</v>
      </c>
      <c r="U364" s="2">
        <v>2.4139422420000001</v>
      </c>
      <c r="V364" s="2">
        <v>0.82467063399999996</v>
      </c>
      <c r="W364" s="2">
        <v>0.105268851</v>
      </c>
      <c r="X364">
        <f t="shared" si="15"/>
        <v>1</v>
      </c>
      <c r="Y364">
        <f t="shared" si="16"/>
        <v>1</v>
      </c>
      <c r="Z364">
        <f t="shared" si="17"/>
        <v>0</v>
      </c>
    </row>
    <row r="365" spans="1:26" ht="15.75" customHeight="1" x14ac:dyDescent="0.2">
      <c r="A365" s="2" t="s">
        <v>23</v>
      </c>
      <c r="B365" s="2" t="s">
        <v>24</v>
      </c>
      <c r="C365" s="2" t="s">
        <v>28</v>
      </c>
      <c r="D365" s="2" t="s">
        <v>29</v>
      </c>
      <c r="E365" s="2">
        <v>136</v>
      </c>
      <c r="F365" s="2">
        <v>214.66666670000001</v>
      </c>
      <c r="G365" s="2">
        <v>501.33333329999999</v>
      </c>
      <c r="H365" s="2">
        <v>981</v>
      </c>
      <c r="I365" s="2">
        <v>2510.333333</v>
      </c>
      <c r="J365" s="2">
        <v>2.12</v>
      </c>
      <c r="K365" s="2">
        <v>4.93</v>
      </c>
      <c r="L365" s="2">
        <v>8.41</v>
      </c>
      <c r="M365" s="2">
        <v>14.53</v>
      </c>
      <c r="N365" s="2">
        <v>0.67855139399999997</v>
      </c>
      <c r="O365" s="2">
        <v>0.59870023000000006</v>
      </c>
      <c r="P365" s="2">
        <v>3.2373046620000001</v>
      </c>
      <c r="Q365" s="2">
        <v>3.2344660740000002</v>
      </c>
      <c r="R365" s="2">
        <v>0.10380826</v>
      </c>
      <c r="S365" s="2">
        <v>6.1099016999999999E-2</v>
      </c>
      <c r="T365" s="2">
        <v>3.2356398629999998</v>
      </c>
      <c r="U365" s="2">
        <v>3.2338889430000002</v>
      </c>
      <c r="V365" s="2">
        <v>1.2613328450000001</v>
      </c>
      <c r="W365" s="2">
        <v>0.10816056</v>
      </c>
      <c r="X365">
        <f t="shared" si="15"/>
        <v>1</v>
      </c>
      <c r="Y365">
        <f t="shared" si="16"/>
        <v>1</v>
      </c>
      <c r="Z365">
        <f t="shared" si="17"/>
        <v>1</v>
      </c>
    </row>
    <row r="366" spans="1:26" ht="15.75" customHeight="1" x14ac:dyDescent="0.2">
      <c r="A366" s="2" t="s">
        <v>23</v>
      </c>
      <c r="B366" s="2" t="s">
        <v>24</v>
      </c>
      <c r="C366" s="2" t="s">
        <v>30</v>
      </c>
      <c r="D366" s="2" t="s">
        <v>31</v>
      </c>
      <c r="E366" s="2">
        <v>180</v>
      </c>
      <c r="F366" s="2">
        <v>225.33333329999999</v>
      </c>
      <c r="G366" s="2">
        <v>694</v>
      </c>
      <c r="H366" s="2">
        <v>1200.666667</v>
      </c>
      <c r="I366" s="2">
        <v>2466.333333</v>
      </c>
      <c r="J366" s="2">
        <v>2.23</v>
      </c>
      <c r="K366" s="2">
        <v>6.48</v>
      </c>
      <c r="L366" s="2">
        <v>9.65</v>
      </c>
      <c r="M366" s="2">
        <v>14.41</v>
      </c>
      <c r="N366" s="2">
        <v>4.778606978</v>
      </c>
      <c r="O366" s="2">
        <v>4.8344817989999997</v>
      </c>
      <c r="P366" s="2">
        <v>2.5903782990000002</v>
      </c>
      <c r="Q366" s="2">
        <v>2.5619625629999998</v>
      </c>
      <c r="R366" s="2">
        <v>1.6536527270000001</v>
      </c>
      <c r="S366" s="2">
        <v>1.6109434840000001</v>
      </c>
      <c r="T366" s="2">
        <v>1.9938636839999999</v>
      </c>
      <c r="U366" s="2">
        <v>1.992112764</v>
      </c>
      <c r="V366" s="2">
        <v>2.8111773119999999</v>
      </c>
      <c r="W366" s="2">
        <v>0.11699775</v>
      </c>
      <c r="X366">
        <f t="shared" si="15"/>
        <v>1</v>
      </c>
      <c r="Y366">
        <f t="shared" si="16"/>
        <v>1</v>
      </c>
      <c r="Z366">
        <f t="shared" si="17"/>
        <v>1</v>
      </c>
    </row>
    <row r="367" spans="1:26" ht="15.75" customHeight="1" x14ac:dyDescent="0.2">
      <c r="A367" s="2" t="s">
        <v>23</v>
      </c>
      <c r="B367" s="2" t="s">
        <v>24</v>
      </c>
      <c r="C367" s="2" t="s">
        <v>26</v>
      </c>
      <c r="D367" s="2" t="s">
        <v>26</v>
      </c>
      <c r="E367" s="2">
        <v>152</v>
      </c>
      <c r="F367" s="2">
        <v>203.33333329999999</v>
      </c>
      <c r="G367" s="2">
        <v>416</v>
      </c>
      <c r="H367" s="2">
        <v>990.33333330000005</v>
      </c>
      <c r="I367" s="2">
        <v>2777</v>
      </c>
      <c r="J367" s="2">
        <v>1.99</v>
      </c>
      <c r="K367" s="2">
        <v>4.16</v>
      </c>
      <c r="L367" s="2">
        <v>8.4700000000000006</v>
      </c>
      <c r="M367" s="2">
        <v>15.19</v>
      </c>
      <c r="N367" s="2">
        <v>0.57606901499999996</v>
      </c>
      <c r="O367" s="2">
        <v>0.48163584300000001</v>
      </c>
      <c r="P367" s="2">
        <v>3.2475035559999998</v>
      </c>
      <c r="Q367" s="2">
        <v>3.254781307</v>
      </c>
      <c r="R367" s="2">
        <v>0.66294340299999999</v>
      </c>
      <c r="S367" s="2">
        <v>0.70565264599999999</v>
      </c>
      <c r="T367" s="2">
        <v>3.179117078</v>
      </c>
      <c r="U367" s="2">
        <v>3.1773661579999999</v>
      </c>
      <c r="V367" s="2">
        <v>0.49458118299999998</v>
      </c>
      <c r="W367" s="2">
        <v>0.13945506199999999</v>
      </c>
      <c r="X367">
        <f t="shared" si="15"/>
        <v>1</v>
      </c>
      <c r="Y367">
        <f t="shared" si="16"/>
        <v>1</v>
      </c>
      <c r="Z367">
        <f t="shared" si="17"/>
        <v>0</v>
      </c>
    </row>
    <row r="368" spans="1:26" ht="15.75" customHeight="1" x14ac:dyDescent="0.2">
      <c r="A368" s="2" t="s">
        <v>23</v>
      </c>
      <c r="B368" s="2" t="s">
        <v>24</v>
      </c>
      <c r="C368" s="2" t="s">
        <v>28</v>
      </c>
      <c r="D368" s="2" t="s">
        <v>29</v>
      </c>
      <c r="E368" s="2">
        <v>202</v>
      </c>
      <c r="F368" s="2">
        <v>234.66666670000001</v>
      </c>
      <c r="G368" s="2">
        <v>481</v>
      </c>
      <c r="H368" s="2">
        <v>1080</v>
      </c>
      <c r="I368" s="2">
        <v>2588.333333</v>
      </c>
      <c r="J368" s="2">
        <v>2.34</v>
      </c>
      <c r="K368" s="2">
        <v>4.75</v>
      </c>
      <c r="L368" s="2">
        <v>8.99</v>
      </c>
      <c r="M368" s="2">
        <v>14.73</v>
      </c>
      <c r="N368" s="2">
        <v>0.25926331600000002</v>
      </c>
      <c r="O368" s="2">
        <v>0.31257185999999998</v>
      </c>
      <c r="P368" s="2">
        <v>2.654810914</v>
      </c>
      <c r="Q368" s="2">
        <v>2.65459573</v>
      </c>
      <c r="R368" s="2">
        <v>7.4029203000000002E-2</v>
      </c>
      <c r="S368" s="2">
        <v>0.116738446</v>
      </c>
      <c r="T368" s="2">
        <v>2.653778564</v>
      </c>
      <c r="U368" s="2">
        <v>2.6520276439999999</v>
      </c>
      <c r="V368" s="2">
        <v>1.083495383</v>
      </c>
      <c r="W368" s="2">
        <v>0.114454816</v>
      </c>
      <c r="X368">
        <f t="shared" si="15"/>
        <v>1</v>
      </c>
      <c r="Y368">
        <f t="shared" si="16"/>
        <v>1</v>
      </c>
      <c r="Z368">
        <f t="shared" si="17"/>
        <v>1</v>
      </c>
    </row>
    <row r="369" spans="1:26" ht="15.75" customHeight="1" x14ac:dyDescent="0.2">
      <c r="A369" s="2" t="s">
        <v>23</v>
      </c>
      <c r="B369" s="2" t="s">
        <v>24</v>
      </c>
      <c r="C369" s="2" t="s">
        <v>32</v>
      </c>
      <c r="D369" s="2" t="s">
        <v>33</v>
      </c>
      <c r="E369" s="2">
        <v>191</v>
      </c>
      <c r="F369" s="2">
        <v>235</v>
      </c>
      <c r="G369" s="2">
        <v>686</v>
      </c>
      <c r="H369" s="2">
        <v>983.33333330000005</v>
      </c>
      <c r="I369" s="2">
        <v>2469</v>
      </c>
      <c r="J369" s="2">
        <v>2.34</v>
      </c>
      <c r="K369" s="2">
        <v>6.42</v>
      </c>
      <c r="L369" s="2">
        <v>8.43</v>
      </c>
      <c r="M369" s="2">
        <v>14.42</v>
      </c>
      <c r="N369" s="2">
        <v>3.5463820589999999</v>
      </c>
      <c r="O369" s="2">
        <v>3.4245943809999999</v>
      </c>
      <c r="P369" s="2">
        <v>3.5941721260000001</v>
      </c>
      <c r="Q369" s="2">
        <v>3.573860678</v>
      </c>
      <c r="R369" s="2">
        <v>1.5937906040000001</v>
      </c>
      <c r="S369" s="2">
        <v>1.551081361</v>
      </c>
      <c r="T369" s="2">
        <v>3.22147556</v>
      </c>
      <c r="U369" s="2">
        <v>3.2197246399999999</v>
      </c>
      <c r="V369" s="2">
        <v>2.751315189</v>
      </c>
      <c r="W369" s="2">
        <v>0.17787422899999999</v>
      </c>
      <c r="X369">
        <f t="shared" si="15"/>
        <v>1</v>
      </c>
      <c r="Y369">
        <f t="shared" si="16"/>
        <v>1</v>
      </c>
      <c r="Z369">
        <f t="shared" si="17"/>
        <v>1</v>
      </c>
    </row>
    <row r="370" spans="1:26" ht="15.75" customHeight="1" x14ac:dyDescent="0.2">
      <c r="A370" s="2" t="s">
        <v>23</v>
      </c>
      <c r="B370" s="2" t="s">
        <v>24</v>
      </c>
      <c r="C370" s="2" t="s">
        <v>25</v>
      </c>
      <c r="D370" s="2" t="s">
        <v>25</v>
      </c>
      <c r="E370" s="2">
        <v>158</v>
      </c>
      <c r="F370" s="2">
        <v>195.33333329999999</v>
      </c>
      <c r="G370" s="2">
        <v>871</v>
      </c>
      <c r="H370" s="2">
        <v>1631.666667</v>
      </c>
      <c r="I370" s="2">
        <v>2827</v>
      </c>
      <c r="J370" s="2">
        <v>1.9</v>
      </c>
      <c r="K370" s="2">
        <v>7.72</v>
      </c>
      <c r="L370" s="2">
        <v>11.65</v>
      </c>
      <c r="M370" s="2">
        <v>15.3</v>
      </c>
      <c r="N370" s="2">
        <v>0.599798999</v>
      </c>
      <c r="O370" s="2">
        <v>0.40329554099999998</v>
      </c>
      <c r="P370" s="2">
        <v>2.8915524060000002</v>
      </c>
      <c r="Q370" s="2">
        <v>2.848844438</v>
      </c>
      <c r="R370" s="2">
        <v>2.8915521590000002</v>
      </c>
      <c r="S370" s="2">
        <v>2.8488429160000002</v>
      </c>
      <c r="T370" s="2">
        <v>1.193899E-3</v>
      </c>
      <c r="U370" s="2">
        <v>2.944819E-3</v>
      </c>
      <c r="V370" s="2">
        <v>4.0490767449999998</v>
      </c>
      <c r="W370" s="2">
        <v>0.16414051800000001</v>
      </c>
      <c r="X370">
        <f t="shared" si="15"/>
        <v>1</v>
      </c>
      <c r="Y370">
        <f t="shared" si="16"/>
        <v>1</v>
      </c>
      <c r="Z370">
        <f t="shared" si="17"/>
        <v>0</v>
      </c>
    </row>
    <row r="371" spans="1:26" ht="15.75" customHeight="1" x14ac:dyDescent="0.2">
      <c r="A371" s="2" t="s">
        <v>23</v>
      </c>
      <c r="B371" s="2" t="s">
        <v>24</v>
      </c>
      <c r="C371" s="2" t="s">
        <v>32</v>
      </c>
      <c r="D371" s="2" t="s">
        <v>33</v>
      </c>
      <c r="E371" s="2">
        <v>170</v>
      </c>
      <c r="F371" s="2">
        <v>227.66666670000001</v>
      </c>
      <c r="G371" s="2">
        <v>612.33333330000005</v>
      </c>
      <c r="H371" s="2">
        <v>940.66666669999995</v>
      </c>
      <c r="I371" s="2">
        <v>2433</v>
      </c>
      <c r="J371" s="2">
        <v>2.2599999999999998</v>
      </c>
      <c r="K371" s="2">
        <v>5.85</v>
      </c>
      <c r="L371" s="2">
        <v>8.16</v>
      </c>
      <c r="M371" s="2">
        <v>14.32</v>
      </c>
      <c r="N371" s="2">
        <v>3.9550536279999999</v>
      </c>
      <c r="O371" s="2">
        <v>3.8577227029999999</v>
      </c>
      <c r="P371" s="2">
        <v>3.6317448140000002</v>
      </c>
      <c r="Q371" s="2">
        <v>3.6182368349999998</v>
      </c>
      <c r="R371" s="2">
        <v>1.0250597109999999</v>
      </c>
      <c r="S371" s="2">
        <v>0.982350469</v>
      </c>
      <c r="T371" s="2">
        <v>3.484081368</v>
      </c>
      <c r="U371" s="2">
        <v>3.4823304479999999</v>
      </c>
      <c r="V371" s="2">
        <v>2.182584297</v>
      </c>
      <c r="W371" s="2">
        <v>0.123666866</v>
      </c>
      <c r="X371">
        <f t="shared" si="15"/>
        <v>1</v>
      </c>
      <c r="Y371">
        <f t="shared" si="16"/>
        <v>1</v>
      </c>
      <c r="Z371">
        <f t="shared" si="17"/>
        <v>1</v>
      </c>
    </row>
    <row r="372" spans="1:26" ht="15.75" customHeight="1" x14ac:dyDescent="0.2">
      <c r="A372" s="2" t="s">
        <v>23</v>
      </c>
      <c r="B372" s="2" t="s">
        <v>24</v>
      </c>
      <c r="C372" s="2" t="s">
        <v>32</v>
      </c>
      <c r="D372" s="2" t="s">
        <v>33</v>
      </c>
      <c r="E372" s="2">
        <v>176</v>
      </c>
      <c r="F372" s="2">
        <v>225</v>
      </c>
      <c r="G372" s="2">
        <v>677.66666669999995</v>
      </c>
      <c r="H372" s="2">
        <v>1020</v>
      </c>
      <c r="I372" s="2">
        <v>2676.666667</v>
      </c>
      <c r="J372" s="2">
        <v>2.23</v>
      </c>
      <c r="K372" s="2">
        <v>6.36</v>
      </c>
      <c r="L372" s="2">
        <v>8.65</v>
      </c>
      <c r="M372" s="2">
        <v>14.95</v>
      </c>
      <c r="N372" s="2">
        <v>3.3466750080000001</v>
      </c>
      <c r="O372" s="2">
        <v>3.23140165</v>
      </c>
      <c r="P372" s="2">
        <v>3.3697108789999999</v>
      </c>
      <c r="Q372" s="2">
        <v>3.348953104</v>
      </c>
      <c r="R372" s="2">
        <v>1.531048094</v>
      </c>
      <c r="S372" s="2">
        <v>1.488338851</v>
      </c>
      <c r="T372" s="2">
        <v>3.0018066459999999</v>
      </c>
      <c r="U372" s="2">
        <v>3.0000557259999998</v>
      </c>
      <c r="V372" s="2">
        <v>2.688572679</v>
      </c>
      <c r="W372" s="2">
        <v>0.15373952199999999</v>
      </c>
      <c r="X372">
        <f t="shared" si="15"/>
        <v>1</v>
      </c>
      <c r="Y372">
        <f t="shared" si="16"/>
        <v>1</v>
      </c>
      <c r="Z372">
        <f t="shared" si="17"/>
        <v>1</v>
      </c>
    </row>
    <row r="373" spans="1:26" ht="15.75" customHeight="1" x14ac:dyDescent="0.2">
      <c r="A373" s="2" t="s">
        <v>23</v>
      </c>
      <c r="B373" s="2" t="s">
        <v>24</v>
      </c>
      <c r="C373" s="2" t="s">
        <v>25</v>
      </c>
      <c r="D373" s="2" t="s">
        <v>25</v>
      </c>
      <c r="E373" s="2">
        <v>108</v>
      </c>
      <c r="F373" s="2">
        <v>208.33333329999999</v>
      </c>
      <c r="G373" s="2">
        <v>774.33333330000005</v>
      </c>
      <c r="H373" s="2">
        <v>1563</v>
      </c>
      <c r="I373" s="2">
        <v>2469.666667</v>
      </c>
      <c r="J373" s="2">
        <v>2.0499999999999998</v>
      </c>
      <c r="K373" s="2">
        <v>7.06</v>
      </c>
      <c r="L373" s="2">
        <v>11.36</v>
      </c>
      <c r="M373" s="2">
        <v>14.42</v>
      </c>
      <c r="N373" s="2">
        <v>0.53967176699999997</v>
      </c>
      <c r="O373" s="2">
        <v>0.44957013299999998</v>
      </c>
      <c r="P373" s="2">
        <v>2.2533136900000001</v>
      </c>
      <c r="Q373" s="2">
        <v>2.2107272999999998</v>
      </c>
      <c r="R373" s="2">
        <v>2.2353490219999999</v>
      </c>
      <c r="S373" s="2">
        <v>2.1926397789999998</v>
      </c>
      <c r="T373" s="2">
        <v>0.28396713699999998</v>
      </c>
      <c r="U373" s="2">
        <v>0.28221621699999999</v>
      </c>
      <c r="V373" s="2">
        <v>3.3928736069999998</v>
      </c>
      <c r="W373" s="2">
        <v>0.101870376</v>
      </c>
      <c r="X373">
        <f t="shared" si="15"/>
        <v>1</v>
      </c>
      <c r="Y373">
        <f t="shared" si="16"/>
        <v>1</v>
      </c>
      <c r="Z373">
        <f t="shared" si="17"/>
        <v>0</v>
      </c>
    </row>
    <row r="374" spans="1:26" ht="15.75" customHeight="1" x14ac:dyDescent="0.2">
      <c r="A374" s="2" t="s">
        <v>23</v>
      </c>
      <c r="B374" s="2" t="s">
        <v>24</v>
      </c>
      <c r="C374" s="2" t="s">
        <v>25</v>
      </c>
      <c r="D374" s="2" t="s">
        <v>25</v>
      </c>
      <c r="E374" s="2">
        <v>162</v>
      </c>
      <c r="F374" s="2">
        <v>211.66666670000001</v>
      </c>
      <c r="G374" s="2">
        <v>789</v>
      </c>
      <c r="H374" s="2">
        <v>1869.333333</v>
      </c>
      <c r="I374" s="2">
        <v>2792.666667</v>
      </c>
      <c r="J374" s="2">
        <v>2.08</v>
      </c>
      <c r="K374" s="2">
        <v>7.16</v>
      </c>
      <c r="L374" s="2">
        <v>12.56</v>
      </c>
      <c r="M374" s="2">
        <v>15.22</v>
      </c>
      <c r="N374" s="2">
        <v>0.66448125599999996</v>
      </c>
      <c r="O374" s="2">
        <v>0.84226805199999999</v>
      </c>
      <c r="P374" s="2">
        <v>2.5084618860000001</v>
      </c>
      <c r="Q374" s="2">
        <v>2.4693509100000002</v>
      </c>
      <c r="R374" s="2">
        <v>2.3378807109999999</v>
      </c>
      <c r="S374" s="2">
        <v>2.2951714679999999</v>
      </c>
      <c r="T374" s="2">
        <v>0.909227593</v>
      </c>
      <c r="U374" s="2">
        <v>0.91097851299999999</v>
      </c>
      <c r="V374" s="2">
        <v>3.4954052959999999</v>
      </c>
      <c r="W374" s="2">
        <v>0.148362036</v>
      </c>
      <c r="X374">
        <f t="shared" si="15"/>
        <v>1</v>
      </c>
      <c r="Y374">
        <f t="shared" si="16"/>
        <v>1</v>
      </c>
      <c r="Z374">
        <f t="shared" si="17"/>
        <v>0</v>
      </c>
    </row>
    <row r="375" spans="1:26" ht="15.75" customHeight="1" x14ac:dyDescent="0.2">
      <c r="A375" s="2" t="s">
        <v>23</v>
      </c>
      <c r="B375" s="2" t="s">
        <v>24</v>
      </c>
      <c r="C375" s="2" t="s">
        <v>27</v>
      </c>
      <c r="D375" s="2" t="s">
        <v>27</v>
      </c>
      <c r="E375" s="2">
        <v>141</v>
      </c>
      <c r="F375" s="2">
        <v>199</v>
      </c>
      <c r="G375" s="2">
        <v>391.33333329999999</v>
      </c>
      <c r="H375" s="2">
        <v>2387.333333</v>
      </c>
      <c r="I375" s="2">
        <v>3074.666667</v>
      </c>
      <c r="J375" s="2">
        <v>1.94</v>
      </c>
      <c r="K375" s="2">
        <v>3.93</v>
      </c>
      <c r="L375" s="2">
        <v>14.19</v>
      </c>
      <c r="M375" s="2">
        <v>15.84</v>
      </c>
      <c r="N375" s="2">
        <v>0.53605587099999996</v>
      </c>
      <c r="O375" s="2">
        <v>0.51725643600000004</v>
      </c>
      <c r="P375" s="2">
        <v>2.697107988</v>
      </c>
      <c r="Q375" s="2">
        <v>2.7132220239999998</v>
      </c>
      <c r="R375" s="2">
        <v>0.89495127100000005</v>
      </c>
      <c r="S375" s="2">
        <v>0.93766051399999994</v>
      </c>
      <c r="T375" s="2">
        <v>2.5442982770000002</v>
      </c>
      <c r="U375" s="2">
        <v>2.5460491969999999</v>
      </c>
      <c r="V375" s="2">
        <v>0.262573314</v>
      </c>
      <c r="W375" s="2">
        <v>9.7827730000000002E-2</v>
      </c>
      <c r="X375">
        <f t="shared" si="15"/>
        <v>1</v>
      </c>
      <c r="Y375">
        <f t="shared" si="16"/>
        <v>1</v>
      </c>
      <c r="Z375">
        <f t="shared" si="17"/>
        <v>0</v>
      </c>
    </row>
    <row r="376" spans="1:26" ht="15.75" customHeight="1" x14ac:dyDescent="0.2">
      <c r="A376" s="2" t="s">
        <v>23</v>
      </c>
      <c r="B376" s="2" t="s">
        <v>24</v>
      </c>
      <c r="C376" s="2" t="s">
        <v>30</v>
      </c>
      <c r="D376" s="2" t="s">
        <v>31</v>
      </c>
      <c r="E376" s="2">
        <v>144</v>
      </c>
      <c r="F376" s="2">
        <v>208</v>
      </c>
      <c r="G376" s="2">
        <v>526</v>
      </c>
      <c r="H376" s="2">
        <v>1237.666667</v>
      </c>
      <c r="I376" s="2">
        <v>2452.333333</v>
      </c>
      <c r="J376" s="2">
        <v>2.04</v>
      </c>
      <c r="K376" s="2">
        <v>5.14</v>
      </c>
      <c r="L376" s="2">
        <v>9.85</v>
      </c>
      <c r="M376" s="2">
        <v>14.37</v>
      </c>
      <c r="N376" s="2">
        <v>4.1811689860000003</v>
      </c>
      <c r="O376" s="2">
        <v>4.2437537870000002</v>
      </c>
      <c r="P376" s="2">
        <v>1.828934048</v>
      </c>
      <c r="Q376" s="2">
        <v>1.8203177859999999</v>
      </c>
      <c r="R376" s="2">
        <v>0.31564037</v>
      </c>
      <c r="S376" s="2">
        <v>0.272931127</v>
      </c>
      <c r="T376" s="2">
        <v>1.801491301</v>
      </c>
      <c r="U376" s="2">
        <v>1.799740382</v>
      </c>
      <c r="V376" s="2">
        <v>1.4731649550000001</v>
      </c>
      <c r="W376" s="2">
        <v>0.157077834</v>
      </c>
      <c r="X376">
        <f t="shared" si="15"/>
        <v>1</v>
      </c>
      <c r="Y376">
        <f t="shared" si="16"/>
        <v>1</v>
      </c>
      <c r="Z376">
        <f t="shared" si="17"/>
        <v>1</v>
      </c>
    </row>
    <row r="377" spans="1:26" ht="15.75" customHeight="1" x14ac:dyDescent="0.2">
      <c r="A377" s="2" t="s">
        <v>23</v>
      </c>
      <c r="B377" s="2" t="s">
        <v>24</v>
      </c>
      <c r="C377" s="2" t="s">
        <v>28</v>
      </c>
      <c r="D377" s="2" t="s">
        <v>29</v>
      </c>
      <c r="E377" s="2">
        <v>150</v>
      </c>
      <c r="F377" s="2">
        <v>217.33333329999999</v>
      </c>
      <c r="G377" s="2">
        <v>477</v>
      </c>
      <c r="H377" s="2">
        <v>1128.333333</v>
      </c>
      <c r="I377" s="2">
        <v>2668.666667</v>
      </c>
      <c r="J377" s="2">
        <v>2.15</v>
      </c>
      <c r="K377" s="2">
        <v>4.72</v>
      </c>
      <c r="L377" s="2">
        <v>9.27</v>
      </c>
      <c r="M377" s="2">
        <v>14.93</v>
      </c>
      <c r="N377" s="2">
        <v>0.39355100900000001</v>
      </c>
      <c r="O377" s="2">
        <v>0.49763057999999999</v>
      </c>
      <c r="P377" s="2">
        <v>2.3857649109999999</v>
      </c>
      <c r="Q377" s="2">
        <v>2.3863564670000001</v>
      </c>
      <c r="R377" s="2">
        <v>0.10936294000000001</v>
      </c>
      <c r="S377" s="2">
        <v>0.152072182</v>
      </c>
      <c r="T377" s="2">
        <v>2.383257006</v>
      </c>
      <c r="U377" s="2">
        <v>2.3815060859999999</v>
      </c>
      <c r="V377" s="2">
        <v>1.0481616460000001</v>
      </c>
      <c r="W377" s="2">
        <v>9.7141503000000004E-2</v>
      </c>
      <c r="X377">
        <f t="shared" si="15"/>
        <v>1</v>
      </c>
      <c r="Y377">
        <f t="shared" si="16"/>
        <v>1</v>
      </c>
      <c r="Z377">
        <f t="shared" si="17"/>
        <v>1</v>
      </c>
    </row>
    <row r="378" spans="1:26" ht="15.75" customHeight="1" x14ac:dyDescent="0.2">
      <c r="A378" s="2" t="s">
        <v>23</v>
      </c>
      <c r="B378" s="2" t="s">
        <v>24</v>
      </c>
      <c r="C378" s="2" t="s">
        <v>28</v>
      </c>
      <c r="D378" s="2" t="s">
        <v>29</v>
      </c>
      <c r="E378" s="2">
        <v>153</v>
      </c>
      <c r="F378" s="2">
        <v>215.66666670000001</v>
      </c>
      <c r="G378" s="2">
        <v>449.66666670000001</v>
      </c>
      <c r="H378" s="2">
        <v>1128</v>
      </c>
      <c r="I378" s="2">
        <v>2474</v>
      </c>
      <c r="J378" s="2">
        <v>2.13</v>
      </c>
      <c r="K378" s="2">
        <v>4.47</v>
      </c>
      <c r="L378" s="2">
        <v>9.26</v>
      </c>
      <c r="M378" s="2">
        <v>14.43</v>
      </c>
      <c r="N378" s="2">
        <v>0.32729122100000002</v>
      </c>
      <c r="O378" s="2">
        <v>0.442645813</v>
      </c>
      <c r="P378" s="2">
        <v>2.4112138500000002</v>
      </c>
      <c r="Q378" s="2">
        <v>2.4161252050000002</v>
      </c>
      <c r="R378" s="2">
        <v>0.35394972200000002</v>
      </c>
      <c r="S378" s="2">
        <v>0.39665896499999997</v>
      </c>
      <c r="T378" s="2">
        <v>2.385093672</v>
      </c>
      <c r="U378" s="2">
        <v>2.3833427519999999</v>
      </c>
      <c r="V378" s="2">
        <v>0.803574864</v>
      </c>
      <c r="W378" s="2">
        <v>0.13145225099999999</v>
      </c>
      <c r="X378">
        <f t="shared" si="15"/>
        <v>1</v>
      </c>
      <c r="Y378">
        <f t="shared" si="16"/>
        <v>1</v>
      </c>
      <c r="Z378">
        <f t="shared" si="17"/>
        <v>1</v>
      </c>
    </row>
    <row r="379" spans="1:26" ht="15.75" customHeight="1" x14ac:dyDescent="0.2">
      <c r="A379" s="2" t="s">
        <v>23</v>
      </c>
      <c r="B379" s="2" t="s">
        <v>24</v>
      </c>
      <c r="C379" s="2" t="s">
        <v>32</v>
      </c>
      <c r="D379" s="2" t="s">
        <v>33</v>
      </c>
      <c r="E379" s="2">
        <v>156</v>
      </c>
      <c r="F379" s="2">
        <v>229.33333329999999</v>
      </c>
      <c r="G379" s="2">
        <v>686.33333330000005</v>
      </c>
      <c r="H379" s="2">
        <v>975.33333330000005</v>
      </c>
      <c r="I379" s="2">
        <v>2590.666667</v>
      </c>
      <c r="J379" s="2">
        <v>2.2799999999999998</v>
      </c>
      <c r="K379" s="2">
        <v>6.42</v>
      </c>
      <c r="L379" s="2">
        <v>8.3800000000000008</v>
      </c>
      <c r="M379" s="2">
        <v>14.73</v>
      </c>
      <c r="N379" s="2">
        <v>3.593433417</v>
      </c>
      <c r="O379" s="2">
        <v>3.470904961</v>
      </c>
      <c r="P379" s="2">
        <v>3.6389443350000001</v>
      </c>
      <c r="Q379" s="2">
        <v>3.6188311209999999</v>
      </c>
      <c r="R379" s="2">
        <v>1.596292085</v>
      </c>
      <c r="S379" s="2">
        <v>1.553582842</v>
      </c>
      <c r="T379" s="2">
        <v>3.270132635</v>
      </c>
      <c r="U379" s="2">
        <v>3.2683817149999999</v>
      </c>
      <c r="V379" s="2">
        <v>2.753816671</v>
      </c>
      <c r="W379" s="2">
        <v>0.13146533699999999</v>
      </c>
      <c r="X379">
        <f t="shared" si="15"/>
        <v>1</v>
      </c>
      <c r="Y379">
        <f t="shared" si="16"/>
        <v>1</v>
      </c>
      <c r="Z379">
        <f t="shared" si="17"/>
        <v>1</v>
      </c>
    </row>
    <row r="380" spans="1:26" ht="15.75" customHeight="1" x14ac:dyDescent="0.2">
      <c r="A380" s="2" t="s">
        <v>23</v>
      </c>
      <c r="B380" s="2" t="s">
        <v>24</v>
      </c>
      <c r="C380" s="2" t="s">
        <v>26</v>
      </c>
      <c r="D380" s="2" t="s">
        <v>26</v>
      </c>
      <c r="E380" s="2">
        <v>166</v>
      </c>
      <c r="F380" s="2">
        <v>245.33333329999999</v>
      </c>
      <c r="G380" s="2">
        <v>480</v>
      </c>
      <c r="H380" s="2">
        <v>1113</v>
      </c>
      <c r="I380" s="2">
        <v>2615.333333</v>
      </c>
      <c r="J380" s="2">
        <v>2.4500000000000002</v>
      </c>
      <c r="K380" s="2">
        <v>4.74</v>
      </c>
      <c r="L380" s="2">
        <v>9.18</v>
      </c>
      <c r="M380" s="2">
        <v>14.8</v>
      </c>
      <c r="N380" s="2">
        <v>0.34442694299999999</v>
      </c>
      <c r="O380" s="2">
        <v>0.43824951499999998</v>
      </c>
      <c r="P380" s="2">
        <v>2.4695462419999998</v>
      </c>
      <c r="Q380" s="2">
        <v>2.469599111</v>
      </c>
      <c r="R380" s="2">
        <v>8.2851776000000002E-2</v>
      </c>
      <c r="S380" s="2">
        <v>0.125561019</v>
      </c>
      <c r="T380" s="2">
        <v>2.468156037</v>
      </c>
      <c r="U380" s="2">
        <v>2.4664051169999999</v>
      </c>
      <c r="V380" s="2">
        <v>1.074672809</v>
      </c>
      <c r="W380" s="2">
        <v>0.139756089</v>
      </c>
      <c r="X380">
        <f t="shared" si="15"/>
        <v>1</v>
      </c>
      <c r="Y380">
        <f t="shared" si="16"/>
        <v>1</v>
      </c>
      <c r="Z380">
        <f t="shared" si="17"/>
        <v>0</v>
      </c>
    </row>
    <row r="381" spans="1:26" ht="15.75" customHeight="1" x14ac:dyDescent="0.2">
      <c r="A381" s="2" t="s">
        <v>23</v>
      </c>
      <c r="B381" s="2" t="s">
        <v>24</v>
      </c>
      <c r="C381" s="2" t="s">
        <v>25</v>
      </c>
      <c r="D381" s="2" t="s">
        <v>25</v>
      </c>
      <c r="E381" s="2">
        <v>110</v>
      </c>
      <c r="F381" s="2">
        <v>224.33333329999999</v>
      </c>
      <c r="G381" s="2">
        <v>767</v>
      </c>
      <c r="H381" s="2">
        <v>1676.333333</v>
      </c>
      <c r="I381" s="2">
        <v>2649</v>
      </c>
      <c r="J381" s="2">
        <v>2.2200000000000002</v>
      </c>
      <c r="K381" s="2">
        <v>7.01</v>
      </c>
      <c r="L381" s="2">
        <v>11.83</v>
      </c>
      <c r="M381" s="2">
        <v>14.88</v>
      </c>
      <c r="N381" s="2">
        <v>0.17205916700000001</v>
      </c>
      <c r="O381" s="2">
        <v>0.328029232</v>
      </c>
      <c r="P381" s="2">
        <v>2.1911503319999999</v>
      </c>
      <c r="Q381" s="2">
        <v>2.1487379259999999</v>
      </c>
      <c r="R381" s="2">
        <v>2.1836695920000002</v>
      </c>
      <c r="S381" s="2">
        <v>2.1409603490000002</v>
      </c>
      <c r="T381" s="2">
        <v>0.18090575</v>
      </c>
      <c r="U381" s="2">
        <v>0.18265666999999999</v>
      </c>
      <c r="V381" s="2">
        <v>3.3411941770000002</v>
      </c>
      <c r="W381" s="2">
        <v>0.17773786</v>
      </c>
      <c r="X381">
        <f t="shared" si="15"/>
        <v>1</v>
      </c>
      <c r="Y381">
        <f t="shared" si="16"/>
        <v>1</v>
      </c>
      <c r="Z381">
        <f t="shared" si="17"/>
        <v>0</v>
      </c>
    </row>
    <row r="382" spans="1:26" ht="15.75" customHeight="1" x14ac:dyDescent="0.2">
      <c r="A382" s="2" t="s">
        <v>23</v>
      </c>
      <c r="B382" s="2" t="s">
        <v>24</v>
      </c>
      <c r="C382" s="2" t="s">
        <v>30</v>
      </c>
      <c r="D382" s="2" t="s">
        <v>31</v>
      </c>
      <c r="E382" s="2">
        <v>198</v>
      </c>
      <c r="F382" s="2">
        <v>217</v>
      </c>
      <c r="G382" s="2">
        <v>613.66666669999995</v>
      </c>
      <c r="H382" s="2">
        <v>1039.333333</v>
      </c>
      <c r="I382" s="2">
        <v>2279.666667</v>
      </c>
      <c r="J382" s="2">
        <v>2.14</v>
      </c>
      <c r="K382" s="2">
        <v>5.86</v>
      </c>
      <c r="L382" s="2">
        <v>8.76</v>
      </c>
      <c r="M382" s="2">
        <v>13.89</v>
      </c>
      <c r="N382" s="2">
        <v>5.4014058819999997</v>
      </c>
      <c r="O382" s="2">
        <v>5.4621045959999996</v>
      </c>
      <c r="P382" s="2">
        <v>3.068212908</v>
      </c>
      <c r="Q382" s="2">
        <v>3.0524057299999998</v>
      </c>
      <c r="R382" s="2">
        <v>1.0356427909999999</v>
      </c>
      <c r="S382" s="2">
        <v>0.99293354899999997</v>
      </c>
      <c r="T382" s="2">
        <v>2.888143774</v>
      </c>
      <c r="U382" s="2">
        <v>2.8863928539999999</v>
      </c>
      <c r="V382" s="2">
        <v>2.193167377</v>
      </c>
      <c r="W382" s="2">
        <v>0.13009406700000001</v>
      </c>
      <c r="X382">
        <f t="shared" si="15"/>
        <v>1</v>
      </c>
      <c r="Y382">
        <f t="shared" si="16"/>
        <v>1</v>
      </c>
      <c r="Z382">
        <f t="shared" si="17"/>
        <v>1</v>
      </c>
    </row>
    <row r="383" spans="1:26" ht="15.75" customHeight="1" x14ac:dyDescent="0.2">
      <c r="A383" s="2" t="s">
        <v>23</v>
      </c>
      <c r="B383" s="2" t="s">
        <v>24</v>
      </c>
      <c r="C383" s="2" t="s">
        <v>27</v>
      </c>
      <c r="D383" s="2" t="s">
        <v>27</v>
      </c>
      <c r="E383" s="2">
        <v>148</v>
      </c>
      <c r="F383" s="2">
        <v>224.66666670000001</v>
      </c>
      <c r="G383" s="2">
        <v>428</v>
      </c>
      <c r="H383" s="2">
        <v>2322</v>
      </c>
      <c r="I383" s="2">
        <v>3060</v>
      </c>
      <c r="J383" s="2">
        <v>2.23</v>
      </c>
      <c r="K383" s="2">
        <v>4.28</v>
      </c>
      <c r="L383" s="2">
        <v>14.01</v>
      </c>
      <c r="M383" s="2">
        <v>15.81</v>
      </c>
      <c r="N383" s="2">
        <v>0.148537434</v>
      </c>
      <c r="O383" s="2">
        <v>0.149051081</v>
      </c>
      <c r="P383" s="2">
        <v>2.4235298799999998</v>
      </c>
      <c r="Q383" s="2">
        <v>2.4353075180000001</v>
      </c>
      <c r="R383" s="2">
        <v>0.55180775800000004</v>
      </c>
      <c r="S383" s="2">
        <v>0.59451700100000004</v>
      </c>
      <c r="T383" s="2">
        <v>2.3598739960000001</v>
      </c>
      <c r="U383" s="2">
        <v>2.3616249159999998</v>
      </c>
      <c r="V383" s="2">
        <v>0.60571682699999996</v>
      </c>
      <c r="W383" s="2">
        <v>0.145490654</v>
      </c>
      <c r="X383">
        <f t="shared" si="15"/>
        <v>1</v>
      </c>
      <c r="Y383">
        <f t="shared" si="16"/>
        <v>1</v>
      </c>
      <c r="Z383">
        <f t="shared" si="17"/>
        <v>0</v>
      </c>
    </row>
    <row r="384" spans="1:26" ht="15.75" customHeight="1" x14ac:dyDescent="0.2">
      <c r="A384" s="2" t="s">
        <v>23</v>
      </c>
      <c r="B384" s="2" t="s">
        <v>24</v>
      </c>
      <c r="C384" s="2" t="s">
        <v>30</v>
      </c>
      <c r="D384" s="2" t="s">
        <v>31</v>
      </c>
      <c r="E384" s="2">
        <v>136</v>
      </c>
      <c r="F384" s="2">
        <v>223</v>
      </c>
      <c r="G384" s="2">
        <v>699.66666669999995</v>
      </c>
      <c r="H384" s="2">
        <v>1244</v>
      </c>
      <c r="I384" s="2">
        <v>2540</v>
      </c>
      <c r="J384" s="2">
        <v>2.21</v>
      </c>
      <c r="K384" s="2">
        <v>6.52</v>
      </c>
      <c r="L384" s="2">
        <v>9.8800000000000008</v>
      </c>
      <c r="M384" s="2">
        <v>14.6</v>
      </c>
      <c r="N384" s="2">
        <v>4.5959988269999998</v>
      </c>
      <c r="O384" s="2">
        <v>4.6508984929999997</v>
      </c>
      <c r="P384" s="2">
        <v>2.4505618149999999</v>
      </c>
      <c r="Q384" s="2">
        <v>2.4199234970000001</v>
      </c>
      <c r="R384" s="2">
        <v>1.6958371800000001</v>
      </c>
      <c r="S384" s="2">
        <v>1.653127937</v>
      </c>
      <c r="T384" s="2">
        <v>1.769008047</v>
      </c>
      <c r="U384" s="2">
        <v>1.7672571269999999</v>
      </c>
      <c r="V384" s="2">
        <v>2.8533617649999998</v>
      </c>
      <c r="W384" s="2">
        <v>0.106149857</v>
      </c>
      <c r="X384">
        <f t="shared" si="15"/>
        <v>1</v>
      </c>
      <c r="Y384">
        <f t="shared" si="16"/>
        <v>1</v>
      </c>
      <c r="Z384">
        <f t="shared" si="17"/>
        <v>1</v>
      </c>
    </row>
    <row r="385" spans="1:26" ht="15.75" customHeight="1" x14ac:dyDescent="0.2">
      <c r="A385" s="2" t="s">
        <v>23</v>
      </c>
      <c r="B385" s="2" t="s">
        <v>24</v>
      </c>
      <c r="C385" s="2" t="s">
        <v>27</v>
      </c>
      <c r="D385" s="2" t="s">
        <v>27</v>
      </c>
      <c r="E385" s="2">
        <v>124</v>
      </c>
      <c r="F385" s="2">
        <v>191</v>
      </c>
      <c r="G385" s="2">
        <v>538.66666669999995</v>
      </c>
      <c r="H385" s="2">
        <v>2183</v>
      </c>
      <c r="I385" s="2">
        <v>2986.666667</v>
      </c>
      <c r="J385" s="2">
        <v>1.85</v>
      </c>
      <c r="K385" s="2">
        <v>5.25</v>
      </c>
      <c r="L385" s="2">
        <v>13.6</v>
      </c>
      <c r="M385" s="2">
        <v>15.66</v>
      </c>
      <c r="N385" s="2">
        <v>0.910355362</v>
      </c>
      <c r="O385" s="2">
        <v>0.93333619999999995</v>
      </c>
      <c r="P385" s="2">
        <v>1.9935002610000001</v>
      </c>
      <c r="Q385" s="2">
        <v>1.986599644</v>
      </c>
      <c r="R385" s="2">
        <v>0.42279372700000001</v>
      </c>
      <c r="S385" s="2">
        <v>0.380084484</v>
      </c>
      <c r="T385" s="2">
        <v>1.948150085</v>
      </c>
      <c r="U385" s="2">
        <v>1.9499010050000001</v>
      </c>
      <c r="V385" s="2">
        <v>1.5803183119999999</v>
      </c>
      <c r="W385" s="2">
        <v>0.124699112</v>
      </c>
      <c r="X385">
        <f t="shared" si="15"/>
        <v>1</v>
      </c>
      <c r="Y385">
        <f t="shared" si="16"/>
        <v>1</v>
      </c>
      <c r="Z385">
        <f t="shared" si="17"/>
        <v>0</v>
      </c>
    </row>
    <row r="386" spans="1:26" ht="15.75" customHeight="1" x14ac:dyDescent="0.2">
      <c r="A386" s="2" t="s">
        <v>23</v>
      </c>
      <c r="B386" s="2" t="s">
        <v>24</v>
      </c>
      <c r="C386" s="2" t="s">
        <v>26</v>
      </c>
      <c r="D386" s="2" t="s">
        <v>26</v>
      </c>
      <c r="E386" s="2">
        <v>145</v>
      </c>
      <c r="F386" s="2">
        <v>230</v>
      </c>
      <c r="G386" s="2">
        <v>459.33333329999999</v>
      </c>
      <c r="H386" s="2">
        <v>1120.333333</v>
      </c>
      <c r="I386" s="2">
        <v>2526.666667</v>
      </c>
      <c r="J386" s="2">
        <v>2.29</v>
      </c>
      <c r="K386" s="2">
        <v>4.5599999999999996</v>
      </c>
      <c r="L386" s="2">
        <v>9.2200000000000006</v>
      </c>
      <c r="M386" s="2">
        <v>14.57</v>
      </c>
      <c r="N386" s="2">
        <v>0.29009097</v>
      </c>
      <c r="O386" s="2">
        <v>0.40545174699999997</v>
      </c>
      <c r="P386" s="2">
        <v>2.442066595</v>
      </c>
      <c r="Q386" s="2">
        <v>2.4453643999999999</v>
      </c>
      <c r="R386" s="2">
        <v>0.26681786899999999</v>
      </c>
      <c r="S386" s="2">
        <v>0.30952711199999999</v>
      </c>
      <c r="T386" s="2">
        <v>2.4274466989999999</v>
      </c>
      <c r="U386" s="2">
        <v>2.4256957790000002</v>
      </c>
      <c r="V386" s="2">
        <v>0.89070671599999995</v>
      </c>
      <c r="W386" s="2">
        <v>0.12673298399999999</v>
      </c>
      <c r="X386">
        <f t="shared" si="15"/>
        <v>1</v>
      </c>
      <c r="Y386">
        <f t="shared" si="16"/>
        <v>1</v>
      </c>
      <c r="Z386">
        <f t="shared" si="17"/>
        <v>0</v>
      </c>
    </row>
    <row r="387" spans="1:26" ht="15.75" customHeight="1" x14ac:dyDescent="0.2">
      <c r="A387" s="2" t="s">
        <v>23</v>
      </c>
      <c r="B387" s="2" t="s">
        <v>24</v>
      </c>
      <c r="C387" s="2" t="s">
        <v>27</v>
      </c>
      <c r="D387" s="2" t="s">
        <v>27</v>
      </c>
      <c r="E387" s="2">
        <v>136</v>
      </c>
      <c r="F387" s="2">
        <v>224</v>
      </c>
      <c r="G387" s="2">
        <v>433.66666670000001</v>
      </c>
      <c r="H387" s="2">
        <v>2181.333333</v>
      </c>
      <c r="I387" s="2">
        <v>2792.333333</v>
      </c>
      <c r="J387" s="2">
        <v>2.2200000000000002</v>
      </c>
      <c r="K387" s="2">
        <v>4.33</v>
      </c>
      <c r="L387" s="2">
        <v>13.59</v>
      </c>
      <c r="M387" s="2">
        <v>15.22</v>
      </c>
      <c r="N387" s="2">
        <v>0.38388967499999999</v>
      </c>
      <c r="O387" s="2">
        <v>0.44800970800000001</v>
      </c>
      <c r="P387" s="2">
        <v>2.0062753820000001</v>
      </c>
      <c r="Q387" s="2">
        <v>2.0190238069999999</v>
      </c>
      <c r="R387" s="2">
        <v>0.49971437600000002</v>
      </c>
      <c r="S387" s="2">
        <v>0.54242361900000002</v>
      </c>
      <c r="T387" s="2">
        <v>1.943045664</v>
      </c>
      <c r="U387" s="2">
        <v>1.9447965840000001</v>
      </c>
      <c r="V387" s="2">
        <v>0.65781020999999995</v>
      </c>
      <c r="W387" s="2">
        <v>0.111377607</v>
      </c>
      <c r="X387">
        <f t="shared" ref="X387:X450" si="18">IF(B387="normal",1,0)</f>
        <v>1</v>
      </c>
      <c r="Y387">
        <f t="shared" ref="Y387:Y450" si="19">IF(A387="lecture",1,0)</f>
        <v>1</v>
      </c>
      <c r="Z387">
        <f t="shared" ref="Z387:Z450" si="20">IF(ISNUMBER(FIND("~",D387)),1,0)</f>
        <v>0</v>
      </c>
    </row>
    <row r="388" spans="1:26" ht="15.75" customHeight="1" x14ac:dyDescent="0.2">
      <c r="A388" s="2" t="s">
        <v>23</v>
      </c>
      <c r="B388" s="2" t="s">
        <v>24</v>
      </c>
      <c r="C388" s="2" t="s">
        <v>30</v>
      </c>
      <c r="D388" s="2" t="s">
        <v>31</v>
      </c>
      <c r="E388" s="2">
        <v>202</v>
      </c>
      <c r="F388" s="2">
        <v>209.33333329999999</v>
      </c>
      <c r="G388" s="2">
        <v>561.33333330000005</v>
      </c>
      <c r="H388" s="2">
        <v>1078.666667</v>
      </c>
      <c r="I388" s="2">
        <v>2315</v>
      </c>
      <c r="J388" s="2">
        <v>2.06</v>
      </c>
      <c r="K388" s="2">
        <v>5.44</v>
      </c>
      <c r="L388" s="2">
        <v>8.99</v>
      </c>
      <c r="M388" s="2">
        <v>13.99</v>
      </c>
      <c r="N388" s="2">
        <v>5.081393308</v>
      </c>
      <c r="O388" s="2">
        <v>5.1434854090000002</v>
      </c>
      <c r="P388" s="2">
        <v>2.730791151</v>
      </c>
      <c r="Q388" s="2">
        <v>2.7198279520000002</v>
      </c>
      <c r="R388" s="2">
        <v>0.61185472799999996</v>
      </c>
      <c r="S388" s="2">
        <v>0.56914548499999995</v>
      </c>
      <c r="T388" s="2">
        <v>2.6613632040000001</v>
      </c>
      <c r="U388" s="2">
        <v>2.659612284</v>
      </c>
      <c r="V388" s="2">
        <v>1.769379314</v>
      </c>
      <c r="W388" s="2">
        <v>7.3632763000000004E-2</v>
      </c>
      <c r="X388">
        <f t="shared" si="18"/>
        <v>1</v>
      </c>
      <c r="Y388">
        <f t="shared" si="19"/>
        <v>1</v>
      </c>
      <c r="Z388">
        <f t="shared" si="20"/>
        <v>1</v>
      </c>
    </row>
    <row r="389" spans="1:26" ht="15.75" customHeight="1" x14ac:dyDescent="0.2">
      <c r="A389" s="2" t="s">
        <v>23</v>
      </c>
      <c r="B389" s="2" t="s">
        <v>24</v>
      </c>
      <c r="C389" s="2" t="s">
        <v>27</v>
      </c>
      <c r="D389" s="2" t="s">
        <v>27</v>
      </c>
      <c r="E389" s="2">
        <v>189</v>
      </c>
      <c r="F389" s="2">
        <v>248.66666670000001</v>
      </c>
      <c r="G389" s="2">
        <v>485.33333329999999</v>
      </c>
      <c r="H389" s="2">
        <v>2330</v>
      </c>
      <c r="I389" s="2">
        <v>2965.666667</v>
      </c>
      <c r="J389" s="2">
        <v>2.4900000000000002</v>
      </c>
      <c r="K389" s="2">
        <v>4.79</v>
      </c>
      <c r="L389" s="2">
        <v>14.03</v>
      </c>
      <c r="M389" s="2">
        <v>15.61</v>
      </c>
      <c r="N389" s="2">
        <v>0.37980246699999998</v>
      </c>
      <c r="O389" s="2">
        <v>0.36835143199999998</v>
      </c>
      <c r="P389" s="2">
        <v>2.3830285139999998</v>
      </c>
      <c r="Q389" s="2">
        <v>2.385804061</v>
      </c>
      <c r="R389" s="2">
        <v>3.5881435000000003E-2</v>
      </c>
      <c r="S389" s="2">
        <v>7.8590676999999998E-2</v>
      </c>
      <c r="T389" s="2">
        <v>2.3827583639999999</v>
      </c>
      <c r="U389" s="2">
        <v>2.384509284</v>
      </c>
      <c r="V389" s="2">
        <v>1.121643151</v>
      </c>
      <c r="W389" s="2">
        <v>0.121572031</v>
      </c>
      <c r="X389">
        <f t="shared" si="18"/>
        <v>1</v>
      </c>
      <c r="Y389">
        <f t="shared" si="19"/>
        <v>1</v>
      </c>
      <c r="Z389">
        <f t="shared" si="20"/>
        <v>0</v>
      </c>
    </row>
    <row r="390" spans="1:26" ht="15.75" customHeight="1" x14ac:dyDescent="0.2">
      <c r="A390" s="2" t="s">
        <v>23</v>
      </c>
      <c r="B390" s="2" t="s">
        <v>24</v>
      </c>
      <c r="C390" s="2" t="s">
        <v>26</v>
      </c>
      <c r="D390" s="2" t="s">
        <v>26</v>
      </c>
      <c r="E390" s="2">
        <v>178</v>
      </c>
      <c r="F390" s="2">
        <v>222</v>
      </c>
      <c r="G390" s="2">
        <v>442</v>
      </c>
      <c r="H390" s="2">
        <v>1156.333333</v>
      </c>
      <c r="I390" s="2">
        <v>2665.666667</v>
      </c>
      <c r="J390" s="2">
        <v>2.2000000000000002</v>
      </c>
      <c r="K390" s="2">
        <v>4.4000000000000004</v>
      </c>
      <c r="L390" s="2">
        <v>9.42</v>
      </c>
      <c r="M390" s="2">
        <v>14.92</v>
      </c>
      <c r="N390" s="2">
        <v>0.490509317</v>
      </c>
      <c r="O390" s="2">
        <v>0.60358827699999995</v>
      </c>
      <c r="P390" s="2">
        <v>2.2702402959999999</v>
      </c>
      <c r="Q390" s="2">
        <v>2.276880974</v>
      </c>
      <c r="R390" s="2">
        <v>0.42355296799999997</v>
      </c>
      <c r="S390" s="2">
        <v>0.46626221099999998</v>
      </c>
      <c r="T390" s="2">
        <v>2.2303797630000002</v>
      </c>
      <c r="U390" s="2">
        <v>2.2286288430000001</v>
      </c>
      <c r="V390" s="2">
        <v>0.73397161799999999</v>
      </c>
      <c r="W390" s="2">
        <v>0.146589199</v>
      </c>
      <c r="X390">
        <f t="shared" si="18"/>
        <v>1</v>
      </c>
      <c r="Y390">
        <f t="shared" si="19"/>
        <v>1</v>
      </c>
      <c r="Z390">
        <f t="shared" si="20"/>
        <v>0</v>
      </c>
    </row>
    <row r="391" spans="1:26" ht="15.75" customHeight="1" x14ac:dyDescent="0.2">
      <c r="A391" s="2" t="s">
        <v>23</v>
      </c>
      <c r="B391" s="2" t="s">
        <v>24</v>
      </c>
      <c r="C391" s="2" t="s">
        <v>30</v>
      </c>
      <c r="D391" s="2" t="s">
        <v>31</v>
      </c>
      <c r="E391" s="2">
        <v>122</v>
      </c>
      <c r="F391" s="2">
        <v>219.33333329999999</v>
      </c>
      <c r="G391" s="2">
        <v>644</v>
      </c>
      <c r="H391" s="2">
        <v>1107</v>
      </c>
      <c r="I391" s="2">
        <v>2384.666667</v>
      </c>
      <c r="J391" s="2">
        <v>2.17</v>
      </c>
      <c r="K391" s="2">
        <v>6.1</v>
      </c>
      <c r="L391" s="2">
        <v>9.15</v>
      </c>
      <c r="M391" s="2">
        <v>14.19</v>
      </c>
      <c r="N391" s="2">
        <v>5.1034652400000002</v>
      </c>
      <c r="O391" s="2">
        <v>5.1625804090000003</v>
      </c>
      <c r="P391" s="2">
        <v>2.80709747</v>
      </c>
      <c r="Q391" s="2">
        <v>2.7864106639999999</v>
      </c>
      <c r="R391" s="2">
        <v>1.273479971</v>
      </c>
      <c r="S391" s="2">
        <v>1.230770728</v>
      </c>
      <c r="T391" s="2">
        <v>2.501608477</v>
      </c>
      <c r="U391" s="2">
        <v>2.4998575569999999</v>
      </c>
      <c r="V391" s="2">
        <v>2.431004556</v>
      </c>
      <c r="W391" s="2">
        <v>7.8243617000000001E-2</v>
      </c>
      <c r="X391">
        <f t="shared" si="18"/>
        <v>1</v>
      </c>
      <c r="Y391">
        <f t="shared" si="19"/>
        <v>1</v>
      </c>
      <c r="Z391">
        <f t="shared" si="20"/>
        <v>1</v>
      </c>
    </row>
    <row r="392" spans="1:26" ht="15.75" customHeight="1" x14ac:dyDescent="0.2">
      <c r="A392" s="2" t="s">
        <v>23</v>
      </c>
      <c r="B392" s="2" t="s">
        <v>24</v>
      </c>
      <c r="C392" s="2" t="s">
        <v>32</v>
      </c>
      <c r="D392" s="2" t="s">
        <v>33</v>
      </c>
      <c r="E392" s="2">
        <v>185</v>
      </c>
      <c r="F392" s="2">
        <v>241.33333329999999</v>
      </c>
      <c r="G392" s="2">
        <v>693.33333330000005</v>
      </c>
      <c r="H392" s="2">
        <v>1000.666667</v>
      </c>
      <c r="I392" s="2">
        <v>2408.333333</v>
      </c>
      <c r="J392" s="2">
        <v>2.41</v>
      </c>
      <c r="K392" s="2">
        <v>6.48</v>
      </c>
      <c r="L392" s="2">
        <v>8.5299999999999994</v>
      </c>
      <c r="M392" s="2">
        <v>14.25</v>
      </c>
      <c r="N392" s="2">
        <v>3.432765045</v>
      </c>
      <c r="O392" s="2">
        <v>3.3093992110000001</v>
      </c>
      <c r="P392" s="2">
        <v>3.526122687</v>
      </c>
      <c r="Q392" s="2">
        <v>3.5048003790000002</v>
      </c>
      <c r="R392" s="2">
        <v>1.648678004</v>
      </c>
      <c r="S392" s="2">
        <v>1.605968761</v>
      </c>
      <c r="T392" s="2">
        <v>3.1169539689999999</v>
      </c>
      <c r="U392" s="2">
        <v>3.1152030489999998</v>
      </c>
      <c r="V392" s="2">
        <v>2.8062025890000002</v>
      </c>
      <c r="W392" s="2">
        <v>0.14359372000000001</v>
      </c>
      <c r="X392">
        <f t="shared" si="18"/>
        <v>1</v>
      </c>
      <c r="Y392">
        <f t="shared" si="19"/>
        <v>1</v>
      </c>
      <c r="Z392">
        <f t="shared" si="20"/>
        <v>1</v>
      </c>
    </row>
    <row r="393" spans="1:26" ht="15.75" customHeight="1" x14ac:dyDescent="0.2">
      <c r="A393" s="2" t="s">
        <v>23</v>
      </c>
      <c r="B393" s="2" t="s">
        <v>24</v>
      </c>
      <c r="C393" s="2" t="s">
        <v>28</v>
      </c>
      <c r="D393" s="2" t="s">
        <v>29</v>
      </c>
      <c r="E393" s="2">
        <v>205</v>
      </c>
      <c r="F393" s="2">
        <v>204.66666670000001</v>
      </c>
      <c r="G393" s="2">
        <v>445</v>
      </c>
      <c r="H393" s="2">
        <v>1077.666667</v>
      </c>
      <c r="I393" s="2">
        <v>2567.666667</v>
      </c>
      <c r="J393" s="2">
        <v>2</v>
      </c>
      <c r="K393" s="2">
        <v>4.43</v>
      </c>
      <c r="L393" s="2">
        <v>8.98</v>
      </c>
      <c r="M393" s="2">
        <v>14.67</v>
      </c>
      <c r="N393" s="2">
        <v>8.2302494000000004E-2</v>
      </c>
      <c r="O393" s="2">
        <v>0.17189976800000001</v>
      </c>
      <c r="P393" s="2">
        <v>2.696333289</v>
      </c>
      <c r="Q393" s="2">
        <v>2.70121251</v>
      </c>
      <c r="R393" s="2">
        <v>0.39626406600000003</v>
      </c>
      <c r="S393" s="2">
        <v>0.43897330899999998</v>
      </c>
      <c r="T393" s="2">
        <v>2.6670560540000001</v>
      </c>
      <c r="U393" s="2">
        <v>2.665305134</v>
      </c>
      <c r="V393" s="2">
        <v>0.76126051900000002</v>
      </c>
      <c r="W393" s="2">
        <v>0.111157861</v>
      </c>
      <c r="X393">
        <f t="shared" si="18"/>
        <v>1</v>
      </c>
      <c r="Y393">
        <f t="shared" si="19"/>
        <v>1</v>
      </c>
      <c r="Z393">
        <f t="shared" si="20"/>
        <v>1</v>
      </c>
    </row>
    <row r="394" spans="1:26" ht="15.75" customHeight="1" x14ac:dyDescent="0.2">
      <c r="A394" s="2" t="s">
        <v>23</v>
      </c>
      <c r="B394" s="2" t="s">
        <v>24</v>
      </c>
      <c r="C394" s="2" t="s">
        <v>28</v>
      </c>
      <c r="D394" s="2" t="s">
        <v>29</v>
      </c>
      <c r="E394" s="2">
        <v>123</v>
      </c>
      <c r="F394" s="2">
        <v>215.33333329999999</v>
      </c>
      <c r="G394" s="2">
        <v>406.33333329999999</v>
      </c>
      <c r="H394" s="2">
        <v>1191</v>
      </c>
      <c r="I394" s="2">
        <v>2594</v>
      </c>
      <c r="J394" s="2">
        <v>2.12</v>
      </c>
      <c r="K394" s="2">
        <v>4.07</v>
      </c>
      <c r="L394" s="2">
        <v>9.6</v>
      </c>
      <c r="M394" s="2">
        <v>14.74</v>
      </c>
      <c r="N394" s="2">
        <v>0.79116244499999999</v>
      </c>
      <c r="O394" s="2">
        <v>0.88767851799999997</v>
      </c>
      <c r="P394" s="2">
        <v>2.1792033929999999</v>
      </c>
      <c r="Q394" s="2">
        <v>2.1927012079999999</v>
      </c>
      <c r="R394" s="2">
        <v>0.75328905800000001</v>
      </c>
      <c r="S394" s="2">
        <v>0.79599830100000002</v>
      </c>
      <c r="T394" s="2">
        <v>2.044867483</v>
      </c>
      <c r="U394" s="2">
        <v>2.0431165629999999</v>
      </c>
      <c r="V394" s="2">
        <v>0.40423552800000001</v>
      </c>
      <c r="W394" s="2">
        <v>9.9238662000000005E-2</v>
      </c>
      <c r="X394">
        <f t="shared" si="18"/>
        <v>1</v>
      </c>
      <c r="Y394">
        <f t="shared" si="19"/>
        <v>1</v>
      </c>
      <c r="Z394">
        <f t="shared" si="20"/>
        <v>1</v>
      </c>
    </row>
    <row r="395" spans="1:26" ht="15.75" customHeight="1" x14ac:dyDescent="0.2">
      <c r="A395" s="2" t="s">
        <v>23</v>
      </c>
      <c r="B395" s="2" t="s">
        <v>24</v>
      </c>
      <c r="C395" s="2" t="s">
        <v>26</v>
      </c>
      <c r="D395" s="2" t="s">
        <v>26</v>
      </c>
      <c r="E395" s="2">
        <v>202</v>
      </c>
      <c r="F395" s="2">
        <v>233.33333329999999</v>
      </c>
      <c r="G395" s="2">
        <v>455</v>
      </c>
      <c r="H395" s="2">
        <v>1012.666667</v>
      </c>
      <c r="I395" s="2">
        <v>2635.666667</v>
      </c>
      <c r="J395" s="2">
        <v>2.3199999999999998</v>
      </c>
      <c r="K395" s="2">
        <v>4.5199999999999996</v>
      </c>
      <c r="L395" s="2">
        <v>8.6</v>
      </c>
      <c r="M395" s="2">
        <v>14.85</v>
      </c>
      <c r="N395" s="2">
        <v>0.33470923200000002</v>
      </c>
      <c r="O395" s="2">
        <v>0.21983623399999999</v>
      </c>
      <c r="P395" s="2">
        <v>3.060621196</v>
      </c>
      <c r="Q395" s="2">
        <v>3.0634433649999999</v>
      </c>
      <c r="R395" s="2">
        <v>0.30579071699999999</v>
      </c>
      <c r="S395" s="2">
        <v>0.34849995900000003</v>
      </c>
      <c r="T395" s="2">
        <v>3.0453069039999998</v>
      </c>
      <c r="U395" s="2">
        <v>3.0435559840000002</v>
      </c>
      <c r="V395" s="2">
        <v>0.85173386900000003</v>
      </c>
      <c r="W395" s="2">
        <v>0.14296851799999999</v>
      </c>
      <c r="X395">
        <f t="shared" si="18"/>
        <v>1</v>
      </c>
      <c r="Y395">
        <f t="shared" si="19"/>
        <v>1</v>
      </c>
      <c r="Z395">
        <f t="shared" si="20"/>
        <v>0</v>
      </c>
    </row>
    <row r="396" spans="1:26" ht="15.75" customHeight="1" x14ac:dyDescent="0.2">
      <c r="A396" s="2" t="s">
        <v>23</v>
      </c>
      <c r="B396" s="2" t="s">
        <v>24</v>
      </c>
      <c r="C396" s="2" t="s">
        <v>25</v>
      </c>
      <c r="D396" s="2" t="s">
        <v>25</v>
      </c>
      <c r="E396" s="2">
        <v>210</v>
      </c>
      <c r="F396" s="2">
        <v>252.66666670000001</v>
      </c>
      <c r="G396" s="2">
        <v>804.33333330000005</v>
      </c>
      <c r="H396" s="2">
        <v>1818.666667</v>
      </c>
      <c r="I396" s="2">
        <v>2896.666667</v>
      </c>
      <c r="J396" s="2">
        <v>2.5299999999999998</v>
      </c>
      <c r="K396" s="2">
        <v>7.27</v>
      </c>
      <c r="L396" s="2">
        <v>12.37</v>
      </c>
      <c r="M396" s="2">
        <v>15.46</v>
      </c>
      <c r="N396" s="2">
        <v>0.49085266900000002</v>
      </c>
      <c r="O396" s="2">
        <v>0.64535229500000002</v>
      </c>
      <c r="P396" s="2">
        <v>2.5492453770000001</v>
      </c>
      <c r="Q396" s="2">
        <v>2.5088371239999998</v>
      </c>
      <c r="R396" s="2">
        <v>2.4439096239999998</v>
      </c>
      <c r="S396" s="2">
        <v>2.4012003819999999</v>
      </c>
      <c r="T396" s="2">
        <v>0.72522944</v>
      </c>
      <c r="U396" s="2">
        <v>0.72698035999999999</v>
      </c>
      <c r="V396" s="2">
        <v>3.6014342099999999</v>
      </c>
      <c r="W396" s="2">
        <v>0.152058846</v>
      </c>
      <c r="X396">
        <f t="shared" si="18"/>
        <v>1</v>
      </c>
      <c r="Y396">
        <f t="shared" si="19"/>
        <v>1</v>
      </c>
      <c r="Z396">
        <f t="shared" si="20"/>
        <v>0</v>
      </c>
    </row>
    <row r="397" spans="1:26" ht="15.75" customHeight="1" x14ac:dyDescent="0.2">
      <c r="A397" s="2" t="s">
        <v>23</v>
      </c>
      <c r="B397" s="2" t="s">
        <v>24</v>
      </c>
      <c r="C397" s="2" t="s">
        <v>30</v>
      </c>
      <c r="D397" s="2" t="s">
        <v>31</v>
      </c>
      <c r="E397" s="2">
        <v>171</v>
      </c>
      <c r="F397" s="2">
        <v>209.33333329999999</v>
      </c>
      <c r="G397" s="2">
        <v>544.66666669999995</v>
      </c>
      <c r="H397" s="2">
        <v>1233</v>
      </c>
      <c r="I397" s="2">
        <v>2348.666667</v>
      </c>
      <c r="J397" s="2">
        <v>2.06</v>
      </c>
      <c r="K397" s="2">
        <v>5.3</v>
      </c>
      <c r="L397" s="2">
        <v>9.82</v>
      </c>
      <c r="M397" s="2">
        <v>14.08</v>
      </c>
      <c r="N397" s="2">
        <v>4.2348469709999996</v>
      </c>
      <c r="O397" s="2">
        <v>4.2968055669999998</v>
      </c>
      <c r="P397" s="2">
        <v>1.8858351900000001</v>
      </c>
      <c r="Q397" s="2">
        <v>1.873870648</v>
      </c>
      <c r="R397" s="2">
        <v>0.47317230100000002</v>
      </c>
      <c r="S397" s="2">
        <v>0.43046305800000001</v>
      </c>
      <c r="T397" s="2">
        <v>1.825508788</v>
      </c>
      <c r="U397" s="2">
        <v>1.8237578679999999</v>
      </c>
      <c r="V397" s="2">
        <v>1.630696887</v>
      </c>
      <c r="W397" s="2">
        <v>0.126025894</v>
      </c>
      <c r="X397">
        <f t="shared" si="18"/>
        <v>1</v>
      </c>
      <c r="Y397">
        <f t="shared" si="19"/>
        <v>1</v>
      </c>
      <c r="Z397">
        <f t="shared" si="20"/>
        <v>1</v>
      </c>
    </row>
    <row r="398" spans="1:26" ht="15.75" customHeight="1" x14ac:dyDescent="0.2">
      <c r="A398" s="2" t="s">
        <v>23</v>
      </c>
      <c r="B398" s="2" t="s">
        <v>24</v>
      </c>
      <c r="C398" s="2" t="s">
        <v>28</v>
      </c>
      <c r="D398" s="2" t="s">
        <v>29</v>
      </c>
      <c r="E398" s="2">
        <v>140</v>
      </c>
      <c r="F398" s="2">
        <v>254</v>
      </c>
      <c r="G398" s="2">
        <v>557.33333330000005</v>
      </c>
      <c r="H398" s="2">
        <v>1075</v>
      </c>
      <c r="I398" s="2">
        <v>2614.666667</v>
      </c>
      <c r="J398" s="2">
        <v>2.5499999999999998</v>
      </c>
      <c r="K398" s="2">
        <v>5.41</v>
      </c>
      <c r="L398" s="2">
        <v>8.9700000000000006</v>
      </c>
      <c r="M398" s="2">
        <v>14.79</v>
      </c>
      <c r="N398" s="2">
        <v>0.90604286000000001</v>
      </c>
      <c r="O398" s="2">
        <v>0.92420860400000004</v>
      </c>
      <c r="P398" s="2">
        <v>2.743981013</v>
      </c>
      <c r="Q398" s="2">
        <v>2.7335747939999999</v>
      </c>
      <c r="R398" s="2">
        <v>0.57873842200000003</v>
      </c>
      <c r="S398" s="2">
        <v>0.53602917999999999</v>
      </c>
      <c r="T398" s="2">
        <v>2.6822553259999999</v>
      </c>
      <c r="U398" s="2">
        <v>2.6805044069999999</v>
      </c>
      <c r="V398" s="2">
        <v>1.7362630080000001</v>
      </c>
      <c r="W398" s="2">
        <v>0.110276758</v>
      </c>
      <c r="X398">
        <f t="shared" si="18"/>
        <v>1</v>
      </c>
      <c r="Y398">
        <f t="shared" si="19"/>
        <v>1</v>
      </c>
      <c r="Z398">
        <f t="shared" si="20"/>
        <v>1</v>
      </c>
    </row>
    <row r="399" spans="1:26" ht="15.75" customHeight="1" x14ac:dyDescent="0.2">
      <c r="A399" s="2" t="s">
        <v>23</v>
      </c>
      <c r="B399" s="2" t="s">
        <v>24</v>
      </c>
      <c r="C399" s="2" t="s">
        <v>28</v>
      </c>
      <c r="D399" s="2" t="s">
        <v>29</v>
      </c>
      <c r="E399" s="2">
        <v>145</v>
      </c>
      <c r="F399" s="2">
        <v>249</v>
      </c>
      <c r="G399" s="2">
        <v>470.66666670000001</v>
      </c>
      <c r="H399" s="2">
        <v>1371.666667</v>
      </c>
      <c r="I399" s="2">
        <v>2680</v>
      </c>
      <c r="J399" s="2">
        <v>2.4900000000000002</v>
      </c>
      <c r="K399" s="2">
        <v>4.66</v>
      </c>
      <c r="L399" s="2">
        <v>10.51</v>
      </c>
      <c r="M399" s="2">
        <v>14.96</v>
      </c>
      <c r="N399" s="2">
        <v>1.578970126</v>
      </c>
      <c r="O399" s="2">
        <v>1.695133403</v>
      </c>
      <c r="P399" s="2">
        <v>1.1525014229999999</v>
      </c>
      <c r="Q399" s="2">
        <v>1.157684468</v>
      </c>
      <c r="R399" s="2">
        <v>0.16554585799999999</v>
      </c>
      <c r="S399" s="2">
        <v>0.208255101</v>
      </c>
      <c r="T399" s="2">
        <v>1.1405499100000001</v>
      </c>
      <c r="U399" s="2">
        <v>1.13879899</v>
      </c>
      <c r="V399" s="2">
        <v>0.991978727</v>
      </c>
      <c r="W399" s="2">
        <v>6.6492631999999996E-2</v>
      </c>
      <c r="X399">
        <f t="shared" si="18"/>
        <v>1</v>
      </c>
      <c r="Y399">
        <f t="shared" si="19"/>
        <v>1</v>
      </c>
      <c r="Z399">
        <f t="shared" si="20"/>
        <v>1</v>
      </c>
    </row>
    <row r="400" spans="1:26" ht="15.75" customHeight="1" x14ac:dyDescent="0.2">
      <c r="A400" s="2" t="s">
        <v>23</v>
      </c>
      <c r="B400" s="2" t="s">
        <v>24</v>
      </c>
      <c r="C400" s="2" t="s">
        <v>32</v>
      </c>
      <c r="D400" s="2" t="s">
        <v>33</v>
      </c>
      <c r="E400" s="2">
        <v>156</v>
      </c>
      <c r="F400" s="2">
        <v>201</v>
      </c>
      <c r="G400" s="2">
        <v>493.66666670000001</v>
      </c>
      <c r="H400" s="2">
        <v>939.66666669999995</v>
      </c>
      <c r="I400" s="2">
        <v>2476.333333</v>
      </c>
      <c r="J400" s="2">
        <v>1.96</v>
      </c>
      <c r="K400" s="2">
        <v>4.8600000000000003</v>
      </c>
      <c r="L400" s="2">
        <v>8.16</v>
      </c>
      <c r="M400" s="2">
        <v>14.44</v>
      </c>
      <c r="N400" s="2">
        <v>4.3897777309999997</v>
      </c>
      <c r="O400" s="2">
        <v>4.3370506090000003</v>
      </c>
      <c r="P400" s="2">
        <v>3.4905260579999999</v>
      </c>
      <c r="Q400" s="2">
        <v>3.4885824670000001</v>
      </c>
      <c r="R400" s="2">
        <v>3.7100942999999997E-2</v>
      </c>
      <c r="S400" s="2">
        <v>5.6083000000000001E-3</v>
      </c>
      <c r="T400" s="2">
        <v>3.4903288780000001</v>
      </c>
      <c r="U400" s="2">
        <v>3.4885779590000001</v>
      </c>
      <c r="V400" s="2">
        <v>1.1946255290000001</v>
      </c>
      <c r="W400" s="2">
        <v>0.102165254</v>
      </c>
      <c r="X400">
        <f t="shared" si="18"/>
        <v>1</v>
      </c>
      <c r="Y400">
        <f t="shared" si="19"/>
        <v>1</v>
      </c>
      <c r="Z400">
        <f t="shared" si="20"/>
        <v>1</v>
      </c>
    </row>
    <row r="401" spans="1:26" ht="15.75" customHeight="1" x14ac:dyDescent="0.2">
      <c r="A401" s="2" t="s">
        <v>23</v>
      </c>
      <c r="B401" s="2" t="s">
        <v>24</v>
      </c>
      <c r="C401" s="2" t="s">
        <v>25</v>
      </c>
      <c r="D401" s="2" t="s">
        <v>25</v>
      </c>
      <c r="E401" s="2">
        <v>110</v>
      </c>
      <c r="F401" s="2">
        <v>207</v>
      </c>
      <c r="G401" s="2">
        <v>654.66666669999995</v>
      </c>
      <c r="H401" s="2">
        <v>1880.666667</v>
      </c>
      <c r="I401" s="2">
        <v>2850.666667</v>
      </c>
      <c r="J401" s="2">
        <v>2.0299999999999998</v>
      </c>
      <c r="K401" s="2">
        <v>6.18</v>
      </c>
      <c r="L401" s="2">
        <v>12.6</v>
      </c>
      <c r="M401" s="2">
        <v>15.36</v>
      </c>
      <c r="N401" s="2">
        <v>1.213415326</v>
      </c>
      <c r="O401" s="2">
        <v>1.433162746</v>
      </c>
      <c r="P401" s="2">
        <v>1.6553466830000001</v>
      </c>
      <c r="Q401" s="2">
        <v>1.6215778949999999</v>
      </c>
      <c r="R401" s="2">
        <v>1.35580356</v>
      </c>
      <c r="S401" s="2">
        <v>1.313094317</v>
      </c>
      <c r="T401" s="2">
        <v>0.94972066799999999</v>
      </c>
      <c r="U401" s="2">
        <v>0.95147158799999998</v>
      </c>
      <c r="V401" s="2">
        <v>2.5133281460000001</v>
      </c>
      <c r="W401" s="2">
        <v>0.13438478700000001</v>
      </c>
      <c r="X401">
        <f t="shared" si="18"/>
        <v>1</v>
      </c>
      <c r="Y401">
        <f t="shared" si="19"/>
        <v>1</v>
      </c>
      <c r="Z401">
        <f t="shared" si="20"/>
        <v>0</v>
      </c>
    </row>
    <row r="402" spans="1:26" ht="15.75" customHeight="1" x14ac:dyDescent="0.2">
      <c r="A402" s="2" t="s">
        <v>23</v>
      </c>
      <c r="B402" s="2" t="s">
        <v>24</v>
      </c>
      <c r="C402" s="2" t="s">
        <v>27</v>
      </c>
      <c r="D402" s="2" t="s">
        <v>27</v>
      </c>
      <c r="E402" s="2">
        <v>126</v>
      </c>
      <c r="F402" s="2">
        <v>236.66666670000001</v>
      </c>
      <c r="G402" s="2">
        <v>444</v>
      </c>
      <c r="H402" s="2">
        <v>2323</v>
      </c>
      <c r="I402" s="2">
        <v>3091</v>
      </c>
      <c r="J402" s="2">
        <v>2.36</v>
      </c>
      <c r="K402" s="2">
        <v>4.42</v>
      </c>
      <c r="L402" s="2">
        <v>14.01</v>
      </c>
      <c r="M402" s="2">
        <v>15.88</v>
      </c>
      <c r="N402" s="2">
        <v>4.6691996999999999E-2</v>
      </c>
      <c r="O402" s="2">
        <v>1.8057146999999999E-2</v>
      </c>
      <c r="P402" s="2">
        <v>2.3972583300000001</v>
      </c>
      <c r="Q402" s="2">
        <v>2.4065687609999999</v>
      </c>
      <c r="R402" s="2">
        <v>0.40535279899999999</v>
      </c>
      <c r="S402" s="2">
        <v>0.44806204199999999</v>
      </c>
      <c r="T402" s="2">
        <v>2.3627392170000001</v>
      </c>
      <c r="U402" s="2">
        <v>2.3644901370000002</v>
      </c>
      <c r="V402" s="2">
        <v>0.75217178600000001</v>
      </c>
      <c r="W402" s="2">
        <v>0.15558217199999999</v>
      </c>
      <c r="X402">
        <f t="shared" si="18"/>
        <v>1</v>
      </c>
      <c r="Y402">
        <f t="shared" si="19"/>
        <v>1</v>
      </c>
      <c r="Z402">
        <f t="shared" si="20"/>
        <v>0</v>
      </c>
    </row>
    <row r="403" spans="1:26" ht="15.75" customHeight="1" x14ac:dyDescent="0.2">
      <c r="A403" s="2" t="s">
        <v>23</v>
      </c>
      <c r="B403" s="2" t="s">
        <v>24</v>
      </c>
      <c r="C403" s="2" t="s">
        <v>32</v>
      </c>
      <c r="D403" s="2" t="s">
        <v>33</v>
      </c>
      <c r="E403" s="2">
        <v>115</v>
      </c>
      <c r="F403" s="2">
        <v>239.33333329999999</v>
      </c>
      <c r="G403" s="2">
        <v>596</v>
      </c>
      <c r="H403" s="2">
        <v>970.33333330000005</v>
      </c>
      <c r="I403" s="2">
        <v>2427</v>
      </c>
      <c r="J403" s="2">
        <v>2.39</v>
      </c>
      <c r="K403" s="2">
        <v>5.72</v>
      </c>
      <c r="L403" s="2">
        <v>8.35</v>
      </c>
      <c r="M403" s="2">
        <v>14.3</v>
      </c>
      <c r="N403" s="2">
        <v>3.8300860540000001</v>
      </c>
      <c r="O403" s="2">
        <v>3.7428301770000001</v>
      </c>
      <c r="P403" s="2">
        <v>3.4197433190000002</v>
      </c>
      <c r="Q403" s="2">
        <v>3.40712554</v>
      </c>
      <c r="R403" s="2">
        <v>0.89452091199999995</v>
      </c>
      <c r="S403" s="2">
        <v>0.85181166900000005</v>
      </c>
      <c r="T403" s="2">
        <v>3.3006782189999999</v>
      </c>
      <c r="U403" s="2">
        <v>3.2989272989999998</v>
      </c>
      <c r="V403" s="2">
        <v>2.0520454969999999</v>
      </c>
      <c r="W403" s="2">
        <v>9.4183086999999999E-2</v>
      </c>
      <c r="X403">
        <f t="shared" si="18"/>
        <v>1</v>
      </c>
      <c r="Y403">
        <f t="shared" si="19"/>
        <v>1</v>
      </c>
      <c r="Z403">
        <f t="shared" si="20"/>
        <v>1</v>
      </c>
    </row>
    <row r="404" spans="1:26" ht="15.75" customHeight="1" x14ac:dyDescent="0.2">
      <c r="A404" s="2" t="s">
        <v>23</v>
      </c>
      <c r="B404" s="2" t="s">
        <v>24</v>
      </c>
      <c r="C404" s="2" t="s">
        <v>28</v>
      </c>
      <c r="D404" s="2" t="s">
        <v>29</v>
      </c>
      <c r="E404" s="2">
        <v>193</v>
      </c>
      <c r="F404" s="2">
        <v>235</v>
      </c>
      <c r="G404" s="2">
        <v>480</v>
      </c>
      <c r="H404" s="2">
        <v>1154.666667</v>
      </c>
      <c r="I404" s="2">
        <v>2703</v>
      </c>
      <c r="J404" s="2">
        <v>2.34</v>
      </c>
      <c r="K404" s="2">
        <v>4.74</v>
      </c>
      <c r="L404" s="2">
        <v>9.41</v>
      </c>
      <c r="M404" s="2">
        <v>15.01</v>
      </c>
      <c r="N404" s="2">
        <v>0.53120600900000003</v>
      </c>
      <c r="O404" s="2">
        <v>0.63929430700000001</v>
      </c>
      <c r="P404" s="2">
        <v>2.2409347830000002</v>
      </c>
      <c r="Q404" s="2">
        <v>2.2411717680000001</v>
      </c>
      <c r="R404" s="2">
        <v>8.2851776000000002E-2</v>
      </c>
      <c r="S404" s="2">
        <v>0.125561019</v>
      </c>
      <c r="T404" s="2">
        <v>2.2394026629999999</v>
      </c>
      <c r="U404" s="2">
        <v>2.2376517429999998</v>
      </c>
      <c r="V404" s="2">
        <v>1.074672809</v>
      </c>
      <c r="W404" s="2">
        <v>7.0779792999999994E-2</v>
      </c>
      <c r="X404">
        <f t="shared" si="18"/>
        <v>1</v>
      </c>
      <c r="Y404">
        <f t="shared" si="19"/>
        <v>1</v>
      </c>
      <c r="Z404">
        <f t="shared" si="20"/>
        <v>1</v>
      </c>
    </row>
    <row r="405" spans="1:26" ht="15.75" customHeight="1" x14ac:dyDescent="0.2">
      <c r="A405" s="2" t="s">
        <v>23</v>
      </c>
      <c r="B405" s="2" t="s">
        <v>24</v>
      </c>
      <c r="C405" s="2" t="s">
        <v>27</v>
      </c>
      <c r="D405" s="2" t="s">
        <v>27</v>
      </c>
      <c r="E405" s="2">
        <v>132</v>
      </c>
      <c r="F405" s="2">
        <v>207.66666670000001</v>
      </c>
      <c r="G405" s="2">
        <v>408.33333329999999</v>
      </c>
      <c r="H405" s="2">
        <v>2357.666667</v>
      </c>
      <c r="I405" s="2">
        <v>2977</v>
      </c>
      <c r="J405" s="2">
        <v>2.04</v>
      </c>
      <c r="K405" s="2">
        <v>4.09</v>
      </c>
      <c r="L405" s="2">
        <v>14.11</v>
      </c>
      <c r="M405" s="2">
        <v>15.64</v>
      </c>
      <c r="N405" s="2">
        <v>0.35561660499999997</v>
      </c>
      <c r="O405" s="2">
        <v>0.33997325900000003</v>
      </c>
      <c r="P405" s="2">
        <v>2.5685165670000001</v>
      </c>
      <c r="Q405" s="2">
        <v>2.582724603</v>
      </c>
      <c r="R405" s="2">
        <v>0.73453634400000001</v>
      </c>
      <c r="S405" s="2">
        <v>0.77724558700000002</v>
      </c>
      <c r="T405" s="2">
        <v>2.4612463739999999</v>
      </c>
      <c r="U405" s="2">
        <v>2.462997294</v>
      </c>
      <c r="V405" s="2">
        <v>0.42298824200000001</v>
      </c>
      <c r="W405" s="2">
        <v>0.108943181</v>
      </c>
      <c r="X405">
        <f t="shared" si="18"/>
        <v>1</v>
      </c>
      <c r="Y405">
        <f t="shared" si="19"/>
        <v>1</v>
      </c>
      <c r="Z405">
        <f t="shared" si="20"/>
        <v>0</v>
      </c>
    </row>
    <row r="406" spans="1:26" ht="15.75" customHeight="1" x14ac:dyDescent="0.2">
      <c r="A406" s="2" t="s">
        <v>23</v>
      </c>
      <c r="B406" s="2" t="s">
        <v>24</v>
      </c>
      <c r="C406" s="2" t="s">
        <v>26</v>
      </c>
      <c r="D406" s="2" t="s">
        <v>26</v>
      </c>
      <c r="E406" s="2">
        <v>236</v>
      </c>
      <c r="F406" s="2">
        <v>218.66666670000001</v>
      </c>
      <c r="G406" s="2">
        <v>470.66666670000001</v>
      </c>
      <c r="H406" s="2">
        <v>1056.666667</v>
      </c>
      <c r="I406" s="2">
        <v>2573</v>
      </c>
      <c r="J406" s="2">
        <v>2.16</v>
      </c>
      <c r="K406" s="2">
        <v>4.66</v>
      </c>
      <c r="L406" s="2">
        <v>8.86</v>
      </c>
      <c r="M406" s="2">
        <v>14.69</v>
      </c>
      <c r="N406" s="2">
        <v>0.17839543699999999</v>
      </c>
      <c r="O406" s="2">
        <v>0.17311354200000001</v>
      </c>
      <c r="P406" s="2">
        <v>2.7923892349999999</v>
      </c>
      <c r="Q406" s="2">
        <v>2.7935003420000002</v>
      </c>
      <c r="R406" s="2">
        <v>0.16554585799999999</v>
      </c>
      <c r="S406" s="2">
        <v>0.208255101</v>
      </c>
      <c r="T406" s="2">
        <v>2.7874777499999999</v>
      </c>
      <c r="U406" s="2">
        <v>2.7857268300000002</v>
      </c>
      <c r="V406" s="2">
        <v>0.991978727</v>
      </c>
      <c r="W406" s="2">
        <v>0.13972957999999999</v>
      </c>
      <c r="X406">
        <f t="shared" si="18"/>
        <v>1</v>
      </c>
      <c r="Y406">
        <f t="shared" si="19"/>
        <v>1</v>
      </c>
      <c r="Z406">
        <f t="shared" si="20"/>
        <v>0</v>
      </c>
    </row>
    <row r="407" spans="1:26" ht="15.75" customHeight="1" x14ac:dyDescent="0.2">
      <c r="A407" s="2" t="s">
        <v>23</v>
      </c>
      <c r="B407" s="2" t="s">
        <v>24</v>
      </c>
      <c r="C407" s="2" t="s">
        <v>27</v>
      </c>
      <c r="D407" s="2" t="s">
        <v>27</v>
      </c>
      <c r="E407" s="2">
        <v>168</v>
      </c>
      <c r="F407" s="2">
        <v>225.66666670000001</v>
      </c>
      <c r="G407" s="2">
        <v>441.33333329999999</v>
      </c>
      <c r="H407" s="2">
        <v>2307</v>
      </c>
      <c r="I407" s="2">
        <v>3046</v>
      </c>
      <c r="J407" s="2">
        <v>2.2400000000000002</v>
      </c>
      <c r="K407" s="2">
        <v>4.4000000000000004</v>
      </c>
      <c r="L407" s="2">
        <v>13.97</v>
      </c>
      <c r="M407" s="2">
        <v>15.78</v>
      </c>
      <c r="N407" s="2">
        <v>1.9814779000000001E-2</v>
      </c>
      <c r="O407" s="2">
        <v>6.8880559999999993E-2</v>
      </c>
      <c r="P407" s="2">
        <v>2.356233799</v>
      </c>
      <c r="Q407" s="2">
        <v>2.3661098310000002</v>
      </c>
      <c r="R407" s="2">
        <v>0.429626428</v>
      </c>
      <c r="S407" s="2">
        <v>0.47233567100000001</v>
      </c>
      <c r="T407" s="2">
        <v>2.316734523</v>
      </c>
      <c r="U407" s="2">
        <v>2.3184854430000001</v>
      </c>
      <c r="V407" s="2">
        <v>0.72789815800000002</v>
      </c>
      <c r="W407" s="2">
        <v>9.4458607999999999E-2</v>
      </c>
      <c r="X407">
        <f t="shared" si="18"/>
        <v>1</v>
      </c>
      <c r="Y407">
        <f t="shared" si="19"/>
        <v>1</v>
      </c>
      <c r="Z407">
        <f t="shared" si="20"/>
        <v>0</v>
      </c>
    </row>
    <row r="408" spans="1:26" ht="15.75" customHeight="1" x14ac:dyDescent="0.2">
      <c r="A408" s="2" t="s">
        <v>23</v>
      </c>
      <c r="B408" s="2" t="s">
        <v>24</v>
      </c>
      <c r="C408" s="2" t="s">
        <v>27</v>
      </c>
      <c r="D408" s="2" t="s">
        <v>27</v>
      </c>
      <c r="E408" s="2">
        <v>242</v>
      </c>
      <c r="F408" s="2">
        <v>236.66666670000001</v>
      </c>
      <c r="G408" s="2">
        <v>461.33333329999999</v>
      </c>
      <c r="H408" s="2">
        <v>2365.666667</v>
      </c>
      <c r="I408" s="2">
        <v>3071.666667</v>
      </c>
      <c r="J408" s="2">
        <v>2.36</v>
      </c>
      <c r="K408" s="2">
        <v>4.58</v>
      </c>
      <c r="L408" s="2">
        <v>14.13</v>
      </c>
      <c r="M408" s="2">
        <v>15.84</v>
      </c>
      <c r="N408" s="2">
        <v>0.23228362599999999</v>
      </c>
      <c r="O408" s="2">
        <v>0.18639003400000001</v>
      </c>
      <c r="P408" s="2">
        <v>2.4961924519999998</v>
      </c>
      <c r="Q408" s="2">
        <v>2.5025507679999999</v>
      </c>
      <c r="R408" s="2">
        <v>0.24887745</v>
      </c>
      <c r="S408" s="2">
        <v>0.29158669199999998</v>
      </c>
      <c r="T408" s="2">
        <v>2.483754571</v>
      </c>
      <c r="U408" s="2">
        <v>2.4855054910000001</v>
      </c>
      <c r="V408" s="2">
        <v>0.90864713600000002</v>
      </c>
      <c r="W408" s="2">
        <v>0.151214979</v>
      </c>
      <c r="X408">
        <f t="shared" si="18"/>
        <v>1</v>
      </c>
      <c r="Y408">
        <f t="shared" si="19"/>
        <v>1</v>
      </c>
      <c r="Z408">
        <f t="shared" si="20"/>
        <v>0</v>
      </c>
    </row>
    <row r="409" spans="1:26" ht="15.75" customHeight="1" x14ac:dyDescent="0.2">
      <c r="A409" s="2" t="s">
        <v>23</v>
      </c>
      <c r="B409" s="2" t="s">
        <v>24</v>
      </c>
      <c r="C409" s="2" t="s">
        <v>32</v>
      </c>
      <c r="D409" s="2" t="s">
        <v>33</v>
      </c>
      <c r="E409" s="2">
        <v>204</v>
      </c>
      <c r="F409" s="2">
        <v>245.66666670000001</v>
      </c>
      <c r="G409" s="2">
        <v>740</v>
      </c>
      <c r="H409" s="2">
        <v>1118.333333</v>
      </c>
      <c r="I409" s="2">
        <v>2305.666667</v>
      </c>
      <c r="J409" s="2">
        <v>2.46</v>
      </c>
      <c r="K409" s="2">
        <v>6.82</v>
      </c>
      <c r="L409" s="2">
        <v>9.2100000000000009</v>
      </c>
      <c r="M409" s="2">
        <v>13.96</v>
      </c>
      <c r="N409" s="2">
        <v>2.7063491769999999</v>
      </c>
      <c r="O409" s="2">
        <v>2.5707309509999998</v>
      </c>
      <c r="P409" s="2">
        <v>3.1480808759999999</v>
      </c>
      <c r="Q409" s="2">
        <v>3.1198773809999998</v>
      </c>
      <c r="R409" s="2">
        <v>1.9909757889999999</v>
      </c>
      <c r="S409" s="2">
        <v>1.9482665459999999</v>
      </c>
      <c r="T409" s="2">
        <v>2.43853001</v>
      </c>
      <c r="U409" s="2">
        <v>2.4367790899999999</v>
      </c>
      <c r="V409" s="2">
        <v>3.1485003740000002</v>
      </c>
      <c r="W409" s="2">
        <v>0.197245947</v>
      </c>
      <c r="X409">
        <f t="shared" si="18"/>
        <v>1</v>
      </c>
      <c r="Y409">
        <f t="shared" si="19"/>
        <v>1</v>
      </c>
      <c r="Z409">
        <f t="shared" si="20"/>
        <v>1</v>
      </c>
    </row>
    <row r="410" spans="1:26" ht="15.75" customHeight="1" x14ac:dyDescent="0.2">
      <c r="A410" s="2" t="s">
        <v>23</v>
      </c>
      <c r="B410" s="2" t="s">
        <v>24</v>
      </c>
      <c r="C410" s="2" t="s">
        <v>28</v>
      </c>
      <c r="D410" s="2" t="s">
        <v>29</v>
      </c>
      <c r="E410" s="2">
        <v>187</v>
      </c>
      <c r="F410" s="2">
        <v>238</v>
      </c>
      <c r="G410" s="2">
        <v>456.66666670000001</v>
      </c>
      <c r="H410" s="2">
        <v>1111.666667</v>
      </c>
      <c r="I410" s="2">
        <v>2795</v>
      </c>
      <c r="J410" s="2">
        <v>2.37</v>
      </c>
      <c r="K410" s="2">
        <v>4.54</v>
      </c>
      <c r="L410" s="2">
        <v>9.17</v>
      </c>
      <c r="M410" s="2">
        <v>15.23</v>
      </c>
      <c r="N410" s="2">
        <v>0.23842358599999999</v>
      </c>
      <c r="O410" s="2">
        <v>0.35435929599999999</v>
      </c>
      <c r="P410" s="2">
        <v>2.49259808</v>
      </c>
      <c r="Q410" s="2">
        <v>2.496205448</v>
      </c>
      <c r="R410" s="2">
        <v>0.29078461999999999</v>
      </c>
      <c r="S410" s="2">
        <v>0.33349386199999997</v>
      </c>
      <c r="T410" s="2">
        <v>2.4755786180000001</v>
      </c>
      <c r="U410" s="2">
        <v>2.4738276990000001</v>
      </c>
      <c r="V410" s="2">
        <v>0.86673996600000003</v>
      </c>
      <c r="W410" s="2">
        <v>0.119940674</v>
      </c>
      <c r="X410">
        <f t="shared" si="18"/>
        <v>1</v>
      </c>
      <c r="Y410">
        <f t="shared" si="19"/>
        <v>1</v>
      </c>
      <c r="Z410">
        <f t="shared" si="20"/>
        <v>1</v>
      </c>
    </row>
    <row r="411" spans="1:26" ht="15.75" customHeight="1" x14ac:dyDescent="0.2">
      <c r="A411" s="2" t="s">
        <v>23</v>
      </c>
      <c r="B411" s="2" t="s">
        <v>24</v>
      </c>
      <c r="C411" s="2" t="s">
        <v>26</v>
      </c>
      <c r="D411" s="2" t="s">
        <v>26</v>
      </c>
      <c r="E411" s="2">
        <v>168</v>
      </c>
      <c r="F411" s="2">
        <v>207.33333329999999</v>
      </c>
      <c r="G411" s="2">
        <v>416</v>
      </c>
      <c r="H411" s="2">
        <v>1165</v>
      </c>
      <c r="I411" s="2">
        <v>2621.333333</v>
      </c>
      <c r="J411" s="2">
        <v>2.0299999999999998</v>
      </c>
      <c r="K411" s="2">
        <v>4.16</v>
      </c>
      <c r="L411" s="2">
        <v>9.4600000000000009</v>
      </c>
      <c r="M411" s="2">
        <v>14.81</v>
      </c>
      <c r="N411" s="2">
        <v>0.62559895499999996</v>
      </c>
      <c r="O411" s="2">
        <v>0.72284738699999995</v>
      </c>
      <c r="P411" s="2">
        <v>2.2820324350000001</v>
      </c>
      <c r="Q411" s="2">
        <v>2.2931376170000002</v>
      </c>
      <c r="R411" s="2">
        <v>0.66294340299999999</v>
      </c>
      <c r="S411" s="2">
        <v>0.70565264599999999</v>
      </c>
      <c r="T411" s="2">
        <v>2.1836158270000001</v>
      </c>
      <c r="U411" s="2">
        <v>2.181864907</v>
      </c>
      <c r="V411" s="2">
        <v>0.49458118299999998</v>
      </c>
      <c r="W411" s="2">
        <v>0.11333013</v>
      </c>
      <c r="X411">
        <f t="shared" si="18"/>
        <v>1</v>
      </c>
      <c r="Y411">
        <f t="shared" si="19"/>
        <v>1</v>
      </c>
      <c r="Z411">
        <f t="shared" si="20"/>
        <v>0</v>
      </c>
    </row>
    <row r="412" spans="1:26" ht="15.75" customHeight="1" x14ac:dyDescent="0.2">
      <c r="A412" s="2" t="s">
        <v>23</v>
      </c>
      <c r="B412" s="2" t="s">
        <v>24</v>
      </c>
      <c r="C412" s="2" t="s">
        <v>30</v>
      </c>
      <c r="D412" s="2" t="s">
        <v>31</v>
      </c>
      <c r="E412" s="2">
        <v>134</v>
      </c>
      <c r="F412" s="2">
        <v>209</v>
      </c>
      <c r="G412" s="2">
        <v>589.66666669999995</v>
      </c>
      <c r="H412" s="2">
        <v>1174</v>
      </c>
      <c r="I412" s="2">
        <v>2626.333333</v>
      </c>
      <c r="J412" s="2">
        <v>2.0499999999999998</v>
      </c>
      <c r="K412" s="2">
        <v>5.67</v>
      </c>
      <c r="L412" s="2">
        <v>9.51</v>
      </c>
      <c r="M412" s="2">
        <v>14.82</v>
      </c>
      <c r="N412" s="2">
        <v>4.6246433250000001</v>
      </c>
      <c r="O412" s="2">
        <v>4.6852707589999998</v>
      </c>
      <c r="P412" s="2">
        <v>2.2958736690000001</v>
      </c>
      <c r="Q412" s="2">
        <v>2.2788898450000001</v>
      </c>
      <c r="R412" s="2">
        <v>0.84345383699999998</v>
      </c>
      <c r="S412" s="2">
        <v>0.80074459499999995</v>
      </c>
      <c r="T412" s="2">
        <v>2.1353270310000001</v>
      </c>
      <c r="U412" s="2">
        <v>2.133576111</v>
      </c>
      <c r="V412" s="2">
        <v>2.0009784229999998</v>
      </c>
      <c r="W412" s="2">
        <v>8.0888007999999997E-2</v>
      </c>
      <c r="X412">
        <f t="shared" si="18"/>
        <v>1</v>
      </c>
      <c r="Y412">
        <f t="shared" si="19"/>
        <v>1</v>
      </c>
      <c r="Z412">
        <f t="shared" si="20"/>
        <v>1</v>
      </c>
    </row>
    <row r="413" spans="1:26" ht="15.75" customHeight="1" x14ac:dyDescent="0.2">
      <c r="A413" s="2" t="s">
        <v>23</v>
      </c>
      <c r="B413" s="2" t="s">
        <v>24</v>
      </c>
      <c r="C413" s="2" t="s">
        <v>27</v>
      </c>
      <c r="D413" s="2" t="s">
        <v>27</v>
      </c>
      <c r="E413" s="2">
        <v>181</v>
      </c>
      <c r="F413" s="2">
        <v>222</v>
      </c>
      <c r="G413" s="2">
        <v>437.66666670000001</v>
      </c>
      <c r="H413" s="2">
        <v>2364.666667</v>
      </c>
      <c r="I413" s="2">
        <v>3012.666667</v>
      </c>
      <c r="J413" s="2">
        <v>2.2000000000000002</v>
      </c>
      <c r="K413" s="2">
        <v>4.3600000000000003</v>
      </c>
      <c r="L413" s="2">
        <v>14.13</v>
      </c>
      <c r="M413" s="2">
        <v>15.71</v>
      </c>
      <c r="N413" s="2">
        <v>0.17308678999999999</v>
      </c>
      <c r="O413" s="2">
        <v>0.11619723999999999</v>
      </c>
      <c r="P413" s="2">
        <v>2.5237955919999999</v>
      </c>
      <c r="Q413" s="2">
        <v>2.53369606</v>
      </c>
      <c r="R413" s="2">
        <v>0.46309082899999998</v>
      </c>
      <c r="S413" s="2">
        <v>0.50580007199999999</v>
      </c>
      <c r="T413" s="2">
        <v>2.4809456010000002</v>
      </c>
      <c r="U413" s="2">
        <v>2.4826965209999998</v>
      </c>
      <c r="V413" s="2">
        <v>0.69443375600000001</v>
      </c>
      <c r="W413" s="2">
        <v>0.103023278</v>
      </c>
      <c r="X413">
        <f t="shared" si="18"/>
        <v>1</v>
      </c>
      <c r="Y413">
        <f t="shared" si="19"/>
        <v>1</v>
      </c>
      <c r="Z413">
        <f t="shared" si="20"/>
        <v>0</v>
      </c>
    </row>
    <row r="414" spans="1:26" ht="15.75" customHeight="1" x14ac:dyDescent="0.2">
      <c r="A414" s="2" t="s">
        <v>23</v>
      </c>
      <c r="B414" s="2" t="s">
        <v>24</v>
      </c>
      <c r="C414" s="2" t="s">
        <v>30</v>
      </c>
      <c r="D414" s="2" t="s">
        <v>31</v>
      </c>
      <c r="E414" s="2">
        <v>181</v>
      </c>
      <c r="F414" s="2">
        <v>219.33333329999999</v>
      </c>
      <c r="G414" s="2">
        <v>658.66666669999995</v>
      </c>
      <c r="H414" s="2">
        <v>1142</v>
      </c>
      <c r="I414" s="2">
        <v>2496.666667</v>
      </c>
      <c r="J414" s="2">
        <v>2.17</v>
      </c>
      <c r="K414" s="2">
        <v>6.21</v>
      </c>
      <c r="L414" s="2">
        <v>9.34</v>
      </c>
      <c r="M414" s="2">
        <v>14.49</v>
      </c>
      <c r="N414" s="2">
        <v>4.9611762060000002</v>
      </c>
      <c r="O414" s="2">
        <v>5.0193572440000001</v>
      </c>
      <c r="P414" s="2">
        <v>2.6926951130000001</v>
      </c>
      <c r="Q414" s="2">
        <v>2.6694415039999999</v>
      </c>
      <c r="R414" s="2">
        <v>1.3865020020000001</v>
      </c>
      <c r="S414" s="2">
        <v>1.3437927590000001</v>
      </c>
      <c r="T414" s="2">
        <v>2.3082935629999999</v>
      </c>
      <c r="U414" s="2">
        <v>2.3065426429999998</v>
      </c>
      <c r="V414" s="2">
        <v>2.5440265869999998</v>
      </c>
      <c r="W414" s="2">
        <v>9.7665283000000006E-2</v>
      </c>
      <c r="X414">
        <f t="shared" si="18"/>
        <v>1</v>
      </c>
      <c r="Y414">
        <f t="shared" si="19"/>
        <v>1</v>
      </c>
      <c r="Z414">
        <f t="shared" si="20"/>
        <v>1</v>
      </c>
    </row>
    <row r="415" spans="1:26" ht="15.75" customHeight="1" x14ac:dyDescent="0.2">
      <c r="A415" s="2" t="s">
        <v>23</v>
      </c>
      <c r="B415" s="2" t="s">
        <v>24</v>
      </c>
      <c r="C415" s="2" t="s">
        <v>26</v>
      </c>
      <c r="D415" s="2" t="s">
        <v>26</v>
      </c>
      <c r="E415" s="2">
        <v>202</v>
      </c>
      <c r="F415" s="2">
        <v>236</v>
      </c>
      <c r="G415" s="2">
        <v>462.33333329999999</v>
      </c>
      <c r="H415" s="2">
        <v>1051.666667</v>
      </c>
      <c r="I415" s="2">
        <v>2643.333333</v>
      </c>
      <c r="J415" s="2">
        <v>2.35</v>
      </c>
      <c r="K415" s="2">
        <v>4.59</v>
      </c>
      <c r="L415" s="2">
        <v>8.83</v>
      </c>
      <c r="M415" s="2">
        <v>14.86</v>
      </c>
      <c r="N415" s="2">
        <v>0.13641536200000001</v>
      </c>
      <c r="O415" s="2">
        <v>9.4729201999999998E-2</v>
      </c>
      <c r="P415" s="2">
        <v>2.8265975110000001</v>
      </c>
      <c r="Q415" s="2">
        <v>2.8288003690000001</v>
      </c>
      <c r="R415" s="2">
        <v>0.239918349</v>
      </c>
      <c r="S415" s="2">
        <v>0.28262759199999998</v>
      </c>
      <c r="T415" s="2">
        <v>2.816397109</v>
      </c>
      <c r="U415" s="2">
        <v>2.8146461889999999</v>
      </c>
      <c r="V415" s="2">
        <v>0.91760623600000002</v>
      </c>
      <c r="W415" s="2">
        <v>0.17601892199999999</v>
      </c>
      <c r="X415">
        <f t="shared" si="18"/>
        <v>1</v>
      </c>
      <c r="Y415">
        <f t="shared" si="19"/>
        <v>1</v>
      </c>
      <c r="Z415">
        <f t="shared" si="20"/>
        <v>0</v>
      </c>
    </row>
    <row r="416" spans="1:26" ht="15.75" customHeight="1" x14ac:dyDescent="0.2">
      <c r="A416" s="2" t="s">
        <v>23</v>
      </c>
      <c r="B416" s="2" t="s">
        <v>24</v>
      </c>
      <c r="C416" s="2" t="s">
        <v>26</v>
      </c>
      <c r="D416" s="2" t="s">
        <v>26</v>
      </c>
      <c r="E416" s="2">
        <v>213</v>
      </c>
      <c r="F416" s="2">
        <v>255.66666670000001</v>
      </c>
      <c r="G416" s="2">
        <v>491.66666670000001</v>
      </c>
      <c r="H416" s="2">
        <v>1086.333333</v>
      </c>
      <c r="I416" s="2">
        <v>2739.333333</v>
      </c>
      <c r="J416" s="2">
        <v>2.56</v>
      </c>
      <c r="K416" s="2">
        <v>4.8499999999999996</v>
      </c>
      <c r="L416" s="2">
        <v>9.0299999999999994</v>
      </c>
      <c r="M416" s="2">
        <v>15.1</v>
      </c>
      <c r="N416" s="2">
        <v>0.35884358300000002</v>
      </c>
      <c r="O416" s="2">
        <v>0.41101899400000003</v>
      </c>
      <c r="P416" s="2">
        <v>2.6179157929999999</v>
      </c>
      <c r="Q416" s="2">
        <v>2.61619307</v>
      </c>
      <c r="R416" s="2">
        <v>1.9630420999999999E-2</v>
      </c>
      <c r="S416" s="2">
        <v>2.3078821999999999E-2</v>
      </c>
      <c r="T416" s="2">
        <v>2.617842193</v>
      </c>
      <c r="U416" s="2">
        <v>2.6160912729999999</v>
      </c>
      <c r="V416" s="2">
        <v>1.177155006</v>
      </c>
      <c r="W416" s="2">
        <v>0.15979965900000001</v>
      </c>
      <c r="X416">
        <f t="shared" si="18"/>
        <v>1</v>
      </c>
      <c r="Y416">
        <f t="shared" si="19"/>
        <v>1</v>
      </c>
      <c r="Z416">
        <f t="shared" si="20"/>
        <v>0</v>
      </c>
    </row>
    <row r="417" spans="1:26" ht="15.75" customHeight="1" x14ac:dyDescent="0.2">
      <c r="A417" s="2" t="s">
        <v>23</v>
      </c>
      <c r="B417" s="2" t="s">
        <v>24</v>
      </c>
      <c r="C417" s="2" t="s">
        <v>26</v>
      </c>
      <c r="D417" s="2" t="s">
        <v>26</v>
      </c>
      <c r="E417" s="2">
        <v>146</v>
      </c>
      <c r="F417" s="2">
        <v>229.66666670000001</v>
      </c>
      <c r="G417" s="2">
        <v>449.66666670000001</v>
      </c>
      <c r="H417" s="2">
        <v>1002</v>
      </c>
      <c r="I417" s="2">
        <v>2704.333333</v>
      </c>
      <c r="J417" s="2">
        <v>2.2799999999999998</v>
      </c>
      <c r="K417" s="2">
        <v>4.47</v>
      </c>
      <c r="L417" s="2">
        <v>8.5399999999999991</v>
      </c>
      <c r="M417" s="2">
        <v>15.01</v>
      </c>
      <c r="N417" s="2">
        <v>0.39862720699999998</v>
      </c>
      <c r="O417" s="2">
        <v>0.282378199</v>
      </c>
      <c r="P417" s="2">
        <v>3.1290479009999999</v>
      </c>
      <c r="Q417" s="2">
        <v>3.1324295150000001</v>
      </c>
      <c r="R417" s="2">
        <v>0.35394972200000002</v>
      </c>
      <c r="S417" s="2">
        <v>0.39665896499999997</v>
      </c>
      <c r="T417" s="2">
        <v>3.1089645159999999</v>
      </c>
      <c r="U417" s="2">
        <v>3.1072135959999998</v>
      </c>
      <c r="V417" s="2">
        <v>0.803574864</v>
      </c>
      <c r="W417" s="2">
        <v>0.12260983</v>
      </c>
      <c r="X417">
        <f t="shared" si="18"/>
        <v>1</v>
      </c>
      <c r="Y417">
        <f t="shared" si="19"/>
        <v>1</v>
      </c>
      <c r="Z417">
        <f t="shared" si="20"/>
        <v>0</v>
      </c>
    </row>
    <row r="418" spans="1:26" ht="15.75" customHeight="1" x14ac:dyDescent="0.2">
      <c r="A418" s="2" t="s">
        <v>23</v>
      </c>
      <c r="B418" s="2" t="s">
        <v>24</v>
      </c>
      <c r="C418" s="2" t="s">
        <v>25</v>
      </c>
      <c r="D418" s="2" t="s">
        <v>25</v>
      </c>
      <c r="E418" s="2">
        <v>201</v>
      </c>
      <c r="F418" s="2">
        <v>208.66666670000001</v>
      </c>
      <c r="G418" s="2">
        <v>807.33333330000005</v>
      </c>
      <c r="H418" s="2">
        <v>1730.333333</v>
      </c>
      <c r="I418" s="2">
        <v>2712.666667</v>
      </c>
      <c r="J418" s="2">
        <v>2.0499999999999998</v>
      </c>
      <c r="K418" s="2">
        <v>7.29</v>
      </c>
      <c r="L418" s="2">
        <v>12.04</v>
      </c>
      <c r="M418" s="2">
        <v>15.03</v>
      </c>
      <c r="N418" s="2">
        <v>0.190901341</v>
      </c>
      <c r="O418" s="2">
        <v>0.31197934500000002</v>
      </c>
      <c r="P418" s="2">
        <v>2.4955541810000001</v>
      </c>
      <c r="Q418" s="2">
        <v>2.453665929</v>
      </c>
      <c r="R418" s="2">
        <v>2.4645169789999999</v>
      </c>
      <c r="S418" s="2">
        <v>2.421807737</v>
      </c>
      <c r="T418" s="2">
        <v>0.39236046000000002</v>
      </c>
      <c r="U418" s="2">
        <v>0.39411137899999998</v>
      </c>
      <c r="V418" s="2">
        <v>3.622041565</v>
      </c>
      <c r="W418" s="2">
        <v>0.16175974900000001</v>
      </c>
      <c r="X418">
        <f t="shared" si="18"/>
        <v>1</v>
      </c>
      <c r="Y418">
        <f t="shared" si="19"/>
        <v>1</v>
      </c>
      <c r="Z418">
        <f t="shared" si="20"/>
        <v>0</v>
      </c>
    </row>
    <row r="419" spans="1:26" ht="15.75" customHeight="1" x14ac:dyDescent="0.2">
      <c r="A419" s="2" t="s">
        <v>23</v>
      </c>
      <c r="B419" s="2" t="s">
        <v>24</v>
      </c>
      <c r="C419" s="2" t="s">
        <v>25</v>
      </c>
      <c r="D419" s="2" t="s">
        <v>25</v>
      </c>
      <c r="E419" s="2">
        <v>232</v>
      </c>
      <c r="F419" s="2">
        <v>209</v>
      </c>
      <c r="G419" s="2">
        <v>805.33333330000005</v>
      </c>
      <c r="H419" s="2">
        <v>1620.666667</v>
      </c>
      <c r="I419" s="2">
        <v>2825.333333</v>
      </c>
      <c r="J419" s="2">
        <v>2.0499999999999998</v>
      </c>
      <c r="K419" s="2">
        <v>7.28</v>
      </c>
      <c r="L419" s="2">
        <v>11.6</v>
      </c>
      <c r="M419" s="2">
        <v>15.3</v>
      </c>
      <c r="N419" s="2">
        <v>0.30784355200000002</v>
      </c>
      <c r="O419" s="2">
        <v>0.133800165</v>
      </c>
      <c r="P419" s="2">
        <v>2.4511742070000002</v>
      </c>
      <c r="Q419" s="2">
        <v>2.4084407190000001</v>
      </c>
      <c r="R419" s="2">
        <v>2.4507837110000001</v>
      </c>
      <c r="S419" s="2">
        <v>2.4080744680000001</v>
      </c>
      <c r="T419" s="2">
        <v>4.3751542999999997E-2</v>
      </c>
      <c r="U419" s="2">
        <v>4.2000623000000001E-2</v>
      </c>
      <c r="V419" s="2">
        <v>3.6083082960000001</v>
      </c>
      <c r="W419" s="2">
        <v>0.11081233</v>
      </c>
      <c r="X419">
        <f t="shared" si="18"/>
        <v>1</v>
      </c>
      <c r="Y419">
        <f t="shared" si="19"/>
        <v>1</v>
      </c>
      <c r="Z419">
        <f t="shared" si="20"/>
        <v>0</v>
      </c>
    </row>
    <row r="420" spans="1:26" ht="15.75" customHeight="1" x14ac:dyDescent="0.2">
      <c r="A420" s="2" t="s">
        <v>23</v>
      </c>
      <c r="B420" s="2" t="s">
        <v>24</v>
      </c>
      <c r="C420" s="2" t="s">
        <v>25</v>
      </c>
      <c r="D420" s="2" t="s">
        <v>25</v>
      </c>
      <c r="E420" s="2">
        <v>204</v>
      </c>
      <c r="F420" s="2">
        <v>222.66666670000001</v>
      </c>
      <c r="G420" s="2">
        <v>838</v>
      </c>
      <c r="H420" s="2">
        <v>1598</v>
      </c>
      <c r="I420" s="2">
        <v>2779.666667</v>
      </c>
      <c r="J420" s="2">
        <v>2.21</v>
      </c>
      <c r="K420" s="2">
        <v>7.5</v>
      </c>
      <c r="L420" s="2">
        <v>11.51</v>
      </c>
      <c r="M420" s="2">
        <v>15.19</v>
      </c>
      <c r="N420" s="2">
        <v>0.50428624200000005</v>
      </c>
      <c r="O420" s="2">
        <v>0.28128410500000001</v>
      </c>
      <c r="P420" s="2">
        <v>2.6761567429999999</v>
      </c>
      <c r="Q420" s="2">
        <v>2.633413944</v>
      </c>
      <c r="R420" s="2">
        <v>2.6726352809999998</v>
      </c>
      <c r="S420" s="2">
        <v>2.6299260379999998</v>
      </c>
      <c r="T420" s="2">
        <v>0.137242737</v>
      </c>
      <c r="U420" s="2">
        <v>0.13549181699999999</v>
      </c>
      <c r="V420" s="2">
        <v>3.8301598669999999</v>
      </c>
      <c r="W420" s="2">
        <v>0.19192240099999999</v>
      </c>
      <c r="X420">
        <f t="shared" si="18"/>
        <v>1</v>
      </c>
      <c r="Y420">
        <f t="shared" si="19"/>
        <v>1</v>
      </c>
      <c r="Z420">
        <f t="shared" si="20"/>
        <v>0</v>
      </c>
    </row>
    <row r="421" spans="1:26" ht="15.75" customHeight="1" x14ac:dyDescent="0.2">
      <c r="A421" s="2" t="s">
        <v>23</v>
      </c>
      <c r="B421" s="2" t="s">
        <v>24</v>
      </c>
      <c r="C421" s="2" t="s">
        <v>28</v>
      </c>
      <c r="D421" s="2" t="s">
        <v>29</v>
      </c>
      <c r="E421" s="2">
        <v>120</v>
      </c>
      <c r="F421" s="2">
        <v>217</v>
      </c>
      <c r="G421" s="2">
        <v>438.66666670000001</v>
      </c>
      <c r="H421" s="2">
        <v>961</v>
      </c>
      <c r="I421" s="2">
        <v>2492</v>
      </c>
      <c r="J421" s="2">
        <v>2.14</v>
      </c>
      <c r="K421" s="2">
        <v>4.37</v>
      </c>
      <c r="L421" s="2">
        <v>8.2899999999999991</v>
      </c>
      <c r="M421" s="2">
        <v>14.48</v>
      </c>
      <c r="N421" s="2">
        <v>0.65909015800000004</v>
      </c>
      <c r="O421" s="2">
        <v>0.54406973800000002</v>
      </c>
      <c r="P421" s="2">
        <v>3.3885217989999998</v>
      </c>
      <c r="Q421" s="2">
        <v>3.3927752789999999</v>
      </c>
      <c r="R421" s="2">
        <v>0.45395402800000001</v>
      </c>
      <c r="S421" s="2">
        <v>0.49666327100000002</v>
      </c>
      <c r="T421" s="2">
        <v>3.3579764330000001</v>
      </c>
      <c r="U421" s="2">
        <v>3.356225513</v>
      </c>
      <c r="V421" s="2">
        <v>0.70357055800000001</v>
      </c>
      <c r="W421" s="2">
        <v>8.5900702999999995E-2</v>
      </c>
      <c r="X421">
        <f t="shared" si="18"/>
        <v>1</v>
      </c>
      <c r="Y421">
        <f t="shared" si="19"/>
        <v>1</v>
      </c>
      <c r="Z421">
        <f t="shared" si="20"/>
        <v>1</v>
      </c>
    </row>
    <row r="422" spans="1:26" ht="15.75" customHeight="1" x14ac:dyDescent="0.2">
      <c r="A422" s="2" t="s">
        <v>23</v>
      </c>
      <c r="B422" s="2" t="s">
        <v>24</v>
      </c>
      <c r="C422" s="2" t="s">
        <v>30</v>
      </c>
      <c r="D422" s="2" t="s">
        <v>31</v>
      </c>
      <c r="E422" s="2">
        <v>223</v>
      </c>
      <c r="F422" s="2">
        <v>223</v>
      </c>
      <c r="G422" s="2">
        <v>650.66666669999995</v>
      </c>
      <c r="H422" s="2">
        <v>1066.666667</v>
      </c>
      <c r="I422" s="2">
        <v>2326.666667</v>
      </c>
      <c r="J422" s="2">
        <v>2.21</v>
      </c>
      <c r="K422" s="2">
        <v>6.15</v>
      </c>
      <c r="L422" s="2">
        <v>8.92</v>
      </c>
      <c r="M422" s="2">
        <v>14.02</v>
      </c>
      <c r="N422" s="2">
        <v>5.3360688630000004</v>
      </c>
      <c r="O422" s="2">
        <v>5.3953115580000004</v>
      </c>
      <c r="P422" s="2">
        <v>3.0344931179999999</v>
      </c>
      <c r="Q422" s="2">
        <v>3.014504176</v>
      </c>
      <c r="R422" s="2">
        <v>1.3250110479999999</v>
      </c>
      <c r="S422" s="2">
        <v>1.2823018049999999</v>
      </c>
      <c r="T422" s="2">
        <v>2.7299256770000002</v>
      </c>
      <c r="U422" s="2">
        <v>2.7281747580000002</v>
      </c>
      <c r="V422" s="2">
        <v>2.4825356329999999</v>
      </c>
      <c r="W422" s="2">
        <v>0.156706701</v>
      </c>
      <c r="X422">
        <f t="shared" si="18"/>
        <v>1</v>
      </c>
      <c r="Y422">
        <f t="shared" si="19"/>
        <v>1</v>
      </c>
      <c r="Z422">
        <f t="shared" si="20"/>
        <v>1</v>
      </c>
    </row>
    <row r="423" spans="1:26" ht="15.75" customHeight="1" x14ac:dyDescent="0.2">
      <c r="A423" s="2" t="s">
        <v>23</v>
      </c>
      <c r="B423" s="2" t="s">
        <v>24</v>
      </c>
      <c r="C423" s="2" t="s">
        <v>32</v>
      </c>
      <c r="D423" s="2" t="s">
        <v>33</v>
      </c>
      <c r="E423" s="2">
        <v>175</v>
      </c>
      <c r="F423" s="2">
        <v>219.66666670000001</v>
      </c>
      <c r="G423" s="2">
        <v>668</v>
      </c>
      <c r="H423" s="2">
        <v>994.66666669999995</v>
      </c>
      <c r="I423" s="2">
        <v>2726</v>
      </c>
      <c r="J423" s="2">
        <v>2.17</v>
      </c>
      <c r="K423" s="2">
        <v>6.28</v>
      </c>
      <c r="L423" s="2">
        <v>8.5</v>
      </c>
      <c r="M423" s="2">
        <v>15.07</v>
      </c>
      <c r="N423" s="2">
        <v>3.5112987630000001</v>
      </c>
      <c r="O423" s="2">
        <v>3.3976688259999999</v>
      </c>
      <c r="P423" s="2">
        <v>3.473682556</v>
      </c>
      <c r="Q423" s="2">
        <v>3.4543792500000001</v>
      </c>
      <c r="R423" s="2">
        <v>1.45776828</v>
      </c>
      <c r="S423" s="2">
        <v>1.415059037</v>
      </c>
      <c r="T423" s="2">
        <v>3.1529957409999998</v>
      </c>
      <c r="U423" s="2">
        <v>3.1512448210000001</v>
      </c>
      <c r="V423" s="2">
        <v>2.6152928659999999</v>
      </c>
      <c r="W423" s="2">
        <v>0.116264304</v>
      </c>
      <c r="X423">
        <f t="shared" si="18"/>
        <v>1</v>
      </c>
      <c r="Y423">
        <f t="shared" si="19"/>
        <v>1</v>
      </c>
      <c r="Z423">
        <f t="shared" si="20"/>
        <v>1</v>
      </c>
    </row>
    <row r="424" spans="1:26" ht="15.75" customHeight="1" x14ac:dyDescent="0.2">
      <c r="A424" s="2" t="s">
        <v>23</v>
      </c>
      <c r="B424" s="2" t="s">
        <v>24</v>
      </c>
      <c r="C424" s="2" t="s">
        <v>26</v>
      </c>
      <c r="D424" s="2" t="s">
        <v>26</v>
      </c>
      <c r="E424" s="2">
        <v>174</v>
      </c>
      <c r="F424" s="2">
        <v>226</v>
      </c>
      <c r="G424" s="2">
        <v>445</v>
      </c>
      <c r="H424" s="2">
        <v>1090.666667</v>
      </c>
      <c r="I424" s="2">
        <v>2680</v>
      </c>
      <c r="J424" s="2">
        <v>2.2400000000000002</v>
      </c>
      <c r="K424" s="2">
        <v>4.43</v>
      </c>
      <c r="L424" s="2">
        <v>9.06</v>
      </c>
      <c r="M424" s="2">
        <v>14.96</v>
      </c>
      <c r="N424" s="2">
        <v>0.13683873799999999</v>
      </c>
      <c r="O424" s="2">
        <v>0.24208932399999999</v>
      </c>
      <c r="P424" s="2">
        <v>2.623440145</v>
      </c>
      <c r="Q424" s="2">
        <v>2.628503786</v>
      </c>
      <c r="R424" s="2">
        <v>0.39626406600000003</v>
      </c>
      <c r="S424" s="2">
        <v>0.43897330899999998</v>
      </c>
      <c r="T424" s="2">
        <v>2.5933401210000002</v>
      </c>
      <c r="U424" s="2">
        <v>2.5915892010000001</v>
      </c>
      <c r="V424" s="2">
        <v>0.76126051900000002</v>
      </c>
      <c r="W424" s="2">
        <v>0.134218421</v>
      </c>
      <c r="X424">
        <f t="shared" si="18"/>
        <v>1</v>
      </c>
      <c r="Y424">
        <f t="shared" si="19"/>
        <v>1</v>
      </c>
      <c r="Z424">
        <f t="shared" si="20"/>
        <v>0</v>
      </c>
    </row>
    <row r="425" spans="1:26" ht="15.75" customHeight="1" x14ac:dyDescent="0.2">
      <c r="A425" s="2" t="s">
        <v>23</v>
      </c>
      <c r="B425" s="2" t="s">
        <v>24</v>
      </c>
      <c r="C425" s="2" t="s">
        <v>32</v>
      </c>
      <c r="D425" s="2" t="s">
        <v>33</v>
      </c>
      <c r="E425" s="2">
        <v>151</v>
      </c>
      <c r="F425" s="2">
        <v>228</v>
      </c>
      <c r="G425" s="2">
        <v>648.33333330000005</v>
      </c>
      <c r="H425" s="2">
        <v>975.33333330000005</v>
      </c>
      <c r="I425" s="2">
        <v>2486</v>
      </c>
      <c r="J425" s="2">
        <v>2.2599999999999998</v>
      </c>
      <c r="K425" s="2">
        <v>6.13</v>
      </c>
      <c r="L425" s="2">
        <v>8.3800000000000008</v>
      </c>
      <c r="M425" s="2">
        <v>14.46</v>
      </c>
      <c r="N425" s="2">
        <v>3.6645230889999998</v>
      </c>
      <c r="O425" s="2">
        <v>3.5569185409999999</v>
      </c>
      <c r="P425" s="2">
        <v>3.5216515830000001</v>
      </c>
      <c r="Q425" s="2">
        <v>3.5043919780000001</v>
      </c>
      <c r="R425" s="2">
        <v>1.307005135</v>
      </c>
      <c r="S425" s="2">
        <v>1.264295892</v>
      </c>
      <c r="T425" s="2">
        <v>3.270132635</v>
      </c>
      <c r="U425" s="2">
        <v>3.2683817149999999</v>
      </c>
      <c r="V425" s="2">
        <v>2.4645297199999998</v>
      </c>
      <c r="W425" s="2">
        <v>0.12500228899999999</v>
      </c>
      <c r="X425">
        <f t="shared" si="18"/>
        <v>1</v>
      </c>
      <c r="Y425">
        <f t="shared" si="19"/>
        <v>1</v>
      </c>
      <c r="Z425">
        <f t="shared" si="20"/>
        <v>1</v>
      </c>
    </row>
    <row r="426" spans="1:26" ht="15.75" customHeight="1" x14ac:dyDescent="0.2">
      <c r="A426" s="2" t="s">
        <v>23</v>
      </c>
      <c r="B426" s="2" t="s">
        <v>24</v>
      </c>
      <c r="C426" s="2" t="s">
        <v>28</v>
      </c>
      <c r="D426" s="2" t="s">
        <v>29</v>
      </c>
      <c r="E426" s="2">
        <v>133</v>
      </c>
      <c r="F426" s="2">
        <v>227</v>
      </c>
      <c r="G426" s="2">
        <v>550.66666669999995</v>
      </c>
      <c r="H426" s="2">
        <v>1047.666667</v>
      </c>
      <c r="I426" s="2">
        <v>2917</v>
      </c>
      <c r="J426" s="2">
        <v>2.25</v>
      </c>
      <c r="K426" s="2">
        <v>5.35</v>
      </c>
      <c r="L426" s="2">
        <v>8.81</v>
      </c>
      <c r="M426" s="2">
        <v>15.51</v>
      </c>
      <c r="N426" s="2">
        <v>0.85978301599999996</v>
      </c>
      <c r="O426" s="2">
        <v>0.85741759399999995</v>
      </c>
      <c r="P426" s="2">
        <v>2.8874196049999998</v>
      </c>
      <c r="Q426" s="2">
        <v>2.8782590109999999</v>
      </c>
      <c r="R426" s="2">
        <v>0.52331008599999995</v>
      </c>
      <c r="S426" s="2">
        <v>0.480600843</v>
      </c>
      <c r="T426" s="2">
        <v>2.839601826</v>
      </c>
      <c r="U426" s="2">
        <v>2.8378509059999999</v>
      </c>
      <c r="V426" s="2">
        <v>1.680834672</v>
      </c>
      <c r="W426" s="2">
        <v>6.6584878E-2</v>
      </c>
      <c r="X426">
        <f t="shared" si="18"/>
        <v>1</v>
      </c>
      <c r="Y426">
        <f t="shared" si="19"/>
        <v>1</v>
      </c>
      <c r="Z426">
        <f t="shared" si="20"/>
        <v>1</v>
      </c>
    </row>
    <row r="427" spans="1:26" ht="15.75" customHeight="1" x14ac:dyDescent="0.2">
      <c r="A427" s="2" t="s">
        <v>23</v>
      </c>
      <c r="B427" s="2" t="s">
        <v>24</v>
      </c>
      <c r="C427" s="2" t="s">
        <v>32</v>
      </c>
      <c r="D427" s="2" t="s">
        <v>33</v>
      </c>
      <c r="E427" s="2">
        <v>138</v>
      </c>
      <c r="F427" s="2">
        <v>207.66666670000001</v>
      </c>
      <c r="G427" s="2">
        <v>615</v>
      </c>
      <c r="H427" s="2">
        <v>994.33333330000005</v>
      </c>
      <c r="I427" s="2">
        <v>2581</v>
      </c>
      <c r="J427" s="2">
        <v>2.04</v>
      </c>
      <c r="K427" s="2">
        <v>5.87</v>
      </c>
      <c r="L427" s="2">
        <v>8.49</v>
      </c>
      <c r="M427" s="2">
        <v>14.71</v>
      </c>
      <c r="N427" s="2">
        <v>3.6388508439999998</v>
      </c>
      <c r="O427" s="2">
        <v>3.5470344069999999</v>
      </c>
      <c r="P427" s="2">
        <v>3.3239442669999999</v>
      </c>
      <c r="Q427" s="2">
        <v>3.3090811769999999</v>
      </c>
      <c r="R427" s="2">
        <v>1.0462149119999999</v>
      </c>
      <c r="S427" s="2">
        <v>1.0035056689999999</v>
      </c>
      <c r="T427" s="2">
        <v>3.1550023540000001</v>
      </c>
      <c r="U427" s="2">
        <v>3.153251434</v>
      </c>
      <c r="V427" s="2">
        <v>2.2037394969999999</v>
      </c>
      <c r="W427" s="2">
        <v>9.4881335999999997E-2</v>
      </c>
      <c r="X427">
        <f t="shared" si="18"/>
        <v>1</v>
      </c>
      <c r="Y427">
        <f t="shared" si="19"/>
        <v>1</v>
      </c>
      <c r="Z427">
        <f t="shared" si="20"/>
        <v>1</v>
      </c>
    </row>
    <row r="428" spans="1:26" ht="15.75" customHeight="1" x14ac:dyDescent="0.2">
      <c r="A428" s="2" t="s">
        <v>23</v>
      </c>
      <c r="B428" s="2" t="s">
        <v>24</v>
      </c>
      <c r="C428" s="2" t="s">
        <v>25</v>
      </c>
      <c r="D428" s="2" t="s">
        <v>25</v>
      </c>
      <c r="E428" s="2">
        <v>150</v>
      </c>
      <c r="F428" s="2">
        <v>201</v>
      </c>
      <c r="G428" s="2">
        <v>702.66666669999995</v>
      </c>
      <c r="H428" s="2">
        <v>1989.666667</v>
      </c>
      <c r="I428" s="2">
        <v>2838</v>
      </c>
      <c r="J428" s="2">
        <v>1.96</v>
      </c>
      <c r="K428" s="2">
        <v>6.55</v>
      </c>
      <c r="L428" s="2">
        <v>12.98</v>
      </c>
      <c r="M428" s="2">
        <v>15.33</v>
      </c>
      <c r="N428" s="2">
        <v>1.250171989</v>
      </c>
      <c r="O428" s="2">
        <v>1.4685196380000001</v>
      </c>
      <c r="P428" s="2">
        <v>2.171081198</v>
      </c>
      <c r="Q428" s="2">
        <v>2.1385302049999999</v>
      </c>
      <c r="R428" s="2">
        <v>1.7180974339999999</v>
      </c>
      <c r="S428" s="2">
        <v>1.675388192</v>
      </c>
      <c r="T428" s="2">
        <v>1.327303573</v>
      </c>
      <c r="U428" s="2">
        <v>1.329054492</v>
      </c>
      <c r="V428" s="2">
        <v>2.8756220199999998</v>
      </c>
      <c r="W428" s="2">
        <v>0.13498026799999999</v>
      </c>
      <c r="X428">
        <f t="shared" si="18"/>
        <v>1</v>
      </c>
      <c r="Y428">
        <f t="shared" si="19"/>
        <v>1</v>
      </c>
      <c r="Z428">
        <f t="shared" si="20"/>
        <v>0</v>
      </c>
    </row>
    <row r="429" spans="1:26" ht="15.75" customHeight="1" x14ac:dyDescent="0.2">
      <c r="A429" s="2" t="s">
        <v>23</v>
      </c>
      <c r="B429" s="2" t="s">
        <v>24</v>
      </c>
      <c r="C429" s="2" t="s">
        <v>27</v>
      </c>
      <c r="D429" s="2" t="s">
        <v>27</v>
      </c>
      <c r="E429" s="2">
        <v>150</v>
      </c>
      <c r="F429" s="2">
        <v>203.66666670000001</v>
      </c>
      <c r="G429" s="2">
        <v>407.33333329999999</v>
      </c>
      <c r="H429" s="2">
        <v>2233</v>
      </c>
      <c r="I429" s="2">
        <v>2906.666667</v>
      </c>
      <c r="J429" s="2">
        <v>1.99</v>
      </c>
      <c r="K429" s="2">
        <v>4.08</v>
      </c>
      <c r="L429" s="2">
        <v>13.75</v>
      </c>
      <c r="M429" s="2">
        <v>15.48</v>
      </c>
      <c r="N429" s="2">
        <v>0.398305994</v>
      </c>
      <c r="O429" s="2">
        <v>0.441078109</v>
      </c>
      <c r="P429" s="2">
        <v>2.2272994769999999</v>
      </c>
      <c r="Q429" s="2">
        <v>2.243565335</v>
      </c>
      <c r="R429" s="2">
        <v>0.74390873999999996</v>
      </c>
      <c r="S429" s="2">
        <v>0.78661798299999997</v>
      </c>
      <c r="T429" s="2">
        <v>2.0993958049999999</v>
      </c>
      <c r="U429" s="2">
        <v>2.101146725</v>
      </c>
      <c r="V429" s="2">
        <v>0.41361584499999998</v>
      </c>
      <c r="W429" s="2">
        <v>9.2904755000000006E-2</v>
      </c>
      <c r="X429">
        <f t="shared" si="18"/>
        <v>1</v>
      </c>
      <c r="Y429">
        <f t="shared" si="19"/>
        <v>1</v>
      </c>
      <c r="Z429">
        <f t="shared" si="20"/>
        <v>0</v>
      </c>
    </row>
    <row r="430" spans="1:26" ht="15.75" customHeight="1" x14ac:dyDescent="0.2">
      <c r="A430" s="2" t="s">
        <v>23</v>
      </c>
      <c r="B430" s="2" t="s">
        <v>24</v>
      </c>
      <c r="C430" s="2" t="s">
        <v>30</v>
      </c>
      <c r="D430" s="2" t="s">
        <v>31</v>
      </c>
      <c r="E430" s="2">
        <v>157</v>
      </c>
      <c r="F430" s="2">
        <v>220</v>
      </c>
      <c r="G430" s="2">
        <v>721.33333330000005</v>
      </c>
      <c r="H430" s="2">
        <v>1251.333333</v>
      </c>
      <c r="I430" s="2">
        <v>2714.333333</v>
      </c>
      <c r="J430" s="2">
        <v>2.1800000000000002</v>
      </c>
      <c r="K430" s="2">
        <v>6.68</v>
      </c>
      <c r="L430" s="2">
        <v>9.92</v>
      </c>
      <c r="M430" s="2">
        <v>15.04</v>
      </c>
      <c r="N430" s="2">
        <v>4.6385799800000003</v>
      </c>
      <c r="O430" s="2">
        <v>4.6922765950000001</v>
      </c>
      <c r="P430" s="2">
        <v>2.5379353689999999</v>
      </c>
      <c r="Q430" s="2">
        <v>2.5056708890000001</v>
      </c>
      <c r="R430" s="2">
        <v>1.855486462</v>
      </c>
      <c r="S430" s="2">
        <v>1.812777219</v>
      </c>
      <c r="T430" s="2">
        <v>1.731555926</v>
      </c>
      <c r="U430" s="2">
        <v>1.7298050060000001</v>
      </c>
      <c r="V430" s="2">
        <v>3.013011047</v>
      </c>
      <c r="W430" s="2">
        <v>0.10984876</v>
      </c>
      <c r="X430">
        <f t="shared" si="18"/>
        <v>1</v>
      </c>
      <c r="Y430">
        <f t="shared" si="19"/>
        <v>1</v>
      </c>
      <c r="Z430">
        <f t="shared" si="20"/>
        <v>1</v>
      </c>
    </row>
    <row r="431" spans="1:26" ht="15.75" customHeight="1" x14ac:dyDescent="0.2">
      <c r="A431" s="2" t="s">
        <v>23</v>
      </c>
      <c r="B431" s="2" t="s">
        <v>24</v>
      </c>
      <c r="C431" s="2" t="s">
        <v>25</v>
      </c>
      <c r="D431" s="2" t="s">
        <v>25</v>
      </c>
      <c r="E431" s="2">
        <v>214</v>
      </c>
      <c r="F431" s="2">
        <v>214.66666670000001</v>
      </c>
      <c r="G431" s="2">
        <v>850.66666669999995</v>
      </c>
      <c r="H431" s="2">
        <v>1414.666667</v>
      </c>
      <c r="I431" s="2">
        <v>2667.666667</v>
      </c>
      <c r="J431" s="2">
        <v>2.12</v>
      </c>
      <c r="K431" s="2">
        <v>7.58</v>
      </c>
      <c r="L431" s="2">
        <v>10.71</v>
      </c>
      <c r="M431" s="2">
        <v>14.92</v>
      </c>
      <c r="N431" s="2">
        <v>1.254569713</v>
      </c>
      <c r="O431" s="2">
        <v>1.05437162</v>
      </c>
      <c r="P431" s="2">
        <v>2.9129642310000001</v>
      </c>
      <c r="Q431" s="2">
        <v>2.8719985220000002</v>
      </c>
      <c r="R431" s="2">
        <v>2.7572718740000002</v>
      </c>
      <c r="S431" s="2">
        <v>2.7145626319999998</v>
      </c>
      <c r="T431" s="2">
        <v>0.93958098300000004</v>
      </c>
      <c r="U431" s="2">
        <v>0.93783006300000005</v>
      </c>
      <c r="V431" s="2">
        <v>3.9147964599999998</v>
      </c>
      <c r="W431" s="2">
        <v>0.17221425900000001</v>
      </c>
      <c r="X431">
        <f t="shared" si="18"/>
        <v>1</v>
      </c>
      <c r="Y431">
        <f t="shared" si="19"/>
        <v>1</v>
      </c>
      <c r="Z431">
        <f t="shared" si="20"/>
        <v>0</v>
      </c>
    </row>
    <row r="432" spans="1:26" ht="15.75" customHeight="1" x14ac:dyDescent="0.2">
      <c r="A432" s="2" t="s">
        <v>23</v>
      </c>
      <c r="B432" s="2" t="s">
        <v>24</v>
      </c>
      <c r="C432" s="2" t="s">
        <v>30</v>
      </c>
      <c r="D432" s="2" t="s">
        <v>31</v>
      </c>
      <c r="E432" s="2">
        <v>198</v>
      </c>
      <c r="F432" s="2">
        <v>198</v>
      </c>
      <c r="G432" s="2">
        <v>623.66666669999995</v>
      </c>
      <c r="H432" s="2">
        <v>1106.666667</v>
      </c>
      <c r="I432" s="2">
        <v>2271</v>
      </c>
      <c r="J432" s="2">
        <v>1.93</v>
      </c>
      <c r="K432" s="2">
        <v>5.94</v>
      </c>
      <c r="L432" s="2">
        <v>9.14</v>
      </c>
      <c r="M432" s="2">
        <v>13.86</v>
      </c>
      <c r="N432" s="2">
        <v>5.0550836290000003</v>
      </c>
      <c r="O432" s="2">
        <v>5.1149550570000004</v>
      </c>
      <c r="P432" s="2">
        <v>2.7404105689999998</v>
      </c>
      <c r="Q432" s="2">
        <v>2.7217085170000002</v>
      </c>
      <c r="R432" s="2">
        <v>1.1146677190000001</v>
      </c>
      <c r="S432" s="2">
        <v>1.071958476</v>
      </c>
      <c r="T432" s="2">
        <v>2.5034707840000001</v>
      </c>
      <c r="U432" s="2">
        <v>2.501719864</v>
      </c>
      <c r="V432" s="2">
        <v>2.2721923039999998</v>
      </c>
      <c r="W432" s="2">
        <v>0.153524301</v>
      </c>
      <c r="X432">
        <f t="shared" si="18"/>
        <v>1</v>
      </c>
      <c r="Y432">
        <f t="shared" si="19"/>
        <v>1</v>
      </c>
      <c r="Z432">
        <f t="shared" si="20"/>
        <v>1</v>
      </c>
    </row>
    <row r="433" spans="1:26" ht="15.75" customHeight="1" x14ac:dyDescent="0.2">
      <c r="A433" s="2" t="s">
        <v>23</v>
      </c>
      <c r="B433" s="2" t="s">
        <v>24</v>
      </c>
      <c r="C433" s="2" t="s">
        <v>25</v>
      </c>
      <c r="D433" s="2" t="s">
        <v>25</v>
      </c>
      <c r="E433" s="2">
        <v>236</v>
      </c>
      <c r="F433" s="2">
        <v>238.33333329999999</v>
      </c>
      <c r="G433" s="2">
        <v>920.66666669999995</v>
      </c>
      <c r="H433" s="2">
        <v>1566.666667</v>
      </c>
      <c r="I433" s="2">
        <v>3076.666667</v>
      </c>
      <c r="J433" s="2">
        <v>2.38</v>
      </c>
      <c r="K433" s="2">
        <v>8.0399999999999991</v>
      </c>
      <c r="L433" s="2">
        <v>11.38</v>
      </c>
      <c r="M433" s="2">
        <v>15.85</v>
      </c>
      <c r="N433" s="2">
        <v>0.239579975</v>
      </c>
      <c r="O433" s="2">
        <v>0.15012504800000001</v>
      </c>
      <c r="P433" s="2">
        <v>2.776476164</v>
      </c>
      <c r="Q433" s="2">
        <v>2.8680062990000001</v>
      </c>
      <c r="R433" s="2">
        <v>2.7764257090000002</v>
      </c>
      <c r="S433" s="2">
        <v>2.8676485600000001</v>
      </c>
      <c r="T433" s="2">
        <v>1.6738333000000001E-2</v>
      </c>
      <c r="U433" s="2">
        <v>4.5297527999999997E-2</v>
      </c>
      <c r="V433" s="2">
        <v>4.5874146219999998</v>
      </c>
      <c r="W433" s="2">
        <v>0.18555756900000001</v>
      </c>
      <c r="X433">
        <f t="shared" si="18"/>
        <v>1</v>
      </c>
      <c r="Y433">
        <f t="shared" si="19"/>
        <v>1</v>
      </c>
      <c r="Z433">
        <f t="shared" si="20"/>
        <v>0</v>
      </c>
    </row>
    <row r="434" spans="1:26" ht="15.75" customHeight="1" x14ac:dyDescent="0.2">
      <c r="A434" s="2" t="s">
        <v>23</v>
      </c>
      <c r="B434" s="2" t="s">
        <v>24</v>
      </c>
      <c r="C434" s="2" t="s">
        <v>26</v>
      </c>
      <c r="D434" s="2" t="s">
        <v>26</v>
      </c>
      <c r="E434" s="2">
        <v>171</v>
      </c>
      <c r="F434" s="2">
        <v>238</v>
      </c>
      <c r="G434" s="2">
        <v>518.33333330000005</v>
      </c>
      <c r="H434" s="2">
        <v>1130.666667</v>
      </c>
      <c r="I434" s="2">
        <v>2891.333333</v>
      </c>
      <c r="J434" s="2">
        <v>2.37</v>
      </c>
      <c r="K434" s="2">
        <v>5.08</v>
      </c>
      <c r="L434" s="2">
        <v>9.2799999999999994</v>
      </c>
      <c r="M434" s="2">
        <v>15.45</v>
      </c>
      <c r="N434" s="2">
        <v>0.31902389199999998</v>
      </c>
      <c r="O434" s="2">
        <v>0.61377848599999996</v>
      </c>
      <c r="P434" s="2">
        <v>2.126743217</v>
      </c>
      <c r="Q434" s="2">
        <v>2.0587867800000001</v>
      </c>
      <c r="R434" s="2">
        <v>0.18489998899999999</v>
      </c>
      <c r="S434" s="2">
        <v>9.3677136999999994E-2</v>
      </c>
      <c r="T434" s="2">
        <v>2.118690328</v>
      </c>
      <c r="U434" s="2">
        <v>2.056654467</v>
      </c>
      <c r="V434" s="2">
        <v>1.6260889249999999</v>
      </c>
      <c r="W434" s="2">
        <v>0.180849974</v>
      </c>
      <c r="X434">
        <f t="shared" si="18"/>
        <v>1</v>
      </c>
      <c r="Y434">
        <f t="shared" si="19"/>
        <v>1</v>
      </c>
      <c r="Z434">
        <f t="shared" si="20"/>
        <v>0</v>
      </c>
    </row>
    <row r="435" spans="1:26" ht="15.75" customHeight="1" x14ac:dyDescent="0.2">
      <c r="A435" s="2" t="s">
        <v>23</v>
      </c>
      <c r="B435" s="2" t="s">
        <v>24</v>
      </c>
      <c r="C435" s="2" t="s">
        <v>27</v>
      </c>
      <c r="D435" s="2" t="s">
        <v>27</v>
      </c>
      <c r="E435" s="2">
        <v>147</v>
      </c>
      <c r="F435" s="2">
        <v>228.33333329999999</v>
      </c>
      <c r="G435" s="2">
        <v>488.33333329999999</v>
      </c>
      <c r="H435" s="2">
        <v>2469.666667</v>
      </c>
      <c r="I435" s="2">
        <v>3337</v>
      </c>
      <c r="J435" s="2">
        <v>2.27</v>
      </c>
      <c r="K435" s="2">
        <v>4.82</v>
      </c>
      <c r="L435" s="2">
        <v>14.42</v>
      </c>
      <c r="M435" s="2">
        <v>16.36</v>
      </c>
      <c r="N435" s="2">
        <v>0.22533122899999999</v>
      </c>
      <c r="O435" s="2">
        <v>6.5020530000000007E-2</v>
      </c>
      <c r="P435" s="2">
        <v>3.053242896</v>
      </c>
      <c r="Q435" s="2">
        <v>3.1029195249999999</v>
      </c>
      <c r="R435" s="2">
        <v>0.444702818</v>
      </c>
      <c r="S435" s="2">
        <v>0.35347996700000001</v>
      </c>
      <c r="T435" s="2">
        <v>3.0206839599999999</v>
      </c>
      <c r="U435" s="2">
        <v>3.0827198199999999</v>
      </c>
      <c r="V435" s="2">
        <v>1.366286095</v>
      </c>
      <c r="W435" s="2">
        <v>0.171640245</v>
      </c>
      <c r="X435">
        <f t="shared" si="18"/>
        <v>1</v>
      </c>
      <c r="Y435">
        <f t="shared" si="19"/>
        <v>1</v>
      </c>
      <c r="Z435">
        <f t="shared" si="20"/>
        <v>0</v>
      </c>
    </row>
    <row r="436" spans="1:26" ht="15.75" customHeight="1" x14ac:dyDescent="0.2">
      <c r="A436" s="2" t="s">
        <v>23</v>
      </c>
      <c r="B436" s="2" t="s">
        <v>24</v>
      </c>
      <c r="C436" s="2" t="s">
        <v>28</v>
      </c>
      <c r="D436" s="2" t="s">
        <v>29</v>
      </c>
      <c r="E436" s="2">
        <v>183</v>
      </c>
      <c r="F436" s="2">
        <v>255.33333329999999</v>
      </c>
      <c r="G436" s="2">
        <v>337.66666670000001</v>
      </c>
      <c r="H436" s="2">
        <v>1202.333333</v>
      </c>
      <c r="I436" s="2">
        <v>3045.666667</v>
      </c>
      <c r="J436" s="2">
        <v>2.56</v>
      </c>
      <c r="K436" s="2">
        <v>3.41</v>
      </c>
      <c r="L436" s="2">
        <v>9.66</v>
      </c>
      <c r="M436" s="2">
        <v>15.78</v>
      </c>
      <c r="N436" s="2">
        <v>1.7749254759999999</v>
      </c>
      <c r="O436" s="2">
        <v>1.658705667</v>
      </c>
      <c r="P436" s="2">
        <v>2.5366969859999999</v>
      </c>
      <c r="Q436" s="2">
        <v>2.4277629539999999</v>
      </c>
      <c r="R436" s="2">
        <v>1.852086452</v>
      </c>
      <c r="S436" s="2">
        <v>1.7608636</v>
      </c>
      <c r="T436" s="2">
        <v>1.7333803320000001</v>
      </c>
      <c r="U436" s="2">
        <v>1.6713444710000001</v>
      </c>
      <c r="V436" s="2">
        <v>-4.1097538000000003E-2</v>
      </c>
      <c r="W436" s="2">
        <v>0.109531952</v>
      </c>
      <c r="X436">
        <f t="shared" si="18"/>
        <v>1</v>
      </c>
      <c r="Y436">
        <f t="shared" si="19"/>
        <v>1</v>
      </c>
      <c r="Z436">
        <f t="shared" si="20"/>
        <v>1</v>
      </c>
    </row>
    <row r="437" spans="1:26" ht="15.75" customHeight="1" x14ac:dyDescent="0.2">
      <c r="A437" s="2" t="s">
        <v>23</v>
      </c>
      <c r="B437" s="2" t="s">
        <v>24</v>
      </c>
      <c r="C437" s="2" t="s">
        <v>30</v>
      </c>
      <c r="D437" s="2" t="s">
        <v>31</v>
      </c>
      <c r="E437" s="2">
        <v>205</v>
      </c>
      <c r="F437" s="2">
        <v>247.66666670000001</v>
      </c>
      <c r="G437" s="2">
        <v>811.33333330000005</v>
      </c>
      <c r="H437" s="2">
        <v>1473.666667</v>
      </c>
      <c r="I437" s="2">
        <v>3000.666667</v>
      </c>
      <c r="J437" s="2">
        <v>2.48</v>
      </c>
      <c r="K437" s="2">
        <v>7.32</v>
      </c>
      <c r="L437" s="2">
        <v>10.98</v>
      </c>
      <c r="M437" s="2">
        <v>15.69</v>
      </c>
      <c r="N437" s="2">
        <v>4.0573559169999998</v>
      </c>
      <c r="O437" s="2">
        <v>4.1988757550000004</v>
      </c>
      <c r="P437" s="2">
        <v>2.0992772280000001</v>
      </c>
      <c r="Q437" s="2">
        <v>2.1776676450000001</v>
      </c>
      <c r="R437" s="2">
        <v>2.0567717779999999</v>
      </c>
      <c r="S437" s="2">
        <v>2.1479946299999999</v>
      </c>
      <c r="T437" s="2">
        <v>0.42030314099999999</v>
      </c>
      <c r="U437" s="2">
        <v>0.35826728099999999</v>
      </c>
      <c r="V437" s="2">
        <v>3.8677606920000001</v>
      </c>
      <c r="W437" s="2">
        <v>0.11845643</v>
      </c>
      <c r="X437">
        <f t="shared" si="18"/>
        <v>1</v>
      </c>
      <c r="Y437">
        <f t="shared" si="19"/>
        <v>1</v>
      </c>
      <c r="Z437">
        <f t="shared" si="20"/>
        <v>1</v>
      </c>
    </row>
    <row r="438" spans="1:26" ht="15.75" customHeight="1" x14ac:dyDescent="0.2">
      <c r="A438" s="2" t="s">
        <v>23</v>
      </c>
      <c r="B438" s="2" t="s">
        <v>24</v>
      </c>
      <c r="C438" s="2" t="s">
        <v>26</v>
      </c>
      <c r="D438" s="2" t="s">
        <v>26</v>
      </c>
      <c r="E438" s="2">
        <v>181</v>
      </c>
      <c r="F438" s="2">
        <v>223.66666670000001</v>
      </c>
      <c r="G438" s="2">
        <v>528.33333330000005</v>
      </c>
      <c r="H438" s="2">
        <v>999</v>
      </c>
      <c r="I438" s="2">
        <v>3361</v>
      </c>
      <c r="J438" s="2">
        <v>2.2200000000000002</v>
      </c>
      <c r="K438" s="2">
        <v>5.16</v>
      </c>
      <c r="L438" s="2">
        <v>8.52</v>
      </c>
      <c r="M438" s="2">
        <v>16.399999999999999</v>
      </c>
      <c r="N438" s="2">
        <v>0.45635972499999999</v>
      </c>
      <c r="O438" s="2">
        <v>0.43373352300000001</v>
      </c>
      <c r="P438" s="2">
        <v>2.8769575490000001</v>
      </c>
      <c r="Q438" s="2">
        <v>2.8132066870000001</v>
      </c>
      <c r="R438" s="2">
        <v>9.9691157000000002E-2</v>
      </c>
      <c r="S438" s="2">
        <v>8.4683060000000001E-3</v>
      </c>
      <c r="T438" s="2">
        <v>2.8752298019999998</v>
      </c>
      <c r="U438" s="2">
        <v>2.8131939410000002</v>
      </c>
      <c r="V438" s="2">
        <v>1.711297756</v>
      </c>
      <c r="W438" s="2">
        <v>0.19381480000000001</v>
      </c>
      <c r="X438">
        <f t="shared" si="18"/>
        <v>1</v>
      </c>
      <c r="Y438">
        <f t="shared" si="19"/>
        <v>1</v>
      </c>
      <c r="Z438">
        <f t="shared" si="20"/>
        <v>0</v>
      </c>
    </row>
    <row r="439" spans="1:26" ht="15.75" customHeight="1" x14ac:dyDescent="0.2">
      <c r="A439" s="2" t="s">
        <v>23</v>
      </c>
      <c r="B439" s="2" t="s">
        <v>24</v>
      </c>
      <c r="C439" s="2" t="s">
        <v>28</v>
      </c>
      <c r="D439" s="2" t="s">
        <v>29</v>
      </c>
      <c r="E439" s="2">
        <v>185</v>
      </c>
      <c r="F439" s="2">
        <v>241</v>
      </c>
      <c r="G439" s="2">
        <v>412.33333329999999</v>
      </c>
      <c r="H439" s="2">
        <v>1216</v>
      </c>
      <c r="I439" s="2">
        <v>2745</v>
      </c>
      <c r="J439" s="2">
        <v>2.41</v>
      </c>
      <c r="K439" s="2">
        <v>4.13</v>
      </c>
      <c r="L439" s="2">
        <v>9.73</v>
      </c>
      <c r="M439" s="2">
        <v>15.11</v>
      </c>
      <c r="N439" s="2">
        <v>1.194678098</v>
      </c>
      <c r="O439" s="2">
        <v>1.193975851</v>
      </c>
      <c r="P439" s="2">
        <v>2.0109421049999998</v>
      </c>
      <c r="Q439" s="2">
        <v>1.9087396430000001</v>
      </c>
      <c r="R439" s="2">
        <v>1.1322780459999999</v>
      </c>
      <c r="S439" s="2">
        <v>1.0410551939999999</v>
      </c>
      <c r="T439" s="2">
        <v>1.6618768239999999</v>
      </c>
      <c r="U439" s="2">
        <v>1.5998409629999999</v>
      </c>
      <c r="V439" s="2">
        <v>0.67871086800000002</v>
      </c>
      <c r="W439" s="2">
        <v>0.12002233800000001</v>
      </c>
      <c r="X439">
        <f t="shared" si="18"/>
        <v>1</v>
      </c>
      <c r="Y439">
        <f t="shared" si="19"/>
        <v>1</v>
      </c>
      <c r="Z439">
        <f t="shared" si="20"/>
        <v>1</v>
      </c>
    </row>
    <row r="440" spans="1:26" ht="15.75" customHeight="1" x14ac:dyDescent="0.2">
      <c r="A440" s="2" t="s">
        <v>23</v>
      </c>
      <c r="B440" s="2" t="s">
        <v>24</v>
      </c>
      <c r="C440" s="2" t="s">
        <v>32</v>
      </c>
      <c r="D440" s="2" t="s">
        <v>33</v>
      </c>
      <c r="E440" s="2">
        <v>193</v>
      </c>
      <c r="F440" s="2">
        <v>253</v>
      </c>
      <c r="G440" s="2">
        <v>750.33333330000005</v>
      </c>
      <c r="H440" s="2">
        <v>1477.333333</v>
      </c>
      <c r="I440" s="2">
        <v>2824.333333</v>
      </c>
      <c r="J440" s="2">
        <v>2.54</v>
      </c>
      <c r="K440" s="2">
        <v>6.89</v>
      </c>
      <c r="L440" s="2">
        <v>10.99</v>
      </c>
      <c r="M440" s="2">
        <v>15.3</v>
      </c>
      <c r="N440" s="2">
        <v>1.022013713</v>
      </c>
      <c r="O440" s="2">
        <v>1.099109552</v>
      </c>
      <c r="P440" s="2">
        <v>1.6793382349999999</v>
      </c>
      <c r="Q440" s="2">
        <v>1.7548833399999999</v>
      </c>
      <c r="R440" s="2">
        <v>1.63002402</v>
      </c>
      <c r="S440" s="2">
        <v>1.721246871</v>
      </c>
      <c r="T440" s="2">
        <v>0.40397846700000001</v>
      </c>
      <c r="U440" s="2">
        <v>0.34194260599999998</v>
      </c>
      <c r="V440" s="2">
        <v>3.4410129330000001</v>
      </c>
      <c r="W440" s="2">
        <v>0.124510752</v>
      </c>
      <c r="X440">
        <f t="shared" si="18"/>
        <v>1</v>
      </c>
      <c r="Y440">
        <f t="shared" si="19"/>
        <v>1</v>
      </c>
      <c r="Z440">
        <f t="shared" si="20"/>
        <v>1</v>
      </c>
    </row>
    <row r="441" spans="1:26" ht="15.75" customHeight="1" x14ac:dyDescent="0.2">
      <c r="A441" s="2" t="s">
        <v>23</v>
      </c>
      <c r="B441" s="2" t="s">
        <v>24</v>
      </c>
      <c r="C441" s="2" t="s">
        <v>32</v>
      </c>
      <c r="D441" s="2" t="s">
        <v>33</v>
      </c>
      <c r="E441" s="2">
        <v>210</v>
      </c>
      <c r="F441" s="2">
        <v>201.33333329999999</v>
      </c>
      <c r="G441" s="2">
        <v>796.66666669999995</v>
      </c>
      <c r="H441" s="2">
        <v>1078.666667</v>
      </c>
      <c r="I441" s="2">
        <v>2672.333333</v>
      </c>
      <c r="J441" s="2">
        <v>1.97</v>
      </c>
      <c r="K441" s="2">
        <v>7.22</v>
      </c>
      <c r="L441" s="2">
        <v>8.99</v>
      </c>
      <c r="M441" s="2">
        <v>14.94</v>
      </c>
      <c r="N441" s="2">
        <v>2.302699815</v>
      </c>
      <c r="O441" s="2">
        <v>2.3833323380000002</v>
      </c>
      <c r="P441" s="2">
        <v>3.103527353</v>
      </c>
      <c r="Q441" s="2">
        <v>3.114791715</v>
      </c>
      <c r="R441" s="2">
        <v>1.9558903350000001</v>
      </c>
      <c r="S441" s="2">
        <v>2.0471131869999999</v>
      </c>
      <c r="T441" s="2">
        <v>2.4096420950000002</v>
      </c>
      <c r="U441" s="2">
        <v>2.3476062340000001</v>
      </c>
      <c r="V441" s="2">
        <v>3.766879249</v>
      </c>
      <c r="W441" s="2">
        <v>0.146273871</v>
      </c>
      <c r="X441">
        <f t="shared" si="18"/>
        <v>1</v>
      </c>
      <c r="Y441">
        <f t="shared" si="19"/>
        <v>1</v>
      </c>
      <c r="Z441">
        <f t="shared" si="20"/>
        <v>1</v>
      </c>
    </row>
    <row r="442" spans="1:26" ht="15.75" customHeight="1" x14ac:dyDescent="0.2">
      <c r="A442" s="2" t="s">
        <v>23</v>
      </c>
      <c r="B442" s="2" t="s">
        <v>24</v>
      </c>
      <c r="C442" s="2" t="s">
        <v>25</v>
      </c>
      <c r="D442" s="2" t="s">
        <v>25</v>
      </c>
      <c r="E442" s="2">
        <v>254</v>
      </c>
      <c r="F442" s="2">
        <v>245.33333329999999</v>
      </c>
      <c r="G442" s="2">
        <v>951</v>
      </c>
      <c r="H442" s="2">
        <v>1587.333333</v>
      </c>
      <c r="I442" s="2">
        <v>3072</v>
      </c>
      <c r="J442" s="2">
        <v>2.4500000000000002</v>
      </c>
      <c r="K442" s="2">
        <v>8.23</v>
      </c>
      <c r="L442" s="2">
        <v>11.47</v>
      </c>
      <c r="M442" s="2">
        <v>15.84</v>
      </c>
      <c r="N442" s="2">
        <v>0.43456810200000001</v>
      </c>
      <c r="O442" s="2">
        <v>0.34380546899999997</v>
      </c>
      <c r="P442" s="2">
        <v>2.967333719</v>
      </c>
      <c r="Q442" s="2">
        <v>3.0605815430000001</v>
      </c>
      <c r="R442" s="2">
        <v>2.9665063159999998</v>
      </c>
      <c r="S442" s="2">
        <v>3.0577291670000002</v>
      </c>
      <c r="T442" s="2">
        <v>7.0069098999999996E-2</v>
      </c>
      <c r="U442" s="2">
        <v>0.13210495999999999</v>
      </c>
      <c r="V442" s="2">
        <v>4.7774952290000003</v>
      </c>
      <c r="W442" s="2">
        <v>0.16347924</v>
      </c>
      <c r="X442">
        <f t="shared" si="18"/>
        <v>1</v>
      </c>
      <c r="Y442">
        <f t="shared" si="19"/>
        <v>1</v>
      </c>
      <c r="Z442">
        <f t="shared" si="20"/>
        <v>0</v>
      </c>
    </row>
    <row r="443" spans="1:26" ht="15.75" customHeight="1" x14ac:dyDescent="0.2">
      <c r="A443" s="2" t="s">
        <v>23</v>
      </c>
      <c r="B443" s="2" t="s">
        <v>24</v>
      </c>
      <c r="C443" s="2" t="s">
        <v>32</v>
      </c>
      <c r="D443" s="2" t="s">
        <v>33</v>
      </c>
      <c r="E443" s="2">
        <v>191</v>
      </c>
      <c r="F443" s="2">
        <v>240</v>
      </c>
      <c r="G443" s="2">
        <v>733.33333330000005</v>
      </c>
      <c r="H443" s="2">
        <v>991.66666669999995</v>
      </c>
      <c r="I443" s="2">
        <v>2815.666667</v>
      </c>
      <c r="J443" s="2">
        <v>2.39</v>
      </c>
      <c r="K443" s="2">
        <v>6.77</v>
      </c>
      <c r="L443" s="2">
        <v>8.48</v>
      </c>
      <c r="M443" s="2">
        <v>15.28</v>
      </c>
      <c r="N443" s="2">
        <v>2.9349497470000001</v>
      </c>
      <c r="O443" s="2">
        <v>3.0191375269999998</v>
      </c>
      <c r="P443" s="2">
        <v>3.2856682510000002</v>
      </c>
      <c r="Q443" s="2">
        <v>3.2742390499999998</v>
      </c>
      <c r="R443" s="2">
        <v>1.507650065</v>
      </c>
      <c r="S443" s="2">
        <v>1.598872917</v>
      </c>
      <c r="T443" s="2">
        <v>2.919350465</v>
      </c>
      <c r="U443" s="2">
        <v>2.8573146039999999</v>
      </c>
      <c r="V443" s="2">
        <v>3.3186389790000002</v>
      </c>
      <c r="W443" s="2">
        <v>0.166249861</v>
      </c>
      <c r="X443">
        <f t="shared" si="18"/>
        <v>1</v>
      </c>
      <c r="Y443">
        <f t="shared" si="19"/>
        <v>1</v>
      </c>
      <c r="Z443">
        <f t="shared" si="20"/>
        <v>1</v>
      </c>
    </row>
    <row r="444" spans="1:26" ht="15.75" customHeight="1" x14ac:dyDescent="0.2">
      <c r="A444" s="2" t="s">
        <v>23</v>
      </c>
      <c r="B444" s="2" t="s">
        <v>24</v>
      </c>
      <c r="C444" s="2" t="s">
        <v>32</v>
      </c>
      <c r="D444" s="2" t="s">
        <v>33</v>
      </c>
      <c r="E444" s="2">
        <v>181</v>
      </c>
      <c r="F444" s="2">
        <v>250.66666670000001</v>
      </c>
      <c r="G444" s="2">
        <v>746.33333330000005</v>
      </c>
      <c r="H444" s="2">
        <v>1546.666667</v>
      </c>
      <c r="I444" s="2">
        <v>3292</v>
      </c>
      <c r="J444" s="2">
        <v>2.5099999999999998</v>
      </c>
      <c r="K444" s="2">
        <v>6.86</v>
      </c>
      <c r="L444" s="2">
        <v>11.29</v>
      </c>
      <c r="M444" s="2">
        <v>16.27</v>
      </c>
      <c r="N444" s="2">
        <v>1.0374050029999999</v>
      </c>
      <c r="O444" s="2">
        <v>1.0976271019999999</v>
      </c>
      <c r="P444" s="2">
        <v>1.604595854</v>
      </c>
      <c r="Q444" s="2">
        <v>1.6930564560000001</v>
      </c>
      <c r="R444" s="2">
        <v>1.6013684610000001</v>
      </c>
      <c r="S444" s="2">
        <v>1.692591312</v>
      </c>
      <c r="T444" s="2">
        <v>0.101719752</v>
      </c>
      <c r="U444" s="2">
        <v>3.9683891999999998E-2</v>
      </c>
      <c r="V444" s="2">
        <v>3.4123573739999999</v>
      </c>
      <c r="W444" s="2">
        <v>0.14598156900000001</v>
      </c>
      <c r="X444">
        <f t="shared" si="18"/>
        <v>1</v>
      </c>
      <c r="Y444">
        <f t="shared" si="19"/>
        <v>1</v>
      </c>
      <c r="Z444">
        <f t="shared" si="20"/>
        <v>1</v>
      </c>
    </row>
    <row r="445" spans="1:26" ht="15.75" customHeight="1" x14ac:dyDescent="0.2">
      <c r="A445" s="2" t="s">
        <v>23</v>
      </c>
      <c r="B445" s="2" t="s">
        <v>24</v>
      </c>
      <c r="C445" s="2" t="s">
        <v>25</v>
      </c>
      <c r="D445" s="2" t="s">
        <v>25</v>
      </c>
      <c r="E445" s="2">
        <v>155</v>
      </c>
      <c r="F445" s="2">
        <v>250</v>
      </c>
      <c r="G445" s="2">
        <v>950.66666669999995</v>
      </c>
      <c r="H445" s="2">
        <v>1680.666667</v>
      </c>
      <c r="I445" s="2">
        <v>3195</v>
      </c>
      <c r="J445" s="2">
        <v>2.5</v>
      </c>
      <c r="K445" s="2">
        <v>8.23</v>
      </c>
      <c r="L445" s="2">
        <v>11.85</v>
      </c>
      <c r="M445" s="2">
        <v>16.09</v>
      </c>
      <c r="N445" s="2">
        <v>0.73723077000000004</v>
      </c>
      <c r="O445" s="2">
        <v>0.65156746600000004</v>
      </c>
      <c r="P445" s="2">
        <v>2.9983734150000001</v>
      </c>
      <c r="Q445" s="2">
        <v>3.0982371049999999</v>
      </c>
      <c r="R445" s="2">
        <v>2.9644390469999999</v>
      </c>
      <c r="S445" s="2">
        <v>3.0556618979999999</v>
      </c>
      <c r="T445" s="2">
        <v>0.44982693600000001</v>
      </c>
      <c r="U445" s="2">
        <v>0.51186279599999995</v>
      </c>
      <c r="V445" s="2">
        <v>4.77542796</v>
      </c>
      <c r="W445" s="2">
        <v>0.25884613899999998</v>
      </c>
      <c r="X445">
        <f t="shared" si="18"/>
        <v>1</v>
      </c>
      <c r="Y445">
        <f t="shared" si="19"/>
        <v>1</v>
      </c>
      <c r="Z445">
        <f t="shared" si="20"/>
        <v>0</v>
      </c>
    </row>
    <row r="446" spans="1:26" ht="15.75" customHeight="1" x14ac:dyDescent="0.2">
      <c r="A446" s="2" t="s">
        <v>23</v>
      </c>
      <c r="B446" s="2" t="s">
        <v>24</v>
      </c>
      <c r="C446" s="2" t="s">
        <v>25</v>
      </c>
      <c r="D446" s="2" t="s">
        <v>25</v>
      </c>
      <c r="E446" s="2">
        <v>204</v>
      </c>
      <c r="F446" s="2">
        <v>272.33333329999999</v>
      </c>
      <c r="G446" s="2">
        <v>869</v>
      </c>
      <c r="H446" s="2">
        <v>1404.333333</v>
      </c>
      <c r="I446" s="2">
        <v>2640</v>
      </c>
      <c r="J446" s="2">
        <v>2.74</v>
      </c>
      <c r="K446" s="2">
        <v>7.71</v>
      </c>
      <c r="L446" s="2">
        <v>10.66</v>
      </c>
      <c r="M446" s="2">
        <v>14.86</v>
      </c>
      <c r="N446" s="2">
        <v>0.56006625099999996</v>
      </c>
      <c r="O446" s="2">
        <v>0.64347277700000005</v>
      </c>
      <c r="P446" s="2">
        <v>2.551634564</v>
      </c>
      <c r="Q446" s="2">
        <v>2.6224981789999999</v>
      </c>
      <c r="R446" s="2">
        <v>2.443277583</v>
      </c>
      <c r="S446" s="2">
        <v>2.534500435</v>
      </c>
      <c r="T446" s="2">
        <v>0.73568580299999997</v>
      </c>
      <c r="U446" s="2">
        <v>0.67364994300000003</v>
      </c>
      <c r="V446" s="2">
        <v>4.2542664969999997</v>
      </c>
      <c r="W446" s="2">
        <v>0.30751503099999999</v>
      </c>
      <c r="X446">
        <f t="shared" si="18"/>
        <v>1</v>
      </c>
      <c r="Y446">
        <f t="shared" si="19"/>
        <v>1</v>
      </c>
      <c r="Z446">
        <f t="shared" si="20"/>
        <v>0</v>
      </c>
    </row>
    <row r="447" spans="1:26" ht="15.75" customHeight="1" x14ac:dyDescent="0.2">
      <c r="A447" s="2" t="s">
        <v>23</v>
      </c>
      <c r="B447" s="2" t="s">
        <v>24</v>
      </c>
      <c r="C447" s="2" t="s">
        <v>27</v>
      </c>
      <c r="D447" s="2" t="s">
        <v>27</v>
      </c>
      <c r="E447" s="2">
        <v>178</v>
      </c>
      <c r="F447" s="2">
        <v>225.33333329999999</v>
      </c>
      <c r="G447" s="2">
        <v>528</v>
      </c>
      <c r="H447" s="2">
        <v>2504.666667</v>
      </c>
      <c r="I447" s="2">
        <v>3349</v>
      </c>
      <c r="J447" s="2">
        <v>2.23</v>
      </c>
      <c r="K447" s="2">
        <v>5.16</v>
      </c>
      <c r="L447" s="2">
        <v>14.51</v>
      </c>
      <c r="M447" s="2">
        <v>16.38</v>
      </c>
      <c r="N447" s="2">
        <v>0.235616719</v>
      </c>
      <c r="O447" s="2">
        <v>0.37223200899999997</v>
      </c>
      <c r="P447" s="2">
        <v>3.1153665529999999</v>
      </c>
      <c r="Q447" s="2">
        <v>3.1757351819999999</v>
      </c>
      <c r="R447" s="2">
        <v>0.102520416</v>
      </c>
      <c r="S447" s="2">
        <v>1.1297565000000001E-2</v>
      </c>
      <c r="T447" s="2">
        <v>3.1136792259999999</v>
      </c>
      <c r="U447" s="2">
        <v>3.1757150869999999</v>
      </c>
      <c r="V447" s="2">
        <v>1.7084684969999999</v>
      </c>
      <c r="W447" s="2">
        <v>0.1393353</v>
      </c>
      <c r="X447">
        <f t="shared" si="18"/>
        <v>1</v>
      </c>
      <c r="Y447">
        <f t="shared" si="19"/>
        <v>1</v>
      </c>
      <c r="Z447">
        <f t="shared" si="20"/>
        <v>0</v>
      </c>
    </row>
    <row r="448" spans="1:26" ht="15.75" customHeight="1" x14ac:dyDescent="0.2">
      <c r="A448" s="2" t="s">
        <v>23</v>
      </c>
      <c r="B448" s="2" t="s">
        <v>24</v>
      </c>
      <c r="C448" s="2" t="s">
        <v>30</v>
      </c>
      <c r="D448" s="2" t="s">
        <v>31</v>
      </c>
      <c r="E448" s="2">
        <v>176</v>
      </c>
      <c r="F448" s="2">
        <v>237.66666670000001</v>
      </c>
      <c r="G448" s="2">
        <v>782.66666669999995</v>
      </c>
      <c r="H448" s="2">
        <v>1378.333333</v>
      </c>
      <c r="I448" s="2">
        <v>3042.666667</v>
      </c>
      <c r="J448" s="2">
        <v>2.37</v>
      </c>
      <c r="K448" s="2">
        <v>7.12</v>
      </c>
      <c r="L448" s="2">
        <v>10.54</v>
      </c>
      <c r="M448" s="2">
        <v>15.78</v>
      </c>
      <c r="N448" s="2">
        <v>4.3248167019999997</v>
      </c>
      <c r="O448" s="2">
        <v>4.4522231909999999</v>
      </c>
      <c r="P448" s="2">
        <v>2.0467942520000002</v>
      </c>
      <c r="Q448" s="2">
        <v>2.10576768</v>
      </c>
      <c r="R448" s="2">
        <v>1.8585879160000001</v>
      </c>
      <c r="S448" s="2">
        <v>1.949810767</v>
      </c>
      <c r="T448" s="2">
        <v>0.85733171500000005</v>
      </c>
      <c r="U448" s="2">
        <v>0.79529585400000002</v>
      </c>
      <c r="V448" s="2">
        <v>3.6695768289999999</v>
      </c>
      <c r="W448" s="2">
        <v>0.18669091500000001</v>
      </c>
      <c r="X448">
        <f t="shared" si="18"/>
        <v>1</v>
      </c>
      <c r="Y448">
        <f t="shared" si="19"/>
        <v>1</v>
      </c>
      <c r="Z448">
        <f t="shared" si="20"/>
        <v>1</v>
      </c>
    </row>
    <row r="449" spans="1:26" ht="15.75" customHeight="1" x14ac:dyDescent="0.2">
      <c r="A449" s="2" t="s">
        <v>23</v>
      </c>
      <c r="B449" s="2" t="s">
        <v>24</v>
      </c>
      <c r="C449" s="2" t="s">
        <v>28</v>
      </c>
      <c r="D449" s="2" t="s">
        <v>29</v>
      </c>
      <c r="E449" s="2">
        <v>222</v>
      </c>
      <c r="F449" s="2">
        <v>231</v>
      </c>
      <c r="G449" s="2">
        <v>355</v>
      </c>
      <c r="H449" s="2">
        <v>1308</v>
      </c>
      <c r="I449" s="2">
        <v>2703</v>
      </c>
      <c r="J449" s="2">
        <v>2.2999999999999998</v>
      </c>
      <c r="K449" s="2">
        <v>3.58</v>
      </c>
      <c r="L449" s="2">
        <v>10.199999999999999</v>
      </c>
      <c r="M449" s="2">
        <v>15.01</v>
      </c>
      <c r="N449" s="2">
        <v>1.9143163000000001</v>
      </c>
      <c r="O449" s="2">
        <v>1.895458095</v>
      </c>
      <c r="P449" s="2">
        <v>2.0629857490000001</v>
      </c>
      <c r="Q449" s="2">
        <v>1.952694114</v>
      </c>
      <c r="R449" s="2">
        <v>1.6808497099999999</v>
      </c>
      <c r="S449" s="2">
        <v>1.589626859</v>
      </c>
      <c r="T449" s="2">
        <v>1.1960996829999999</v>
      </c>
      <c r="U449" s="2">
        <v>1.1340638220000001</v>
      </c>
      <c r="V449" s="2">
        <v>0.13013920300000001</v>
      </c>
      <c r="W449" s="2">
        <v>0.15214708900000001</v>
      </c>
      <c r="X449">
        <f t="shared" si="18"/>
        <v>1</v>
      </c>
      <c r="Y449">
        <f t="shared" si="19"/>
        <v>1</v>
      </c>
      <c r="Z449">
        <f t="shared" si="20"/>
        <v>1</v>
      </c>
    </row>
    <row r="450" spans="1:26" ht="15.75" customHeight="1" x14ac:dyDescent="0.2">
      <c r="A450" s="2" t="s">
        <v>23</v>
      </c>
      <c r="B450" s="2" t="s">
        <v>24</v>
      </c>
      <c r="C450" s="2" t="s">
        <v>28</v>
      </c>
      <c r="D450" s="2" t="s">
        <v>29</v>
      </c>
      <c r="E450" s="2">
        <v>206</v>
      </c>
      <c r="F450" s="2">
        <v>239.33333329999999</v>
      </c>
      <c r="G450" s="2">
        <v>389.66666670000001</v>
      </c>
      <c r="H450" s="2">
        <v>1279</v>
      </c>
      <c r="I450" s="2">
        <v>2689</v>
      </c>
      <c r="J450" s="2">
        <v>2.39</v>
      </c>
      <c r="K450" s="2">
        <v>3.92</v>
      </c>
      <c r="L450" s="2">
        <v>10.06</v>
      </c>
      <c r="M450" s="2">
        <v>14.98</v>
      </c>
      <c r="N450" s="2">
        <v>1.5695421389999999</v>
      </c>
      <c r="O450" s="2">
        <v>1.5802647379999999</v>
      </c>
      <c r="P450" s="2">
        <v>1.899307836</v>
      </c>
      <c r="Q450" s="2">
        <v>1.7910087530000001</v>
      </c>
      <c r="R450" s="2">
        <v>1.3459554389999999</v>
      </c>
      <c r="S450" s="2">
        <v>1.2547325869999999</v>
      </c>
      <c r="T450" s="2">
        <v>1.3400650030000001</v>
      </c>
      <c r="U450" s="2">
        <v>1.2780291420000001</v>
      </c>
      <c r="V450" s="2">
        <v>0.46503347499999997</v>
      </c>
      <c r="W450" s="2">
        <v>0.22107576500000001</v>
      </c>
      <c r="X450">
        <f t="shared" si="18"/>
        <v>1</v>
      </c>
      <c r="Y450">
        <f t="shared" si="19"/>
        <v>1</v>
      </c>
      <c r="Z450">
        <f t="shared" si="20"/>
        <v>1</v>
      </c>
    </row>
    <row r="451" spans="1:26" ht="15.75" customHeight="1" x14ac:dyDescent="0.2">
      <c r="A451" s="2" t="s">
        <v>23</v>
      </c>
      <c r="B451" s="2" t="s">
        <v>24</v>
      </c>
      <c r="C451" s="2" t="s">
        <v>32</v>
      </c>
      <c r="D451" s="2" t="s">
        <v>33</v>
      </c>
      <c r="E451" s="2">
        <v>189</v>
      </c>
      <c r="F451" s="2">
        <v>272.66666670000001</v>
      </c>
      <c r="G451" s="2">
        <v>730.33333330000005</v>
      </c>
      <c r="H451" s="2">
        <v>1162.666667</v>
      </c>
      <c r="I451" s="2">
        <v>2265.333333</v>
      </c>
      <c r="J451" s="2">
        <v>2.74</v>
      </c>
      <c r="K451" s="2">
        <v>6.75</v>
      </c>
      <c r="L451" s="2">
        <v>9.4499999999999993</v>
      </c>
      <c r="M451" s="2">
        <v>13.84</v>
      </c>
      <c r="N451" s="2">
        <v>2.0805865030000001</v>
      </c>
      <c r="O451" s="2">
        <v>2.1698360440000002</v>
      </c>
      <c r="P451" s="2">
        <v>2.4472032979999998</v>
      </c>
      <c r="Q451" s="2">
        <v>2.4557720989999998</v>
      </c>
      <c r="R451" s="2">
        <v>1.4858941210000001</v>
      </c>
      <c r="S451" s="2">
        <v>1.577116972</v>
      </c>
      <c r="T451" s="2">
        <v>1.944459473</v>
      </c>
      <c r="U451" s="2">
        <v>1.882423612</v>
      </c>
      <c r="V451" s="2">
        <v>3.2968830339999999</v>
      </c>
      <c r="W451" s="2">
        <v>0.16537223300000001</v>
      </c>
      <c r="X451">
        <f t="shared" ref="X451:X514" si="21">IF(B451="normal",1,0)</f>
        <v>1</v>
      </c>
      <c r="Y451">
        <f t="shared" ref="Y451:Y514" si="22">IF(A451="lecture",1,0)</f>
        <v>1</v>
      </c>
      <c r="Z451">
        <f t="shared" ref="Z451:Z514" si="23">IF(ISNUMBER(FIND("~",D451)),1,0)</f>
        <v>1</v>
      </c>
    </row>
    <row r="452" spans="1:26" ht="15.75" customHeight="1" x14ac:dyDescent="0.2">
      <c r="A452" s="2" t="s">
        <v>23</v>
      </c>
      <c r="B452" s="2" t="s">
        <v>24</v>
      </c>
      <c r="C452" s="2" t="s">
        <v>26</v>
      </c>
      <c r="D452" s="2" t="s">
        <v>26</v>
      </c>
      <c r="E452" s="2">
        <v>182</v>
      </c>
      <c r="F452" s="2">
        <v>262</v>
      </c>
      <c r="G452" s="2">
        <v>493.66666670000001</v>
      </c>
      <c r="H452" s="2">
        <v>1129.666667</v>
      </c>
      <c r="I452" s="2">
        <v>2922</v>
      </c>
      <c r="J452" s="2">
        <v>2.63</v>
      </c>
      <c r="K452" s="2">
        <v>4.8600000000000003</v>
      </c>
      <c r="L452" s="2">
        <v>9.27</v>
      </c>
      <c r="M452" s="2">
        <v>15.52</v>
      </c>
      <c r="N452" s="2">
        <v>0.35770644200000001</v>
      </c>
      <c r="O452" s="2">
        <v>0.54058989300000004</v>
      </c>
      <c r="P452" s="2">
        <v>2.1611667209999998</v>
      </c>
      <c r="Q452" s="2">
        <v>2.08485889</v>
      </c>
      <c r="R452" s="2">
        <v>0.39805132999999998</v>
      </c>
      <c r="S452" s="2">
        <v>0.30682847800000002</v>
      </c>
      <c r="T452" s="2">
        <v>2.1241931959999998</v>
      </c>
      <c r="U452" s="2">
        <v>2.0621573350000002</v>
      </c>
      <c r="V452" s="2">
        <v>1.412937584</v>
      </c>
      <c r="W452" s="2">
        <v>0.17641652699999999</v>
      </c>
      <c r="X452">
        <f t="shared" si="21"/>
        <v>1</v>
      </c>
      <c r="Y452">
        <f t="shared" si="22"/>
        <v>1</v>
      </c>
      <c r="Z452">
        <f t="shared" si="23"/>
        <v>0</v>
      </c>
    </row>
    <row r="453" spans="1:26" ht="15.75" customHeight="1" x14ac:dyDescent="0.2">
      <c r="A453" s="2" t="s">
        <v>23</v>
      </c>
      <c r="B453" s="2" t="s">
        <v>24</v>
      </c>
      <c r="C453" s="2" t="s">
        <v>25</v>
      </c>
      <c r="D453" s="2" t="s">
        <v>25</v>
      </c>
      <c r="E453" s="2">
        <v>229</v>
      </c>
      <c r="F453" s="2">
        <v>253.33333329999999</v>
      </c>
      <c r="G453" s="2">
        <v>904.66666669999995</v>
      </c>
      <c r="H453" s="2">
        <v>1677.333333</v>
      </c>
      <c r="I453" s="2">
        <v>3194</v>
      </c>
      <c r="J453" s="2">
        <v>2.54</v>
      </c>
      <c r="K453" s="2">
        <v>7.94</v>
      </c>
      <c r="L453" s="2">
        <v>11.83</v>
      </c>
      <c r="M453" s="2">
        <v>16.079999999999998</v>
      </c>
      <c r="N453" s="2">
        <v>0.64673625999999995</v>
      </c>
      <c r="O453" s="2">
        <v>0.58191926199999999</v>
      </c>
      <c r="P453" s="2">
        <v>2.7099433510000002</v>
      </c>
      <c r="Q453" s="2">
        <v>2.8103543119999999</v>
      </c>
      <c r="R453" s="2">
        <v>2.6745417599999999</v>
      </c>
      <c r="S453" s="2">
        <v>2.7657646119999999</v>
      </c>
      <c r="T453" s="2">
        <v>0.43659974499999998</v>
      </c>
      <c r="U453" s="2">
        <v>0.49863560600000001</v>
      </c>
      <c r="V453" s="2">
        <v>4.4855306739999996</v>
      </c>
      <c r="W453" s="2">
        <v>0.236891464</v>
      </c>
      <c r="X453">
        <f t="shared" si="21"/>
        <v>1</v>
      </c>
      <c r="Y453">
        <f t="shared" si="22"/>
        <v>1</v>
      </c>
      <c r="Z453">
        <f t="shared" si="23"/>
        <v>0</v>
      </c>
    </row>
    <row r="454" spans="1:26" ht="15.75" customHeight="1" x14ac:dyDescent="0.2">
      <c r="A454" s="2" t="s">
        <v>23</v>
      </c>
      <c r="B454" s="2" t="s">
        <v>24</v>
      </c>
      <c r="C454" s="2" t="s">
        <v>30</v>
      </c>
      <c r="D454" s="2" t="s">
        <v>31</v>
      </c>
      <c r="E454" s="2">
        <v>154</v>
      </c>
      <c r="F454" s="2">
        <v>261.33333329999999</v>
      </c>
      <c r="G454" s="2">
        <v>515.66666669999995</v>
      </c>
      <c r="H454" s="2">
        <v>1211</v>
      </c>
      <c r="I454" s="2">
        <v>2368</v>
      </c>
      <c r="J454" s="2">
        <v>2.62</v>
      </c>
      <c r="K454" s="2">
        <v>5.05</v>
      </c>
      <c r="L454" s="2">
        <v>9.7100000000000009</v>
      </c>
      <c r="M454" s="2">
        <v>14.14</v>
      </c>
      <c r="N454" s="2">
        <v>4.6114758780000003</v>
      </c>
      <c r="O454" s="2">
        <v>4.6496126579999997</v>
      </c>
      <c r="P454" s="2">
        <v>1.700700345</v>
      </c>
      <c r="Q454" s="2">
        <v>1.6300987579999999</v>
      </c>
      <c r="R454" s="2">
        <v>0.20773860199999999</v>
      </c>
      <c r="S454" s="2">
        <v>0.116515751</v>
      </c>
      <c r="T454" s="2">
        <v>1.687965146</v>
      </c>
      <c r="U454" s="2">
        <v>1.6259292860000001</v>
      </c>
      <c r="V454" s="2">
        <v>1.603250311</v>
      </c>
      <c r="W454" s="2">
        <v>0.19366013500000001</v>
      </c>
      <c r="X454">
        <f t="shared" si="21"/>
        <v>1</v>
      </c>
      <c r="Y454">
        <f t="shared" si="22"/>
        <v>1</v>
      </c>
      <c r="Z454">
        <f t="shared" si="23"/>
        <v>1</v>
      </c>
    </row>
    <row r="455" spans="1:26" ht="15.75" customHeight="1" x14ac:dyDescent="0.2">
      <c r="A455" s="2" t="s">
        <v>23</v>
      </c>
      <c r="B455" s="2" t="s">
        <v>24</v>
      </c>
      <c r="C455" s="2" t="s">
        <v>27</v>
      </c>
      <c r="D455" s="2" t="s">
        <v>27</v>
      </c>
      <c r="E455" s="2">
        <v>185</v>
      </c>
      <c r="F455" s="2">
        <v>261</v>
      </c>
      <c r="G455" s="2">
        <v>530</v>
      </c>
      <c r="H455" s="2">
        <v>2435.666667</v>
      </c>
      <c r="I455" s="2">
        <v>3351.333333</v>
      </c>
      <c r="J455" s="2">
        <v>2.62</v>
      </c>
      <c r="K455" s="2">
        <v>5.18</v>
      </c>
      <c r="L455" s="2">
        <v>14.33</v>
      </c>
      <c r="M455" s="2">
        <v>16.39</v>
      </c>
      <c r="N455" s="2">
        <v>0.15600241400000001</v>
      </c>
      <c r="O455" s="2">
        <v>0.35510721099999998</v>
      </c>
      <c r="P455" s="2">
        <v>2.930176951</v>
      </c>
      <c r="Q455" s="2">
        <v>2.9909688650000001</v>
      </c>
      <c r="R455" s="2">
        <v>8.5556225E-2</v>
      </c>
      <c r="S455" s="2">
        <v>5.6666260000000001E-3</v>
      </c>
      <c r="T455" s="2">
        <v>2.9289276360000001</v>
      </c>
      <c r="U455" s="2">
        <v>2.9909634970000001</v>
      </c>
      <c r="V455" s="2">
        <v>1.7254326879999999</v>
      </c>
      <c r="W455" s="2">
        <v>0.16462950600000001</v>
      </c>
      <c r="X455">
        <f t="shared" si="21"/>
        <v>1</v>
      </c>
      <c r="Y455">
        <f t="shared" si="22"/>
        <v>1</v>
      </c>
      <c r="Z455">
        <f t="shared" si="23"/>
        <v>0</v>
      </c>
    </row>
    <row r="456" spans="1:26" ht="15.75" customHeight="1" x14ac:dyDescent="0.2">
      <c r="A456" s="2" t="s">
        <v>23</v>
      </c>
      <c r="B456" s="2" t="s">
        <v>24</v>
      </c>
      <c r="C456" s="2" t="s">
        <v>30</v>
      </c>
      <c r="D456" s="2" t="s">
        <v>31</v>
      </c>
      <c r="E456" s="2">
        <v>213</v>
      </c>
      <c r="F456" s="2">
        <v>221.33333329999999</v>
      </c>
      <c r="G456" s="2">
        <v>634.33333330000005</v>
      </c>
      <c r="H456" s="2">
        <v>1242</v>
      </c>
      <c r="I456" s="2">
        <v>2164</v>
      </c>
      <c r="J456" s="2">
        <v>2.19</v>
      </c>
      <c r="K456" s="2">
        <v>6.03</v>
      </c>
      <c r="L456" s="2">
        <v>9.8699999999999992</v>
      </c>
      <c r="M456" s="2">
        <v>13.54</v>
      </c>
      <c r="N456" s="2">
        <v>4.562881795</v>
      </c>
      <c r="O456" s="2">
        <v>4.6419258640000001</v>
      </c>
      <c r="P456" s="2">
        <v>1.7075506250000001</v>
      </c>
      <c r="Q456" s="2">
        <v>1.696351057</v>
      </c>
      <c r="R456" s="2">
        <v>0.76313721499999998</v>
      </c>
      <c r="S456" s="2">
        <v>0.85436006600000003</v>
      </c>
      <c r="T456" s="2">
        <v>1.5275309260000001</v>
      </c>
      <c r="U456" s="2">
        <v>1.465495065</v>
      </c>
      <c r="V456" s="2">
        <v>2.5741261290000002</v>
      </c>
      <c r="W456" s="2">
        <v>0.15556846699999999</v>
      </c>
      <c r="X456">
        <f t="shared" si="21"/>
        <v>1</v>
      </c>
      <c r="Y456">
        <f t="shared" si="22"/>
        <v>1</v>
      </c>
      <c r="Z456">
        <f t="shared" si="23"/>
        <v>1</v>
      </c>
    </row>
    <row r="457" spans="1:26" ht="15.75" customHeight="1" x14ac:dyDescent="0.2">
      <c r="A457" s="2" t="s">
        <v>23</v>
      </c>
      <c r="B457" s="2" t="s">
        <v>24</v>
      </c>
      <c r="C457" s="2" t="s">
        <v>27</v>
      </c>
      <c r="D457" s="2" t="s">
        <v>27</v>
      </c>
      <c r="E457" s="2">
        <v>184</v>
      </c>
      <c r="F457" s="2">
        <v>230.33333329999999</v>
      </c>
      <c r="G457" s="2">
        <v>530.33333330000005</v>
      </c>
      <c r="H457" s="2">
        <v>2509</v>
      </c>
      <c r="I457" s="2">
        <v>3507.666667</v>
      </c>
      <c r="J457" s="2">
        <v>2.29</v>
      </c>
      <c r="K457" s="2">
        <v>5.18</v>
      </c>
      <c r="L457" s="2">
        <v>14.52</v>
      </c>
      <c r="M457" s="2">
        <v>16.670000000000002</v>
      </c>
      <c r="N457" s="2">
        <v>0.25666977499999999</v>
      </c>
      <c r="O457" s="2">
        <v>0.394997663</v>
      </c>
      <c r="P457" s="2">
        <v>3.1261864859999999</v>
      </c>
      <c r="Q457" s="2">
        <v>3.187138762</v>
      </c>
      <c r="R457" s="2">
        <v>8.2731508999999995E-2</v>
      </c>
      <c r="S457" s="2">
        <v>8.4913420000000007E-3</v>
      </c>
      <c r="T457" s="2">
        <v>3.1250915890000002</v>
      </c>
      <c r="U457" s="2">
        <v>3.1871274500000002</v>
      </c>
      <c r="V457" s="2">
        <v>1.7282574040000001</v>
      </c>
      <c r="W457" s="2">
        <v>0.218020346</v>
      </c>
      <c r="X457">
        <f t="shared" si="21"/>
        <v>1</v>
      </c>
      <c r="Y457">
        <f t="shared" si="22"/>
        <v>1</v>
      </c>
      <c r="Z457">
        <f t="shared" si="23"/>
        <v>0</v>
      </c>
    </row>
    <row r="458" spans="1:26" ht="15.75" customHeight="1" x14ac:dyDescent="0.2">
      <c r="A458" s="2" t="s">
        <v>23</v>
      </c>
      <c r="B458" s="2" t="s">
        <v>24</v>
      </c>
      <c r="C458" s="2" t="s">
        <v>26</v>
      </c>
      <c r="D458" s="2" t="s">
        <v>26</v>
      </c>
      <c r="E458" s="2">
        <v>171</v>
      </c>
      <c r="F458" s="2">
        <v>233.33333329999999</v>
      </c>
      <c r="G458" s="2">
        <v>494</v>
      </c>
      <c r="H458" s="2">
        <v>1055.333333</v>
      </c>
      <c r="I458" s="2">
        <v>2777.666667</v>
      </c>
      <c r="J458" s="2">
        <v>2.3199999999999998</v>
      </c>
      <c r="K458" s="2">
        <v>4.87</v>
      </c>
      <c r="L458" s="2">
        <v>8.85</v>
      </c>
      <c r="M458" s="2">
        <v>15.19</v>
      </c>
      <c r="N458" s="2">
        <v>0.204047907</v>
      </c>
      <c r="O458" s="2">
        <v>0.14103264500000001</v>
      </c>
      <c r="P458" s="2">
        <v>2.5739700129999998</v>
      </c>
      <c r="Q458" s="2">
        <v>2.4999656620000001</v>
      </c>
      <c r="R458" s="2">
        <v>0.39514234500000001</v>
      </c>
      <c r="S458" s="2">
        <v>0.30391949299999999</v>
      </c>
      <c r="T458" s="2">
        <v>2.543459092</v>
      </c>
      <c r="U458" s="2">
        <v>2.481423232</v>
      </c>
      <c r="V458" s="2">
        <v>1.4158465689999999</v>
      </c>
      <c r="W458" s="2">
        <v>0.132145345</v>
      </c>
      <c r="X458">
        <f t="shared" si="21"/>
        <v>1</v>
      </c>
      <c r="Y458">
        <f t="shared" si="22"/>
        <v>1</v>
      </c>
      <c r="Z458">
        <f t="shared" si="23"/>
        <v>0</v>
      </c>
    </row>
    <row r="459" spans="1:26" ht="15.75" customHeight="1" x14ac:dyDescent="0.2">
      <c r="A459" s="2" t="s">
        <v>23</v>
      </c>
      <c r="B459" s="2" t="s">
        <v>24</v>
      </c>
      <c r="C459" s="2" t="s">
        <v>27</v>
      </c>
      <c r="D459" s="2" t="s">
        <v>27</v>
      </c>
      <c r="E459" s="2">
        <v>197</v>
      </c>
      <c r="F459" s="2">
        <v>236.66666670000001</v>
      </c>
      <c r="G459" s="2">
        <v>492</v>
      </c>
      <c r="H459" s="2">
        <v>1990.333333</v>
      </c>
      <c r="I459" s="2">
        <v>3206</v>
      </c>
      <c r="J459" s="2">
        <v>2.36</v>
      </c>
      <c r="K459" s="2">
        <v>4.8499999999999996</v>
      </c>
      <c r="L459" s="2">
        <v>12.98</v>
      </c>
      <c r="M459" s="2">
        <v>16.11</v>
      </c>
      <c r="N459" s="2">
        <v>1.3529859390000001</v>
      </c>
      <c r="O459" s="2">
        <v>1.3748566280000001</v>
      </c>
      <c r="P459" s="2">
        <v>1.6342154390000001</v>
      </c>
      <c r="Q459" s="2">
        <v>1.6744379549999999</v>
      </c>
      <c r="R459" s="2">
        <v>0.41260812000000002</v>
      </c>
      <c r="S459" s="2">
        <v>0.321385268</v>
      </c>
      <c r="T459" s="2">
        <v>1.5812699459999999</v>
      </c>
      <c r="U459" s="2">
        <v>1.6433058060000001</v>
      </c>
      <c r="V459" s="2">
        <v>1.3983807939999999</v>
      </c>
      <c r="W459" s="2">
        <v>0.123243588</v>
      </c>
      <c r="X459">
        <f t="shared" si="21"/>
        <v>1</v>
      </c>
      <c r="Y459">
        <f t="shared" si="22"/>
        <v>1</v>
      </c>
      <c r="Z459">
        <f t="shared" si="23"/>
        <v>0</v>
      </c>
    </row>
    <row r="460" spans="1:26" ht="15.75" customHeight="1" x14ac:dyDescent="0.2">
      <c r="A460" s="2" t="s">
        <v>23</v>
      </c>
      <c r="B460" s="2" t="s">
        <v>24</v>
      </c>
      <c r="C460" s="2" t="s">
        <v>30</v>
      </c>
      <c r="D460" s="2" t="s">
        <v>31</v>
      </c>
      <c r="E460" s="2">
        <v>181</v>
      </c>
      <c r="F460" s="2">
        <v>230.33333329999999</v>
      </c>
      <c r="G460" s="2">
        <v>724.66666669999995</v>
      </c>
      <c r="H460" s="2">
        <v>1375</v>
      </c>
      <c r="I460" s="2">
        <v>3059</v>
      </c>
      <c r="J460" s="2">
        <v>2.29</v>
      </c>
      <c r="K460" s="2">
        <v>6.71</v>
      </c>
      <c r="L460" s="2">
        <v>10.52</v>
      </c>
      <c r="M460" s="2">
        <v>15.81</v>
      </c>
      <c r="N460" s="2">
        <v>4.154042864</v>
      </c>
      <c r="O460" s="2">
        <v>4.2674680690000004</v>
      </c>
      <c r="P460" s="2">
        <v>1.6879881800000001</v>
      </c>
      <c r="Q460" s="2">
        <v>1.736872132</v>
      </c>
      <c r="R460" s="2">
        <v>1.4446668970000001</v>
      </c>
      <c r="S460" s="2">
        <v>1.5358897490000001</v>
      </c>
      <c r="T460" s="2">
        <v>0.87306451699999998</v>
      </c>
      <c r="U460" s="2">
        <v>0.81102865700000004</v>
      </c>
      <c r="V460" s="2">
        <v>3.255655811</v>
      </c>
      <c r="W460" s="2">
        <v>0.113879287</v>
      </c>
      <c r="X460">
        <f t="shared" si="21"/>
        <v>1</v>
      </c>
      <c r="Y460">
        <f t="shared" si="22"/>
        <v>1</v>
      </c>
      <c r="Z460">
        <f t="shared" si="23"/>
        <v>1</v>
      </c>
    </row>
    <row r="461" spans="1:26" ht="15.75" customHeight="1" x14ac:dyDescent="0.2">
      <c r="A461" s="2" t="s">
        <v>23</v>
      </c>
      <c r="B461" s="2" t="s">
        <v>24</v>
      </c>
      <c r="C461" s="2" t="s">
        <v>27</v>
      </c>
      <c r="D461" s="2" t="s">
        <v>27</v>
      </c>
      <c r="E461" s="2">
        <v>189</v>
      </c>
      <c r="F461" s="2">
        <v>229</v>
      </c>
      <c r="G461" s="2">
        <v>467.66666670000001</v>
      </c>
      <c r="H461" s="2">
        <v>2509</v>
      </c>
      <c r="I461" s="2">
        <v>3287.666667</v>
      </c>
      <c r="J461" s="2">
        <v>2.27</v>
      </c>
      <c r="K461" s="2">
        <v>4.63</v>
      </c>
      <c r="L461" s="2">
        <v>14.52</v>
      </c>
      <c r="M461" s="2">
        <v>16.27</v>
      </c>
      <c r="N461" s="2">
        <v>0.43548182499999999</v>
      </c>
      <c r="O461" s="2">
        <v>0.25277993399999998</v>
      </c>
      <c r="P461" s="2">
        <v>3.1874511800000001</v>
      </c>
      <c r="Q461" s="2">
        <v>3.2319161030000001</v>
      </c>
      <c r="R461" s="2">
        <v>0.62741340800000001</v>
      </c>
      <c r="S461" s="2">
        <v>0.53619055699999996</v>
      </c>
      <c r="T461" s="2">
        <v>3.1250915890000002</v>
      </c>
      <c r="U461" s="2">
        <v>3.1871274500000002</v>
      </c>
      <c r="V461" s="2">
        <v>1.1835755050000001</v>
      </c>
      <c r="W461" s="2">
        <v>0.102641803</v>
      </c>
      <c r="X461">
        <f t="shared" si="21"/>
        <v>1</v>
      </c>
      <c r="Y461">
        <f t="shared" si="22"/>
        <v>1</v>
      </c>
      <c r="Z461">
        <f t="shared" si="23"/>
        <v>0</v>
      </c>
    </row>
    <row r="462" spans="1:26" ht="15.75" customHeight="1" x14ac:dyDescent="0.2">
      <c r="A462" s="2" t="s">
        <v>23</v>
      </c>
      <c r="B462" s="2" t="s">
        <v>24</v>
      </c>
      <c r="C462" s="2" t="s">
        <v>26</v>
      </c>
      <c r="D462" s="2" t="s">
        <v>26</v>
      </c>
      <c r="E462" s="2">
        <v>186</v>
      </c>
      <c r="F462" s="2">
        <v>266.33333329999999</v>
      </c>
      <c r="G462" s="2">
        <v>498</v>
      </c>
      <c r="H462" s="2">
        <v>1054.333333</v>
      </c>
      <c r="I462" s="2">
        <v>2753.666667</v>
      </c>
      <c r="J462" s="2">
        <v>2.68</v>
      </c>
      <c r="K462" s="2">
        <v>4.9000000000000004</v>
      </c>
      <c r="L462" s="2">
        <v>8.85</v>
      </c>
      <c r="M462" s="2">
        <v>15.13</v>
      </c>
      <c r="N462" s="2">
        <v>0.17905691400000001</v>
      </c>
      <c r="O462" s="2">
        <v>0.15943562</v>
      </c>
      <c r="P462" s="2">
        <v>2.5745756709999998</v>
      </c>
      <c r="Q462" s="2">
        <v>2.5017167759999999</v>
      </c>
      <c r="R462" s="2">
        <v>0.360296063</v>
      </c>
      <c r="S462" s="2">
        <v>0.26907321200000001</v>
      </c>
      <c r="T462" s="2">
        <v>2.5492404030000002</v>
      </c>
      <c r="U462" s="2">
        <v>2.4872045420000002</v>
      </c>
      <c r="V462" s="2">
        <v>1.45069285</v>
      </c>
      <c r="W462" s="2">
        <v>0.18759764200000001</v>
      </c>
      <c r="X462">
        <f t="shared" si="21"/>
        <v>1</v>
      </c>
      <c r="Y462">
        <f t="shared" si="22"/>
        <v>1</v>
      </c>
      <c r="Z462">
        <f t="shared" si="23"/>
        <v>0</v>
      </c>
    </row>
    <row r="463" spans="1:26" ht="15.75" customHeight="1" x14ac:dyDescent="0.2">
      <c r="A463" s="2" t="s">
        <v>23</v>
      </c>
      <c r="B463" s="2" t="s">
        <v>24</v>
      </c>
      <c r="C463" s="2" t="s">
        <v>30</v>
      </c>
      <c r="D463" s="2" t="s">
        <v>31</v>
      </c>
      <c r="E463" s="2">
        <v>190</v>
      </c>
      <c r="F463" s="2">
        <v>259</v>
      </c>
      <c r="G463" s="2">
        <v>740</v>
      </c>
      <c r="H463" s="2">
        <v>1404</v>
      </c>
      <c r="I463" s="2">
        <v>3112.666667</v>
      </c>
      <c r="J463" s="2">
        <v>2.6</v>
      </c>
      <c r="K463" s="2">
        <v>6.82</v>
      </c>
      <c r="L463" s="2">
        <v>10.66</v>
      </c>
      <c r="M463" s="2">
        <v>15.92</v>
      </c>
      <c r="N463" s="2">
        <v>4.0780355879999997</v>
      </c>
      <c r="O463" s="2">
        <v>4.1977163070000003</v>
      </c>
      <c r="P463" s="2">
        <v>1.721656179</v>
      </c>
      <c r="Q463" s="2">
        <v>1.7800712190000001</v>
      </c>
      <c r="R463" s="2">
        <v>1.555823516</v>
      </c>
      <c r="S463" s="2">
        <v>1.647046368</v>
      </c>
      <c r="T463" s="2">
        <v>0.73723346700000003</v>
      </c>
      <c r="U463" s="2">
        <v>0.67519760699999998</v>
      </c>
      <c r="V463" s="2">
        <v>3.36681243</v>
      </c>
      <c r="W463" s="2">
        <v>0.168253078</v>
      </c>
      <c r="X463">
        <f t="shared" si="21"/>
        <v>1</v>
      </c>
      <c r="Y463">
        <f t="shared" si="22"/>
        <v>1</v>
      </c>
      <c r="Z463">
        <f t="shared" si="23"/>
        <v>1</v>
      </c>
    </row>
    <row r="464" spans="1:26" ht="15.75" customHeight="1" x14ac:dyDescent="0.2">
      <c r="A464" s="2" t="s">
        <v>23</v>
      </c>
      <c r="B464" s="2" t="s">
        <v>24</v>
      </c>
      <c r="C464" s="2" t="s">
        <v>32</v>
      </c>
      <c r="D464" s="2" t="s">
        <v>33</v>
      </c>
      <c r="E464" s="2">
        <v>200</v>
      </c>
      <c r="F464" s="2">
        <v>227.66666670000001</v>
      </c>
      <c r="G464" s="2">
        <v>673</v>
      </c>
      <c r="H464" s="2">
        <v>1430.333333</v>
      </c>
      <c r="I464" s="2">
        <v>2675.333333</v>
      </c>
      <c r="J464" s="2">
        <v>2.2599999999999998</v>
      </c>
      <c r="K464" s="2">
        <v>6.32</v>
      </c>
      <c r="L464" s="2">
        <v>10.78</v>
      </c>
      <c r="M464" s="2">
        <v>14.94</v>
      </c>
      <c r="N464" s="2">
        <v>1.624478901</v>
      </c>
      <c r="O464" s="2">
        <v>1.7039690940000001</v>
      </c>
      <c r="P464" s="2">
        <v>1.226451626</v>
      </c>
      <c r="Q464" s="2">
        <v>1.278059713</v>
      </c>
      <c r="R464" s="2">
        <v>1.0605865379999999</v>
      </c>
      <c r="S464" s="2">
        <v>1.1518093899999999</v>
      </c>
      <c r="T464" s="2">
        <v>0.61590566400000002</v>
      </c>
      <c r="U464" s="2">
        <v>0.55386980299999999</v>
      </c>
      <c r="V464" s="2">
        <v>2.8715754520000001</v>
      </c>
      <c r="W464" s="2">
        <v>0.15396970300000001</v>
      </c>
      <c r="X464">
        <f t="shared" si="21"/>
        <v>1</v>
      </c>
      <c r="Y464">
        <f t="shared" si="22"/>
        <v>1</v>
      </c>
      <c r="Z464">
        <f t="shared" si="23"/>
        <v>1</v>
      </c>
    </row>
    <row r="465" spans="1:26" ht="15.75" customHeight="1" x14ac:dyDescent="0.2">
      <c r="A465" s="2" t="s">
        <v>23</v>
      </c>
      <c r="B465" s="2" t="s">
        <v>24</v>
      </c>
      <c r="C465" s="2" t="s">
        <v>28</v>
      </c>
      <c r="D465" s="2" t="s">
        <v>29</v>
      </c>
      <c r="E465" s="2">
        <v>196</v>
      </c>
      <c r="F465" s="2">
        <v>245.66666670000001</v>
      </c>
      <c r="G465" s="2">
        <v>385.66666670000001</v>
      </c>
      <c r="H465" s="2">
        <v>1249</v>
      </c>
      <c r="I465" s="2">
        <v>2587.333333</v>
      </c>
      <c r="J465" s="2">
        <v>2.46</v>
      </c>
      <c r="K465" s="2">
        <v>3.88</v>
      </c>
      <c r="L465" s="2">
        <v>9.9</v>
      </c>
      <c r="M465" s="2">
        <v>14.72</v>
      </c>
      <c r="N465" s="2">
        <v>1.497113712</v>
      </c>
      <c r="O465" s="2">
        <v>1.4791669039999999</v>
      </c>
      <c r="P465" s="2">
        <v>2.0349391190000001</v>
      </c>
      <c r="Q465" s="2">
        <v>1.927574589</v>
      </c>
      <c r="R465" s="2">
        <v>1.384091894</v>
      </c>
      <c r="S465" s="2">
        <v>1.292869042</v>
      </c>
      <c r="T465" s="2">
        <v>1.4917328329999999</v>
      </c>
      <c r="U465" s="2">
        <v>1.429696973</v>
      </c>
      <c r="V465" s="2">
        <v>0.42689702000000002</v>
      </c>
      <c r="W465" s="2">
        <v>0.15861383500000001</v>
      </c>
      <c r="X465">
        <f t="shared" si="21"/>
        <v>1</v>
      </c>
      <c r="Y465">
        <f t="shared" si="22"/>
        <v>1</v>
      </c>
      <c r="Z465">
        <f t="shared" si="23"/>
        <v>1</v>
      </c>
    </row>
    <row r="466" spans="1:26" ht="15.75" customHeight="1" x14ac:dyDescent="0.2">
      <c r="A466" s="2" t="s">
        <v>23</v>
      </c>
      <c r="B466" s="2" t="s">
        <v>24</v>
      </c>
      <c r="C466" s="2" t="s">
        <v>28</v>
      </c>
      <c r="D466" s="2" t="s">
        <v>29</v>
      </c>
      <c r="E466" s="2">
        <v>164</v>
      </c>
      <c r="F466" s="2">
        <v>267.66666670000001</v>
      </c>
      <c r="G466" s="2">
        <v>352.66666670000001</v>
      </c>
      <c r="H466" s="2">
        <v>1252</v>
      </c>
      <c r="I466" s="2">
        <v>2531.333333</v>
      </c>
      <c r="J466" s="2">
        <v>2.69</v>
      </c>
      <c r="K466" s="2">
        <v>3.56</v>
      </c>
      <c r="L466" s="2">
        <v>9.92</v>
      </c>
      <c r="M466" s="2">
        <v>14.58</v>
      </c>
      <c r="N466" s="2">
        <v>1.76510861</v>
      </c>
      <c r="O466" s="2">
        <v>1.704923191</v>
      </c>
      <c r="P466" s="2">
        <v>2.2544709599999999</v>
      </c>
      <c r="Q466" s="2">
        <v>2.1449435870000002</v>
      </c>
      <c r="R466" s="2">
        <v>1.7037513</v>
      </c>
      <c r="S466" s="2">
        <v>1.612528449</v>
      </c>
      <c r="T466" s="2">
        <v>1.476438559</v>
      </c>
      <c r="U466" s="2">
        <v>1.414402698</v>
      </c>
      <c r="V466" s="2">
        <v>0.10723761399999999</v>
      </c>
      <c r="W466" s="2">
        <v>0.227465955</v>
      </c>
      <c r="X466">
        <f t="shared" si="21"/>
        <v>1</v>
      </c>
      <c r="Y466">
        <f t="shared" si="22"/>
        <v>1</v>
      </c>
      <c r="Z466">
        <f t="shared" si="23"/>
        <v>1</v>
      </c>
    </row>
    <row r="467" spans="1:26" ht="15.75" customHeight="1" x14ac:dyDescent="0.2">
      <c r="A467" s="2" t="s">
        <v>23</v>
      </c>
      <c r="B467" s="2" t="s">
        <v>24</v>
      </c>
      <c r="C467" s="2" t="s">
        <v>26</v>
      </c>
      <c r="D467" s="2" t="s">
        <v>26</v>
      </c>
      <c r="E467" s="2">
        <v>202</v>
      </c>
      <c r="F467" s="2">
        <v>229</v>
      </c>
      <c r="G467" s="2">
        <v>482</v>
      </c>
      <c r="H467" s="2">
        <v>1024</v>
      </c>
      <c r="I467" s="2">
        <v>3007.666667</v>
      </c>
      <c r="J467" s="2">
        <v>2.27</v>
      </c>
      <c r="K467" s="2">
        <v>4.76</v>
      </c>
      <c r="L467" s="2">
        <v>8.67</v>
      </c>
      <c r="M467" s="2">
        <v>15.7</v>
      </c>
      <c r="N467" s="2">
        <v>0.40265272499999999</v>
      </c>
      <c r="O467" s="2">
        <v>7.1634254999999994E-2</v>
      </c>
      <c r="P467" s="2">
        <v>2.7719823720000001</v>
      </c>
      <c r="Q467" s="2">
        <v>2.6956430679999999</v>
      </c>
      <c r="R467" s="2">
        <v>0.50036612800000002</v>
      </c>
      <c r="S467" s="2">
        <v>0.40914327700000003</v>
      </c>
      <c r="T467" s="2">
        <v>2.7264482409999999</v>
      </c>
      <c r="U467" s="2">
        <v>2.6644123799999999</v>
      </c>
      <c r="V467" s="2">
        <v>1.3106227850000001</v>
      </c>
      <c r="W467" s="2">
        <v>0.212255688</v>
      </c>
      <c r="X467">
        <f t="shared" si="21"/>
        <v>1</v>
      </c>
      <c r="Y467">
        <f t="shared" si="22"/>
        <v>1</v>
      </c>
      <c r="Z467">
        <f t="shared" si="23"/>
        <v>0</v>
      </c>
    </row>
    <row r="468" spans="1:26" ht="15.75" customHeight="1" x14ac:dyDescent="0.2">
      <c r="A468" s="2" t="s">
        <v>23</v>
      </c>
      <c r="B468" s="2" t="s">
        <v>24</v>
      </c>
      <c r="C468" s="2" t="s">
        <v>25</v>
      </c>
      <c r="D468" s="2" t="s">
        <v>25</v>
      </c>
      <c r="E468" s="2">
        <v>188</v>
      </c>
      <c r="F468" s="2">
        <v>262.66666670000001</v>
      </c>
      <c r="G468" s="2">
        <v>939</v>
      </c>
      <c r="H468" s="2">
        <v>1526.333333</v>
      </c>
      <c r="I468" s="2">
        <v>3193.666667</v>
      </c>
      <c r="J468" s="2">
        <v>2.64</v>
      </c>
      <c r="K468" s="2">
        <v>8.15</v>
      </c>
      <c r="L468" s="2">
        <v>11.21</v>
      </c>
      <c r="M468" s="2">
        <v>16.079999999999998</v>
      </c>
      <c r="N468" s="2">
        <v>0.259303799</v>
      </c>
      <c r="O468" s="2">
        <v>0.19863450599999999</v>
      </c>
      <c r="P468" s="2">
        <v>2.8979624820000001</v>
      </c>
      <c r="Q468" s="2">
        <v>2.9857136990000002</v>
      </c>
      <c r="R468" s="2">
        <v>2.8917851369999998</v>
      </c>
      <c r="S468" s="2">
        <v>2.9830079889999999</v>
      </c>
      <c r="T468" s="2">
        <v>0.189117064</v>
      </c>
      <c r="U468" s="2">
        <v>0.127081203</v>
      </c>
      <c r="V468" s="2">
        <v>4.7027740509999996</v>
      </c>
      <c r="W468" s="2">
        <v>0.174771278</v>
      </c>
      <c r="X468">
        <f t="shared" si="21"/>
        <v>1</v>
      </c>
      <c r="Y468">
        <f t="shared" si="22"/>
        <v>1</v>
      </c>
      <c r="Z468">
        <f t="shared" si="23"/>
        <v>0</v>
      </c>
    </row>
    <row r="469" spans="1:26" ht="15.75" customHeight="1" x14ac:dyDescent="0.2">
      <c r="A469" s="2" t="s">
        <v>23</v>
      </c>
      <c r="B469" s="2" t="s">
        <v>24</v>
      </c>
      <c r="C469" s="2" t="s">
        <v>30</v>
      </c>
      <c r="D469" s="2" t="s">
        <v>31</v>
      </c>
      <c r="E469" s="2">
        <v>190</v>
      </c>
      <c r="F469" s="2">
        <v>231</v>
      </c>
      <c r="G469" s="2">
        <v>765.66666669999995</v>
      </c>
      <c r="H469" s="2">
        <v>1343</v>
      </c>
      <c r="I469" s="2">
        <v>2964</v>
      </c>
      <c r="J469" s="2">
        <v>2.2999999999999998</v>
      </c>
      <c r="K469" s="2">
        <v>7</v>
      </c>
      <c r="L469" s="2">
        <v>10.37</v>
      </c>
      <c r="M469" s="2">
        <v>15.61</v>
      </c>
      <c r="N469" s="2">
        <v>4.417917461</v>
      </c>
      <c r="O469" s="2">
        <v>4.5387023099999997</v>
      </c>
      <c r="P469" s="2">
        <v>2.0190417520000001</v>
      </c>
      <c r="Q469" s="2">
        <v>2.0685084310000001</v>
      </c>
      <c r="R469" s="2">
        <v>1.7390911819999999</v>
      </c>
      <c r="S469" s="2">
        <v>1.8303140330000001</v>
      </c>
      <c r="T469" s="2">
        <v>1.025715095</v>
      </c>
      <c r="U469" s="2">
        <v>0.963679234</v>
      </c>
      <c r="V469" s="2">
        <v>3.5500800950000002</v>
      </c>
      <c r="W469" s="2">
        <v>0.17897301900000001</v>
      </c>
      <c r="X469">
        <f t="shared" si="21"/>
        <v>1</v>
      </c>
      <c r="Y469">
        <f t="shared" si="22"/>
        <v>1</v>
      </c>
      <c r="Z469">
        <f t="shared" si="23"/>
        <v>1</v>
      </c>
    </row>
    <row r="470" spans="1:26" ht="15.75" customHeight="1" x14ac:dyDescent="0.2">
      <c r="A470" s="2" t="s">
        <v>23</v>
      </c>
      <c r="B470" s="2" t="s">
        <v>24</v>
      </c>
      <c r="C470" s="2" t="s">
        <v>28</v>
      </c>
      <c r="D470" s="2" t="s">
        <v>29</v>
      </c>
      <c r="E470" s="2">
        <v>162</v>
      </c>
      <c r="F470" s="2">
        <v>245</v>
      </c>
      <c r="G470" s="2">
        <v>337.66666670000001</v>
      </c>
      <c r="H470" s="2">
        <v>1334</v>
      </c>
      <c r="I470" s="2">
        <v>2684</v>
      </c>
      <c r="J470" s="2">
        <v>2.4500000000000002</v>
      </c>
      <c r="K470" s="2">
        <v>3.41</v>
      </c>
      <c r="L470" s="2">
        <v>10.33</v>
      </c>
      <c r="M470" s="2">
        <v>14.96</v>
      </c>
      <c r="N470" s="2">
        <v>2.1270364910000001</v>
      </c>
      <c r="O470" s="2">
        <v>2.1029201629999998</v>
      </c>
      <c r="P470" s="2">
        <v>2.1385451450000001</v>
      </c>
      <c r="Q470" s="2">
        <v>2.028542549</v>
      </c>
      <c r="R470" s="2">
        <v>1.852086452</v>
      </c>
      <c r="S470" s="2">
        <v>1.7608636</v>
      </c>
      <c r="T470" s="2">
        <v>1.0691824510000001</v>
      </c>
      <c r="U470" s="2">
        <v>1.0071465900000001</v>
      </c>
      <c r="V470" s="2">
        <v>-4.1097538000000003E-2</v>
      </c>
      <c r="W470" s="2">
        <v>0.124566148</v>
      </c>
      <c r="X470">
        <f t="shared" si="21"/>
        <v>1</v>
      </c>
      <c r="Y470">
        <f t="shared" si="22"/>
        <v>1</v>
      </c>
      <c r="Z470">
        <f t="shared" si="23"/>
        <v>1</v>
      </c>
    </row>
    <row r="471" spans="1:26" ht="15.75" customHeight="1" x14ac:dyDescent="0.2">
      <c r="A471" s="2" t="s">
        <v>23</v>
      </c>
      <c r="B471" s="2" t="s">
        <v>24</v>
      </c>
      <c r="C471" s="2" t="s">
        <v>28</v>
      </c>
      <c r="D471" s="2" t="s">
        <v>29</v>
      </c>
      <c r="E471" s="2">
        <v>195</v>
      </c>
      <c r="F471" s="2">
        <v>241.33333329999999</v>
      </c>
      <c r="G471" s="2">
        <v>370.33333329999999</v>
      </c>
      <c r="H471" s="2">
        <v>1234</v>
      </c>
      <c r="I471" s="2">
        <v>2819</v>
      </c>
      <c r="J471" s="2">
        <v>2.41</v>
      </c>
      <c r="K471" s="2">
        <v>3.73</v>
      </c>
      <c r="L471" s="2">
        <v>9.83</v>
      </c>
      <c r="M471" s="2">
        <v>15.28</v>
      </c>
      <c r="N471" s="2">
        <v>1.5704869640000001</v>
      </c>
      <c r="O471" s="2">
        <v>1.517825816</v>
      </c>
      <c r="P471" s="2">
        <v>2.1922800109999998</v>
      </c>
      <c r="Q471" s="2">
        <v>2.084280175</v>
      </c>
      <c r="R471" s="2">
        <v>1.5314944850000001</v>
      </c>
      <c r="S471" s="2">
        <v>1.4402716339999999</v>
      </c>
      <c r="T471" s="2">
        <v>1.5686351670000001</v>
      </c>
      <c r="U471" s="2">
        <v>1.506599306</v>
      </c>
      <c r="V471" s="2">
        <v>0.27949442800000002</v>
      </c>
      <c r="W471" s="2">
        <v>0.122082517</v>
      </c>
      <c r="X471">
        <f t="shared" si="21"/>
        <v>1</v>
      </c>
      <c r="Y471">
        <f t="shared" si="22"/>
        <v>1</v>
      </c>
      <c r="Z471">
        <f t="shared" si="23"/>
        <v>1</v>
      </c>
    </row>
    <row r="472" spans="1:26" ht="15.75" customHeight="1" x14ac:dyDescent="0.2">
      <c r="A472" s="2" t="s">
        <v>23</v>
      </c>
      <c r="B472" s="2" t="s">
        <v>24</v>
      </c>
      <c r="C472" s="2" t="s">
        <v>32</v>
      </c>
      <c r="D472" s="2" t="s">
        <v>33</v>
      </c>
      <c r="E472" s="2">
        <v>199</v>
      </c>
      <c r="F472" s="2">
        <v>267</v>
      </c>
      <c r="G472" s="2">
        <v>633.33333330000005</v>
      </c>
      <c r="H472" s="2">
        <v>991.33333330000005</v>
      </c>
      <c r="I472" s="2">
        <v>2844.666667</v>
      </c>
      <c r="J472" s="2">
        <v>2.68</v>
      </c>
      <c r="K472" s="2">
        <v>6.02</v>
      </c>
      <c r="L472" s="2">
        <v>8.48</v>
      </c>
      <c r="M472" s="2">
        <v>15.34</v>
      </c>
      <c r="N472" s="2">
        <v>3.2991552</v>
      </c>
      <c r="O472" s="2">
        <v>3.3887492799999999</v>
      </c>
      <c r="P472" s="2">
        <v>3.01742767</v>
      </c>
      <c r="Q472" s="2">
        <v>2.9820106709999998</v>
      </c>
      <c r="R472" s="2">
        <v>0.75532689600000003</v>
      </c>
      <c r="S472" s="2">
        <v>0.84654974800000005</v>
      </c>
      <c r="T472" s="2">
        <v>2.92136116</v>
      </c>
      <c r="U472" s="2">
        <v>2.859325299</v>
      </c>
      <c r="V472" s="2">
        <v>2.5663158099999999</v>
      </c>
      <c r="W472" s="2">
        <v>0.153838221</v>
      </c>
      <c r="X472">
        <f t="shared" si="21"/>
        <v>1</v>
      </c>
      <c r="Y472">
        <f t="shared" si="22"/>
        <v>1</v>
      </c>
      <c r="Z472">
        <f t="shared" si="23"/>
        <v>1</v>
      </c>
    </row>
    <row r="473" spans="1:26" ht="15.75" customHeight="1" x14ac:dyDescent="0.2">
      <c r="A473" s="2" t="s">
        <v>23</v>
      </c>
      <c r="B473" s="2" t="s">
        <v>24</v>
      </c>
      <c r="C473" s="2" t="s">
        <v>25</v>
      </c>
      <c r="D473" s="2" t="s">
        <v>25</v>
      </c>
      <c r="E473" s="2">
        <v>170</v>
      </c>
      <c r="F473" s="2">
        <v>258.33333329999999</v>
      </c>
      <c r="G473" s="2">
        <v>910.66666669999995</v>
      </c>
      <c r="H473" s="2">
        <v>1697.666667</v>
      </c>
      <c r="I473" s="2">
        <v>3106.666667</v>
      </c>
      <c r="J473" s="2">
        <v>2.59</v>
      </c>
      <c r="K473" s="2">
        <v>7.97</v>
      </c>
      <c r="L473" s="2">
        <v>11.91</v>
      </c>
      <c r="M473" s="2">
        <v>15.91</v>
      </c>
      <c r="N473" s="2">
        <v>0.73008423200000006</v>
      </c>
      <c r="O473" s="2">
        <v>0.66191508799999998</v>
      </c>
      <c r="P473" s="2">
        <v>2.7616881969999998</v>
      </c>
      <c r="Q473" s="2">
        <v>2.8632462840000001</v>
      </c>
      <c r="R473" s="2">
        <v>2.712881334</v>
      </c>
      <c r="S473" s="2">
        <v>2.8041041849999999</v>
      </c>
      <c r="T473" s="2">
        <v>0.51691059800000005</v>
      </c>
      <c r="U473" s="2">
        <v>0.57894645899999997</v>
      </c>
      <c r="V473" s="2">
        <v>4.5238702469999996</v>
      </c>
      <c r="W473" s="2">
        <v>0.17477443000000001</v>
      </c>
      <c r="X473">
        <f t="shared" si="21"/>
        <v>1</v>
      </c>
      <c r="Y473">
        <f t="shared" si="22"/>
        <v>1</v>
      </c>
      <c r="Z473">
        <f t="shared" si="23"/>
        <v>0</v>
      </c>
    </row>
    <row r="474" spans="1:26" ht="15.75" customHeight="1" x14ac:dyDescent="0.2">
      <c r="A474" s="2" t="s">
        <v>23</v>
      </c>
      <c r="B474" s="2" t="s">
        <v>24</v>
      </c>
      <c r="C474" s="2" t="s">
        <v>27</v>
      </c>
      <c r="D474" s="2" t="s">
        <v>27</v>
      </c>
      <c r="E474" s="2">
        <v>170</v>
      </c>
      <c r="F474" s="2">
        <v>234</v>
      </c>
      <c r="G474" s="2">
        <v>519.66666669999995</v>
      </c>
      <c r="H474" s="2">
        <v>2484.333333</v>
      </c>
      <c r="I474" s="2">
        <v>3292.333333</v>
      </c>
      <c r="J474" s="2">
        <v>2.33</v>
      </c>
      <c r="K474" s="2">
        <v>5.09</v>
      </c>
      <c r="L474" s="2">
        <v>14.46</v>
      </c>
      <c r="M474" s="2">
        <v>16.28</v>
      </c>
      <c r="N474" s="2">
        <v>0.15243277599999999</v>
      </c>
      <c r="O474" s="2">
        <v>0.28572931099999999</v>
      </c>
      <c r="P474" s="2">
        <v>3.0647466350000001</v>
      </c>
      <c r="Q474" s="2">
        <v>3.1229515550000002</v>
      </c>
      <c r="R474" s="2">
        <v>0.17349910299999999</v>
      </c>
      <c r="S474" s="2">
        <v>8.2276250999999995E-2</v>
      </c>
      <c r="T474" s="2">
        <v>3.0598316940000001</v>
      </c>
      <c r="U474" s="2">
        <v>3.1218675550000001</v>
      </c>
      <c r="V474" s="2">
        <v>1.637489811</v>
      </c>
      <c r="W474" s="2">
        <v>0.160961194</v>
      </c>
      <c r="X474">
        <f t="shared" si="21"/>
        <v>1</v>
      </c>
      <c r="Y474">
        <f t="shared" si="22"/>
        <v>1</v>
      </c>
      <c r="Z474">
        <f t="shared" si="23"/>
        <v>0</v>
      </c>
    </row>
    <row r="475" spans="1:26" ht="15.75" customHeight="1" x14ac:dyDescent="0.2">
      <c r="A475" s="2" t="s">
        <v>23</v>
      </c>
      <c r="B475" s="2" t="s">
        <v>24</v>
      </c>
      <c r="C475" s="2" t="s">
        <v>32</v>
      </c>
      <c r="D475" s="2" t="s">
        <v>33</v>
      </c>
      <c r="E475" s="2">
        <v>183</v>
      </c>
      <c r="F475" s="2">
        <v>259.33333329999999</v>
      </c>
      <c r="G475" s="2">
        <v>509.33333329999999</v>
      </c>
      <c r="H475" s="2">
        <v>976.66666669999995</v>
      </c>
      <c r="I475" s="2">
        <v>2421</v>
      </c>
      <c r="J475" s="2">
        <v>2.6</v>
      </c>
      <c r="K475" s="2">
        <v>5</v>
      </c>
      <c r="L475" s="2">
        <v>8.39</v>
      </c>
      <c r="M475" s="2">
        <v>14.29</v>
      </c>
      <c r="N475" s="2">
        <v>4.0288476439999998</v>
      </c>
      <c r="O475" s="2">
        <v>4.1199873250000003</v>
      </c>
      <c r="P475" s="2">
        <v>3.0216791160000001</v>
      </c>
      <c r="Q475" s="2">
        <v>2.9532000300000001</v>
      </c>
      <c r="R475" s="2">
        <v>0.26217800400000002</v>
      </c>
      <c r="S475" s="2">
        <v>0.170955152</v>
      </c>
      <c r="T475" s="2">
        <v>3.0102836040000001</v>
      </c>
      <c r="U475" s="2">
        <v>2.948247743</v>
      </c>
      <c r="V475" s="2">
        <v>1.54881091</v>
      </c>
      <c r="W475" s="2">
        <v>0.126774784</v>
      </c>
      <c r="X475">
        <f t="shared" si="21"/>
        <v>1</v>
      </c>
      <c r="Y475">
        <f t="shared" si="22"/>
        <v>1</v>
      </c>
      <c r="Z475">
        <f t="shared" si="23"/>
        <v>1</v>
      </c>
    </row>
    <row r="476" spans="1:26" ht="15.75" customHeight="1" x14ac:dyDescent="0.2">
      <c r="A476" s="2" t="s">
        <v>23</v>
      </c>
      <c r="B476" s="2" t="s">
        <v>24</v>
      </c>
      <c r="C476" s="2" t="s">
        <v>28</v>
      </c>
      <c r="D476" s="2" t="s">
        <v>29</v>
      </c>
      <c r="E476" s="2">
        <v>198</v>
      </c>
      <c r="F476" s="2">
        <v>205</v>
      </c>
      <c r="G476" s="2">
        <v>399.33333329999999</v>
      </c>
      <c r="H476" s="2">
        <v>1193.333333</v>
      </c>
      <c r="I476" s="2">
        <v>2578</v>
      </c>
      <c r="J476" s="2">
        <v>2.0099999999999998</v>
      </c>
      <c r="K476" s="2">
        <v>4.01</v>
      </c>
      <c r="L476" s="2">
        <v>9.6199999999999992</v>
      </c>
      <c r="M476" s="2">
        <v>14.7</v>
      </c>
      <c r="N476" s="2">
        <v>1.222487071</v>
      </c>
      <c r="O476" s="2">
        <v>1.173734665</v>
      </c>
      <c r="P476" s="2">
        <v>2.1782116390000001</v>
      </c>
      <c r="Q476" s="2">
        <v>2.0753269259999998</v>
      </c>
      <c r="R476" s="2">
        <v>1.2543262019999999</v>
      </c>
      <c r="S476" s="2">
        <v>1.1631033500000001</v>
      </c>
      <c r="T476" s="2">
        <v>1.7808064809999999</v>
      </c>
      <c r="U476" s="2">
        <v>1.718770621</v>
      </c>
      <c r="V476" s="2">
        <v>0.55666271199999995</v>
      </c>
      <c r="W476" s="2">
        <v>8.9301177999999995E-2</v>
      </c>
      <c r="X476">
        <f t="shared" si="21"/>
        <v>1</v>
      </c>
      <c r="Y476">
        <f t="shared" si="22"/>
        <v>1</v>
      </c>
      <c r="Z476">
        <f t="shared" si="23"/>
        <v>1</v>
      </c>
    </row>
    <row r="477" spans="1:26" ht="15.75" customHeight="1" x14ac:dyDescent="0.2">
      <c r="A477" s="2" t="s">
        <v>23</v>
      </c>
      <c r="B477" s="2" t="s">
        <v>24</v>
      </c>
      <c r="C477" s="2" t="s">
        <v>27</v>
      </c>
      <c r="D477" s="2" t="s">
        <v>27</v>
      </c>
      <c r="E477" s="2">
        <v>180</v>
      </c>
      <c r="F477" s="2">
        <v>270</v>
      </c>
      <c r="G477" s="2">
        <v>524</v>
      </c>
      <c r="H477" s="2">
        <v>2466</v>
      </c>
      <c r="I477" s="2">
        <v>3417.333333</v>
      </c>
      <c r="J477" s="2">
        <v>2.72</v>
      </c>
      <c r="K477" s="2">
        <v>5.13</v>
      </c>
      <c r="L477" s="2">
        <v>14.41</v>
      </c>
      <c r="M477" s="2">
        <v>16.510000000000002</v>
      </c>
      <c r="N477" s="2">
        <v>0.136605384</v>
      </c>
      <c r="O477" s="2">
        <v>0.30805859800000002</v>
      </c>
      <c r="P477" s="2">
        <v>3.0139504690000001</v>
      </c>
      <c r="Q477" s="2">
        <v>3.0732263479999999</v>
      </c>
      <c r="R477" s="2">
        <v>0.13653075100000001</v>
      </c>
      <c r="S477" s="2">
        <v>4.5307899999999998E-2</v>
      </c>
      <c r="T477" s="2">
        <v>3.0108564869999999</v>
      </c>
      <c r="U477" s="2">
        <v>3.0728923469999998</v>
      </c>
      <c r="V477" s="2">
        <v>1.6744581620000001</v>
      </c>
      <c r="W477" s="2">
        <v>0.164374252</v>
      </c>
      <c r="X477">
        <f t="shared" si="21"/>
        <v>1</v>
      </c>
      <c r="Y477">
        <f t="shared" si="22"/>
        <v>1</v>
      </c>
      <c r="Z477">
        <f t="shared" si="23"/>
        <v>0</v>
      </c>
    </row>
    <row r="478" spans="1:26" ht="15.75" customHeight="1" x14ac:dyDescent="0.2">
      <c r="A478" s="2" t="s">
        <v>23</v>
      </c>
      <c r="B478" s="2" t="s">
        <v>24</v>
      </c>
      <c r="C478" s="2" t="s">
        <v>26</v>
      </c>
      <c r="D478" s="2" t="s">
        <v>26</v>
      </c>
      <c r="E478" s="2">
        <v>175</v>
      </c>
      <c r="F478" s="2">
        <v>238</v>
      </c>
      <c r="G478" s="2">
        <v>563.66666669999995</v>
      </c>
      <c r="H478" s="2">
        <v>1134.666667</v>
      </c>
      <c r="I478" s="2">
        <v>2959.333333</v>
      </c>
      <c r="J478" s="2">
        <v>2.37</v>
      </c>
      <c r="K478" s="2">
        <v>5.46</v>
      </c>
      <c r="L478" s="2">
        <v>9.3000000000000007</v>
      </c>
      <c r="M478" s="2">
        <v>15.6</v>
      </c>
      <c r="N478" s="2">
        <v>0.538033015</v>
      </c>
      <c r="O478" s="2">
        <v>0.876127616</v>
      </c>
      <c r="P478" s="2">
        <v>2.1058528710000002</v>
      </c>
      <c r="Q478" s="2">
        <v>2.0548473469999999</v>
      </c>
      <c r="R478" s="2">
        <v>0.19597182099999999</v>
      </c>
      <c r="S478" s="2">
        <v>0.28719467199999998</v>
      </c>
      <c r="T478" s="2">
        <v>2.0967144200000001</v>
      </c>
      <c r="U478" s="2">
        <v>2.0346785590000001</v>
      </c>
      <c r="V478" s="2">
        <v>2.0069607340000002</v>
      </c>
      <c r="W478" s="2">
        <v>0.21266342499999999</v>
      </c>
      <c r="X478">
        <f t="shared" si="21"/>
        <v>1</v>
      </c>
      <c r="Y478">
        <f t="shared" si="22"/>
        <v>1</v>
      </c>
      <c r="Z478">
        <f t="shared" si="23"/>
        <v>0</v>
      </c>
    </row>
    <row r="479" spans="1:26" ht="15.75" customHeight="1" x14ac:dyDescent="0.2">
      <c r="A479" s="2" t="s">
        <v>23</v>
      </c>
      <c r="B479" s="2" t="s">
        <v>24</v>
      </c>
      <c r="C479" s="2" t="s">
        <v>27</v>
      </c>
      <c r="D479" s="2" t="s">
        <v>27</v>
      </c>
      <c r="E479" s="2">
        <v>168</v>
      </c>
      <c r="F479" s="2">
        <v>255.66666670000001</v>
      </c>
      <c r="G479" s="2">
        <v>527.66666669999995</v>
      </c>
      <c r="H479" s="2">
        <v>2562</v>
      </c>
      <c r="I479" s="2">
        <v>3332.666667</v>
      </c>
      <c r="J479" s="2">
        <v>2.56</v>
      </c>
      <c r="K479" s="2">
        <v>5.16</v>
      </c>
      <c r="L479" s="2">
        <v>14.66</v>
      </c>
      <c r="M479" s="2">
        <v>16.350000000000001</v>
      </c>
      <c r="N479" s="2">
        <v>0.36578309199999998</v>
      </c>
      <c r="O479" s="2">
        <v>0.453900148</v>
      </c>
      <c r="P479" s="2">
        <v>3.2646041440000002</v>
      </c>
      <c r="Q479" s="2">
        <v>3.3249697199999999</v>
      </c>
      <c r="R479" s="2">
        <v>0.10535043400000001</v>
      </c>
      <c r="S479" s="2">
        <v>1.4127582E-2</v>
      </c>
      <c r="T479" s="2">
        <v>3.2629038449999999</v>
      </c>
      <c r="U479" s="2">
        <v>3.3249397059999999</v>
      </c>
      <c r="V479" s="2">
        <v>1.70563848</v>
      </c>
      <c r="W479" s="2">
        <v>0.17258178599999999</v>
      </c>
      <c r="X479">
        <f t="shared" si="21"/>
        <v>1</v>
      </c>
      <c r="Y479">
        <f t="shared" si="22"/>
        <v>1</v>
      </c>
      <c r="Z479">
        <f t="shared" si="23"/>
        <v>0</v>
      </c>
    </row>
    <row r="480" spans="1:26" ht="15.75" customHeight="1" x14ac:dyDescent="0.2">
      <c r="A480" s="2" t="s">
        <v>23</v>
      </c>
      <c r="B480" s="2" t="s">
        <v>24</v>
      </c>
      <c r="C480" s="2" t="s">
        <v>27</v>
      </c>
      <c r="D480" s="2" t="s">
        <v>27</v>
      </c>
      <c r="E480" s="2">
        <v>208</v>
      </c>
      <c r="F480" s="2">
        <v>237.33333329999999</v>
      </c>
      <c r="G480" s="2">
        <v>505</v>
      </c>
      <c r="H480" s="2">
        <v>2484.333333</v>
      </c>
      <c r="I480" s="2">
        <v>3346</v>
      </c>
      <c r="J480" s="2">
        <v>2.37</v>
      </c>
      <c r="K480" s="2">
        <v>4.96</v>
      </c>
      <c r="L480" s="2">
        <v>14.46</v>
      </c>
      <c r="M480" s="2">
        <v>16.38</v>
      </c>
      <c r="N480" s="2">
        <v>0.14830974399999999</v>
      </c>
      <c r="O480" s="2">
        <v>0.17442735200000001</v>
      </c>
      <c r="P480" s="2">
        <v>3.0744629589999999</v>
      </c>
      <c r="Q480" s="2">
        <v>3.12881331</v>
      </c>
      <c r="R480" s="2">
        <v>0.29958719700000003</v>
      </c>
      <c r="S480" s="2">
        <v>0.20836434500000001</v>
      </c>
      <c r="T480" s="2">
        <v>3.0598316940000001</v>
      </c>
      <c r="U480" s="2">
        <v>3.1218675550000001</v>
      </c>
      <c r="V480" s="2">
        <v>1.511401717</v>
      </c>
      <c r="W480" s="2">
        <v>0.13424476699999999</v>
      </c>
      <c r="X480">
        <f t="shared" si="21"/>
        <v>1</v>
      </c>
      <c r="Y480">
        <f t="shared" si="22"/>
        <v>1</v>
      </c>
      <c r="Z480">
        <f t="shared" si="23"/>
        <v>0</v>
      </c>
    </row>
    <row r="481" spans="1:26" ht="15.75" customHeight="1" x14ac:dyDescent="0.2">
      <c r="A481" s="2" t="s">
        <v>23</v>
      </c>
      <c r="B481" s="2" t="s">
        <v>24</v>
      </c>
      <c r="C481" s="2" t="s">
        <v>32</v>
      </c>
      <c r="D481" s="2" t="s">
        <v>33</v>
      </c>
      <c r="E481" s="2">
        <v>184</v>
      </c>
      <c r="F481" s="2">
        <v>219</v>
      </c>
      <c r="G481" s="2">
        <v>770.33333330000005</v>
      </c>
      <c r="H481" s="2">
        <v>1408.666667</v>
      </c>
      <c r="I481" s="2">
        <v>3129.666667</v>
      </c>
      <c r="J481" s="2">
        <v>2.16</v>
      </c>
      <c r="K481" s="2">
        <v>7.03</v>
      </c>
      <c r="L481" s="2">
        <v>10.68</v>
      </c>
      <c r="M481" s="2">
        <v>15.96</v>
      </c>
      <c r="N481" s="2">
        <v>0.999234438</v>
      </c>
      <c r="O481" s="2">
        <v>1.087856444</v>
      </c>
      <c r="P481" s="2">
        <v>1.911075364</v>
      </c>
      <c r="Q481" s="2">
        <v>1.974562138</v>
      </c>
      <c r="R481" s="2">
        <v>1.7720423830000001</v>
      </c>
      <c r="S481" s="2">
        <v>1.8632652350000001</v>
      </c>
      <c r="T481" s="2">
        <v>0.71559404599999998</v>
      </c>
      <c r="U481" s="2">
        <v>0.65355818499999996</v>
      </c>
      <c r="V481" s="2">
        <v>3.5830312969999998</v>
      </c>
      <c r="W481" s="2">
        <v>0.20584265900000001</v>
      </c>
      <c r="X481">
        <f t="shared" si="21"/>
        <v>1</v>
      </c>
      <c r="Y481">
        <f t="shared" si="22"/>
        <v>1</v>
      </c>
      <c r="Z481">
        <f t="shared" si="23"/>
        <v>1</v>
      </c>
    </row>
    <row r="482" spans="1:26" ht="15.75" customHeight="1" x14ac:dyDescent="0.2">
      <c r="A482" s="2" t="s">
        <v>23</v>
      </c>
      <c r="B482" s="2" t="s">
        <v>24</v>
      </c>
      <c r="C482" s="2" t="s">
        <v>28</v>
      </c>
      <c r="D482" s="2" t="s">
        <v>29</v>
      </c>
      <c r="E482" s="2">
        <v>185</v>
      </c>
      <c r="F482" s="2">
        <v>224.66666670000001</v>
      </c>
      <c r="G482" s="2">
        <v>394.66666670000001</v>
      </c>
      <c r="H482" s="2">
        <v>1283</v>
      </c>
      <c r="I482" s="2">
        <v>2732.666667</v>
      </c>
      <c r="J482" s="2">
        <v>2.23</v>
      </c>
      <c r="K482" s="2">
        <v>3.96</v>
      </c>
      <c r="L482" s="2">
        <v>10.08</v>
      </c>
      <c r="M482" s="2">
        <v>15.08</v>
      </c>
      <c r="N482" s="2">
        <v>1.5502280349999999</v>
      </c>
      <c r="O482" s="2">
        <v>1.571635127</v>
      </c>
      <c r="P482" s="2">
        <v>1.8516373829999999</v>
      </c>
      <c r="Q482" s="2">
        <v>1.743573877</v>
      </c>
      <c r="R482" s="2">
        <v>1.2984670760000001</v>
      </c>
      <c r="S482" s="2">
        <v>1.2072442240000001</v>
      </c>
      <c r="T482" s="2">
        <v>1.3200546390000001</v>
      </c>
      <c r="U482" s="2">
        <v>1.2580187780000001</v>
      </c>
      <c r="V482" s="2">
        <v>0.51252183799999995</v>
      </c>
      <c r="W482" s="2">
        <v>0.13825400900000001</v>
      </c>
      <c r="X482">
        <f t="shared" si="21"/>
        <v>1</v>
      </c>
      <c r="Y482">
        <f t="shared" si="22"/>
        <v>1</v>
      </c>
      <c r="Z482">
        <f t="shared" si="23"/>
        <v>1</v>
      </c>
    </row>
    <row r="483" spans="1:26" ht="15.75" customHeight="1" x14ac:dyDescent="0.2">
      <c r="A483" s="2" t="s">
        <v>23</v>
      </c>
      <c r="B483" s="2" t="s">
        <v>24</v>
      </c>
      <c r="C483" s="2" t="s">
        <v>26</v>
      </c>
      <c r="D483" s="2" t="s">
        <v>26</v>
      </c>
      <c r="E483" s="2">
        <v>152</v>
      </c>
      <c r="F483" s="2">
        <v>228.66666670000001</v>
      </c>
      <c r="G483" s="2">
        <v>474.66666670000001</v>
      </c>
      <c r="H483" s="2">
        <v>1146.666667</v>
      </c>
      <c r="I483" s="2">
        <v>3097.666667</v>
      </c>
      <c r="J483" s="2">
        <v>2.27</v>
      </c>
      <c r="K483" s="2">
        <v>4.7</v>
      </c>
      <c r="L483" s="2">
        <v>9.3699999999999992</v>
      </c>
      <c r="M483" s="2">
        <v>15.89</v>
      </c>
      <c r="N483" s="2">
        <v>0.53043580599999995</v>
      </c>
      <c r="O483" s="2">
        <v>0.63437121399999996</v>
      </c>
      <c r="P483" s="2">
        <v>2.1082937230000001</v>
      </c>
      <c r="Q483" s="2">
        <v>2.0253277409999999</v>
      </c>
      <c r="R483" s="2">
        <v>0.56518017600000003</v>
      </c>
      <c r="S483" s="2">
        <v>0.47395732400000001</v>
      </c>
      <c r="T483" s="2">
        <v>2.0311262370000001</v>
      </c>
      <c r="U483" s="2">
        <v>1.9690903769999999</v>
      </c>
      <c r="V483" s="2">
        <v>1.245808738</v>
      </c>
      <c r="W483" s="2">
        <v>0.17307724299999999</v>
      </c>
      <c r="X483">
        <f t="shared" si="21"/>
        <v>1</v>
      </c>
      <c r="Y483">
        <f t="shared" si="22"/>
        <v>1</v>
      </c>
      <c r="Z483">
        <f t="shared" si="23"/>
        <v>0</v>
      </c>
    </row>
    <row r="484" spans="1:26" ht="15.75" customHeight="1" x14ac:dyDescent="0.2">
      <c r="A484" s="2" t="s">
        <v>23</v>
      </c>
      <c r="B484" s="2" t="s">
        <v>24</v>
      </c>
      <c r="C484" s="2" t="s">
        <v>30</v>
      </c>
      <c r="D484" s="2" t="s">
        <v>31</v>
      </c>
      <c r="E484" s="2">
        <v>197</v>
      </c>
      <c r="F484" s="2">
        <v>256</v>
      </c>
      <c r="G484" s="2">
        <v>632.66666669999995</v>
      </c>
      <c r="H484" s="2">
        <v>1317.666667</v>
      </c>
      <c r="I484" s="2">
        <v>2876.333333</v>
      </c>
      <c r="J484" s="2">
        <v>2.57</v>
      </c>
      <c r="K484" s="2">
        <v>6.01</v>
      </c>
      <c r="L484" s="2">
        <v>10.25</v>
      </c>
      <c r="M484" s="2">
        <v>15.41</v>
      </c>
      <c r="N484" s="2">
        <v>4.1910543379999998</v>
      </c>
      <c r="O484" s="2">
        <v>4.2734945639999999</v>
      </c>
      <c r="P484" s="2">
        <v>1.3719091450000001</v>
      </c>
      <c r="Q484" s="2">
        <v>1.374278699</v>
      </c>
      <c r="R484" s="2">
        <v>0.75011667000000004</v>
      </c>
      <c r="S484" s="2">
        <v>0.84133952099999998</v>
      </c>
      <c r="T484" s="2">
        <v>1.148677363</v>
      </c>
      <c r="U484" s="2">
        <v>1.086641502</v>
      </c>
      <c r="V484" s="2">
        <v>2.5611055829999998</v>
      </c>
      <c r="W484" s="2">
        <v>0.14086363599999999</v>
      </c>
      <c r="X484">
        <f t="shared" si="21"/>
        <v>1</v>
      </c>
      <c r="Y484">
        <f t="shared" si="22"/>
        <v>1</v>
      </c>
      <c r="Z484">
        <f t="shared" si="23"/>
        <v>1</v>
      </c>
    </row>
    <row r="485" spans="1:26" ht="15.75" customHeight="1" x14ac:dyDescent="0.2">
      <c r="A485" s="2" t="s">
        <v>23</v>
      </c>
      <c r="B485" s="2" t="s">
        <v>24</v>
      </c>
      <c r="C485" s="2" t="s">
        <v>27</v>
      </c>
      <c r="D485" s="2" t="s">
        <v>27</v>
      </c>
      <c r="E485" s="2">
        <v>190</v>
      </c>
      <c r="F485" s="2">
        <v>235.33333329999999</v>
      </c>
      <c r="G485" s="2">
        <v>511</v>
      </c>
      <c r="H485" s="2">
        <v>2519</v>
      </c>
      <c r="I485" s="2">
        <v>3344.333333</v>
      </c>
      <c r="J485" s="2">
        <v>2.34</v>
      </c>
      <c r="K485" s="2">
        <v>5.01</v>
      </c>
      <c r="L485" s="2">
        <v>14.55</v>
      </c>
      <c r="M485" s="2">
        <v>16.37</v>
      </c>
      <c r="N485" s="2">
        <v>0.22804493100000001</v>
      </c>
      <c r="O485" s="2">
        <v>0.27387369900000003</v>
      </c>
      <c r="P485" s="2">
        <v>3.161073107</v>
      </c>
      <c r="Q485" s="2">
        <v>3.2171930770000001</v>
      </c>
      <c r="R485" s="2">
        <v>0.24782478999999999</v>
      </c>
      <c r="S485" s="2">
        <v>0.156601938</v>
      </c>
      <c r="T485" s="2">
        <v>3.1513435329999999</v>
      </c>
      <c r="U485" s="2">
        <v>3.2133793939999999</v>
      </c>
      <c r="V485" s="2">
        <v>1.563164124</v>
      </c>
      <c r="W485" s="2">
        <v>0.12658145900000001</v>
      </c>
      <c r="X485">
        <f t="shared" si="21"/>
        <v>1</v>
      </c>
      <c r="Y485">
        <f t="shared" si="22"/>
        <v>1</v>
      </c>
      <c r="Z485">
        <f t="shared" si="23"/>
        <v>0</v>
      </c>
    </row>
    <row r="486" spans="1:26" ht="15.75" customHeight="1" x14ac:dyDescent="0.2">
      <c r="A486" s="2" t="s">
        <v>23</v>
      </c>
      <c r="B486" s="2" t="s">
        <v>24</v>
      </c>
      <c r="C486" s="2" t="s">
        <v>30</v>
      </c>
      <c r="D486" s="2" t="s">
        <v>31</v>
      </c>
      <c r="E486" s="2">
        <v>196</v>
      </c>
      <c r="F486" s="2">
        <v>263</v>
      </c>
      <c r="G486" s="2">
        <v>642.33333330000005</v>
      </c>
      <c r="H486" s="2">
        <v>1289.666667</v>
      </c>
      <c r="I486" s="2">
        <v>3097.666667</v>
      </c>
      <c r="J486" s="2">
        <v>2.64</v>
      </c>
      <c r="K486" s="2">
        <v>6.09</v>
      </c>
      <c r="L486" s="2">
        <v>10.11</v>
      </c>
      <c r="M486" s="2">
        <v>15.89</v>
      </c>
      <c r="N486" s="2">
        <v>4.343269566</v>
      </c>
      <c r="O486" s="2">
        <v>4.4272589890000003</v>
      </c>
      <c r="P486" s="2">
        <v>1.5287839009999999</v>
      </c>
      <c r="Q486" s="2">
        <v>1.5297988300000001</v>
      </c>
      <c r="R486" s="2">
        <v>0.82540367400000003</v>
      </c>
      <c r="S486" s="2">
        <v>0.91662652600000005</v>
      </c>
      <c r="T486" s="2">
        <v>1.2868135030000001</v>
      </c>
      <c r="U486" s="2">
        <v>1.2247776420000001</v>
      </c>
      <c r="V486" s="2">
        <v>2.6363925880000001</v>
      </c>
      <c r="W486" s="2">
        <v>0.15568616499999999</v>
      </c>
      <c r="X486">
        <f t="shared" si="21"/>
        <v>1</v>
      </c>
      <c r="Y486">
        <f t="shared" si="22"/>
        <v>1</v>
      </c>
      <c r="Z486">
        <f t="shared" si="23"/>
        <v>1</v>
      </c>
    </row>
    <row r="487" spans="1:26" ht="15.75" customHeight="1" x14ac:dyDescent="0.2">
      <c r="A487" s="2" t="s">
        <v>23</v>
      </c>
      <c r="B487" s="2" t="s">
        <v>24</v>
      </c>
      <c r="C487" s="2" t="s">
        <v>26</v>
      </c>
      <c r="D487" s="2" t="s">
        <v>26</v>
      </c>
      <c r="E487" s="2">
        <v>161</v>
      </c>
      <c r="F487" s="2">
        <v>236.33333329999999</v>
      </c>
      <c r="G487" s="2">
        <v>553.66666669999995</v>
      </c>
      <c r="H487" s="2">
        <v>1109</v>
      </c>
      <c r="I487" s="2">
        <v>2966.333333</v>
      </c>
      <c r="J487" s="2">
        <v>2.35</v>
      </c>
      <c r="K487" s="2">
        <v>5.38</v>
      </c>
      <c r="L487" s="2">
        <v>9.16</v>
      </c>
      <c r="M487" s="2">
        <v>15.61</v>
      </c>
      <c r="N487" s="2">
        <v>0.388629579</v>
      </c>
      <c r="O487" s="2">
        <v>0.72359791200000001</v>
      </c>
      <c r="P487" s="2">
        <v>2.241578965</v>
      </c>
      <c r="Q487" s="2">
        <v>2.186258349</v>
      </c>
      <c r="R487" s="2">
        <v>0.113136948</v>
      </c>
      <c r="S487" s="2">
        <v>0.20435980000000001</v>
      </c>
      <c r="T487" s="2">
        <v>2.2387220210000001</v>
      </c>
      <c r="U487" s="2">
        <v>2.17668616</v>
      </c>
      <c r="V487" s="2">
        <v>1.9241258619999999</v>
      </c>
      <c r="W487" s="2">
        <v>0.150993776</v>
      </c>
      <c r="X487">
        <f t="shared" si="21"/>
        <v>1</v>
      </c>
      <c r="Y487">
        <f t="shared" si="22"/>
        <v>1</v>
      </c>
      <c r="Z487">
        <f t="shared" si="23"/>
        <v>0</v>
      </c>
    </row>
    <row r="488" spans="1:26" ht="15.75" customHeight="1" x14ac:dyDescent="0.2">
      <c r="A488" s="2" t="s">
        <v>23</v>
      </c>
      <c r="B488" s="2" t="s">
        <v>24</v>
      </c>
      <c r="C488" s="2" t="s">
        <v>26</v>
      </c>
      <c r="D488" s="2" t="s">
        <v>26</v>
      </c>
      <c r="E488" s="2">
        <v>185</v>
      </c>
      <c r="F488" s="2">
        <v>224.33333329999999</v>
      </c>
      <c r="G488" s="2">
        <v>516.33333330000005</v>
      </c>
      <c r="H488" s="2">
        <v>1040.333333</v>
      </c>
      <c r="I488" s="2">
        <v>3241.666667</v>
      </c>
      <c r="J488" s="2">
        <v>2.2200000000000002</v>
      </c>
      <c r="K488" s="2">
        <v>5.0599999999999996</v>
      </c>
      <c r="L488" s="2">
        <v>8.77</v>
      </c>
      <c r="M488" s="2">
        <v>16.18</v>
      </c>
      <c r="N488" s="2">
        <v>0.19604532</v>
      </c>
      <c r="O488" s="2">
        <v>0.27524169500000001</v>
      </c>
      <c r="P488" s="2">
        <v>2.6383295520000001</v>
      </c>
      <c r="Q488" s="2">
        <v>2.570936288</v>
      </c>
      <c r="R488" s="2">
        <v>0.202024338</v>
      </c>
      <c r="S488" s="2">
        <v>0.110801486</v>
      </c>
      <c r="T488" s="2">
        <v>2.6305833939999999</v>
      </c>
      <c r="U488" s="2">
        <v>2.5685475329999998</v>
      </c>
      <c r="V488" s="2">
        <v>1.608964576</v>
      </c>
      <c r="W488" s="2">
        <v>0.17517739099999999</v>
      </c>
      <c r="X488">
        <f t="shared" si="21"/>
        <v>1</v>
      </c>
      <c r="Y488">
        <f t="shared" si="22"/>
        <v>1</v>
      </c>
      <c r="Z488">
        <f t="shared" si="23"/>
        <v>0</v>
      </c>
    </row>
    <row r="489" spans="1:26" ht="15.75" customHeight="1" x14ac:dyDescent="0.2">
      <c r="A489" s="2" t="s">
        <v>23</v>
      </c>
      <c r="B489" s="2" t="s">
        <v>24</v>
      </c>
      <c r="C489" s="2" t="s">
        <v>26</v>
      </c>
      <c r="D489" s="2" t="s">
        <v>26</v>
      </c>
      <c r="E489" s="2">
        <v>234</v>
      </c>
      <c r="F489" s="2">
        <v>236</v>
      </c>
      <c r="G489" s="2">
        <v>505.66666670000001</v>
      </c>
      <c r="H489" s="2">
        <v>934.33333330000005</v>
      </c>
      <c r="I489" s="2">
        <v>2940.666667</v>
      </c>
      <c r="J489" s="2">
        <v>2.35</v>
      </c>
      <c r="K489" s="2">
        <v>4.97</v>
      </c>
      <c r="L489" s="2">
        <v>8.1199999999999992</v>
      </c>
      <c r="M489" s="2">
        <v>15.56</v>
      </c>
      <c r="N489" s="2">
        <v>0.83952779899999996</v>
      </c>
      <c r="O489" s="2">
        <v>0.63927594899999995</v>
      </c>
      <c r="P489" s="2">
        <v>3.285166813</v>
      </c>
      <c r="Q489" s="2">
        <v>3.2163521990000001</v>
      </c>
      <c r="R489" s="2">
        <v>0.29382337800000002</v>
      </c>
      <c r="S489" s="2">
        <v>0.202600526</v>
      </c>
      <c r="T489" s="2">
        <v>3.2720007350000002</v>
      </c>
      <c r="U489" s="2">
        <v>3.2099648740000002</v>
      </c>
      <c r="V489" s="2">
        <v>1.517165536</v>
      </c>
      <c r="W489" s="2">
        <v>0.165516469</v>
      </c>
      <c r="X489">
        <f t="shared" si="21"/>
        <v>1</v>
      </c>
      <c r="Y489">
        <f t="shared" si="22"/>
        <v>1</v>
      </c>
      <c r="Z489">
        <f t="shared" si="23"/>
        <v>0</v>
      </c>
    </row>
    <row r="490" spans="1:26" ht="15.75" customHeight="1" x14ac:dyDescent="0.2">
      <c r="A490" s="2" t="s">
        <v>23</v>
      </c>
      <c r="B490" s="2" t="s">
        <v>24</v>
      </c>
      <c r="C490" s="2" t="s">
        <v>25</v>
      </c>
      <c r="D490" s="2" t="s">
        <v>25</v>
      </c>
      <c r="E490" s="2">
        <v>200</v>
      </c>
      <c r="F490" s="2">
        <v>230.66666670000001</v>
      </c>
      <c r="G490" s="2">
        <v>828.66666669999995</v>
      </c>
      <c r="H490" s="2">
        <v>1362.666667</v>
      </c>
      <c r="I490" s="2">
        <v>2181.666667</v>
      </c>
      <c r="J490" s="2">
        <v>2.29</v>
      </c>
      <c r="K490" s="2">
        <v>7.44</v>
      </c>
      <c r="L490" s="2">
        <v>10.47</v>
      </c>
      <c r="M490" s="2">
        <v>13.59</v>
      </c>
      <c r="N490" s="2">
        <v>0.85595701400000002</v>
      </c>
      <c r="O490" s="2">
        <v>0.94497971000000003</v>
      </c>
      <c r="P490" s="2">
        <v>2.3657534889999998</v>
      </c>
      <c r="Q490" s="2">
        <v>2.426959407</v>
      </c>
      <c r="R490" s="2">
        <v>2.1746272100000001</v>
      </c>
      <c r="S490" s="2">
        <v>2.2658500620000002</v>
      </c>
      <c r="T490" s="2">
        <v>0.93155035900000005</v>
      </c>
      <c r="U490" s="2">
        <v>0.86951449800000002</v>
      </c>
      <c r="V490" s="2">
        <v>3.9856161239999999</v>
      </c>
      <c r="W490" s="2">
        <v>0.19059446599999999</v>
      </c>
      <c r="X490">
        <f t="shared" si="21"/>
        <v>1</v>
      </c>
      <c r="Y490">
        <f t="shared" si="22"/>
        <v>1</v>
      </c>
      <c r="Z490">
        <f t="shared" si="23"/>
        <v>0</v>
      </c>
    </row>
    <row r="491" spans="1:26" ht="15.75" customHeight="1" x14ac:dyDescent="0.2">
      <c r="A491" s="2" t="s">
        <v>23</v>
      </c>
      <c r="B491" s="2" t="s">
        <v>24</v>
      </c>
      <c r="C491" s="2" t="s">
        <v>25</v>
      </c>
      <c r="D491" s="2" t="s">
        <v>25</v>
      </c>
      <c r="E491" s="2">
        <v>226</v>
      </c>
      <c r="F491" s="2">
        <v>252.33333329999999</v>
      </c>
      <c r="G491" s="2">
        <v>916</v>
      </c>
      <c r="H491" s="2">
        <v>1343.333333</v>
      </c>
      <c r="I491" s="2">
        <v>2136.333333</v>
      </c>
      <c r="J491" s="2">
        <v>2.5299999999999998</v>
      </c>
      <c r="K491" s="2">
        <v>8.01</v>
      </c>
      <c r="L491" s="2">
        <v>10.37</v>
      </c>
      <c r="M491" s="2">
        <v>13.45</v>
      </c>
      <c r="N491" s="2">
        <v>0.82316967799999996</v>
      </c>
      <c r="O491" s="2">
        <v>0.88061568400000001</v>
      </c>
      <c r="P491" s="2">
        <v>2.9315281770000001</v>
      </c>
      <c r="Q491" s="2">
        <v>2.9966833620000002</v>
      </c>
      <c r="R491" s="2">
        <v>2.7468266579999998</v>
      </c>
      <c r="S491" s="2">
        <v>2.8380495099999998</v>
      </c>
      <c r="T491" s="2">
        <v>1.024109741</v>
      </c>
      <c r="U491" s="2">
        <v>0.96207388100000002</v>
      </c>
      <c r="V491" s="2">
        <v>4.557815572</v>
      </c>
      <c r="W491" s="2">
        <v>0.233915172</v>
      </c>
      <c r="X491">
        <f t="shared" si="21"/>
        <v>1</v>
      </c>
      <c r="Y491">
        <f t="shared" si="22"/>
        <v>1</v>
      </c>
      <c r="Z491">
        <f t="shared" si="23"/>
        <v>0</v>
      </c>
    </row>
    <row r="492" spans="1:26" ht="15.75" customHeight="1" x14ac:dyDescent="0.2">
      <c r="A492" s="2" t="s">
        <v>23</v>
      </c>
      <c r="B492" s="2" t="s">
        <v>24</v>
      </c>
      <c r="C492" s="2" t="s">
        <v>25</v>
      </c>
      <c r="D492" s="2" t="s">
        <v>25</v>
      </c>
      <c r="E492" s="2">
        <v>218</v>
      </c>
      <c r="F492" s="2">
        <v>250.66666670000001</v>
      </c>
      <c r="G492" s="2">
        <v>785.66666669999995</v>
      </c>
      <c r="H492" s="2">
        <v>1268.333333</v>
      </c>
      <c r="I492" s="2">
        <v>1733.666667</v>
      </c>
      <c r="J492" s="2">
        <v>2.5099999999999998</v>
      </c>
      <c r="K492" s="2">
        <v>7.14</v>
      </c>
      <c r="L492" s="2">
        <v>10</v>
      </c>
      <c r="M492" s="2">
        <v>12.05</v>
      </c>
      <c r="N492" s="2">
        <v>1.4042622760000001</v>
      </c>
      <c r="O492" s="2">
        <v>1.4932247190000001</v>
      </c>
      <c r="P492" s="2">
        <v>2.3398535059999999</v>
      </c>
      <c r="Q492" s="2">
        <v>2.3784617620000001</v>
      </c>
      <c r="R492" s="2">
        <v>1.8795219679999999</v>
      </c>
      <c r="S492" s="2">
        <v>1.9707448190000001</v>
      </c>
      <c r="T492" s="2">
        <v>1.3936683969999999</v>
      </c>
      <c r="U492" s="2">
        <v>1.3316325360000001</v>
      </c>
      <c r="V492" s="2">
        <v>3.6905108809999998</v>
      </c>
      <c r="W492" s="2">
        <v>0.138149624</v>
      </c>
      <c r="X492">
        <f t="shared" si="21"/>
        <v>1</v>
      </c>
      <c r="Y492">
        <f t="shared" si="22"/>
        <v>1</v>
      </c>
      <c r="Z492">
        <f t="shared" si="23"/>
        <v>0</v>
      </c>
    </row>
    <row r="493" spans="1:26" ht="15.75" customHeight="1" x14ac:dyDescent="0.2">
      <c r="A493" s="2" t="s">
        <v>23</v>
      </c>
      <c r="B493" s="2" t="s">
        <v>24</v>
      </c>
      <c r="C493" s="2" t="s">
        <v>28</v>
      </c>
      <c r="D493" s="2" t="s">
        <v>29</v>
      </c>
      <c r="E493" s="2">
        <v>199</v>
      </c>
      <c r="F493" s="2">
        <v>234.33333329999999</v>
      </c>
      <c r="G493" s="2">
        <v>358</v>
      </c>
      <c r="H493" s="2">
        <v>1249.333333</v>
      </c>
      <c r="I493" s="2">
        <v>2612</v>
      </c>
      <c r="J493" s="2">
        <v>2.33</v>
      </c>
      <c r="K493" s="2">
        <v>3.61</v>
      </c>
      <c r="L493" s="2">
        <v>9.91</v>
      </c>
      <c r="M493" s="2">
        <v>14.79</v>
      </c>
      <c r="N493" s="2">
        <v>1.7139190200000001</v>
      </c>
      <c r="O493" s="2">
        <v>1.658050757</v>
      </c>
      <c r="P493" s="2">
        <v>2.2243104859999998</v>
      </c>
      <c r="Q493" s="2">
        <v>2.1150773699999998</v>
      </c>
      <c r="R493" s="2">
        <v>1.651472557</v>
      </c>
      <c r="S493" s="2">
        <v>1.5602497049999999</v>
      </c>
      <c r="T493" s="2">
        <v>1.4900320579999999</v>
      </c>
      <c r="U493" s="2">
        <v>1.4279961969999999</v>
      </c>
      <c r="V493" s="2">
        <v>0.159516357</v>
      </c>
      <c r="W493" s="2">
        <v>0.147986958</v>
      </c>
      <c r="X493">
        <f t="shared" si="21"/>
        <v>1</v>
      </c>
      <c r="Y493">
        <f t="shared" si="22"/>
        <v>1</v>
      </c>
      <c r="Z493">
        <f t="shared" si="23"/>
        <v>1</v>
      </c>
    </row>
    <row r="494" spans="1:26" ht="15.75" customHeight="1" x14ac:dyDescent="0.2">
      <c r="A494" s="2" t="s">
        <v>23</v>
      </c>
      <c r="B494" s="2" t="s">
        <v>24</v>
      </c>
      <c r="C494" s="2" t="s">
        <v>30</v>
      </c>
      <c r="D494" s="2" t="s">
        <v>31</v>
      </c>
      <c r="E494" s="2">
        <v>205</v>
      </c>
      <c r="F494" s="2">
        <v>239.33333329999999</v>
      </c>
      <c r="G494" s="2">
        <v>717.33333330000005</v>
      </c>
      <c r="H494" s="2">
        <v>1288</v>
      </c>
      <c r="I494" s="2">
        <v>2167</v>
      </c>
      <c r="J494" s="2">
        <v>2.39</v>
      </c>
      <c r="K494" s="2">
        <v>6.65</v>
      </c>
      <c r="L494" s="2">
        <v>10.1</v>
      </c>
      <c r="M494" s="2">
        <v>13.55</v>
      </c>
      <c r="N494" s="2">
        <v>4.5233654330000004</v>
      </c>
      <c r="O494" s="2">
        <v>4.6284130450000003</v>
      </c>
      <c r="P494" s="2">
        <v>1.9006173710000001</v>
      </c>
      <c r="Q494" s="2">
        <v>1.9281135330000001</v>
      </c>
      <c r="R494" s="2">
        <v>1.391054961</v>
      </c>
      <c r="S494" s="2">
        <v>1.482277812</v>
      </c>
      <c r="T494" s="2">
        <v>1.2951109940000001</v>
      </c>
      <c r="U494" s="2">
        <v>1.233075133</v>
      </c>
      <c r="V494" s="2">
        <v>3.2020438740000001</v>
      </c>
      <c r="W494" s="2">
        <v>0.15095724299999999</v>
      </c>
      <c r="X494">
        <f t="shared" si="21"/>
        <v>1</v>
      </c>
      <c r="Y494">
        <f t="shared" si="22"/>
        <v>1</v>
      </c>
      <c r="Z494">
        <f t="shared" si="23"/>
        <v>1</v>
      </c>
    </row>
    <row r="495" spans="1:26" ht="15.75" customHeight="1" x14ac:dyDescent="0.2">
      <c r="A495" s="2" t="s">
        <v>23</v>
      </c>
      <c r="B495" s="2" t="s">
        <v>24</v>
      </c>
      <c r="C495" s="2" t="s">
        <v>32</v>
      </c>
      <c r="D495" s="2" t="s">
        <v>33</v>
      </c>
      <c r="E495" s="2">
        <v>166</v>
      </c>
      <c r="F495" s="2">
        <v>250.33333329999999</v>
      </c>
      <c r="G495" s="2">
        <v>509.33333329999999</v>
      </c>
      <c r="H495" s="2">
        <v>911</v>
      </c>
      <c r="I495" s="2">
        <v>2645.333333</v>
      </c>
      <c r="J495" s="2">
        <v>2.5099999999999998</v>
      </c>
      <c r="K495" s="2">
        <v>5</v>
      </c>
      <c r="L495" s="2">
        <v>7.98</v>
      </c>
      <c r="M495" s="2">
        <v>14.87</v>
      </c>
      <c r="N495" s="2">
        <v>4.3234510930000001</v>
      </c>
      <c r="O495" s="2">
        <v>4.4144397040000003</v>
      </c>
      <c r="P495" s="2">
        <v>3.4295895949999999</v>
      </c>
      <c r="Q495" s="2">
        <v>3.3618672909999998</v>
      </c>
      <c r="R495" s="2">
        <v>0.26217800400000002</v>
      </c>
      <c r="S495" s="2">
        <v>0.170955152</v>
      </c>
      <c r="T495" s="2">
        <v>3.419553697</v>
      </c>
      <c r="U495" s="2">
        <v>3.357517836</v>
      </c>
      <c r="V495" s="2">
        <v>1.54881091</v>
      </c>
      <c r="W495" s="2">
        <v>0.14487847400000001</v>
      </c>
      <c r="X495">
        <f t="shared" si="21"/>
        <v>1</v>
      </c>
      <c r="Y495">
        <f t="shared" si="22"/>
        <v>1</v>
      </c>
      <c r="Z495">
        <f t="shared" si="23"/>
        <v>1</v>
      </c>
    </row>
    <row r="496" spans="1:26" ht="15.75" customHeight="1" x14ac:dyDescent="0.2">
      <c r="A496" s="2" t="s">
        <v>23</v>
      </c>
      <c r="B496" s="2" t="s">
        <v>24</v>
      </c>
      <c r="C496" s="2" t="s">
        <v>26</v>
      </c>
      <c r="D496" s="2" t="s">
        <v>26</v>
      </c>
      <c r="E496" s="2">
        <v>177</v>
      </c>
      <c r="F496" s="2">
        <v>238.66666670000001</v>
      </c>
      <c r="G496" s="2">
        <v>543.33333330000005</v>
      </c>
      <c r="H496" s="2">
        <v>1148.666667</v>
      </c>
      <c r="I496" s="2">
        <v>3135.333333</v>
      </c>
      <c r="J496" s="2">
        <v>2.38</v>
      </c>
      <c r="K496" s="2">
        <v>5.29</v>
      </c>
      <c r="L496" s="2">
        <v>9.3800000000000008</v>
      </c>
      <c r="M496" s="2">
        <v>15.97</v>
      </c>
      <c r="N496" s="2">
        <v>0.484135168</v>
      </c>
      <c r="O496" s="2">
        <v>0.81292790299999995</v>
      </c>
      <c r="P496" s="2">
        <v>2.0204224630000001</v>
      </c>
      <c r="Q496" s="2">
        <v>1.961764434</v>
      </c>
      <c r="R496" s="2">
        <v>2.6845659000000001E-2</v>
      </c>
      <c r="S496" s="2">
        <v>0.118068511</v>
      </c>
      <c r="T496" s="2">
        <v>2.0202441040000001</v>
      </c>
      <c r="U496" s="2">
        <v>1.9582082430000001</v>
      </c>
      <c r="V496" s="2">
        <v>1.8378345730000001</v>
      </c>
      <c r="W496" s="2">
        <v>0.12636217599999999</v>
      </c>
      <c r="X496">
        <f t="shared" si="21"/>
        <v>1</v>
      </c>
      <c r="Y496">
        <f t="shared" si="22"/>
        <v>1</v>
      </c>
      <c r="Z496">
        <f t="shared" si="23"/>
        <v>0</v>
      </c>
    </row>
    <row r="497" spans="1:26" ht="15.75" customHeight="1" x14ac:dyDescent="0.2">
      <c r="A497" s="2" t="s">
        <v>23</v>
      </c>
      <c r="B497" s="2" t="s">
        <v>24</v>
      </c>
      <c r="C497" s="2" t="s">
        <v>32</v>
      </c>
      <c r="D497" s="2" t="s">
        <v>33</v>
      </c>
      <c r="E497" s="2">
        <v>193</v>
      </c>
      <c r="F497" s="2">
        <v>261.33333329999999</v>
      </c>
      <c r="G497" s="2">
        <v>821</v>
      </c>
      <c r="H497" s="2">
        <v>1074.666667</v>
      </c>
      <c r="I497" s="2">
        <v>2475.666667</v>
      </c>
      <c r="J497" s="2">
        <v>2.62</v>
      </c>
      <c r="K497" s="2">
        <v>7.38</v>
      </c>
      <c r="L497" s="2">
        <v>8.9600000000000009</v>
      </c>
      <c r="M497" s="2">
        <v>14.43</v>
      </c>
      <c r="N497" s="2">
        <v>2.2814795399999999</v>
      </c>
      <c r="O497" s="2">
        <v>2.358867697</v>
      </c>
      <c r="P497" s="2">
        <v>3.2283920890000002</v>
      </c>
      <c r="Q497" s="2">
        <v>3.243480055</v>
      </c>
      <c r="R497" s="2">
        <v>2.1226800419999998</v>
      </c>
      <c r="S497" s="2">
        <v>2.2139028939999998</v>
      </c>
      <c r="T497" s="2">
        <v>2.432436005</v>
      </c>
      <c r="U497" s="2">
        <v>2.370400144</v>
      </c>
      <c r="V497" s="2">
        <v>3.933668956</v>
      </c>
      <c r="W497" s="2">
        <v>0.134696339</v>
      </c>
      <c r="X497">
        <f t="shared" si="21"/>
        <v>1</v>
      </c>
      <c r="Y497">
        <f t="shared" si="22"/>
        <v>1</v>
      </c>
      <c r="Z497">
        <f t="shared" si="23"/>
        <v>1</v>
      </c>
    </row>
    <row r="498" spans="1:26" ht="15.75" customHeight="1" x14ac:dyDescent="0.2">
      <c r="A498" s="2" t="s">
        <v>23</v>
      </c>
      <c r="B498" s="2" t="s">
        <v>24</v>
      </c>
      <c r="C498" s="2" t="s">
        <v>28</v>
      </c>
      <c r="D498" s="2" t="s">
        <v>29</v>
      </c>
      <c r="E498" s="2">
        <v>209</v>
      </c>
      <c r="F498" s="2">
        <v>256.66666670000001</v>
      </c>
      <c r="G498" s="2">
        <v>380.66666670000001</v>
      </c>
      <c r="H498" s="2">
        <v>1238.666667</v>
      </c>
      <c r="I498" s="2">
        <v>2974.333333</v>
      </c>
      <c r="J498" s="2">
        <v>2.57</v>
      </c>
      <c r="K498" s="2">
        <v>3.83</v>
      </c>
      <c r="L498" s="2">
        <v>9.85</v>
      </c>
      <c r="M498" s="2">
        <v>15.63</v>
      </c>
      <c r="N498" s="2">
        <v>1.5026000079999999</v>
      </c>
      <c r="O498" s="2">
        <v>1.46848277</v>
      </c>
      <c r="P498" s="2">
        <v>2.106266567</v>
      </c>
      <c r="Q498" s="2">
        <v>1.998907532</v>
      </c>
      <c r="R498" s="2">
        <v>1.431945759</v>
      </c>
      <c r="S498" s="2">
        <v>1.340722908</v>
      </c>
      <c r="T498" s="2">
        <v>1.544632706</v>
      </c>
      <c r="U498" s="2">
        <v>1.482596845</v>
      </c>
      <c r="V498" s="2">
        <v>0.37904315399999999</v>
      </c>
      <c r="W498" s="2">
        <v>0.129324046</v>
      </c>
      <c r="X498">
        <f t="shared" si="21"/>
        <v>1</v>
      </c>
      <c r="Y498">
        <f t="shared" si="22"/>
        <v>1</v>
      </c>
      <c r="Z498">
        <f t="shared" si="23"/>
        <v>1</v>
      </c>
    </row>
    <row r="499" spans="1:26" ht="15.75" customHeight="1" x14ac:dyDescent="0.2">
      <c r="A499" s="2" t="s">
        <v>23</v>
      </c>
      <c r="B499" s="2" t="s">
        <v>24</v>
      </c>
      <c r="C499" s="2" t="s">
        <v>32</v>
      </c>
      <c r="D499" s="2" t="s">
        <v>33</v>
      </c>
      <c r="E499" s="2">
        <v>170</v>
      </c>
      <c r="F499" s="2">
        <v>264.33333329999999</v>
      </c>
      <c r="G499" s="2">
        <v>760</v>
      </c>
      <c r="H499" s="2">
        <v>1407</v>
      </c>
      <c r="I499" s="2">
        <v>3312.333333</v>
      </c>
      <c r="J499" s="2">
        <v>2.66</v>
      </c>
      <c r="K499" s="2">
        <v>6.96</v>
      </c>
      <c r="L499" s="2">
        <v>10.67</v>
      </c>
      <c r="M499" s="2">
        <v>16.309999999999999</v>
      </c>
      <c r="N499" s="2">
        <v>1.066598948</v>
      </c>
      <c r="O499" s="2">
        <v>1.1545892820000001</v>
      </c>
      <c r="P499" s="2">
        <v>1.846493516</v>
      </c>
      <c r="Q499" s="2">
        <v>1.9083834239999999</v>
      </c>
      <c r="R499" s="2">
        <v>1.698927002</v>
      </c>
      <c r="S499" s="2">
        <v>1.790149853</v>
      </c>
      <c r="T499" s="2">
        <v>0.72331552499999996</v>
      </c>
      <c r="U499" s="2">
        <v>0.66127966400000004</v>
      </c>
      <c r="V499" s="2">
        <v>3.5099159150000001</v>
      </c>
      <c r="W499" s="2">
        <v>0.12500886</v>
      </c>
      <c r="X499">
        <f t="shared" si="21"/>
        <v>1</v>
      </c>
      <c r="Y499">
        <f t="shared" si="22"/>
        <v>1</v>
      </c>
      <c r="Z499">
        <f t="shared" si="23"/>
        <v>1</v>
      </c>
    </row>
    <row r="500" spans="1:26" ht="15.75" customHeight="1" x14ac:dyDescent="0.2">
      <c r="A500" s="2" t="s">
        <v>23</v>
      </c>
      <c r="B500" s="2" t="s">
        <v>24</v>
      </c>
      <c r="C500" s="2" t="s">
        <v>25</v>
      </c>
      <c r="D500" s="2" t="s">
        <v>25</v>
      </c>
      <c r="E500" s="2">
        <v>252</v>
      </c>
      <c r="F500" s="2">
        <v>258.66666670000001</v>
      </c>
      <c r="G500" s="2">
        <v>915</v>
      </c>
      <c r="H500" s="2">
        <v>1794.666667</v>
      </c>
      <c r="I500" s="2">
        <v>3092.333333</v>
      </c>
      <c r="J500" s="2">
        <v>2.6</v>
      </c>
      <c r="K500" s="2">
        <v>8</v>
      </c>
      <c r="L500" s="2">
        <v>12.28</v>
      </c>
      <c r="M500" s="2">
        <v>15.88</v>
      </c>
      <c r="N500" s="2">
        <v>1.102106024</v>
      </c>
      <c r="O500" s="2">
        <v>1.0337675340000001</v>
      </c>
      <c r="P500" s="2">
        <v>2.880769887</v>
      </c>
      <c r="Q500" s="2">
        <v>2.9868337120000001</v>
      </c>
      <c r="R500" s="2">
        <v>2.7404715030000002</v>
      </c>
      <c r="S500" s="2">
        <v>2.8316943550000002</v>
      </c>
      <c r="T500" s="2">
        <v>0.888060293</v>
      </c>
      <c r="U500" s="2">
        <v>0.95009615400000003</v>
      </c>
      <c r="V500" s="2">
        <v>4.5514604170000004</v>
      </c>
      <c r="W500" s="2">
        <v>0.21525961499999999</v>
      </c>
      <c r="X500">
        <f t="shared" si="21"/>
        <v>1</v>
      </c>
      <c r="Y500">
        <f t="shared" si="22"/>
        <v>1</v>
      </c>
      <c r="Z500">
        <f t="shared" si="23"/>
        <v>0</v>
      </c>
    </row>
    <row r="501" spans="1:26" ht="15.75" customHeight="1" x14ac:dyDescent="0.2">
      <c r="A501" s="2" t="s">
        <v>23</v>
      </c>
      <c r="B501" s="2" t="s">
        <v>24</v>
      </c>
      <c r="C501" s="2" t="s">
        <v>27</v>
      </c>
      <c r="D501" s="2" t="s">
        <v>27</v>
      </c>
      <c r="E501" s="2">
        <v>180</v>
      </c>
      <c r="F501" s="2">
        <v>274.66666670000001</v>
      </c>
      <c r="G501" s="2">
        <v>519</v>
      </c>
      <c r="H501" s="2">
        <v>2332.333333</v>
      </c>
      <c r="I501" s="2">
        <v>3356</v>
      </c>
      <c r="J501" s="2">
        <v>2.77</v>
      </c>
      <c r="K501" s="2">
        <v>5.08</v>
      </c>
      <c r="L501" s="2">
        <v>14.04</v>
      </c>
      <c r="M501" s="2">
        <v>16.399999999999999</v>
      </c>
      <c r="N501" s="2">
        <v>0.28903515400000002</v>
      </c>
      <c r="O501" s="2">
        <v>0.40851041999999999</v>
      </c>
      <c r="P501" s="2">
        <v>2.6472102159999999</v>
      </c>
      <c r="Q501" s="2">
        <v>2.7046050749999999</v>
      </c>
      <c r="R501" s="2">
        <v>0.17919801299999999</v>
      </c>
      <c r="S501" s="2">
        <v>8.7975160999999996E-2</v>
      </c>
      <c r="T501" s="2">
        <v>2.6411380119999999</v>
      </c>
      <c r="U501" s="2">
        <v>2.7031738729999999</v>
      </c>
      <c r="V501" s="2">
        <v>1.631790901</v>
      </c>
      <c r="W501" s="2">
        <v>0.15003846900000001</v>
      </c>
      <c r="X501">
        <f t="shared" si="21"/>
        <v>1</v>
      </c>
      <c r="Y501">
        <f t="shared" si="22"/>
        <v>1</v>
      </c>
      <c r="Z501">
        <f t="shared" si="23"/>
        <v>0</v>
      </c>
    </row>
    <row r="502" spans="1:26" ht="15.75" customHeight="1" x14ac:dyDescent="0.2">
      <c r="A502" s="2" t="s">
        <v>23</v>
      </c>
      <c r="B502" s="2" t="s">
        <v>24</v>
      </c>
      <c r="C502" s="2" t="s">
        <v>30</v>
      </c>
      <c r="D502" s="2" t="s">
        <v>31</v>
      </c>
      <c r="E502" s="2">
        <v>174</v>
      </c>
      <c r="F502" s="2">
        <v>251.33333329999999</v>
      </c>
      <c r="G502" s="2">
        <v>628.33333330000005</v>
      </c>
      <c r="H502" s="2">
        <v>1481.333333</v>
      </c>
      <c r="I502" s="2">
        <v>2666.333333</v>
      </c>
      <c r="J502" s="2">
        <v>2.52</v>
      </c>
      <c r="K502" s="2">
        <v>5.98</v>
      </c>
      <c r="L502" s="2">
        <v>11.01</v>
      </c>
      <c r="M502" s="2">
        <v>14.92</v>
      </c>
      <c r="N502" s="2">
        <v>3.4453614039999998</v>
      </c>
      <c r="O502" s="2">
        <v>3.536292617</v>
      </c>
      <c r="P502" s="2">
        <v>0.81368196400000004</v>
      </c>
      <c r="Q502" s="2">
        <v>0.87005491999999995</v>
      </c>
      <c r="R502" s="2">
        <v>0.71618477599999997</v>
      </c>
      <c r="S502" s="2">
        <v>0.80740762799999999</v>
      </c>
      <c r="T502" s="2">
        <v>0.38620940500000001</v>
      </c>
      <c r="U502" s="2">
        <v>0.32417354500000001</v>
      </c>
      <c r="V502" s="2">
        <v>2.5271736900000001</v>
      </c>
      <c r="W502" s="2">
        <v>0.14085050599999999</v>
      </c>
      <c r="X502">
        <f t="shared" si="21"/>
        <v>1</v>
      </c>
      <c r="Y502">
        <f t="shared" si="22"/>
        <v>1</v>
      </c>
      <c r="Z502">
        <f t="shared" si="23"/>
        <v>1</v>
      </c>
    </row>
    <row r="503" spans="1:26" ht="15.75" customHeight="1" x14ac:dyDescent="0.2">
      <c r="A503" s="2" t="s">
        <v>23</v>
      </c>
      <c r="B503" s="2" t="s">
        <v>24</v>
      </c>
      <c r="C503" s="2" t="s">
        <v>25</v>
      </c>
      <c r="D503" s="2" t="s">
        <v>25</v>
      </c>
      <c r="E503" s="2">
        <v>195</v>
      </c>
      <c r="F503" s="2">
        <v>224</v>
      </c>
      <c r="G503" s="2">
        <v>897.33333330000005</v>
      </c>
      <c r="H503" s="2">
        <v>1439</v>
      </c>
      <c r="I503" s="2">
        <v>2182</v>
      </c>
      <c r="J503" s="2">
        <v>2.2200000000000002</v>
      </c>
      <c r="K503" s="2">
        <v>7.89</v>
      </c>
      <c r="L503" s="2">
        <v>10.82</v>
      </c>
      <c r="M503" s="2">
        <v>13.59</v>
      </c>
      <c r="N503" s="2">
        <v>0.36761563899999999</v>
      </c>
      <c r="O503" s="2">
        <v>0.43729620800000002</v>
      </c>
      <c r="P503" s="2">
        <v>2.6899416500000002</v>
      </c>
      <c r="Q503" s="2">
        <v>2.7669138700000002</v>
      </c>
      <c r="R503" s="2">
        <v>2.6274636189999998</v>
      </c>
      <c r="S503" s="2">
        <v>2.7186864709999998</v>
      </c>
      <c r="T503" s="2">
        <v>0.57638616600000003</v>
      </c>
      <c r="U503" s="2">
        <v>0.51435030599999998</v>
      </c>
      <c r="V503" s="2">
        <v>4.4384525330000004</v>
      </c>
      <c r="W503" s="2">
        <v>0.199086653</v>
      </c>
      <c r="X503">
        <f t="shared" si="21"/>
        <v>1</v>
      </c>
      <c r="Y503">
        <f t="shared" si="22"/>
        <v>1</v>
      </c>
      <c r="Z503">
        <f t="shared" si="23"/>
        <v>0</v>
      </c>
    </row>
    <row r="504" spans="1:26" ht="15.75" customHeight="1" x14ac:dyDescent="0.2">
      <c r="A504" s="2" t="s">
        <v>23</v>
      </c>
      <c r="B504" s="2" t="s">
        <v>24</v>
      </c>
      <c r="C504" s="2" t="s">
        <v>30</v>
      </c>
      <c r="D504" s="2" t="s">
        <v>31</v>
      </c>
      <c r="E504" s="2">
        <v>239</v>
      </c>
      <c r="F504" s="2">
        <v>245.33333329999999</v>
      </c>
      <c r="G504" s="2">
        <v>557.33333330000005</v>
      </c>
      <c r="H504" s="2">
        <v>1167.666667</v>
      </c>
      <c r="I504" s="2">
        <v>1540.666667</v>
      </c>
      <c r="J504" s="2">
        <v>2.4500000000000002</v>
      </c>
      <c r="K504" s="2">
        <v>5.41</v>
      </c>
      <c r="L504" s="2">
        <v>9.48</v>
      </c>
      <c r="M504" s="2">
        <v>11.27</v>
      </c>
      <c r="N504" s="2">
        <v>4.856234443</v>
      </c>
      <c r="O504" s="2">
        <v>4.9081935269999999</v>
      </c>
      <c r="P504" s="2">
        <v>1.922926283</v>
      </c>
      <c r="Q504" s="2">
        <v>1.870320161</v>
      </c>
      <c r="R504" s="2">
        <v>0.143586149</v>
      </c>
      <c r="S504" s="2">
        <v>0.23480900099999999</v>
      </c>
      <c r="T504" s="2">
        <v>1.9175579540000001</v>
      </c>
      <c r="U504" s="2">
        <v>1.855522093</v>
      </c>
      <c r="V504" s="2">
        <v>1.9545750630000001</v>
      </c>
      <c r="W504" s="2">
        <v>0.22258297899999999</v>
      </c>
      <c r="X504">
        <f t="shared" si="21"/>
        <v>1</v>
      </c>
      <c r="Y504">
        <f t="shared" si="22"/>
        <v>1</v>
      </c>
      <c r="Z504">
        <f t="shared" si="23"/>
        <v>1</v>
      </c>
    </row>
    <row r="505" spans="1:26" ht="15.75" customHeight="1" x14ac:dyDescent="0.2">
      <c r="A505" s="2" t="s">
        <v>23</v>
      </c>
      <c r="B505" s="2" t="s">
        <v>24</v>
      </c>
      <c r="C505" s="2" t="s">
        <v>25</v>
      </c>
      <c r="D505" s="2" t="s">
        <v>25</v>
      </c>
      <c r="E505" s="2">
        <v>135</v>
      </c>
      <c r="F505" s="2">
        <v>118.33333330000001</v>
      </c>
      <c r="G505" s="2">
        <v>686</v>
      </c>
      <c r="H505" s="2">
        <v>1386.333333</v>
      </c>
      <c r="I505" s="2">
        <v>2598.666667</v>
      </c>
      <c r="J505" s="2">
        <v>1</v>
      </c>
      <c r="K505" s="2">
        <v>6.42</v>
      </c>
      <c r="L505" s="2">
        <v>10.58</v>
      </c>
      <c r="M505" s="2">
        <v>14.75</v>
      </c>
      <c r="N505" s="2">
        <v>0.27789440399999998</v>
      </c>
      <c r="O505" s="2">
        <v>0.24903043899999999</v>
      </c>
      <c r="P505" s="2">
        <v>2.2578105530000001</v>
      </c>
      <c r="Q505" s="2">
        <v>2.279955411</v>
      </c>
      <c r="R505" s="2">
        <v>2.201744465</v>
      </c>
      <c r="S505" s="2">
        <v>2.2321296940000002</v>
      </c>
      <c r="T505" s="2">
        <v>0.50002980200000002</v>
      </c>
      <c r="U505" s="2">
        <v>0.46453601</v>
      </c>
      <c r="V505" s="2">
        <v>3.2585375750000001</v>
      </c>
      <c r="W505" s="2">
        <v>9.7163853999999994E-2</v>
      </c>
      <c r="X505">
        <f t="shared" si="21"/>
        <v>1</v>
      </c>
      <c r="Y505">
        <f t="shared" si="22"/>
        <v>1</v>
      </c>
      <c r="Z505">
        <f t="shared" si="23"/>
        <v>0</v>
      </c>
    </row>
    <row r="506" spans="1:26" ht="15.75" customHeight="1" x14ac:dyDescent="0.2">
      <c r="A506" s="2" t="s">
        <v>23</v>
      </c>
      <c r="B506" s="2" t="s">
        <v>24</v>
      </c>
      <c r="C506" s="2" t="s">
        <v>26</v>
      </c>
      <c r="D506" s="2" t="s">
        <v>26</v>
      </c>
      <c r="E506" s="2">
        <v>102</v>
      </c>
      <c r="F506" s="2">
        <v>109.33333330000001</v>
      </c>
      <c r="G506" s="2">
        <v>416.66666670000001</v>
      </c>
      <c r="H506" s="2">
        <v>927</v>
      </c>
      <c r="I506" s="2">
        <v>2476.333333</v>
      </c>
      <c r="J506" s="2">
        <v>0.89</v>
      </c>
      <c r="K506" s="2">
        <v>4.17</v>
      </c>
      <c r="L506" s="2">
        <v>8.08</v>
      </c>
      <c r="M506" s="2">
        <v>14.44</v>
      </c>
      <c r="N506" s="2">
        <v>0.28252279499999999</v>
      </c>
      <c r="O506" s="2">
        <v>0.52229449500000003</v>
      </c>
      <c r="P506" s="2">
        <v>2.9988433049999998</v>
      </c>
      <c r="Q506" s="2">
        <v>2.9630097919999998</v>
      </c>
      <c r="R506" s="2">
        <v>4.8785897000000002E-2</v>
      </c>
      <c r="S506" s="2">
        <v>1.8400667999999998E-2</v>
      </c>
      <c r="T506" s="2">
        <v>2.9984464480000002</v>
      </c>
      <c r="U506" s="2">
        <v>2.9629526560000001</v>
      </c>
      <c r="V506" s="2">
        <v>1.008007213</v>
      </c>
      <c r="W506" s="2">
        <v>0.105096857</v>
      </c>
      <c r="X506">
        <f t="shared" si="21"/>
        <v>1</v>
      </c>
      <c r="Y506">
        <f t="shared" si="22"/>
        <v>1</v>
      </c>
      <c r="Z506">
        <f t="shared" si="23"/>
        <v>0</v>
      </c>
    </row>
    <row r="507" spans="1:26" ht="15.75" customHeight="1" x14ac:dyDescent="0.2">
      <c r="A507" s="2" t="s">
        <v>23</v>
      </c>
      <c r="B507" s="2" t="s">
        <v>24</v>
      </c>
      <c r="C507" s="2" t="s">
        <v>27</v>
      </c>
      <c r="D507" s="2" t="s">
        <v>27</v>
      </c>
      <c r="E507" s="2">
        <v>100</v>
      </c>
      <c r="F507" s="2">
        <v>128.33333329999999</v>
      </c>
      <c r="G507" s="2">
        <v>376.33333329999999</v>
      </c>
      <c r="H507" s="2">
        <v>2136</v>
      </c>
      <c r="I507" s="2">
        <v>2936.666667</v>
      </c>
      <c r="J507" s="2">
        <v>1.1200000000000001</v>
      </c>
      <c r="K507" s="2">
        <v>3.79</v>
      </c>
      <c r="L507" s="2">
        <v>13.45</v>
      </c>
      <c r="M507" s="2">
        <v>15.55</v>
      </c>
      <c r="N507" s="2">
        <v>5.8945623000000003E-2</v>
      </c>
      <c r="O507" s="2">
        <v>0.16968886699999999</v>
      </c>
      <c r="P507" s="2">
        <v>2.4127181700000002</v>
      </c>
      <c r="Q507" s="2">
        <v>2.4424898150000001</v>
      </c>
      <c r="R507" s="2">
        <v>0.43047865600000002</v>
      </c>
      <c r="S507" s="2">
        <v>0.40009342599999997</v>
      </c>
      <c r="T507" s="2">
        <v>2.374004443</v>
      </c>
      <c r="U507" s="2">
        <v>2.409498235</v>
      </c>
      <c r="V507" s="2">
        <v>0.62631445399999996</v>
      </c>
      <c r="W507" s="2">
        <v>9.2070027999999998E-2</v>
      </c>
      <c r="X507">
        <f t="shared" si="21"/>
        <v>1</v>
      </c>
      <c r="Y507">
        <f t="shared" si="22"/>
        <v>1</v>
      </c>
      <c r="Z507">
        <f t="shared" si="23"/>
        <v>0</v>
      </c>
    </row>
    <row r="508" spans="1:26" ht="15.75" customHeight="1" x14ac:dyDescent="0.2">
      <c r="A508" s="2" t="s">
        <v>23</v>
      </c>
      <c r="B508" s="2" t="s">
        <v>24</v>
      </c>
      <c r="C508" s="2" t="s">
        <v>28</v>
      </c>
      <c r="D508" s="2" t="s">
        <v>29</v>
      </c>
      <c r="E508" s="2">
        <v>116</v>
      </c>
      <c r="F508" s="2">
        <v>115.66666669999999</v>
      </c>
      <c r="G508" s="2">
        <v>583.33333330000005</v>
      </c>
      <c r="H508" s="2">
        <v>2154.666667</v>
      </c>
      <c r="I508" s="2">
        <v>3427.666667</v>
      </c>
      <c r="J508" s="2">
        <v>0.96</v>
      </c>
      <c r="K508" s="2">
        <v>5.62</v>
      </c>
      <c r="L508" s="2">
        <v>13.51</v>
      </c>
      <c r="M508" s="2">
        <v>16.53</v>
      </c>
      <c r="N508" s="2">
        <v>5.6981735970000003</v>
      </c>
      <c r="O508" s="2">
        <v>6.0560029699999998</v>
      </c>
      <c r="P508" s="2">
        <v>2.8063965199999998</v>
      </c>
      <c r="Q508" s="2">
        <v>2.8523297009999999</v>
      </c>
      <c r="R508" s="2">
        <v>1.400086293</v>
      </c>
      <c r="S508" s="2">
        <v>1.4304715219999999</v>
      </c>
      <c r="T508" s="2">
        <v>2.4322047200000001</v>
      </c>
      <c r="U508" s="2">
        <v>2.4676985120000001</v>
      </c>
      <c r="V508" s="2">
        <v>2.4568794029999999</v>
      </c>
      <c r="W508" s="2">
        <v>7.8883255999999999E-2</v>
      </c>
      <c r="X508">
        <f t="shared" si="21"/>
        <v>1</v>
      </c>
      <c r="Y508">
        <f t="shared" si="22"/>
        <v>1</v>
      </c>
      <c r="Z508">
        <f t="shared" si="23"/>
        <v>1</v>
      </c>
    </row>
    <row r="509" spans="1:26" ht="15.75" customHeight="1" x14ac:dyDescent="0.2">
      <c r="A509" s="2" t="s">
        <v>23</v>
      </c>
      <c r="B509" s="2" t="s">
        <v>24</v>
      </c>
      <c r="C509" s="2" t="s">
        <v>30</v>
      </c>
      <c r="D509" s="2" t="s">
        <v>31</v>
      </c>
      <c r="E509" s="2">
        <v>157</v>
      </c>
      <c r="F509" s="2">
        <v>109.33333330000001</v>
      </c>
      <c r="G509" s="2">
        <v>757.33333330000005</v>
      </c>
      <c r="H509" s="2">
        <v>1427</v>
      </c>
      <c r="I509" s="2">
        <v>3024</v>
      </c>
      <c r="J509" s="2">
        <v>0.89</v>
      </c>
      <c r="K509" s="2">
        <v>6.94</v>
      </c>
      <c r="L509" s="2">
        <v>10.77</v>
      </c>
      <c r="M509" s="2">
        <v>15.74</v>
      </c>
      <c r="N509" s="2">
        <v>4.1868559789999997</v>
      </c>
      <c r="O509" s="2">
        <v>4.3092915649999997</v>
      </c>
      <c r="P509" s="2">
        <v>2.7408318120000001</v>
      </c>
      <c r="Q509" s="2">
        <v>2.767257265</v>
      </c>
      <c r="R509" s="2">
        <v>2.7230743820000001</v>
      </c>
      <c r="S509" s="2">
        <v>2.7534596109999998</v>
      </c>
      <c r="T509" s="2">
        <v>0.31148825600000002</v>
      </c>
      <c r="U509" s="2">
        <v>0.27599446300000002</v>
      </c>
      <c r="V509" s="2">
        <v>3.7798674920000002</v>
      </c>
      <c r="W509" s="2">
        <v>0.10290769399999999</v>
      </c>
      <c r="X509">
        <f t="shared" si="21"/>
        <v>1</v>
      </c>
      <c r="Y509">
        <f t="shared" si="22"/>
        <v>1</v>
      </c>
      <c r="Z509">
        <f t="shared" si="23"/>
        <v>1</v>
      </c>
    </row>
    <row r="510" spans="1:26" ht="15.75" customHeight="1" x14ac:dyDescent="0.2">
      <c r="A510" s="2" t="s">
        <v>23</v>
      </c>
      <c r="B510" s="2" t="s">
        <v>24</v>
      </c>
      <c r="C510" s="2" t="s">
        <v>26</v>
      </c>
      <c r="D510" s="2" t="s">
        <v>26</v>
      </c>
      <c r="E510" s="2">
        <v>149</v>
      </c>
      <c r="F510" s="2">
        <v>114</v>
      </c>
      <c r="G510" s="2">
        <v>383.66666670000001</v>
      </c>
      <c r="H510" s="2">
        <v>700</v>
      </c>
      <c r="I510" s="2">
        <v>3042</v>
      </c>
      <c r="J510" s="2">
        <v>0.94</v>
      </c>
      <c r="K510" s="2">
        <v>3.86</v>
      </c>
      <c r="L510" s="2">
        <v>6.53</v>
      </c>
      <c r="M510" s="2">
        <v>15.77</v>
      </c>
      <c r="N510" s="2">
        <v>1.555436144</v>
      </c>
      <c r="O510" s="2">
        <v>1.220114199</v>
      </c>
      <c r="P510" s="2">
        <v>4.5659507560000003</v>
      </c>
      <c r="Q510" s="2">
        <v>4.5282545809999997</v>
      </c>
      <c r="R510" s="2">
        <v>0.360102804</v>
      </c>
      <c r="S510" s="2">
        <v>0.32971757499999998</v>
      </c>
      <c r="T510" s="2">
        <v>4.5517284929999997</v>
      </c>
      <c r="U510" s="2">
        <v>4.5162347010000001</v>
      </c>
      <c r="V510" s="2">
        <v>0.69669030600000004</v>
      </c>
      <c r="W510" s="2">
        <v>0.115924245</v>
      </c>
      <c r="X510">
        <f t="shared" si="21"/>
        <v>1</v>
      </c>
      <c r="Y510">
        <f t="shared" si="22"/>
        <v>1</v>
      </c>
      <c r="Z510">
        <f t="shared" si="23"/>
        <v>0</v>
      </c>
    </row>
    <row r="511" spans="1:26" ht="15.75" customHeight="1" x14ac:dyDescent="0.2">
      <c r="A511" s="2" t="s">
        <v>23</v>
      </c>
      <c r="B511" s="2" t="s">
        <v>24</v>
      </c>
      <c r="C511" s="2" t="s">
        <v>28</v>
      </c>
      <c r="D511" s="2" t="s">
        <v>29</v>
      </c>
      <c r="E511" s="2">
        <v>133</v>
      </c>
      <c r="F511" s="2">
        <v>115</v>
      </c>
      <c r="G511" s="2">
        <v>582.66666669999995</v>
      </c>
      <c r="H511" s="2">
        <v>2077.666667</v>
      </c>
      <c r="I511" s="2">
        <v>3129</v>
      </c>
      <c r="J511" s="2">
        <v>0.96</v>
      </c>
      <c r="K511" s="2">
        <v>5.61</v>
      </c>
      <c r="L511" s="2">
        <v>13.27</v>
      </c>
      <c r="M511" s="2">
        <v>15.95</v>
      </c>
      <c r="N511" s="2">
        <v>5.4649314059999998</v>
      </c>
      <c r="O511" s="2">
        <v>5.8228376659999999</v>
      </c>
      <c r="P511" s="2">
        <v>2.5952524430000001</v>
      </c>
      <c r="Q511" s="2">
        <v>2.6415224199999998</v>
      </c>
      <c r="R511" s="2">
        <v>1.394669167</v>
      </c>
      <c r="S511" s="2">
        <v>1.425054397</v>
      </c>
      <c r="T511" s="2">
        <v>2.188660128</v>
      </c>
      <c r="U511" s="2">
        <v>2.2241539210000001</v>
      </c>
      <c r="V511" s="2">
        <v>2.4514622770000001</v>
      </c>
      <c r="W511" s="2">
        <v>9.2876598000000005E-2</v>
      </c>
      <c r="X511">
        <f t="shared" si="21"/>
        <v>1</v>
      </c>
      <c r="Y511">
        <f t="shared" si="22"/>
        <v>1</v>
      </c>
      <c r="Z511">
        <f t="shared" si="23"/>
        <v>1</v>
      </c>
    </row>
    <row r="512" spans="1:26" ht="15.75" customHeight="1" x14ac:dyDescent="0.2">
      <c r="A512" s="2" t="s">
        <v>23</v>
      </c>
      <c r="B512" s="2" t="s">
        <v>24</v>
      </c>
      <c r="C512" s="2" t="s">
        <v>32</v>
      </c>
      <c r="D512" s="2" t="s">
        <v>33</v>
      </c>
      <c r="E512" s="2">
        <v>140</v>
      </c>
      <c r="F512" s="2">
        <v>117.33333330000001</v>
      </c>
      <c r="G512" s="2">
        <v>799.66666669999995</v>
      </c>
      <c r="H512" s="2">
        <v>1695.333333</v>
      </c>
      <c r="I512" s="2">
        <v>3381.333333</v>
      </c>
      <c r="J512" s="2">
        <v>0.98</v>
      </c>
      <c r="K512" s="2">
        <v>7.24</v>
      </c>
      <c r="L512" s="2">
        <v>11.9</v>
      </c>
      <c r="M512" s="2">
        <v>16.440000000000001</v>
      </c>
      <c r="N512" s="2">
        <v>1.3855483740000001</v>
      </c>
      <c r="O512" s="2">
        <v>1.3308115970000001</v>
      </c>
      <c r="P512" s="2">
        <v>3.131023656</v>
      </c>
      <c r="Q512" s="2">
        <v>3.169816682</v>
      </c>
      <c r="R512" s="2">
        <v>3.0197185449999999</v>
      </c>
      <c r="S512" s="2">
        <v>3.0501037740000001</v>
      </c>
      <c r="T512" s="2">
        <v>0.82741104799999998</v>
      </c>
      <c r="U512" s="2">
        <v>0.86290484099999998</v>
      </c>
      <c r="V512" s="2">
        <v>4.076511655</v>
      </c>
      <c r="W512" s="2">
        <v>9.3745811999999998E-2</v>
      </c>
      <c r="X512">
        <f t="shared" si="21"/>
        <v>1</v>
      </c>
      <c r="Y512">
        <f t="shared" si="22"/>
        <v>1</v>
      </c>
      <c r="Z512">
        <f t="shared" si="23"/>
        <v>1</v>
      </c>
    </row>
    <row r="513" spans="1:26" ht="15.75" customHeight="1" x14ac:dyDescent="0.2">
      <c r="A513" s="2" t="s">
        <v>23</v>
      </c>
      <c r="B513" s="2" t="s">
        <v>24</v>
      </c>
      <c r="C513" s="2" t="s">
        <v>32</v>
      </c>
      <c r="D513" s="2" t="s">
        <v>33</v>
      </c>
      <c r="E513" s="2">
        <v>139</v>
      </c>
      <c r="F513" s="2">
        <v>112</v>
      </c>
      <c r="G513" s="2">
        <v>626.66666669999995</v>
      </c>
      <c r="H513" s="2">
        <v>1627</v>
      </c>
      <c r="I513" s="2">
        <v>3098.666667</v>
      </c>
      <c r="J513" s="2">
        <v>0.92</v>
      </c>
      <c r="K513" s="2">
        <v>5.97</v>
      </c>
      <c r="L513" s="2">
        <v>11.63</v>
      </c>
      <c r="M513" s="2">
        <v>15.89</v>
      </c>
      <c r="N513" s="2">
        <v>0.87334503900000005</v>
      </c>
      <c r="O513" s="2">
        <v>0.95000258800000004</v>
      </c>
      <c r="P513" s="2">
        <v>1.8318484770000001</v>
      </c>
      <c r="Q513" s="2">
        <v>1.8717011539999999</v>
      </c>
      <c r="R513" s="2">
        <v>1.7462099099999999</v>
      </c>
      <c r="S513" s="2">
        <v>1.7765951390000001</v>
      </c>
      <c r="T513" s="2">
        <v>0.55355197899999997</v>
      </c>
      <c r="U513" s="2">
        <v>0.589045771</v>
      </c>
      <c r="V513" s="2">
        <v>2.8030030199999998</v>
      </c>
      <c r="W513" s="2">
        <v>9.7153228999999994E-2</v>
      </c>
      <c r="X513">
        <f t="shared" si="21"/>
        <v>1</v>
      </c>
      <c r="Y513">
        <f t="shared" si="22"/>
        <v>1</v>
      </c>
      <c r="Z513">
        <f t="shared" si="23"/>
        <v>1</v>
      </c>
    </row>
    <row r="514" spans="1:26" ht="15.75" customHeight="1" x14ac:dyDescent="0.2">
      <c r="A514" s="2" t="s">
        <v>23</v>
      </c>
      <c r="B514" s="2" t="s">
        <v>24</v>
      </c>
      <c r="C514" s="2" t="s">
        <v>25</v>
      </c>
      <c r="D514" s="2" t="s">
        <v>25</v>
      </c>
      <c r="E514" s="2">
        <v>134</v>
      </c>
      <c r="F514" s="2">
        <v>127</v>
      </c>
      <c r="G514" s="2">
        <v>658.66666669999995</v>
      </c>
      <c r="H514" s="2">
        <v>1545.333333</v>
      </c>
      <c r="I514" s="2">
        <v>2714.666667</v>
      </c>
      <c r="J514" s="2">
        <v>1.1000000000000001</v>
      </c>
      <c r="K514" s="2">
        <v>6.21</v>
      </c>
      <c r="L514" s="2">
        <v>11.29</v>
      </c>
      <c r="M514" s="2">
        <v>15.04</v>
      </c>
      <c r="N514" s="2">
        <v>0.46396551899999999</v>
      </c>
      <c r="O514" s="2">
        <v>0.53014483800000001</v>
      </c>
      <c r="P514" s="2">
        <v>2.0057180379999999</v>
      </c>
      <c r="Q514" s="2">
        <v>2.0399409629999998</v>
      </c>
      <c r="R514" s="2">
        <v>1.9944558619999999</v>
      </c>
      <c r="S514" s="2">
        <v>2.024841092</v>
      </c>
      <c r="T514" s="2">
        <v>0.212251407</v>
      </c>
      <c r="U514" s="2">
        <v>0.2477452</v>
      </c>
      <c r="V514" s="2">
        <v>3.0512489729999999</v>
      </c>
      <c r="W514" s="2">
        <v>0.13815290399999999</v>
      </c>
      <c r="X514">
        <f t="shared" si="21"/>
        <v>1</v>
      </c>
      <c r="Y514">
        <f t="shared" si="22"/>
        <v>1</v>
      </c>
      <c r="Z514">
        <f t="shared" si="23"/>
        <v>0</v>
      </c>
    </row>
    <row r="515" spans="1:26" ht="15.75" customHeight="1" x14ac:dyDescent="0.2">
      <c r="A515" s="2" t="s">
        <v>23</v>
      </c>
      <c r="B515" s="2" t="s">
        <v>24</v>
      </c>
      <c r="C515" s="2" t="s">
        <v>32</v>
      </c>
      <c r="D515" s="2" t="s">
        <v>33</v>
      </c>
      <c r="E515" s="2">
        <v>118</v>
      </c>
      <c r="F515" s="2">
        <v>110</v>
      </c>
      <c r="G515" s="2">
        <v>686.33333330000005</v>
      </c>
      <c r="H515" s="2">
        <v>1726</v>
      </c>
      <c r="I515" s="2">
        <v>2919</v>
      </c>
      <c r="J515" s="2">
        <v>0.89</v>
      </c>
      <c r="K515" s="2">
        <v>6.42</v>
      </c>
      <c r="L515" s="2">
        <v>12.02</v>
      </c>
      <c r="M515" s="2">
        <v>15.51</v>
      </c>
      <c r="N515" s="2">
        <v>1.1818649349999999</v>
      </c>
      <c r="O515" s="2">
        <v>1.2025383599999999</v>
      </c>
      <c r="P515" s="2">
        <v>2.3990692409999999</v>
      </c>
      <c r="Q515" s="2">
        <v>2.4410848980000002</v>
      </c>
      <c r="R515" s="2">
        <v>2.2042459459999999</v>
      </c>
      <c r="S515" s="2">
        <v>2.2346311750000001</v>
      </c>
      <c r="T515" s="2">
        <v>0.94701268999999999</v>
      </c>
      <c r="U515" s="2">
        <v>0.98250648200000001</v>
      </c>
      <c r="V515" s="2">
        <v>3.261039056</v>
      </c>
      <c r="W515" s="2">
        <v>0.104384638</v>
      </c>
      <c r="X515">
        <f t="shared" ref="X515:X578" si="24">IF(B515="normal",1,0)</f>
        <v>1</v>
      </c>
      <c r="Y515">
        <f t="shared" ref="Y515:Y578" si="25">IF(A515="lecture",1,0)</f>
        <v>1</v>
      </c>
      <c r="Z515">
        <f t="shared" ref="Z515:Z578" si="26">IF(ISNUMBER(FIND("~",D515)),1,0)</f>
        <v>1</v>
      </c>
    </row>
    <row r="516" spans="1:26" ht="15.75" customHeight="1" x14ac:dyDescent="0.2">
      <c r="A516" s="2" t="s">
        <v>23</v>
      </c>
      <c r="B516" s="2" t="s">
        <v>24</v>
      </c>
      <c r="C516" s="2" t="s">
        <v>32</v>
      </c>
      <c r="D516" s="2" t="s">
        <v>33</v>
      </c>
      <c r="E516" s="2">
        <v>142</v>
      </c>
      <c r="F516" s="2">
        <v>124</v>
      </c>
      <c r="G516" s="2">
        <v>702.33333330000005</v>
      </c>
      <c r="H516" s="2">
        <v>1677.333333</v>
      </c>
      <c r="I516" s="2">
        <v>3122.666667</v>
      </c>
      <c r="J516" s="2">
        <v>1.07</v>
      </c>
      <c r="K516" s="2">
        <v>6.54</v>
      </c>
      <c r="L516" s="2">
        <v>11.83</v>
      </c>
      <c r="M516" s="2">
        <v>15.94</v>
      </c>
      <c r="N516" s="2">
        <v>1.0079320300000001</v>
      </c>
      <c r="O516" s="2">
        <v>1.0141281980000001</v>
      </c>
      <c r="P516" s="2">
        <v>2.4435571340000002</v>
      </c>
      <c r="Q516" s="2">
        <v>2.4835549979999998</v>
      </c>
      <c r="R516" s="2">
        <v>2.323580411</v>
      </c>
      <c r="S516" s="2">
        <v>2.3539656409999998</v>
      </c>
      <c r="T516" s="2">
        <v>0.75627081200000001</v>
      </c>
      <c r="U516" s="2">
        <v>0.79176460500000001</v>
      </c>
      <c r="V516" s="2">
        <v>3.3803735210000001</v>
      </c>
      <c r="W516" s="2">
        <v>0.105158958</v>
      </c>
      <c r="X516">
        <f t="shared" si="24"/>
        <v>1</v>
      </c>
      <c r="Y516">
        <f t="shared" si="25"/>
        <v>1</v>
      </c>
      <c r="Z516">
        <f t="shared" si="26"/>
        <v>1</v>
      </c>
    </row>
    <row r="517" spans="1:26" ht="15.75" customHeight="1" x14ac:dyDescent="0.2">
      <c r="A517" s="2" t="s">
        <v>23</v>
      </c>
      <c r="B517" s="2" t="s">
        <v>24</v>
      </c>
      <c r="C517" s="2" t="s">
        <v>25</v>
      </c>
      <c r="D517" s="2" t="s">
        <v>25</v>
      </c>
      <c r="E517" s="2">
        <v>84</v>
      </c>
      <c r="F517" s="2">
        <v>118.66666669999999</v>
      </c>
      <c r="G517" s="2">
        <v>640.66666669999995</v>
      </c>
      <c r="H517" s="2">
        <v>1476.333333</v>
      </c>
      <c r="I517" s="2">
        <v>2729</v>
      </c>
      <c r="J517" s="2">
        <v>1</v>
      </c>
      <c r="K517" s="2">
        <v>6.07</v>
      </c>
      <c r="L517" s="2">
        <v>10.99</v>
      </c>
      <c r="M517" s="2">
        <v>15.07</v>
      </c>
      <c r="N517" s="2">
        <v>0.307196407</v>
      </c>
      <c r="O517" s="2">
        <v>0.42358107499999997</v>
      </c>
      <c r="P517" s="2">
        <v>1.8576907119999999</v>
      </c>
      <c r="Q517" s="2">
        <v>1.8867064060000001</v>
      </c>
      <c r="R517" s="2">
        <v>1.85556922</v>
      </c>
      <c r="S517" s="2">
        <v>1.885954449</v>
      </c>
      <c r="T517" s="2">
        <v>8.8756129000000003E-2</v>
      </c>
      <c r="U517" s="2">
        <v>5.3262336E-2</v>
      </c>
      <c r="V517" s="2">
        <v>2.9123623300000001</v>
      </c>
      <c r="W517" s="2">
        <v>8.7320355000000002E-2</v>
      </c>
      <c r="X517">
        <f t="shared" si="24"/>
        <v>1</v>
      </c>
      <c r="Y517">
        <f t="shared" si="25"/>
        <v>1</v>
      </c>
      <c r="Z517">
        <f t="shared" si="26"/>
        <v>0</v>
      </c>
    </row>
    <row r="518" spans="1:26" ht="15.75" customHeight="1" x14ac:dyDescent="0.2">
      <c r="A518" s="2" t="s">
        <v>23</v>
      </c>
      <c r="B518" s="2" t="s">
        <v>24</v>
      </c>
      <c r="C518" s="2" t="s">
        <v>25</v>
      </c>
      <c r="D518" s="2" t="s">
        <v>25</v>
      </c>
      <c r="E518" s="2">
        <v>120</v>
      </c>
      <c r="F518" s="2">
        <v>115.66666669999999</v>
      </c>
      <c r="G518" s="2">
        <v>740.33333330000005</v>
      </c>
      <c r="H518" s="2">
        <v>1422</v>
      </c>
      <c r="I518" s="2">
        <v>2751.666667</v>
      </c>
      <c r="J518" s="2">
        <v>0.96</v>
      </c>
      <c r="K518" s="2">
        <v>6.82</v>
      </c>
      <c r="L518" s="2">
        <v>10.74</v>
      </c>
      <c r="M518" s="2">
        <v>15.13</v>
      </c>
      <c r="N518" s="2">
        <v>0.48504988799999998</v>
      </c>
      <c r="O518" s="2">
        <v>0.36488239300000003</v>
      </c>
      <c r="P518" s="2">
        <v>2.6227406929999999</v>
      </c>
      <c r="Q518" s="2">
        <v>2.648640393</v>
      </c>
      <c r="R518" s="2">
        <v>2.6013320790000001</v>
      </c>
      <c r="S518" s="2">
        <v>2.6317173079999998</v>
      </c>
      <c r="T518" s="2">
        <v>0.33442512200000002</v>
      </c>
      <c r="U518" s="2">
        <v>0.29893133</v>
      </c>
      <c r="V518" s="2">
        <v>3.6581251890000002</v>
      </c>
      <c r="W518" s="2">
        <v>0.12639750599999999</v>
      </c>
      <c r="X518">
        <f t="shared" si="24"/>
        <v>1</v>
      </c>
      <c r="Y518">
        <f t="shared" si="25"/>
        <v>1</v>
      </c>
      <c r="Z518">
        <f t="shared" si="26"/>
        <v>0</v>
      </c>
    </row>
    <row r="519" spans="1:26" ht="15.75" customHeight="1" x14ac:dyDescent="0.2">
      <c r="A519" s="2" t="s">
        <v>23</v>
      </c>
      <c r="B519" s="2" t="s">
        <v>24</v>
      </c>
      <c r="C519" s="2" t="s">
        <v>27</v>
      </c>
      <c r="D519" s="2" t="s">
        <v>27</v>
      </c>
      <c r="E519" s="2">
        <v>143</v>
      </c>
      <c r="F519" s="2">
        <v>111.66666669999999</v>
      </c>
      <c r="G519" s="2">
        <v>337.66666670000001</v>
      </c>
      <c r="H519" s="2">
        <v>2225.333333</v>
      </c>
      <c r="I519" s="2">
        <v>2884</v>
      </c>
      <c r="J519" s="2">
        <v>0.92</v>
      </c>
      <c r="K519" s="2">
        <v>3.41</v>
      </c>
      <c r="L519" s="2">
        <v>13.72</v>
      </c>
      <c r="M519" s="2">
        <v>15.43</v>
      </c>
      <c r="N519" s="2">
        <v>0.42780680599999998</v>
      </c>
      <c r="O519" s="2">
        <v>0.29868130799999998</v>
      </c>
      <c r="P519" s="2">
        <v>2.7686568989999998</v>
      </c>
      <c r="Q519" s="2">
        <v>2.7940016390000002</v>
      </c>
      <c r="R519" s="2">
        <v>0.80898031800000003</v>
      </c>
      <c r="S519" s="2">
        <v>0.77859508799999999</v>
      </c>
      <c r="T519" s="2">
        <v>2.647831541</v>
      </c>
      <c r="U519" s="2">
        <v>2.6833253340000001</v>
      </c>
      <c r="V519" s="2">
        <v>0.247812792</v>
      </c>
      <c r="W519" s="2">
        <v>8.3541520999999994E-2</v>
      </c>
      <c r="X519">
        <f t="shared" si="24"/>
        <v>1</v>
      </c>
      <c r="Y519">
        <f t="shared" si="25"/>
        <v>1</v>
      </c>
      <c r="Z519">
        <f t="shared" si="26"/>
        <v>0</v>
      </c>
    </row>
    <row r="520" spans="1:26" ht="15.75" customHeight="1" x14ac:dyDescent="0.2">
      <c r="A520" s="2" t="s">
        <v>23</v>
      </c>
      <c r="B520" s="2" t="s">
        <v>24</v>
      </c>
      <c r="C520" s="2" t="s">
        <v>30</v>
      </c>
      <c r="D520" s="2" t="s">
        <v>31</v>
      </c>
      <c r="E520" s="2">
        <v>150</v>
      </c>
      <c r="F520" s="2">
        <v>116.33333330000001</v>
      </c>
      <c r="G520" s="2">
        <v>717.33333330000005</v>
      </c>
      <c r="H520" s="2">
        <v>1360.666667</v>
      </c>
      <c r="I520" s="2">
        <v>2950.333333</v>
      </c>
      <c r="J520" s="2">
        <v>0.97</v>
      </c>
      <c r="K520" s="2">
        <v>6.65</v>
      </c>
      <c r="L520" s="2">
        <v>10.46</v>
      </c>
      <c r="M520" s="2">
        <v>15.58</v>
      </c>
      <c r="N520" s="2">
        <v>4.1931555649999996</v>
      </c>
      <c r="O520" s="2">
        <v>4.3082004759999997</v>
      </c>
      <c r="P520" s="2">
        <v>2.5122268380000001</v>
      </c>
      <c r="Q520" s="2">
        <v>2.533235055</v>
      </c>
      <c r="R520" s="2">
        <v>2.4341610949999999</v>
      </c>
      <c r="S520" s="2">
        <v>2.4645463240000001</v>
      </c>
      <c r="T520" s="2">
        <v>0.62140441999999996</v>
      </c>
      <c r="U520" s="2">
        <v>0.58591062699999996</v>
      </c>
      <c r="V520" s="2">
        <v>3.490954205</v>
      </c>
      <c r="W520" s="2">
        <v>0.109469045</v>
      </c>
      <c r="X520">
        <f t="shared" si="24"/>
        <v>1</v>
      </c>
      <c r="Y520">
        <f t="shared" si="25"/>
        <v>1</v>
      </c>
      <c r="Z520">
        <f t="shared" si="26"/>
        <v>1</v>
      </c>
    </row>
    <row r="521" spans="1:26" ht="15.75" customHeight="1" x14ac:dyDescent="0.2">
      <c r="A521" s="2" t="s">
        <v>23</v>
      </c>
      <c r="B521" s="2" t="s">
        <v>24</v>
      </c>
      <c r="C521" s="2" t="s">
        <v>28</v>
      </c>
      <c r="D521" s="2" t="s">
        <v>29</v>
      </c>
      <c r="E521" s="2">
        <v>123</v>
      </c>
      <c r="F521" s="2">
        <v>132</v>
      </c>
      <c r="G521" s="2">
        <v>767.33333330000005</v>
      </c>
      <c r="H521" s="2">
        <v>1963.333333</v>
      </c>
      <c r="I521" s="2">
        <v>3363.333333</v>
      </c>
      <c r="J521" s="2">
        <v>1.1599999999999999</v>
      </c>
      <c r="K521" s="2">
        <v>7.01</v>
      </c>
      <c r="L521" s="2">
        <v>12.89</v>
      </c>
      <c r="M521" s="2">
        <v>16.41</v>
      </c>
      <c r="N521" s="2">
        <v>5.7327653539999996</v>
      </c>
      <c r="O521" s="2">
        <v>6.080753316</v>
      </c>
      <c r="P521" s="2">
        <v>3.3286987460000002</v>
      </c>
      <c r="Q521" s="2">
        <v>3.3735225689999999</v>
      </c>
      <c r="R521" s="2">
        <v>2.793978547</v>
      </c>
      <c r="S521" s="2">
        <v>2.8243637760000002</v>
      </c>
      <c r="T521" s="2">
        <v>1.8093974740000001</v>
      </c>
      <c r="U521" s="2">
        <v>1.8448912660000001</v>
      </c>
      <c r="V521" s="2">
        <v>3.8507716570000001</v>
      </c>
      <c r="W521" s="2">
        <v>0.112344363</v>
      </c>
      <c r="X521">
        <f t="shared" si="24"/>
        <v>1</v>
      </c>
      <c r="Y521">
        <f t="shared" si="25"/>
        <v>1</v>
      </c>
      <c r="Z521">
        <f t="shared" si="26"/>
        <v>1</v>
      </c>
    </row>
    <row r="522" spans="1:26" ht="15.75" customHeight="1" x14ac:dyDescent="0.2">
      <c r="A522" s="2" t="s">
        <v>23</v>
      </c>
      <c r="B522" s="2" t="s">
        <v>24</v>
      </c>
      <c r="C522" s="2" t="s">
        <v>28</v>
      </c>
      <c r="D522" s="2" t="s">
        <v>29</v>
      </c>
      <c r="E522" s="2">
        <v>138</v>
      </c>
      <c r="F522" s="2">
        <v>125.66666669999999</v>
      </c>
      <c r="G522" s="2">
        <v>623.33333330000005</v>
      </c>
      <c r="H522" s="2">
        <v>2122</v>
      </c>
      <c r="I522" s="2">
        <v>3144</v>
      </c>
      <c r="J522" s="2">
        <v>1.0900000000000001</v>
      </c>
      <c r="K522" s="2">
        <v>5.94</v>
      </c>
      <c r="L522" s="2">
        <v>13.41</v>
      </c>
      <c r="M522" s="2">
        <v>15.98</v>
      </c>
      <c r="N522" s="2">
        <v>5.7078992230000001</v>
      </c>
      <c r="O522" s="2">
        <v>6.0656289289999998</v>
      </c>
      <c r="P522" s="2">
        <v>2.8960859000000001</v>
      </c>
      <c r="Q522" s="2">
        <v>2.942689766</v>
      </c>
      <c r="R522" s="2">
        <v>1.7199972720000001</v>
      </c>
      <c r="S522" s="2">
        <v>1.7503825019999999</v>
      </c>
      <c r="T522" s="2">
        <v>2.3300049189999998</v>
      </c>
      <c r="U522" s="2">
        <v>2.3654987119999999</v>
      </c>
      <c r="V522" s="2">
        <v>2.7767903820000002</v>
      </c>
      <c r="W522" s="2">
        <v>0.151645365</v>
      </c>
      <c r="X522">
        <f t="shared" si="24"/>
        <v>1</v>
      </c>
      <c r="Y522">
        <f t="shared" si="25"/>
        <v>1</v>
      </c>
      <c r="Z522">
        <f t="shared" si="26"/>
        <v>1</v>
      </c>
    </row>
    <row r="523" spans="1:26" ht="15.75" customHeight="1" x14ac:dyDescent="0.2">
      <c r="A523" s="2" t="s">
        <v>23</v>
      </c>
      <c r="B523" s="2" t="s">
        <v>24</v>
      </c>
      <c r="C523" s="2" t="s">
        <v>32</v>
      </c>
      <c r="D523" s="2" t="s">
        <v>33</v>
      </c>
      <c r="E523" s="2">
        <v>125</v>
      </c>
      <c r="F523" s="2">
        <v>120.66666669999999</v>
      </c>
      <c r="G523" s="2">
        <v>762</v>
      </c>
      <c r="H523" s="2">
        <v>1777</v>
      </c>
      <c r="I523" s="2">
        <v>3269.333333</v>
      </c>
      <c r="J523" s="2">
        <v>1.02</v>
      </c>
      <c r="K523" s="2">
        <v>6.98</v>
      </c>
      <c r="L523" s="2">
        <v>12.22</v>
      </c>
      <c r="M523" s="2">
        <v>16.23</v>
      </c>
      <c r="N523" s="2">
        <v>1.511076724</v>
      </c>
      <c r="O523" s="2">
        <v>1.486953733</v>
      </c>
      <c r="P523" s="2">
        <v>2.9832819000000002</v>
      </c>
      <c r="Q523" s="2">
        <v>3.0250104790000001</v>
      </c>
      <c r="R523" s="2">
        <v>2.7562278240000002</v>
      </c>
      <c r="S523" s="2">
        <v>2.786613053</v>
      </c>
      <c r="T523" s="2">
        <v>1.1415686920000001</v>
      </c>
      <c r="U523" s="2">
        <v>1.1770624839999999</v>
      </c>
      <c r="V523" s="2">
        <v>3.8130209339999999</v>
      </c>
      <c r="W523" s="2">
        <v>0.12995173700000001</v>
      </c>
      <c r="X523">
        <f t="shared" si="24"/>
        <v>1</v>
      </c>
      <c r="Y523">
        <f t="shared" si="25"/>
        <v>1</v>
      </c>
      <c r="Z523">
        <f t="shared" si="26"/>
        <v>1</v>
      </c>
    </row>
    <row r="524" spans="1:26" ht="15.75" customHeight="1" x14ac:dyDescent="0.2">
      <c r="A524" s="2" t="s">
        <v>23</v>
      </c>
      <c r="B524" s="2" t="s">
        <v>24</v>
      </c>
      <c r="C524" s="2" t="s">
        <v>26</v>
      </c>
      <c r="D524" s="2" t="s">
        <v>26</v>
      </c>
      <c r="E524" s="2">
        <v>120</v>
      </c>
      <c r="F524" s="2">
        <v>121.66666669999999</v>
      </c>
      <c r="G524" s="2">
        <v>402.33333329999999</v>
      </c>
      <c r="H524" s="2">
        <v>952.33333330000005</v>
      </c>
      <c r="I524" s="2">
        <v>2650</v>
      </c>
      <c r="J524" s="2">
        <v>1.04</v>
      </c>
      <c r="K524" s="2">
        <v>4.04</v>
      </c>
      <c r="L524" s="2">
        <v>8.24</v>
      </c>
      <c r="M524" s="2">
        <v>14.88</v>
      </c>
      <c r="N524" s="2">
        <v>0.21560664500000001</v>
      </c>
      <c r="O524" s="2">
        <v>0.56139459199999997</v>
      </c>
      <c r="P524" s="2">
        <v>2.8460040580000001</v>
      </c>
      <c r="Q524" s="2">
        <v>2.8087705340000002</v>
      </c>
      <c r="R524" s="2">
        <v>0.18293588399999999</v>
      </c>
      <c r="S524" s="2">
        <v>0.15255065400000001</v>
      </c>
      <c r="T524" s="2">
        <v>2.8401185820000001</v>
      </c>
      <c r="U524" s="2">
        <v>2.8046247900000001</v>
      </c>
      <c r="V524" s="2">
        <v>0.87385722600000004</v>
      </c>
      <c r="W524" s="2">
        <v>0.156426326</v>
      </c>
      <c r="X524">
        <f t="shared" si="24"/>
        <v>1</v>
      </c>
      <c r="Y524">
        <f t="shared" si="25"/>
        <v>1</v>
      </c>
      <c r="Z524">
        <f t="shared" si="26"/>
        <v>0</v>
      </c>
    </row>
    <row r="525" spans="1:26" ht="15.75" customHeight="1" x14ac:dyDescent="0.2">
      <c r="A525" s="2" t="s">
        <v>23</v>
      </c>
      <c r="B525" s="2" t="s">
        <v>24</v>
      </c>
      <c r="C525" s="2" t="s">
        <v>25</v>
      </c>
      <c r="D525" s="2" t="s">
        <v>25</v>
      </c>
      <c r="E525" s="2">
        <v>154</v>
      </c>
      <c r="F525" s="2">
        <v>116</v>
      </c>
      <c r="G525" s="2">
        <v>654.66666669999995</v>
      </c>
      <c r="H525" s="2">
        <v>1390</v>
      </c>
      <c r="I525" s="2">
        <v>2660.333333</v>
      </c>
      <c r="J525" s="2">
        <v>0.97</v>
      </c>
      <c r="K525" s="2">
        <v>6.18</v>
      </c>
      <c r="L525" s="2">
        <v>10.59</v>
      </c>
      <c r="M525" s="2">
        <v>14.91</v>
      </c>
      <c r="N525" s="2">
        <v>0.29908256</v>
      </c>
      <c r="O525" s="2">
        <v>0.36224605399999998</v>
      </c>
      <c r="P525" s="2">
        <v>2.0222462729999999</v>
      </c>
      <c r="Q525" s="2">
        <v>2.0437039129999999</v>
      </c>
      <c r="R525" s="2">
        <v>1.9637574209999999</v>
      </c>
      <c r="S525" s="2">
        <v>1.994142651</v>
      </c>
      <c r="T525" s="2">
        <v>0.48284239699999998</v>
      </c>
      <c r="U525" s="2">
        <v>0.44734860500000001</v>
      </c>
      <c r="V525" s="2">
        <v>3.020550531</v>
      </c>
      <c r="W525" s="2">
        <v>9.7888128000000005E-2</v>
      </c>
      <c r="X525">
        <f t="shared" si="24"/>
        <v>1</v>
      </c>
      <c r="Y525">
        <f t="shared" si="25"/>
        <v>1</v>
      </c>
      <c r="Z525">
        <f t="shared" si="26"/>
        <v>0</v>
      </c>
    </row>
    <row r="526" spans="1:26" ht="15.75" customHeight="1" x14ac:dyDescent="0.2">
      <c r="A526" s="2" t="s">
        <v>23</v>
      </c>
      <c r="B526" s="2" t="s">
        <v>24</v>
      </c>
      <c r="C526" s="2" t="s">
        <v>30</v>
      </c>
      <c r="D526" s="2" t="s">
        <v>31</v>
      </c>
      <c r="E526" s="2">
        <v>157</v>
      </c>
      <c r="F526" s="2">
        <v>111.66666669999999</v>
      </c>
      <c r="G526" s="2">
        <v>720.66666669999995</v>
      </c>
      <c r="H526" s="2">
        <v>1233.333333</v>
      </c>
      <c r="I526" s="2">
        <v>2176.333333</v>
      </c>
      <c r="J526" s="2">
        <v>0.92</v>
      </c>
      <c r="K526" s="2">
        <v>6.68</v>
      </c>
      <c r="L526" s="2">
        <v>9.82</v>
      </c>
      <c r="M526" s="2">
        <v>13.58</v>
      </c>
      <c r="N526" s="2">
        <v>4.6877777009999999</v>
      </c>
      <c r="O526" s="2">
        <v>4.795304496</v>
      </c>
      <c r="P526" s="2">
        <v>2.759175956</v>
      </c>
      <c r="Q526" s="2">
        <v>2.7705123139999999</v>
      </c>
      <c r="R526" s="2">
        <v>2.4585665190000001</v>
      </c>
      <c r="S526" s="2">
        <v>2.4889517489999999</v>
      </c>
      <c r="T526" s="2">
        <v>1.2523987489999999</v>
      </c>
      <c r="U526" s="2">
        <v>1.2169049569999999</v>
      </c>
      <c r="V526" s="2">
        <v>3.5153596290000002</v>
      </c>
      <c r="W526" s="2">
        <v>0.110719261</v>
      </c>
      <c r="X526">
        <f t="shared" si="24"/>
        <v>1</v>
      </c>
      <c r="Y526">
        <f t="shared" si="25"/>
        <v>1</v>
      </c>
      <c r="Z526">
        <f t="shared" si="26"/>
        <v>1</v>
      </c>
    </row>
    <row r="527" spans="1:26" ht="15.75" customHeight="1" x14ac:dyDescent="0.2">
      <c r="A527" s="2" t="s">
        <v>23</v>
      </c>
      <c r="B527" s="2" t="s">
        <v>24</v>
      </c>
      <c r="C527" s="2" t="s">
        <v>27</v>
      </c>
      <c r="D527" s="2" t="s">
        <v>27</v>
      </c>
      <c r="E527" s="2">
        <v>120</v>
      </c>
      <c r="F527" s="2">
        <v>123.66666669999999</v>
      </c>
      <c r="G527" s="2">
        <v>360.33333329999999</v>
      </c>
      <c r="H527" s="2">
        <v>2179.333333</v>
      </c>
      <c r="I527" s="2">
        <v>2968.666667</v>
      </c>
      <c r="J527" s="2">
        <v>1.06</v>
      </c>
      <c r="K527" s="2">
        <v>3.63</v>
      </c>
      <c r="L527" s="2">
        <v>13.59</v>
      </c>
      <c r="M527" s="2">
        <v>15.62</v>
      </c>
      <c r="N527" s="2">
        <v>0.164718752</v>
      </c>
      <c r="O527" s="2">
        <v>4.9145267999999999E-2</v>
      </c>
      <c r="P527" s="2">
        <v>2.5757517019999998</v>
      </c>
      <c r="Q527" s="2">
        <v>2.6036807030000002</v>
      </c>
      <c r="R527" s="2">
        <v>0.58557004400000001</v>
      </c>
      <c r="S527" s="2">
        <v>0.55518481500000005</v>
      </c>
      <c r="T527" s="2">
        <v>2.508307109</v>
      </c>
      <c r="U527" s="2">
        <v>2.543800901</v>
      </c>
      <c r="V527" s="2">
        <v>0.47122306600000002</v>
      </c>
      <c r="W527" s="2">
        <v>8.6992389000000003E-2</v>
      </c>
      <c r="X527">
        <f t="shared" si="24"/>
        <v>1</v>
      </c>
      <c r="Y527">
        <f t="shared" si="25"/>
        <v>1</v>
      </c>
      <c r="Z527">
        <f t="shared" si="26"/>
        <v>0</v>
      </c>
    </row>
    <row r="528" spans="1:26" ht="15.75" customHeight="1" x14ac:dyDescent="0.2">
      <c r="A528" s="2" t="s">
        <v>23</v>
      </c>
      <c r="B528" s="2" t="s">
        <v>24</v>
      </c>
      <c r="C528" s="2" t="s">
        <v>30</v>
      </c>
      <c r="D528" s="2" t="s">
        <v>31</v>
      </c>
      <c r="E528" s="2">
        <v>120</v>
      </c>
      <c r="F528" s="2">
        <v>113.33333330000001</v>
      </c>
      <c r="G528" s="2">
        <v>692.66666669999995</v>
      </c>
      <c r="H528" s="2">
        <v>1313.666667</v>
      </c>
      <c r="I528" s="2">
        <v>2661.333333</v>
      </c>
      <c r="J528" s="2">
        <v>0.94</v>
      </c>
      <c r="K528" s="2">
        <v>6.47</v>
      </c>
      <c r="L528" s="2">
        <v>10.23</v>
      </c>
      <c r="M528" s="2">
        <v>14.91</v>
      </c>
      <c r="N528" s="2">
        <v>4.243359721</v>
      </c>
      <c r="O528" s="2">
        <v>4.3527683140000004</v>
      </c>
      <c r="P528" s="2">
        <v>2.4062549130000002</v>
      </c>
      <c r="Q528" s="2">
        <v>2.4225689109999999</v>
      </c>
      <c r="R528" s="2">
        <v>2.251654641</v>
      </c>
      <c r="S528" s="2">
        <v>2.2820398709999998</v>
      </c>
      <c r="T528" s="2">
        <v>0.84859535699999999</v>
      </c>
      <c r="U528" s="2">
        <v>0.81310156499999997</v>
      </c>
      <c r="V528" s="2">
        <v>3.3084477510000001</v>
      </c>
      <c r="W528" s="2">
        <v>9.9298922999999997E-2</v>
      </c>
      <c r="X528">
        <f t="shared" si="24"/>
        <v>1</v>
      </c>
      <c r="Y528">
        <f t="shared" si="25"/>
        <v>1</v>
      </c>
      <c r="Z528">
        <f t="shared" si="26"/>
        <v>1</v>
      </c>
    </row>
    <row r="529" spans="1:26" ht="15.75" customHeight="1" x14ac:dyDescent="0.2">
      <c r="A529" s="2" t="s">
        <v>23</v>
      </c>
      <c r="B529" s="2" t="s">
        <v>24</v>
      </c>
      <c r="C529" s="2" t="s">
        <v>27</v>
      </c>
      <c r="D529" s="2" t="s">
        <v>27</v>
      </c>
      <c r="E529" s="2">
        <v>127</v>
      </c>
      <c r="F529" s="2">
        <v>115</v>
      </c>
      <c r="G529" s="2">
        <v>365</v>
      </c>
      <c r="H529" s="2">
        <v>2134</v>
      </c>
      <c r="I529" s="2">
        <v>2974.333333</v>
      </c>
      <c r="J529" s="2">
        <v>0.96</v>
      </c>
      <c r="K529" s="2">
        <v>3.68</v>
      </c>
      <c r="L529" s="2">
        <v>13.44</v>
      </c>
      <c r="M529" s="2">
        <v>15.63</v>
      </c>
      <c r="N529" s="2">
        <v>0.119564964</v>
      </c>
      <c r="O529" s="2">
        <v>9.9241027999999995E-2</v>
      </c>
      <c r="P529" s="2">
        <v>2.428559919</v>
      </c>
      <c r="Q529" s="2">
        <v>2.4566935679999999</v>
      </c>
      <c r="R529" s="2">
        <v>0.54011455600000002</v>
      </c>
      <c r="S529" s="2">
        <v>0.50972932599999998</v>
      </c>
      <c r="T529" s="2">
        <v>2.3677372210000001</v>
      </c>
      <c r="U529" s="2">
        <v>2.4032310130000001</v>
      </c>
      <c r="V529" s="2">
        <v>0.51667855500000004</v>
      </c>
      <c r="W529" s="2">
        <v>0.11070189900000001</v>
      </c>
      <c r="X529">
        <f t="shared" si="24"/>
        <v>1</v>
      </c>
      <c r="Y529">
        <f t="shared" si="25"/>
        <v>1</v>
      </c>
      <c r="Z529">
        <f t="shared" si="26"/>
        <v>0</v>
      </c>
    </row>
    <row r="530" spans="1:26" ht="15.75" customHeight="1" x14ac:dyDescent="0.2">
      <c r="A530" s="2" t="s">
        <v>23</v>
      </c>
      <c r="B530" s="2" t="s">
        <v>24</v>
      </c>
      <c r="C530" s="2" t="s">
        <v>26</v>
      </c>
      <c r="D530" s="2" t="s">
        <v>26</v>
      </c>
      <c r="E530" s="2">
        <v>116</v>
      </c>
      <c r="F530" s="2">
        <v>123.66666669999999</v>
      </c>
      <c r="G530" s="2">
        <v>406.66666670000001</v>
      </c>
      <c r="H530" s="2">
        <v>903.66666669999995</v>
      </c>
      <c r="I530" s="2">
        <v>2629.666667</v>
      </c>
      <c r="J530" s="2">
        <v>1.06</v>
      </c>
      <c r="K530" s="2">
        <v>4.08</v>
      </c>
      <c r="L530" s="2">
        <v>7.93</v>
      </c>
      <c r="M530" s="2">
        <v>14.83</v>
      </c>
      <c r="N530" s="2">
        <v>0.24148520600000001</v>
      </c>
      <c r="O530" s="2">
        <v>0.35928870499999999</v>
      </c>
      <c r="P530" s="2">
        <v>3.1499647</v>
      </c>
      <c r="Q530" s="2">
        <v>3.1132681010000001</v>
      </c>
      <c r="R530" s="2">
        <v>0.14220754399999999</v>
      </c>
      <c r="S530" s="2">
        <v>0.11182231400000001</v>
      </c>
      <c r="T530" s="2">
        <v>3.1467530290000001</v>
      </c>
      <c r="U530" s="2">
        <v>3.1112592370000001</v>
      </c>
      <c r="V530" s="2">
        <v>0.91458556599999996</v>
      </c>
      <c r="W530" s="2">
        <v>8.3208632000000005E-2</v>
      </c>
      <c r="X530">
        <f t="shared" si="24"/>
        <v>1</v>
      </c>
      <c r="Y530">
        <f t="shared" si="25"/>
        <v>1</v>
      </c>
      <c r="Z530">
        <f t="shared" si="26"/>
        <v>0</v>
      </c>
    </row>
    <row r="531" spans="1:26" ht="15.75" customHeight="1" x14ac:dyDescent="0.2">
      <c r="A531" s="2" t="s">
        <v>23</v>
      </c>
      <c r="B531" s="2" t="s">
        <v>24</v>
      </c>
      <c r="C531" s="2" t="s">
        <v>27</v>
      </c>
      <c r="D531" s="2" t="s">
        <v>27</v>
      </c>
      <c r="E531" s="2">
        <v>120</v>
      </c>
      <c r="F531" s="2">
        <v>122</v>
      </c>
      <c r="G531" s="2">
        <v>361.33333329999999</v>
      </c>
      <c r="H531" s="2">
        <v>2097.333333</v>
      </c>
      <c r="I531" s="2">
        <v>2797</v>
      </c>
      <c r="J531" s="2">
        <v>1.04</v>
      </c>
      <c r="K531" s="2">
        <v>3.64</v>
      </c>
      <c r="L531" s="2">
        <v>13.33</v>
      </c>
      <c r="M531" s="2">
        <v>15.23</v>
      </c>
      <c r="N531" s="2">
        <v>0.22623210799999999</v>
      </c>
      <c r="O531" s="2">
        <v>0.20821147800000001</v>
      </c>
      <c r="P531" s="2">
        <v>2.3242007669999998</v>
      </c>
      <c r="Q531" s="2">
        <v>2.351371002</v>
      </c>
      <c r="R531" s="2">
        <v>0.57581419700000003</v>
      </c>
      <c r="S531" s="2">
        <v>0.54542896699999999</v>
      </c>
      <c r="T531" s="2">
        <v>2.2517431499999998</v>
      </c>
      <c r="U531" s="2">
        <v>2.2872369429999999</v>
      </c>
      <c r="V531" s="2">
        <v>0.48097891300000001</v>
      </c>
      <c r="W531" s="2">
        <v>7.3914177999999997E-2</v>
      </c>
      <c r="X531">
        <f t="shared" si="24"/>
        <v>1</v>
      </c>
      <c r="Y531">
        <f t="shared" si="25"/>
        <v>1</v>
      </c>
      <c r="Z531">
        <f t="shared" si="26"/>
        <v>0</v>
      </c>
    </row>
    <row r="532" spans="1:26" ht="15.75" customHeight="1" x14ac:dyDescent="0.2">
      <c r="A532" s="2" t="s">
        <v>23</v>
      </c>
      <c r="B532" s="2" t="s">
        <v>24</v>
      </c>
      <c r="C532" s="2" t="s">
        <v>30</v>
      </c>
      <c r="D532" s="2" t="s">
        <v>31</v>
      </c>
      <c r="E532" s="2">
        <v>122</v>
      </c>
      <c r="F532" s="2">
        <v>111.66666669999999</v>
      </c>
      <c r="G532" s="2">
        <v>726.66666669999995</v>
      </c>
      <c r="H532" s="2">
        <v>1279.333333</v>
      </c>
      <c r="I532" s="2">
        <v>2499.666667</v>
      </c>
      <c r="J532" s="2">
        <v>0.92</v>
      </c>
      <c r="K532" s="2">
        <v>6.72</v>
      </c>
      <c r="L532" s="2">
        <v>10.06</v>
      </c>
      <c r="M532" s="2">
        <v>14.5</v>
      </c>
      <c r="N532" s="2">
        <v>4.53469882</v>
      </c>
      <c r="O532" s="2">
        <v>4.6456713560000003</v>
      </c>
      <c r="P532" s="2">
        <v>2.7017630370000001</v>
      </c>
      <c r="Q532" s="2">
        <v>2.716883943</v>
      </c>
      <c r="R532" s="2">
        <v>2.502343674</v>
      </c>
      <c r="S532" s="2">
        <v>2.5327289039999998</v>
      </c>
      <c r="T532" s="2">
        <v>1.018724518</v>
      </c>
      <c r="U532" s="2">
        <v>0.98323072499999997</v>
      </c>
      <c r="V532" s="2">
        <v>3.5591367840000001</v>
      </c>
      <c r="W532" s="2">
        <v>6.6094393000000001E-2</v>
      </c>
      <c r="X532">
        <f t="shared" si="24"/>
        <v>1</v>
      </c>
      <c r="Y532">
        <f t="shared" si="25"/>
        <v>1</v>
      </c>
      <c r="Z532">
        <f t="shared" si="26"/>
        <v>1</v>
      </c>
    </row>
    <row r="533" spans="1:26" ht="15.75" customHeight="1" x14ac:dyDescent="0.2">
      <c r="A533" s="2" t="s">
        <v>23</v>
      </c>
      <c r="B533" s="2" t="s">
        <v>24</v>
      </c>
      <c r="C533" s="2" t="s">
        <v>27</v>
      </c>
      <c r="D533" s="2" t="s">
        <v>27</v>
      </c>
      <c r="E533" s="2">
        <v>123</v>
      </c>
      <c r="F533" s="2">
        <v>128</v>
      </c>
      <c r="G533" s="2">
        <v>397.66666670000001</v>
      </c>
      <c r="H533" s="2">
        <v>2162</v>
      </c>
      <c r="I533" s="2">
        <v>3054</v>
      </c>
      <c r="J533" s="2">
        <v>1.1100000000000001</v>
      </c>
      <c r="K533" s="2">
        <v>3.99</v>
      </c>
      <c r="L533" s="2">
        <v>13.53</v>
      </c>
      <c r="M533" s="2">
        <v>15.8</v>
      </c>
      <c r="N533" s="2">
        <v>0.21369586099999999</v>
      </c>
      <c r="O533" s="2">
        <v>0.34986241000000001</v>
      </c>
      <c r="P533" s="2">
        <v>2.4653943229999999</v>
      </c>
      <c r="Q533" s="2">
        <v>2.4981650640000002</v>
      </c>
      <c r="R533" s="2">
        <v>0.22696460600000001</v>
      </c>
      <c r="S533" s="2">
        <v>0.196579377</v>
      </c>
      <c r="T533" s="2">
        <v>2.4549248939999999</v>
      </c>
      <c r="U533" s="2">
        <v>2.490418687</v>
      </c>
      <c r="V533" s="2">
        <v>0.82982850399999997</v>
      </c>
      <c r="W533" s="2">
        <v>7.9854555999999993E-2</v>
      </c>
      <c r="X533">
        <f t="shared" si="24"/>
        <v>1</v>
      </c>
      <c r="Y533">
        <f t="shared" si="25"/>
        <v>1</v>
      </c>
      <c r="Z533">
        <f t="shared" si="26"/>
        <v>0</v>
      </c>
    </row>
    <row r="534" spans="1:26" ht="15.75" customHeight="1" x14ac:dyDescent="0.2">
      <c r="A534" s="2" t="s">
        <v>23</v>
      </c>
      <c r="B534" s="2" t="s">
        <v>24</v>
      </c>
      <c r="C534" s="2" t="s">
        <v>26</v>
      </c>
      <c r="D534" s="2" t="s">
        <v>26</v>
      </c>
      <c r="E534" s="2">
        <v>108</v>
      </c>
      <c r="F534" s="2">
        <v>113</v>
      </c>
      <c r="G534" s="2">
        <v>341.33333329999999</v>
      </c>
      <c r="H534" s="2">
        <v>910</v>
      </c>
      <c r="I534" s="2">
        <v>2699.333333</v>
      </c>
      <c r="J534" s="2">
        <v>0.93</v>
      </c>
      <c r="K534" s="2">
        <v>3.45</v>
      </c>
      <c r="L534" s="2">
        <v>7.97</v>
      </c>
      <c r="M534" s="2">
        <v>15</v>
      </c>
      <c r="N534" s="2">
        <v>0.45467211499999999</v>
      </c>
      <c r="O534" s="2">
        <v>0.39665563999999998</v>
      </c>
      <c r="P534" s="2">
        <v>3.2008861350000002</v>
      </c>
      <c r="Q534" s="2">
        <v>3.1591773449999998</v>
      </c>
      <c r="R534" s="2">
        <v>0.77254204699999995</v>
      </c>
      <c r="S534" s="2">
        <v>0.74215681700000002</v>
      </c>
      <c r="T534" s="2">
        <v>3.1062599440000001</v>
      </c>
      <c r="U534" s="2">
        <v>3.0707661509999999</v>
      </c>
      <c r="V534" s="2">
        <v>0.284251064</v>
      </c>
      <c r="W534" s="2">
        <v>0.12911377499999999</v>
      </c>
      <c r="X534">
        <f t="shared" si="24"/>
        <v>1</v>
      </c>
      <c r="Y534">
        <f t="shared" si="25"/>
        <v>1</v>
      </c>
      <c r="Z534">
        <f t="shared" si="26"/>
        <v>0</v>
      </c>
    </row>
    <row r="535" spans="1:26" ht="15.75" customHeight="1" x14ac:dyDescent="0.2">
      <c r="A535" s="2" t="s">
        <v>23</v>
      </c>
      <c r="B535" s="2" t="s">
        <v>24</v>
      </c>
      <c r="C535" s="2" t="s">
        <v>30</v>
      </c>
      <c r="D535" s="2" t="s">
        <v>31</v>
      </c>
      <c r="E535" s="2">
        <v>134</v>
      </c>
      <c r="F535" s="2">
        <v>109</v>
      </c>
      <c r="G535" s="2">
        <v>720.33333330000005</v>
      </c>
      <c r="H535" s="2">
        <v>1370.333333</v>
      </c>
      <c r="I535" s="2">
        <v>3153</v>
      </c>
      <c r="J535" s="2">
        <v>0.88</v>
      </c>
      <c r="K535" s="2">
        <v>6.68</v>
      </c>
      <c r="L535" s="2">
        <v>10.5</v>
      </c>
      <c r="M535" s="2">
        <v>16</v>
      </c>
      <c r="N535" s="2">
        <v>4.1750300640000004</v>
      </c>
      <c r="O535" s="2">
        <v>4.2909677159999999</v>
      </c>
      <c r="P535" s="2">
        <v>2.5226447589999998</v>
      </c>
      <c r="Q535" s="2">
        <v>2.5444701479999998</v>
      </c>
      <c r="R535" s="2">
        <v>2.456128708</v>
      </c>
      <c r="S535" s="2">
        <v>2.4865139379999999</v>
      </c>
      <c r="T535" s="2">
        <v>0.57547228399999995</v>
      </c>
      <c r="U535" s="2">
        <v>0.53997849099999995</v>
      </c>
      <c r="V535" s="2">
        <v>3.5129218189999998</v>
      </c>
      <c r="W535" s="2">
        <v>8.7384621999999995E-2</v>
      </c>
      <c r="X535">
        <f t="shared" si="24"/>
        <v>1</v>
      </c>
      <c r="Y535">
        <f t="shared" si="25"/>
        <v>1</v>
      </c>
      <c r="Z535">
        <f t="shared" si="26"/>
        <v>1</v>
      </c>
    </row>
    <row r="536" spans="1:26" ht="15.75" customHeight="1" x14ac:dyDescent="0.2">
      <c r="A536" s="2" t="s">
        <v>23</v>
      </c>
      <c r="B536" s="2" t="s">
        <v>24</v>
      </c>
      <c r="C536" s="2" t="s">
        <v>32</v>
      </c>
      <c r="D536" s="2" t="s">
        <v>33</v>
      </c>
      <c r="E536" s="2">
        <v>127</v>
      </c>
      <c r="F536" s="2">
        <v>109.66666669999999</v>
      </c>
      <c r="G536" s="2">
        <v>702</v>
      </c>
      <c r="H536" s="2">
        <v>1627</v>
      </c>
      <c r="I536" s="2">
        <v>3123</v>
      </c>
      <c r="J536" s="2">
        <v>0.89</v>
      </c>
      <c r="K536" s="2">
        <v>6.54</v>
      </c>
      <c r="L536" s="2">
        <v>11.63</v>
      </c>
      <c r="M536" s="2">
        <v>15.94</v>
      </c>
      <c r="N536" s="2">
        <v>0.80946839199999998</v>
      </c>
      <c r="O536" s="2">
        <v>0.81193147799999998</v>
      </c>
      <c r="P536" s="2">
        <v>2.3862033349999998</v>
      </c>
      <c r="Q536" s="2">
        <v>2.4241492529999999</v>
      </c>
      <c r="R536" s="2">
        <v>2.3211089079999998</v>
      </c>
      <c r="S536" s="2">
        <v>2.3514941380000001</v>
      </c>
      <c r="T536" s="2">
        <v>0.55355197899999997</v>
      </c>
      <c r="U536" s="2">
        <v>0.589045771</v>
      </c>
      <c r="V536" s="2">
        <v>3.3779020179999999</v>
      </c>
      <c r="W536" s="2">
        <v>0.117322316</v>
      </c>
      <c r="X536">
        <f t="shared" si="24"/>
        <v>1</v>
      </c>
      <c r="Y536">
        <f t="shared" si="25"/>
        <v>1</v>
      </c>
      <c r="Z536">
        <f t="shared" si="26"/>
        <v>1</v>
      </c>
    </row>
    <row r="537" spans="1:26" ht="15.75" customHeight="1" x14ac:dyDescent="0.2">
      <c r="A537" s="2" t="s">
        <v>23</v>
      </c>
      <c r="B537" s="2" t="s">
        <v>24</v>
      </c>
      <c r="C537" s="2" t="s">
        <v>28</v>
      </c>
      <c r="D537" s="2" t="s">
        <v>29</v>
      </c>
      <c r="E537" s="2">
        <v>144</v>
      </c>
      <c r="F537" s="2">
        <v>106.66666669999999</v>
      </c>
      <c r="G537" s="2">
        <v>616.66666669999995</v>
      </c>
      <c r="H537" s="2">
        <v>1997.333333</v>
      </c>
      <c r="I537" s="2">
        <v>3189.666667</v>
      </c>
      <c r="J537" s="2">
        <v>0.85</v>
      </c>
      <c r="K537" s="2">
        <v>5.89</v>
      </c>
      <c r="L537" s="2">
        <v>13</v>
      </c>
      <c r="M537" s="2">
        <v>16.079999999999998</v>
      </c>
      <c r="N537" s="2">
        <v>5.3114233469999999</v>
      </c>
      <c r="O537" s="2">
        <v>5.6688882539999996</v>
      </c>
      <c r="P537" s="2">
        <v>2.5463120350000001</v>
      </c>
      <c r="Q537" s="2">
        <v>2.5930345780000001</v>
      </c>
      <c r="R537" s="2">
        <v>1.6673685359999999</v>
      </c>
      <c r="S537" s="2">
        <v>1.6977537659999999</v>
      </c>
      <c r="T537" s="2">
        <v>1.924470613</v>
      </c>
      <c r="U537" s="2">
        <v>1.9599644060000001</v>
      </c>
      <c r="V537" s="2">
        <v>2.7241616460000002</v>
      </c>
      <c r="W537" s="2">
        <v>0.12170835100000001</v>
      </c>
      <c r="X537">
        <f t="shared" si="24"/>
        <v>1</v>
      </c>
      <c r="Y537">
        <f t="shared" si="25"/>
        <v>1</v>
      </c>
      <c r="Z537">
        <f t="shared" si="26"/>
        <v>1</v>
      </c>
    </row>
    <row r="538" spans="1:26" ht="15.75" customHeight="1" x14ac:dyDescent="0.2">
      <c r="A538" s="2" t="s">
        <v>23</v>
      </c>
      <c r="B538" s="2" t="s">
        <v>24</v>
      </c>
      <c r="C538" s="2" t="s">
        <v>28</v>
      </c>
      <c r="D538" s="2" t="s">
        <v>29</v>
      </c>
      <c r="E538" s="2">
        <v>114</v>
      </c>
      <c r="F538" s="2">
        <v>120</v>
      </c>
      <c r="G538" s="2">
        <v>480.66666670000001</v>
      </c>
      <c r="H538" s="2">
        <v>1561.333333</v>
      </c>
      <c r="I538" s="2">
        <v>2966</v>
      </c>
      <c r="J538" s="2">
        <v>1.02</v>
      </c>
      <c r="K538" s="2">
        <v>4.75</v>
      </c>
      <c r="L538" s="2">
        <v>11.36</v>
      </c>
      <c r="M538" s="2">
        <v>15.61</v>
      </c>
      <c r="N538" s="2">
        <v>3.3884764249999999</v>
      </c>
      <c r="O538" s="2">
        <v>3.7454755909999999</v>
      </c>
      <c r="P538" s="2">
        <v>0.60045766899999997</v>
      </c>
      <c r="Q538" s="2">
        <v>0.64412974300000003</v>
      </c>
      <c r="R538" s="2">
        <v>0.53098460400000003</v>
      </c>
      <c r="S538" s="2">
        <v>0.56136983299999998</v>
      </c>
      <c r="T538" s="2">
        <v>0.28036541100000001</v>
      </c>
      <c r="U538" s="2">
        <v>0.31585920299999998</v>
      </c>
      <c r="V538" s="2">
        <v>1.587777714</v>
      </c>
      <c r="W538" s="2">
        <v>0.12198859200000001</v>
      </c>
      <c r="X538">
        <f t="shared" si="24"/>
        <v>1</v>
      </c>
      <c r="Y538">
        <f t="shared" si="25"/>
        <v>1</v>
      </c>
      <c r="Z538">
        <f t="shared" si="26"/>
        <v>1</v>
      </c>
    </row>
    <row r="539" spans="1:26" ht="15.75" customHeight="1" x14ac:dyDescent="0.2">
      <c r="A539" s="2" t="s">
        <v>23</v>
      </c>
      <c r="B539" s="2" t="s">
        <v>24</v>
      </c>
      <c r="C539" s="2" t="s">
        <v>26</v>
      </c>
      <c r="D539" s="2" t="s">
        <v>26</v>
      </c>
      <c r="E539" s="2">
        <v>149</v>
      </c>
      <c r="F539" s="2">
        <v>124.33333330000001</v>
      </c>
      <c r="G539" s="2">
        <v>400</v>
      </c>
      <c r="H539" s="2">
        <v>1008</v>
      </c>
      <c r="I539" s="2">
        <v>2513.333333</v>
      </c>
      <c r="J539" s="2">
        <v>1.07</v>
      </c>
      <c r="K539" s="2">
        <v>4.01</v>
      </c>
      <c r="L539" s="2">
        <v>8.58</v>
      </c>
      <c r="M539" s="2">
        <v>14.53</v>
      </c>
      <c r="N539" s="2">
        <v>0.51073207899999995</v>
      </c>
      <c r="O539" s="2">
        <v>0.86793515300000001</v>
      </c>
      <c r="P539" s="2">
        <v>2.510087999</v>
      </c>
      <c r="Q539" s="2">
        <v>2.4723836640000001</v>
      </c>
      <c r="R539" s="2">
        <v>0.204928479</v>
      </c>
      <c r="S539" s="2">
        <v>0.17454325000000001</v>
      </c>
      <c r="T539" s="2">
        <v>2.5017086320000002</v>
      </c>
      <c r="U539" s="2">
        <v>2.4662148400000001</v>
      </c>
      <c r="V539" s="2">
        <v>0.85186463099999998</v>
      </c>
      <c r="W539" s="2">
        <v>0.10242589100000001</v>
      </c>
      <c r="X539">
        <f t="shared" si="24"/>
        <v>1</v>
      </c>
      <c r="Y539">
        <f t="shared" si="25"/>
        <v>1</v>
      </c>
      <c r="Z539">
        <f t="shared" si="26"/>
        <v>0</v>
      </c>
    </row>
    <row r="540" spans="1:26" ht="15.75" customHeight="1" x14ac:dyDescent="0.2">
      <c r="A540" s="2" t="s">
        <v>23</v>
      </c>
      <c r="B540" s="2" t="s">
        <v>24</v>
      </c>
      <c r="C540" s="2" t="s">
        <v>25</v>
      </c>
      <c r="D540" s="2" t="s">
        <v>25</v>
      </c>
      <c r="E540" s="2">
        <v>160</v>
      </c>
      <c r="F540" s="2">
        <v>123.66666669999999</v>
      </c>
      <c r="G540" s="2">
        <v>719</v>
      </c>
      <c r="H540" s="2">
        <v>1373.333333</v>
      </c>
      <c r="I540" s="2">
        <v>2721</v>
      </c>
      <c r="J540" s="2">
        <v>1.06</v>
      </c>
      <c r="K540" s="2">
        <v>6.67</v>
      </c>
      <c r="L540" s="2">
        <v>10.52</v>
      </c>
      <c r="M540" s="2">
        <v>15.05</v>
      </c>
      <c r="N540" s="2">
        <v>0.45837026400000003</v>
      </c>
      <c r="O540" s="2">
        <v>0.36655591599999998</v>
      </c>
      <c r="P540" s="2">
        <v>2.509932048</v>
      </c>
      <c r="Q540" s="2">
        <v>2.5319490020000002</v>
      </c>
      <c r="R540" s="2">
        <v>2.4463713989999998</v>
      </c>
      <c r="S540" s="2">
        <v>2.476756628</v>
      </c>
      <c r="T540" s="2">
        <v>0.56127165099999998</v>
      </c>
      <c r="U540" s="2">
        <v>0.52577785899999996</v>
      </c>
      <c r="V540" s="2">
        <v>3.5031645089999999</v>
      </c>
      <c r="W540" s="2">
        <v>0.112730936</v>
      </c>
      <c r="X540">
        <f t="shared" si="24"/>
        <v>1</v>
      </c>
      <c r="Y540">
        <f t="shared" si="25"/>
        <v>1</v>
      </c>
      <c r="Z540">
        <f t="shared" si="26"/>
        <v>0</v>
      </c>
    </row>
    <row r="541" spans="1:26" ht="15.75" customHeight="1" x14ac:dyDescent="0.2">
      <c r="A541" s="2" t="s">
        <v>23</v>
      </c>
      <c r="B541" s="2" t="s">
        <v>24</v>
      </c>
      <c r="C541" s="2" t="s">
        <v>30</v>
      </c>
      <c r="D541" s="2" t="s">
        <v>31</v>
      </c>
      <c r="E541" s="2">
        <v>96</v>
      </c>
      <c r="F541" s="2">
        <v>117.33333330000001</v>
      </c>
      <c r="G541" s="2">
        <v>668.33333330000005</v>
      </c>
      <c r="H541" s="2">
        <v>1392.666667</v>
      </c>
      <c r="I541" s="2">
        <v>3378.666667</v>
      </c>
      <c r="J541" s="2">
        <v>0.98</v>
      </c>
      <c r="K541" s="2">
        <v>6.29</v>
      </c>
      <c r="L541" s="2">
        <v>10.61</v>
      </c>
      <c r="M541" s="2">
        <v>16.440000000000001</v>
      </c>
      <c r="N541" s="2">
        <v>3.835867484</v>
      </c>
      <c r="O541" s="2">
        <v>3.9475371680000002</v>
      </c>
      <c r="P541" s="2">
        <v>2.1210694050000001</v>
      </c>
      <c r="Q541" s="2">
        <v>2.143225916</v>
      </c>
      <c r="R541" s="2">
        <v>2.068258004</v>
      </c>
      <c r="S541" s="2">
        <v>2.0986432339999999</v>
      </c>
      <c r="T541" s="2">
        <v>0.47036607899999999</v>
      </c>
      <c r="U541" s="2">
        <v>0.43487228700000002</v>
      </c>
      <c r="V541" s="2">
        <v>3.1250511140000001</v>
      </c>
      <c r="W541" s="2">
        <v>0.108224019</v>
      </c>
      <c r="X541">
        <f t="shared" si="24"/>
        <v>1</v>
      </c>
      <c r="Y541">
        <f t="shared" si="25"/>
        <v>1</v>
      </c>
      <c r="Z541">
        <f t="shared" si="26"/>
        <v>1</v>
      </c>
    </row>
    <row r="542" spans="1:26" ht="15.75" customHeight="1" x14ac:dyDescent="0.2">
      <c r="A542" s="2" t="s">
        <v>23</v>
      </c>
      <c r="B542" s="2" t="s">
        <v>24</v>
      </c>
      <c r="C542" s="2" t="s">
        <v>28</v>
      </c>
      <c r="D542" s="2" t="s">
        <v>29</v>
      </c>
      <c r="E542" s="2">
        <v>158</v>
      </c>
      <c r="F542" s="2">
        <v>120.33333330000001</v>
      </c>
      <c r="G542" s="2">
        <v>632</v>
      </c>
      <c r="H542" s="2">
        <v>2156.666667</v>
      </c>
      <c r="I542" s="2">
        <v>3187.666667</v>
      </c>
      <c r="J542" s="2">
        <v>1.02</v>
      </c>
      <c r="K542" s="2">
        <v>6.01</v>
      </c>
      <c r="L542" s="2">
        <v>13.52</v>
      </c>
      <c r="M542" s="2">
        <v>16.07</v>
      </c>
      <c r="N542" s="2">
        <v>5.8335549630000001</v>
      </c>
      <c r="O542" s="2">
        <v>6.1912326149999997</v>
      </c>
      <c r="P542" s="2">
        <v>3.0237094130000002</v>
      </c>
      <c r="Q542" s="2">
        <v>3.0703023709999999</v>
      </c>
      <c r="R542" s="2">
        <v>1.788009897</v>
      </c>
      <c r="S542" s="2">
        <v>1.818395126</v>
      </c>
      <c r="T542" s="2">
        <v>2.4384091589999999</v>
      </c>
      <c r="U542" s="2">
        <v>2.4739029509999999</v>
      </c>
      <c r="V542" s="2">
        <v>2.8448030069999999</v>
      </c>
      <c r="W542" s="2">
        <v>8.1678068000000006E-2</v>
      </c>
      <c r="X542">
        <f t="shared" si="24"/>
        <v>1</v>
      </c>
      <c r="Y542">
        <f t="shared" si="25"/>
        <v>1</v>
      </c>
      <c r="Z542">
        <f t="shared" si="26"/>
        <v>1</v>
      </c>
    </row>
    <row r="543" spans="1:26" ht="15.75" customHeight="1" x14ac:dyDescent="0.2">
      <c r="A543" s="2" t="s">
        <v>23</v>
      </c>
      <c r="B543" s="2" t="s">
        <v>24</v>
      </c>
      <c r="C543" s="2" t="s">
        <v>28</v>
      </c>
      <c r="D543" s="2" t="s">
        <v>29</v>
      </c>
      <c r="E543" s="2">
        <v>126</v>
      </c>
      <c r="F543" s="2">
        <v>111.66666669999999</v>
      </c>
      <c r="G543" s="2">
        <v>620.66666669999995</v>
      </c>
      <c r="H543" s="2">
        <v>2047</v>
      </c>
      <c r="I543" s="2">
        <v>3229.333333</v>
      </c>
      <c r="J543" s="2">
        <v>0.92</v>
      </c>
      <c r="K543" s="2">
        <v>5.92</v>
      </c>
      <c r="L543" s="2">
        <v>13.17</v>
      </c>
      <c r="M543" s="2">
        <v>16.149999999999999</v>
      </c>
      <c r="N543" s="2">
        <v>5.4759052239999999</v>
      </c>
      <c r="O543" s="2">
        <v>5.8334687150000004</v>
      </c>
      <c r="P543" s="2">
        <v>2.6927105240000002</v>
      </c>
      <c r="Q543" s="2">
        <v>2.7394192629999998</v>
      </c>
      <c r="R543" s="2">
        <v>1.6989784080000001</v>
      </c>
      <c r="S543" s="2">
        <v>1.7293636370000001</v>
      </c>
      <c r="T543" s="2">
        <v>2.089057763</v>
      </c>
      <c r="U543" s="2">
        <v>2.124551555</v>
      </c>
      <c r="V543" s="2">
        <v>2.755771518</v>
      </c>
      <c r="W543" s="2">
        <v>7.0170004999999994E-2</v>
      </c>
      <c r="X543">
        <f t="shared" si="24"/>
        <v>1</v>
      </c>
      <c r="Y543">
        <f t="shared" si="25"/>
        <v>1</v>
      </c>
      <c r="Z543">
        <f t="shared" si="26"/>
        <v>1</v>
      </c>
    </row>
    <row r="544" spans="1:26" ht="15.75" customHeight="1" x14ac:dyDescent="0.2">
      <c r="A544" s="2" t="s">
        <v>23</v>
      </c>
      <c r="B544" s="2" t="s">
        <v>24</v>
      </c>
      <c r="C544" s="2" t="s">
        <v>32</v>
      </c>
      <c r="D544" s="2" t="s">
        <v>33</v>
      </c>
      <c r="E544" s="2">
        <v>130</v>
      </c>
      <c r="F544" s="2">
        <v>115</v>
      </c>
      <c r="G544" s="2">
        <v>569.33333330000005</v>
      </c>
      <c r="H544" s="2">
        <v>1552</v>
      </c>
      <c r="I544" s="2">
        <v>3008</v>
      </c>
      <c r="J544" s="2">
        <v>0.96</v>
      </c>
      <c r="K544" s="2">
        <v>5.5</v>
      </c>
      <c r="L544" s="2">
        <v>11.32</v>
      </c>
      <c r="M544" s="2">
        <v>15.7</v>
      </c>
      <c r="N544" s="2">
        <v>0.96527601799999996</v>
      </c>
      <c r="O544" s="2">
        <v>1.0799143879999999</v>
      </c>
      <c r="P544" s="2">
        <v>1.3080649929999999</v>
      </c>
      <c r="Q544" s="2">
        <v>1.344781979</v>
      </c>
      <c r="R544" s="2">
        <v>1.2857269710000001</v>
      </c>
      <c r="S544" s="2">
        <v>1.3161122009999999</v>
      </c>
      <c r="T544" s="2">
        <v>0.24070766599999999</v>
      </c>
      <c r="U544" s="2">
        <v>0.27620145800000001</v>
      </c>
      <c r="V544" s="2">
        <v>2.342520081</v>
      </c>
      <c r="W544" s="2">
        <v>7.9583339000000003E-2</v>
      </c>
      <c r="X544">
        <f t="shared" si="24"/>
        <v>1</v>
      </c>
      <c r="Y544">
        <f t="shared" si="25"/>
        <v>1</v>
      </c>
      <c r="Z544">
        <f t="shared" si="26"/>
        <v>1</v>
      </c>
    </row>
    <row r="545" spans="1:26" ht="15.75" customHeight="1" x14ac:dyDescent="0.2">
      <c r="A545" s="2" t="s">
        <v>23</v>
      </c>
      <c r="B545" s="2" t="s">
        <v>24</v>
      </c>
      <c r="C545" s="2" t="s">
        <v>25</v>
      </c>
      <c r="D545" s="2" t="s">
        <v>25</v>
      </c>
      <c r="E545" s="2">
        <v>100</v>
      </c>
      <c r="F545" s="2">
        <v>123.33333330000001</v>
      </c>
      <c r="G545" s="2">
        <v>647.33333330000005</v>
      </c>
      <c r="H545" s="2">
        <v>1470.666667</v>
      </c>
      <c r="I545" s="2">
        <v>2776.333333</v>
      </c>
      <c r="J545" s="2">
        <v>1.06</v>
      </c>
      <c r="K545" s="2">
        <v>6.13</v>
      </c>
      <c r="L545" s="2">
        <v>10.96</v>
      </c>
      <c r="M545" s="2">
        <v>15.19</v>
      </c>
      <c r="N545" s="2">
        <v>0.249724636</v>
      </c>
      <c r="O545" s="2">
        <v>0.366163444</v>
      </c>
      <c r="P545" s="2">
        <v>1.9106371740000001</v>
      </c>
      <c r="Q545" s="2">
        <v>1.9392078909999999</v>
      </c>
      <c r="R545" s="2">
        <v>1.9072323099999999</v>
      </c>
      <c r="S545" s="2">
        <v>1.93761754</v>
      </c>
      <c r="T545" s="2">
        <v>0.114014581</v>
      </c>
      <c r="U545" s="2">
        <v>7.8520788999999994E-2</v>
      </c>
      <c r="V545" s="2">
        <v>2.96402542</v>
      </c>
      <c r="W545" s="2">
        <v>9.0735571000000001E-2</v>
      </c>
      <c r="X545">
        <f t="shared" si="24"/>
        <v>1</v>
      </c>
      <c r="Y545">
        <f t="shared" si="25"/>
        <v>1</v>
      </c>
      <c r="Z545">
        <f t="shared" si="26"/>
        <v>0</v>
      </c>
    </row>
    <row r="546" spans="1:26" ht="15.75" customHeight="1" x14ac:dyDescent="0.2">
      <c r="A546" s="2" t="s">
        <v>23</v>
      </c>
      <c r="B546" s="2" t="s">
        <v>24</v>
      </c>
      <c r="C546" s="2" t="s">
        <v>27</v>
      </c>
      <c r="D546" s="2" t="s">
        <v>27</v>
      </c>
      <c r="E546" s="2">
        <v>109</v>
      </c>
      <c r="F546" s="2">
        <v>125.66666669999999</v>
      </c>
      <c r="G546" s="2">
        <v>367.66666670000001</v>
      </c>
      <c r="H546" s="2">
        <v>2190</v>
      </c>
      <c r="I546" s="2">
        <v>2893.333333</v>
      </c>
      <c r="J546" s="2">
        <v>1.0900000000000001</v>
      </c>
      <c r="K546" s="2">
        <v>3.7</v>
      </c>
      <c r="L546" s="2">
        <v>13.62</v>
      </c>
      <c r="M546" s="2">
        <v>15.45</v>
      </c>
      <c r="N546" s="2">
        <v>0.131908887</v>
      </c>
      <c r="O546" s="2">
        <v>0.10233890599999999</v>
      </c>
      <c r="P546" s="2">
        <v>2.5924467490000001</v>
      </c>
      <c r="Q546" s="2">
        <v>2.6214668859999999</v>
      </c>
      <c r="R546" s="2">
        <v>0.51422182400000005</v>
      </c>
      <c r="S546" s="2">
        <v>0.48383659400000001</v>
      </c>
      <c r="T546" s="2">
        <v>2.5409360599999999</v>
      </c>
      <c r="U546" s="2">
        <v>2.576429852</v>
      </c>
      <c r="V546" s="2">
        <v>0.54257128600000004</v>
      </c>
      <c r="W546" s="2">
        <v>0.10157725500000001</v>
      </c>
      <c r="X546">
        <f t="shared" si="24"/>
        <v>1</v>
      </c>
      <c r="Y546">
        <f t="shared" si="25"/>
        <v>1</v>
      </c>
      <c r="Z546">
        <f t="shared" si="26"/>
        <v>0</v>
      </c>
    </row>
    <row r="547" spans="1:26" ht="15.75" customHeight="1" x14ac:dyDescent="0.2">
      <c r="A547" s="2" t="s">
        <v>23</v>
      </c>
      <c r="B547" s="2" t="s">
        <v>24</v>
      </c>
      <c r="C547" s="2" t="s">
        <v>32</v>
      </c>
      <c r="D547" s="2" t="s">
        <v>33</v>
      </c>
      <c r="E547" s="2">
        <v>110</v>
      </c>
      <c r="F547" s="2">
        <v>119.33333330000001</v>
      </c>
      <c r="G547" s="2">
        <v>636.33333330000005</v>
      </c>
      <c r="H547" s="2">
        <v>918.33333330000005</v>
      </c>
      <c r="I547" s="2">
        <v>2325.666667</v>
      </c>
      <c r="J547" s="2">
        <v>1.01</v>
      </c>
      <c r="K547" s="2">
        <v>6.04</v>
      </c>
      <c r="L547" s="2">
        <v>8.02</v>
      </c>
      <c r="M547" s="2">
        <v>14.02</v>
      </c>
      <c r="N547" s="2">
        <v>2.8373892010000001</v>
      </c>
      <c r="O547" s="2">
        <v>2.830271856</v>
      </c>
      <c r="P547" s="2">
        <v>3.555483744</v>
      </c>
      <c r="Q547" s="2">
        <v>3.5408500709999999</v>
      </c>
      <c r="R547" s="2">
        <v>1.821845937</v>
      </c>
      <c r="S547" s="2">
        <v>1.852231167</v>
      </c>
      <c r="T547" s="2">
        <v>3.05325106</v>
      </c>
      <c r="U547" s="2">
        <v>3.017757268</v>
      </c>
      <c r="V547" s="2">
        <v>2.8786390470000001</v>
      </c>
      <c r="W547" s="2">
        <v>9.4598201000000007E-2</v>
      </c>
      <c r="X547">
        <f t="shared" si="24"/>
        <v>1</v>
      </c>
      <c r="Y547">
        <f t="shared" si="25"/>
        <v>1</v>
      </c>
      <c r="Z547">
        <f t="shared" si="26"/>
        <v>1</v>
      </c>
    </row>
    <row r="548" spans="1:26" ht="15.75" customHeight="1" x14ac:dyDescent="0.2">
      <c r="A548" s="2" t="s">
        <v>23</v>
      </c>
      <c r="B548" s="2" t="s">
        <v>24</v>
      </c>
      <c r="C548" s="2" t="s">
        <v>28</v>
      </c>
      <c r="D548" s="2" t="s">
        <v>29</v>
      </c>
      <c r="E548" s="2">
        <v>114</v>
      </c>
      <c r="F548" s="2">
        <v>106.66666669999999</v>
      </c>
      <c r="G548" s="2">
        <v>548.66666669999995</v>
      </c>
      <c r="H548" s="2">
        <v>2129.666667</v>
      </c>
      <c r="I548" s="2">
        <v>2939.666667</v>
      </c>
      <c r="J548" s="2">
        <v>0.85</v>
      </c>
      <c r="K548" s="2">
        <v>5.33</v>
      </c>
      <c r="L548" s="2">
        <v>13.43</v>
      </c>
      <c r="M548" s="2">
        <v>15.56</v>
      </c>
      <c r="N548" s="2">
        <v>5.5426095020000004</v>
      </c>
      <c r="O548" s="2">
        <v>5.8997339740000001</v>
      </c>
      <c r="P548" s="2">
        <v>2.6046585420000001</v>
      </c>
      <c r="Q548" s="2">
        <v>2.6497692590000002</v>
      </c>
      <c r="R548" s="2">
        <v>1.1145780000000001</v>
      </c>
      <c r="S548" s="2">
        <v>1.144963229</v>
      </c>
      <c r="T548" s="2">
        <v>2.3541372100000002</v>
      </c>
      <c r="U548" s="2">
        <v>2.3896310029999999</v>
      </c>
      <c r="V548" s="2">
        <v>2.1713711099999999</v>
      </c>
      <c r="W548" s="2">
        <v>6.0077668000000001E-2</v>
      </c>
      <c r="X548">
        <f t="shared" si="24"/>
        <v>1</v>
      </c>
      <c r="Y548">
        <f t="shared" si="25"/>
        <v>1</v>
      </c>
      <c r="Z548">
        <f t="shared" si="26"/>
        <v>1</v>
      </c>
    </row>
    <row r="549" spans="1:26" ht="15.75" customHeight="1" x14ac:dyDescent="0.2">
      <c r="A549" s="2" t="s">
        <v>23</v>
      </c>
      <c r="B549" s="2" t="s">
        <v>24</v>
      </c>
      <c r="C549" s="2" t="s">
        <v>27</v>
      </c>
      <c r="D549" s="2" t="s">
        <v>27</v>
      </c>
      <c r="E549" s="2">
        <v>120</v>
      </c>
      <c r="F549" s="2">
        <v>121</v>
      </c>
      <c r="G549" s="2">
        <v>370.66666670000001</v>
      </c>
      <c r="H549" s="2">
        <v>2189.666667</v>
      </c>
      <c r="I549" s="2">
        <v>2912</v>
      </c>
      <c r="J549" s="2">
        <v>1.03</v>
      </c>
      <c r="K549" s="2">
        <v>3.73</v>
      </c>
      <c r="L549" s="2">
        <v>13.62</v>
      </c>
      <c r="M549" s="2">
        <v>15.49</v>
      </c>
      <c r="N549" s="2">
        <v>0.11695776200000001</v>
      </c>
      <c r="O549" s="2">
        <v>0.12161525199999999</v>
      </c>
      <c r="P549" s="2">
        <v>2.5858406170000001</v>
      </c>
      <c r="Q549" s="2">
        <v>2.6152578989999999</v>
      </c>
      <c r="R549" s="2">
        <v>0.48516332400000001</v>
      </c>
      <c r="S549" s="2">
        <v>0.45477809499999999</v>
      </c>
      <c r="T549" s="2">
        <v>2.5399189440000001</v>
      </c>
      <c r="U549" s="2">
        <v>2.5754127370000002</v>
      </c>
      <c r="V549" s="2">
        <v>0.57162978600000003</v>
      </c>
      <c r="W549" s="2">
        <v>7.2935517000000005E-2</v>
      </c>
      <c r="X549">
        <f t="shared" si="24"/>
        <v>1</v>
      </c>
      <c r="Y549">
        <f t="shared" si="25"/>
        <v>1</v>
      </c>
      <c r="Z549">
        <f t="shared" si="26"/>
        <v>0</v>
      </c>
    </row>
    <row r="550" spans="1:26" ht="15.75" customHeight="1" x14ac:dyDescent="0.2">
      <c r="A550" s="2" t="s">
        <v>23</v>
      </c>
      <c r="B550" s="2" t="s">
        <v>24</v>
      </c>
      <c r="C550" s="2" t="s">
        <v>26</v>
      </c>
      <c r="D550" s="2" t="s">
        <v>26</v>
      </c>
      <c r="E550" s="2">
        <v>124</v>
      </c>
      <c r="F550" s="2">
        <v>111.66666669999999</v>
      </c>
      <c r="G550" s="2">
        <v>386.66666670000001</v>
      </c>
      <c r="H550" s="2">
        <v>821.66666669999995</v>
      </c>
      <c r="I550" s="2">
        <v>2661.666667</v>
      </c>
      <c r="J550" s="2">
        <v>0.92</v>
      </c>
      <c r="K550" s="2">
        <v>3.89</v>
      </c>
      <c r="L550" s="2">
        <v>7.39</v>
      </c>
      <c r="M550" s="2">
        <v>14.91</v>
      </c>
      <c r="N550" s="2">
        <v>0.69112169499999998</v>
      </c>
      <c r="O550" s="2">
        <v>0.37173361599999999</v>
      </c>
      <c r="P550" s="2">
        <v>3.7025451999999999</v>
      </c>
      <c r="Q550" s="2">
        <v>3.664574021</v>
      </c>
      <c r="R550" s="2">
        <v>0.33143945800000002</v>
      </c>
      <c r="S550" s="2">
        <v>0.30105422799999998</v>
      </c>
      <c r="T550" s="2">
        <v>3.6876806860000002</v>
      </c>
      <c r="U550" s="2">
        <v>3.6521868940000002</v>
      </c>
      <c r="V550" s="2">
        <v>0.72535365200000002</v>
      </c>
      <c r="W550" s="2">
        <v>0.15631710200000001</v>
      </c>
      <c r="X550">
        <f t="shared" si="24"/>
        <v>1</v>
      </c>
      <c r="Y550">
        <f t="shared" si="25"/>
        <v>1</v>
      </c>
      <c r="Z550">
        <f t="shared" si="26"/>
        <v>0</v>
      </c>
    </row>
    <row r="551" spans="1:26" ht="15.75" customHeight="1" x14ac:dyDescent="0.2">
      <c r="A551" s="2" t="s">
        <v>23</v>
      </c>
      <c r="B551" s="2" t="s">
        <v>24</v>
      </c>
      <c r="C551" s="2" t="s">
        <v>27</v>
      </c>
      <c r="D551" s="2" t="s">
        <v>27</v>
      </c>
      <c r="E551" s="2">
        <v>130</v>
      </c>
      <c r="F551" s="2">
        <v>114.66666669999999</v>
      </c>
      <c r="G551" s="2">
        <v>413</v>
      </c>
      <c r="H551" s="2">
        <v>2102</v>
      </c>
      <c r="I551" s="2">
        <v>2776</v>
      </c>
      <c r="J551" s="2">
        <v>0.95</v>
      </c>
      <c r="K551" s="2">
        <v>4.1399999999999997</v>
      </c>
      <c r="L551" s="2">
        <v>13.34</v>
      </c>
      <c r="M551" s="2">
        <v>15.18</v>
      </c>
      <c r="N551" s="2">
        <v>0.39310740599999999</v>
      </c>
      <c r="O551" s="2">
        <v>0.53033595899999997</v>
      </c>
      <c r="P551" s="2">
        <v>2.2681396220000001</v>
      </c>
      <c r="Q551" s="2">
        <v>2.302716137</v>
      </c>
      <c r="R551" s="2">
        <v>8.2949077999999996E-2</v>
      </c>
      <c r="S551" s="2">
        <v>5.2563849000000003E-2</v>
      </c>
      <c r="T551" s="2">
        <v>2.2666223319999999</v>
      </c>
      <c r="U551" s="2">
        <v>2.302116125</v>
      </c>
      <c r="V551" s="2">
        <v>0.97384403200000003</v>
      </c>
      <c r="W551" s="2">
        <v>0.108466591</v>
      </c>
      <c r="X551">
        <f t="shared" si="24"/>
        <v>1</v>
      </c>
      <c r="Y551">
        <f t="shared" si="25"/>
        <v>1</v>
      </c>
      <c r="Z551">
        <f t="shared" si="26"/>
        <v>0</v>
      </c>
    </row>
    <row r="552" spans="1:26" ht="15.75" customHeight="1" x14ac:dyDescent="0.2">
      <c r="A552" s="2" t="s">
        <v>23</v>
      </c>
      <c r="B552" s="2" t="s">
        <v>24</v>
      </c>
      <c r="C552" s="2" t="s">
        <v>27</v>
      </c>
      <c r="D552" s="2" t="s">
        <v>27</v>
      </c>
      <c r="E552" s="2">
        <v>160</v>
      </c>
      <c r="F552" s="2">
        <v>110.33333330000001</v>
      </c>
      <c r="G552" s="2">
        <v>389.66666670000001</v>
      </c>
      <c r="H552" s="2">
        <v>2194.666667</v>
      </c>
      <c r="I552" s="2">
        <v>2895.333333</v>
      </c>
      <c r="J552" s="2">
        <v>0.9</v>
      </c>
      <c r="K552" s="2">
        <v>3.92</v>
      </c>
      <c r="L552" s="2">
        <v>13.63</v>
      </c>
      <c r="M552" s="2">
        <v>15.46</v>
      </c>
      <c r="N552" s="2">
        <v>0.18375161400000001</v>
      </c>
      <c r="O552" s="2">
        <v>0.29001416400000002</v>
      </c>
      <c r="P552" s="2">
        <v>2.5730435040000001</v>
      </c>
      <c r="Q552" s="2">
        <v>2.6049407260000002</v>
      </c>
      <c r="R552" s="2">
        <v>0.30284930500000001</v>
      </c>
      <c r="S552" s="2">
        <v>0.27246407499999997</v>
      </c>
      <c r="T552" s="2">
        <v>2.555158542</v>
      </c>
      <c r="U552" s="2">
        <v>2.5906523340000001</v>
      </c>
      <c r="V552" s="2">
        <v>0.75394380500000002</v>
      </c>
      <c r="W552" s="2">
        <v>0.10531908700000001</v>
      </c>
      <c r="X552">
        <f t="shared" si="24"/>
        <v>1</v>
      </c>
      <c r="Y552">
        <f t="shared" si="25"/>
        <v>1</v>
      </c>
      <c r="Z552">
        <f t="shared" si="26"/>
        <v>0</v>
      </c>
    </row>
    <row r="553" spans="1:26" ht="15.75" customHeight="1" x14ac:dyDescent="0.2">
      <c r="A553" s="2" t="s">
        <v>23</v>
      </c>
      <c r="B553" s="2" t="s">
        <v>24</v>
      </c>
      <c r="C553" s="2" t="s">
        <v>32</v>
      </c>
      <c r="D553" s="2" t="s">
        <v>33</v>
      </c>
      <c r="E553" s="2">
        <v>120</v>
      </c>
      <c r="F553" s="2">
        <v>111.66666669999999</v>
      </c>
      <c r="G553" s="2">
        <v>740.33333330000005</v>
      </c>
      <c r="H553" s="2">
        <v>2007.666667</v>
      </c>
      <c r="I553" s="2">
        <v>3311.333333</v>
      </c>
      <c r="J553" s="2">
        <v>0.92</v>
      </c>
      <c r="K553" s="2">
        <v>6.82</v>
      </c>
      <c r="L553" s="2">
        <v>13.04</v>
      </c>
      <c r="M553" s="2">
        <v>16.309999999999999</v>
      </c>
      <c r="N553" s="2">
        <v>2.2421043150000002</v>
      </c>
      <c r="O553" s="2">
        <v>2.2423352310000002</v>
      </c>
      <c r="P553" s="2">
        <v>3.2565038629999998</v>
      </c>
      <c r="Q553" s="2">
        <v>3.302143708</v>
      </c>
      <c r="R553" s="2">
        <v>2.6013320790000001</v>
      </c>
      <c r="S553" s="2">
        <v>2.6317173079999998</v>
      </c>
      <c r="T553" s="2">
        <v>1.959053044</v>
      </c>
      <c r="U553" s="2">
        <v>1.994546836</v>
      </c>
      <c r="V553" s="2">
        <v>3.6581251890000002</v>
      </c>
      <c r="W553" s="2">
        <v>0.15728573400000001</v>
      </c>
      <c r="X553">
        <f t="shared" si="24"/>
        <v>1</v>
      </c>
      <c r="Y553">
        <f t="shared" si="25"/>
        <v>1</v>
      </c>
      <c r="Z553">
        <f t="shared" si="26"/>
        <v>1</v>
      </c>
    </row>
    <row r="554" spans="1:26" ht="15.75" customHeight="1" x14ac:dyDescent="0.2">
      <c r="A554" s="2" t="s">
        <v>23</v>
      </c>
      <c r="B554" s="2" t="s">
        <v>24</v>
      </c>
      <c r="C554" s="2" t="s">
        <v>28</v>
      </c>
      <c r="D554" s="2" t="s">
        <v>29</v>
      </c>
      <c r="E554" s="2">
        <v>140</v>
      </c>
      <c r="F554" s="2">
        <v>125.33333330000001</v>
      </c>
      <c r="G554" s="2">
        <v>611.33333330000005</v>
      </c>
      <c r="H554" s="2">
        <v>1637.666667</v>
      </c>
      <c r="I554" s="2">
        <v>3035</v>
      </c>
      <c r="J554" s="2">
        <v>1.08</v>
      </c>
      <c r="K554" s="2">
        <v>5.84</v>
      </c>
      <c r="L554" s="2">
        <v>11.67</v>
      </c>
      <c r="M554" s="2">
        <v>15.76</v>
      </c>
      <c r="N554" s="2">
        <v>4.0915711440000004</v>
      </c>
      <c r="O554" s="2">
        <v>4.4450065179999996</v>
      </c>
      <c r="P554" s="2">
        <v>1.731254356</v>
      </c>
      <c r="Q554" s="2">
        <v>1.7721623790000001</v>
      </c>
      <c r="R554" s="2">
        <v>1.62506906</v>
      </c>
      <c r="S554" s="2">
        <v>1.6554542889999999</v>
      </c>
      <c r="T554" s="2">
        <v>0.59698592699999997</v>
      </c>
      <c r="U554" s="2">
        <v>0.632479719</v>
      </c>
      <c r="V554" s="2">
        <v>2.68186217</v>
      </c>
      <c r="W554" s="2">
        <v>0.13396474899999999</v>
      </c>
      <c r="X554">
        <f t="shared" si="24"/>
        <v>1</v>
      </c>
      <c r="Y554">
        <f t="shared" si="25"/>
        <v>1</v>
      </c>
      <c r="Z554">
        <f t="shared" si="26"/>
        <v>1</v>
      </c>
    </row>
    <row r="555" spans="1:26" ht="15.75" customHeight="1" x14ac:dyDescent="0.2">
      <c r="A555" s="2" t="s">
        <v>23</v>
      </c>
      <c r="B555" s="2" t="s">
        <v>24</v>
      </c>
      <c r="C555" s="2" t="s">
        <v>26</v>
      </c>
      <c r="D555" s="2" t="s">
        <v>26</v>
      </c>
      <c r="E555" s="2">
        <v>114</v>
      </c>
      <c r="F555" s="2">
        <v>130.33333329999999</v>
      </c>
      <c r="G555" s="2">
        <v>390.66666670000001</v>
      </c>
      <c r="H555" s="2">
        <v>1110</v>
      </c>
      <c r="I555" s="2">
        <v>2591.333333</v>
      </c>
      <c r="J555" s="2">
        <v>1.1399999999999999</v>
      </c>
      <c r="K555" s="2">
        <v>3.93</v>
      </c>
      <c r="L555" s="2">
        <v>9.16</v>
      </c>
      <c r="M555" s="2">
        <v>14.73</v>
      </c>
      <c r="N555" s="2">
        <v>1.0837505190000001</v>
      </c>
      <c r="O555" s="2">
        <v>1.4297641699999999</v>
      </c>
      <c r="P555" s="2">
        <v>1.9358273260000001</v>
      </c>
      <c r="Q555" s="2">
        <v>1.896299422</v>
      </c>
      <c r="R555" s="2">
        <v>0.29333547100000001</v>
      </c>
      <c r="S555" s="2">
        <v>0.26295024099999997</v>
      </c>
      <c r="T555" s="2">
        <v>1.913473736</v>
      </c>
      <c r="U555" s="2">
        <v>1.8779799429999999</v>
      </c>
      <c r="V555" s="2">
        <v>0.76345764000000005</v>
      </c>
      <c r="W555" s="2">
        <v>0.13457408100000001</v>
      </c>
      <c r="X555">
        <f t="shared" si="24"/>
        <v>1</v>
      </c>
      <c r="Y555">
        <f t="shared" si="25"/>
        <v>1</v>
      </c>
      <c r="Z555">
        <f t="shared" si="26"/>
        <v>0</v>
      </c>
    </row>
    <row r="556" spans="1:26" ht="15.75" customHeight="1" x14ac:dyDescent="0.2">
      <c r="A556" s="2" t="s">
        <v>23</v>
      </c>
      <c r="B556" s="2" t="s">
        <v>24</v>
      </c>
      <c r="C556" s="2" t="s">
        <v>30</v>
      </c>
      <c r="D556" s="2" t="s">
        <v>31</v>
      </c>
      <c r="E556" s="2">
        <v>130</v>
      </c>
      <c r="F556" s="2">
        <v>107.33333330000001</v>
      </c>
      <c r="G556" s="2">
        <v>700.66666669999995</v>
      </c>
      <c r="H556" s="2">
        <v>1258.666667</v>
      </c>
      <c r="I556" s="2">
        <v>3044.666667</v>
      </c>
      <c r="J556" s="2">
        <v>0.86</v>
      </c>
      <c r="K556" s="2">
        <v>6.53</v>
      </c>
      <c r="L556" s="2">
        <v>9.9499999999999993</v>
      </c>
      <c r="M556" s="2">
        <v>15.78</v>
      </c>
      <c r="N556" s="2">
        <v>4.4950252160000002</v>
      </c>
      <c r="O556" s="2">
        <v>4.6018791639999996</v>
      </c>
      <c r="P556" s="2">
        <v>2.569550016</v>
      </c>
      <c r="Q556" s="2">
        <v>2.5817655500000001</v>
      </c>
      <c r="R556" s="2">
        <v>2.3112167029999999</v>
      </c>
      <c r="S556" s="2">
        <v>2.3416019330000002</v>
      </c>
      <c r="T556" s="2">
        <v>1.1228822890000001</v>
      </c>
      <c r="U556" s="2">
        <v>1.0873884970000001</v>
      </c>
      <c r="V556" s="2">
        <v>3.368009813</v>
      </c>
      <c r="W556" s="2">
        <v>6.8600339999999996E-2</v>
      </c>
      <c r="X556">
        <f t="shared" si="24"/>
        <v>1</v>
      </c>
      <c r="Y556">
        <f t="shared" si="25"/>
        <v>1</v>
      </c>
      <c r="Z556">
        <f t="shared" si="26"/>
        <v>1</v>
      </c>
    </row>
    <row r="557" spans="1:26" ht="15.75" customHeight="1" x14ac:dyDescent="0.2">
      <c r="A557" s="2" t="s">
        <v>23</v>
      </c>
      <c r="B557" s="2" t="s">
        <v>24</v>
      </c>
      <c r="C557" s="2" t="s">
        <v>27</v>
      </c>
      <c r="D557" s="2" t="s">
        <v>27</v>
      </c>
      <c r="E557" s="2">
        <v>116</v>
      </c>
      <c r="F557" s="2">
        <v>112</v>
      </c>
      <c r="G557" s="2">
        <v>379.33333329999999</v>
      </c>
      <c r="H557" s="2">
        <v>2126</v>
      </c>
      <c r="I557" s="2">
        <v>2945.333333</v>
      </c>
      <c r="J557" s="2">
        <v>0.92</v>
      </c>
      <c r="K557" s="2">
        <v>3.82</v>
      </c>
      <c r="L557" s="2">
        <v>13.42</v>
      </c>
      <c r="M557" s="2">
        <v>15.57</v>
      </c>
      <c r="N557" s="2">
        <v>9.7306139999999999E-2</v>
      </c>
      <c r="O557" s="2">
        <v>0.21083037900000001</v>
      </c>
      <c r="P557" s="2">
        <v>2.376787389</v>
      </c>
      <c r="Q557" s="2">
        <v>2.4069046140000001</v>
      </c>
      <c r="R557" s="2">
        <v>0.40163520400000002</v>
      </c>
      <c r="S557" s="2">
        <v>0.37124997500000001</v>
      </c>
      <c r="T557" s="2">
        <v>2.3426069780000001</v>
      </c>
      <c r="U557" s="2">
        <v>2.3781007710000002</v>
      </c>
      <c r="V557" s="2">
        <v>0.65515790600000001</v>
      </c>
      <c r="W557" s="2">
        <v>7.623431E-2</v>
      </c>
      <c r="X557">
        <f t="shared" si="24"/>
        <v>1</v>
      </c>
      <c r="Y557">
        <f t="shared" si="25"/>
        <v>1</v>
      </c>
      <c r="Z557">
        <f t="shared" si="26"/>
        <v>0</v>
      </c>
    </row>
    <row r="558" spans="1:26" ht="15.75" customHeight="1" x14ac:dyDescent="0.2">
      <c r="A558" s="2" t="s">
        <v>23</v>
      </c>
      <c r="B558" s="2" t="s">
        <v>24</v>
      </c>
      <c r="C558" s="2" t="s">
        <v>30</v>
      </c>
      <c r="D558" s="2" t="s">
        <v>31</v>
      </c>
      <c r="E558" s="2">
        <v>131</v>
      </c>
      <c r="F558" s="2">
        <v>153</v>
      </c>
      <c r="G558" s="2">
        <v>736.33333330000005</v>
      </c>
      <c r="H558" s="2">
        <v>1323</v>
      </c>
      <c r="I558" s="2">
        <v>3032.666667</v>
      </c>
      <c r="J558" s="2">
        <v>1.41</v>
      </c>
      <c r="K558" s="2">
        <v>6.79</v>
      </c>
      <c r="L558" s="2">
        <v>10.27</v>
      </c>
      <c r="M558" s="2">
        <v>15.76</v>
      </c>
      <c r="N558" s="2">
        <v>4.420218695</v>
      </c>
      <c r="O558" s="2">
        <v>4.5348002559999996</v>
      </c>
      <c r="P558" s="2">
        <v>2.6948686980000001</v>
      </c>
      <c r="Q558" s="2">
        <v>2.713637753</v>
      </c>
      <c r="R558" s="2">
        <v>2.572463731</v>
      </c>
      <c r="S558" s="2">
        <v>2.6028489609999998</v>
      </c>
      <c r="T558" s="2">
        <v>0.80296179999999995</v>
      </c>
      <c r="U558" s="2">
        <v>0.76746800800000003</v>
      </c>
      <c r="V558" s="2">
        <v>3.6292568410000001</v>
      </c>
      <c r="W558" s="2">
        <v>0.10360309199999999</v>
      </c>
      <c r="X558">
        <f t="shared" si="24"/>
        <v>1</v>
      </c>
      <c r="Y558">
        <f t="shared" si="25"/>
        <v>1</v>
      </c>
      <c r="Z558">
        <f t="shared" si="26"/>
        <v>1</v>
      </c>
    </row>
    <row r="559" spans="1:26" ht="15.75" customHeight="1" x14ac:dyDescent="0.2">
      <c r="A559" s="2" t="s">
        <v>23</v>
      </c>
      <c r="B559" s="2" t="s">
        <v>24</v>
      </c>
      <c r="C559" s="2" t="s">
        <v>26</v>
      </c>
      <c r="D559" s="2" t="s">
        <v>26</v>
      </c>
      <c r="E559" s="2">
        <v>165</v>
      </c>
      <c r="F559" s="2">
        <v>123.66666669999999</v>
      </c>
      <c r="G559" s="2">
        <v>316.66666670000001</v>
      </c>
      <c r="H559" s="2">
        <v>928.33333330000005</v>
      </c>
      <c r="I559" s="2">
        <v>2547</v>
      </c>
      <c r="J559" s="2">
        <v>1.06</v>
      </c>
      <c r="K559" s="2">
        <v>3.2</v>
      </c>
      <c r="L559" s="2">
        <v>8.09</v>
      </c>
      <c r="M559" s="2">
        <v>14.62</v>
      </c>
      <c r="N559" s="2">
        <v>0.68866174700000005</v>
      </c>
      <c r="O559" s="2">
        <v>0.66751116099999996</v>
      </c>
      <c r="P559" s="2">
        <v>3.1592132030000002</v>
      </c>
      <c r="Q559" s="2">
        <v>3.115858357</v>
      </c>
      <c r="R559" s="2">
        <v>1.0199333180000001</v>
      </c>
      <c r="S559" s="2">
        <v>0.98954808900000002</v>
      </c>
      <c r="T559" s="2">
        <v>2.9900441610000001</v>
      </c>
      <c r="U559" s="2">
        <v>2.9545503690000001</v>
      </c>
      <c r="V559" s="2">
        <v>3.6859792000000002E-2</v>
      </c>
      <c r="W559" s="2">
        <v>0.148799194</v>
      </c>
      <c r="X559">
        <f t="shared" si="24"/>
        <v>1</v>
      </c>
      <c r="Y559">
        <f t="shared" si="25"/>
        <v>1</v>
      </c>
      <c r="Z559">
        <f t="shared" si="26"/>
        <v>0</v>
      </c>
    </row>
    <row r="560" spans="1:26" ht="15.75" customHeight="1" x14ac:dyDescent="0.2">
      <c r="A560" s="2" t="s">
        <v>23</v>
      </c>
      <c r="B560" s="2" t="s">
        <v>24</v>
      </c>
      <c r="C560" s="2" t="s">
        <v>26</v>
      </c>
      <c r="D560" s="2" t="s">
        <v>26</v>
      </c>
      <c r="E560" s="2">
        <v>139</v>
      </c>
      <c r="F560" s="2">
        <v>113</v>
      </c>
      <c r="G560" s="2">
        <v>429.33333329999999</v>
      </c>
      <c r="H560" s="2">
        <v>1035.666667</v>
      </c>
      <c r="I560" s="2">
        <v>2531</v>
      </c>
      <c r="J560" s="2">
        <v>0.93</v>
      </c>
      <c r="K560" s="2">
        <v>4.29</v>
      </c>
      <c r="L560" s="2">
        <v>8.74</v>
      </c>
      <c r="M560" s="2">
        <v>14.58</v>
      </c>
      <c r="N560" s="2">
        <v>0.77021089399999998</v>
      </c>
      <c r="O560" s="2">
        <v>1.1226292959999999</v>
      </c>
      <c r="P560" s="2">
        <v>2.3391966110000002</v>
      </c>
      <c r="Q560" s="2">
        <v>2.3048208720000001</v>
      </c>
      <c r="R560" s="2">
        <v>6.8425599000000004E-2</v>
      </c>
      <c r="S560" s="2">
        <v>9.8810828000000003E-2</v>
      </c>
      <c r="T560" s="2">
        <v>2.3381956119999998</v>
      </c>
      <c r="U560" s="2">
        <v>2.3027018199999998</v>
      </c>
      <c r="V560" s="2">
        <v>1.1252187090000001</v>
      </c>
      <c r="W560" s="2">
        <v>0.15580476100000001</v>
      </c>
      <c r="X560">
        <f t="shared" si="24"/>
        <v>1</v>
      </c>
      <c r="Y560">
        <f t="shared" si="25"/>
        <v>1</v>
      </c>
      <c r="Z560">
        <f t="shared" si="26"/>
        <v>0</v>
      </c>
    </row>
    <row r="561" spans="1:26" ht="15.75" customHeight="1" x14ac:dyDescent="0.2">
      <c r="A561" s="2" t="s">
        <v>23</v>
      </c>
      <c r="B561" s="2" t="s">
        <v>24</v>
      </c>
      <c r="C561" s="2" t="s">
        <v>26</v>
      </c>
      <c r="D561" s="2" t="s">
        <v>26</v>
      </c>
      <c r="E561" s="2">
        <v>121</v>
      </c>
      <c r="F561" s="2">
        <v>110.33333330000001</v>
      </c>
      <c r="G561" s="2">
        <v>403.66666670000001</v>
      </c>
      <c r="H561" s="2">
        <v>891.33333330000005</v>
      </c>
      <c r="I561" s="2">
        <v>2687.333333</v>
      </c>
      <c r="J561" s="2">
        <v>0.9</v>
      </c>
      <c r="K561" s="2">
        <v>4.05</v>
      </c>
      <c r="L561" s="2">
        <v>7.85</v>
      </c>
      <c r="M561" s="2">
        <v>14.97</v>
      </c>
      <c r="N561" s="2">
        <v>0.28034544700000003</v>
      </c>
      <c r="O561" s="2">
        <v>0.29845463100000003</v>
      </c>
      <c r="P561" s="2">
        <v>3.2306206240000002</v>
      </c>
      <c r="Q561" s="2">
        <v>3.1937005740000002</v>
      </c>
      <c r="R561" s="2">
        <v>0.170388181</v>
      </c>
      <c r="S561" s="2">
        <v>0.14000295200000001</v>
      </c>
      <c r="T561" s="2">
        <v>3.2261242210000001</v>
      </c>
      <c r="U561" s="2">
        <v>3.190630428</v>
      </c>
      <c r="V561" s="2">
        <v>0.88640492900000001</v>
      </c>
      <c r="W561" s="2">
        <v>8.9412831999999998E-2</v>
      </c>
      <c r="X561">
        <f t="shared" si="24"/>
        <v>1</v>
      </c>
      <c r="Y561">
        <f t="shared" si="25"/>
        <v>1</v>
      </c>
      <c r="Z561">
        <f t="shared" si="26"/>
        <v>0</v>
      </c>
    </row>
    <row r="562" spans="1:26" ht="15.75" customHeight="1" x14ac:dyDescent="0.2">
      <c r="A562" s="2" t="s">
        <v>23</v>
      </c>
      <c r="B562" s="2" t="s">
        <v>24</v>
      </c>
      <c r="C562" s="2" t="s">
        <v>25</v>
      </c>
      <c r="D562" s="2" t="s">
        <v>25</v>
      </c>
      <c r="E562" s="2">
        <v>141</v>
      </c>
      <c r="F562" s="2">
        <v>118.33333330000001</v>
      </c>
      <c r="G562" s="2">
        <v>694.33333330000005</v>
      </c>
      <c r="H562" s="2">
        <v>1314.666667</v>
      </c>
      <c r="I562" s="2">
        <v>2563</v>
      </c>
      <c r="J562" s="2">
        <v>1</v>
      </c>
      <c r="K562" s="2">
        <v>6.48</v>
      </c>
      <c r="L562" s="2">
        <v>10.23</v>
      </c>
      <c r="M562" s="2">
        <v>14.66</v>
      </c>
      <c r="N562" s="2">
        <v>0.62650907099999997</v>
      </c>
      <c r="O562" s="2">
        <v>0.58916858800000005</v>
      </c>
      <c r="P562" s="2">
        <v>2.4161821259999998</v>
      </c>
      <c r="Q562" s="2">
        <v>2.4326564359999998</v>
      </c>
      <c r="R562" s="2">
        <v>2.264093012</v>
      </c>
      <c r="S562" s="2">
        <v>2.2944782410000002</v>
      </c>
      <c r="T562" s="2">
        <v>0.84369360500000001</v>
      </c>
      <c r="U562" s="2">
        <v>0.80819981299999999</v>
      </c>
      <c r="V562" s="2">
        <v>3.3208861220000001</v>
      </c>
      <c r="W562" s="2">
        <v>0.16501154600000001</v>
      </c>
      <c r="X562">
        <f t="shared" si="24"/>
        <v>1</v>
      </c>
      <c r="Y562">
        <f t="shared" si="25"/>
        <v>1</v>
      </c>
      <c r="Z562">
        <f t="shared" si="26"/>
        <v>0</v>
      </c>
    </row>
    <row r="563" spans="1:26" ht="15.75" customHeight="1" x14ac:dyDescent="0.2">
      <c r="A563" s="2" t="s">
        <v>23</v>
      </c>
      <c r="B563" s="2" t="s">
        <v>24</v>
      </c>
      <c r="C563" s="2" t="s">
        <v>25</v>
      </c>
      <c r="D563" s="2" t="s">
        <v>25</v>
      </c>
      <c r="E563" s="2">
        <v>104</v>
      </c>
      <c r="F563" s="2">
        <v>130</v>
      </c>
      <c r="G563" s="2">
        <v>636.33333330000005</v>
      </c>
      <c r="H563" s="2">
        <v>1521</v>
      </c>
      <c r="I563" s="2">
        <v>2835.666667</v>
      </c>
      <c r="J563" s="2">
        <v>1.1399999999999999</v>
      </c>
      <c r="K563" s="2">
        <v>6.04</v>
      </c>
      <c r="L563" s="2">
        <v>11.18</v>
      </c>
      <c r="M563" s="2">
        <v>15.32</v>
      </c>
      <c r="N563" s="2">
        <v>0.45680449000000001</v>
      </c>
      <c r="O563" s="2">
        <v>0.55723696499999997</v>
      </c>
      <c r="P563" s="2">
        <v>1.8250124670000001</v>
      </c>
      <c r="Q563" s="2">
        <v>1.857739593</v>
      </c>
      <c r="R563" s="2">
        <v>1.821845937</v>
      </c>
      <c r="S563" s="2">
        <v>1.852231167</v>
      </c>
      <c r="T563" s="2">
        <v>0.10746109199999999</v>
      </c>
      <c r="U563" s="2">
        <v>0.142954885</v>
      </c>
      <c r="V563" s="2">
        <v>2.8786390470000001</v>
      </c>
      <c r="W563" s="2">
        <v>9.5992158999999994E-2</v>
      </c>
      <c r="X563">
        <f t="shared" si="24"/>
        <v>1</v>
      </c>
      <c r="Y563">
        <f t="shared" si="25"/>
        <v>1</v>
      </c>
      <c r="Z563">
        <f t="shared" si="26"/>
        <v>0</v>
      </c>
    </row>
    <row r="564" spans="1:26" ht="15.75" customHeight="1" x14ac:dyDescent="0.2">
      <c r="A564" s="2" t="s">
        <v>23</v>
      </c>
      <c r="B564" s="2" t="s">
        <v>24</v>
      </c>
      <c r="C564" s="2" t="s">
        <v>25</v>
      </c>
      <c r="D564" s="2" t="s">
        <v>25</v>
      </c>
      <c r="E564" s="2">
        <v>144</v>
      </c>
      <c r="F564" s="2">
        <v>104.33333330000001</v>
      </c>
      <c r="G564" s="2">
        <v>674.66666669999995</v>
      </c>
      <c r="H564" s="2">
        <v>1467.333333</v>
      </c>
      <c r="I564" s="2">
        <v>2596</v>
      </c>
      <c r="J564" s="2">
        <v>0.83</v>
      </c>
      <c r="K564" s="2">
        <v>6.34</v>
      </c>
      <c r="L564" s="2">
        <v>10.95</v>
      </c>
      <c r="M564" s="2">
        <v>14.75</v>
      </c>
      <c r="N564" s="2">
        <v>0.103988809</v>
      </c>
      <c r="O564" s="2">
        <v>0.180208382</v>
      </c>
      <c r="P564" s="2">
        <v>2.120240055</v>
      </c>
      <c r="Q564" s="2">
        <v>2.148734379</v>
      </c>
      <c r="R564" s="2">
        <v>2.1163174890000001</v>
      </c>
      <c r="S564" s="2">
        <v>2.1467027189999999</v>
      </c>
      <c r="T564" s="2">
        <v>0.12891151100000001</v>
      </c>
      <c r="U564" s="2">
        <v>9.3417718999999996E-2</v>
      </c>
      <c r="V564" s="2">
        <v>3.1731105990000001</v>
      </c>
      <c r="W564" s="2">
        <v>0.12089928599999999</v>
      </c>
      <c r="X564">
        <f t="shared" si="24"/>
        <v>1</v>
      </c>
      <c r="Y564">
        <f t="shared" si="25"/>
        <v>1</v>
      </c>
      <c r="Z564">
        <f t="shared" si="26"/>
        <v>0</v>
      </c>
    </row>
    <row r="565" spans="1:26" ht="15.75" customHeight="1" x14ac:dyDescent="0.2">
      <c r="A565" s="2" t="s">
        <v>23</v>
      </c>
      <c r="B565" s="2" t="s">
        <v>24</v>
      </c>
      <c r="C565" s="2" t="s">
        <v>28</v>
      </c>
      <c r="D565" s="2" t="s">
        <v>29</v>
      </c>
      <c r="E565" s="2">
        <v>110</v>
      </c>
      <c r="F565" s="2">
        <v>124</v>
      </c>
      <c r="G565" s="2">
        <v>635</v>
      </c>
      <c r="H565" s="2">
        <v>1517</v>
      </c>
      <c r="I565" s="2">
        <v>3136</v>
      </c>
      <c r="J565" s="2">
        <v>1.07</v>
      </c>
      <c r="K565" s="2">
        <v>6.03</v>
      </c>
      <c r="L565" s="2">
        <v>11.17</v>
      </c>
      <c r="M565" s="2">
        <v>15.97</v>
      </c>
      <c r="N565" s="2">
        <v>3.7575000840000001</v>
      </c>
      <c r="O565" s="2">
        <v>4.1032490660000001</v>
      </c>
      <c r="P565" s="2">
        <v>1.8136859999999999</v>
      </c>
      <c r="Q565" s="2">
        <v>1.8461088969999999</v>
      </c>
      <c r="R565" s="2">
        <v>1.811446884</v>
      </c>
      <c r="S565" s="2">
        <v>1.8418321129999999</v>
      </c>
      <c r="T565" s="2">
        <v>9.0094917999999996E-2</v>
      </c>
      <c r="U565" s="2">
        <v>0.12558870999999999</v>
      </c>
      <c r="V565" s="2">
        <v>2.8682399940000001</v>
      </c>
      <c r="W565" s="2">
        <v>8.4833141000000001E-2</v>
      </c>
      <c r="X565">
        <f t="shared" si="24"/>
        <v>1</v>
      </c>
      <c r="Y565">
        <f t="shared" si="25"/>
        <v>1</v>
      </c>
      <c r="Z565">
        <f t="shared" si="26"/>
        <v>1</v>
      </c>
    </row>
    <row r="566" spans="1:26" ht="15.75" customHeight="1" x14ac:dyDescent="0.2">
      <c r="A566" s="2" t="s">
        <v>23</v>
      </c>
      <c r="B566" s="2" t="s">
        <v>24</v>
      </c>
      <c r="C566" s="2" t="s">
        <v>30</v>
      </c>
      <c r="D566" s="2" t="s">
        <v>31</v>
      </c>
      <c r="E566" s="2">
        <v>153</v>
      </c>
      <c r="F566" s="2">
        <v>111.33333330000001</v>
      </c>
      <c r="G566" s="2">
        <v>776.33333330000005</v>
      </c>
      <c r="H566" s="2">
        <v>1285</v>
      </c>
      <c r="I566" s="2">
        <v>2570.666667</v>
      </c>
      <c r="J566" s="2">
        <v>0.91</v>
      </c>
      <c r="K566" s="2">
        <v>7.08</v>
      </c>
      <c r="L566" s="2">
        <v>10.09</v>
      </c>
      <c r="M566" s="2">
        <v>14.68</v>
      </c>
      <c r="N566" s="2">
        <v>4.7522119119999999</v>
      </c>
      <c r="O566" s="2">
        <v>4.8680825749999999</v>
      </c>
      <c r="P566" s="2">
        <v>3.02412474</v>
      </c>
      <c r="Q566" s="2">
        <v>3.0415210099999999</v>
      </c>
      <c r="R566" s="2">
        <v>2.8573491980000001</v>
      </c>
      <c r="S566" s="2">
        <v>2.8877344279999999</v>
      </c>
      <c r="T566" s="2">
        <v>0.99039688999999997</v>
      </c>
      <c r="U566" s="2">
        <v>0.95490309699999998</v>
      </c>
      <c r="V566" s="2">
        <v>3.9141423089999998</v>
      </c>
      <c r="W566" s="2">
        <v>0.120188034</v>
      </c>
      <c r="X566">
        <f t="shared" si="24"/>
        <v>1</v>
      </c>
      <c r="Y566">
        <f t="shared" si="25"/>
        <v>1</v>
      </c>
      <c r="Z566">
        <f t="shared" si="26"/>
        <v>1</v>
      </c>
    </row>
    <row r="567" spans="1:26" ht="15.75" customHeight="1" x14ac:dyDescent="0.2">
      <c r="A567" s="2" t="s">
        <v>23</v>
      </c>
      <c r="B567" s="2" t="s">
        <v>24</v>
      </c>
      <c r="C567" s="2" t="s">
        <v>32</v>
      </c>
      <c r="D567" s="2" t="s">
        <v>33</v>
      </c>
      <c r="E567" s="2">
        <v>158</v>
      </c>
      <c r="F567" s="2">
        <v>127.33333330000001</v>
      </c>
      <c r="G567" s="2">
        <v>552.33333330000005</v>
      </c>
      <c r="H567" s="2">
        <v>1219.666667</v>
      </c>
      <c r="I567" s="2">
        <v>2719</v>
      </c>
      <c r="J567" s="2">
        <v>1.1100000000000001</v>
      </c>
      <c r="K567" s="2">
        <v>5.36</v>
      </c>
      <c r="L567" s="2">
        <v>9.75</v>
      </c>
      <c r="M567" s="2">
        <v>15.05</v>
      </c>
      <c r="N567" s="2">
        <v>1.467701715</v>
      </c>
      <c r="O567" s="2">
        <v>1.5334470840000001</v>
      </c>
      <c r="P567" s="2">
        <v>1.749865418</v>
      </c>
      <c r="Q567" s="2">
        <v>1.7435245070000001</v>
      </c>
      <c r="R567" s="2">
        <v>1.145148609</v>
      </c>
      <c r="S567" s="2">
        <v>1.1755338390000001</v>
      </c>
      <c r="T567" s="2">
        <v>1.3231264659999999</v>
      </c>
      <c r="U567" s="2">
        <v>1.2876326739999999</v>
      </c>
      <c r="V567" s="2">
        <v>2.2019417190000001</v>
      </c>
      <c r="W567" s="2">
        <v>0.11706743</v>
      </c>
      <c r="X567">
        <f t="shared" si="24"/>
        <v>1</v>
      </c>
      <c r="Y567">
        <f t="shared" si="25"/>
        <v>1</v>
      </c>
      <c r="Z567">
        <f t="shared" si="26"/>
        <v>1</v>
      </c>
    </row>
    <row r="568" spans="1:26" ht="15.75" customHeight="1" x14ac:dyDescent="0.2">
      <c r="A568" s="2" t="s">
        <v>23</v>
      </c>
      <c r="B568" s="2" t="s">
        <v>24</v>
      </c>
      <c r="C568" s="2" t="s">
        <v>26</v>
      </c>
      <c r="D568" s="2" t="s">
        <v>26</v>
      </c>
      <c r="E568" s="2">
        <v>128</v>
      </c>
      <c r="F568" s="2">
        <v>125.33333330000001</v>
      </c>
      <c r="G568" s="2">
        <v>367.33333329999999</v>
      </c>
      <c r="H568" s="2">
        <v>982</v>
      </c>
      <c r="I568" s="2">
        <v>2853.666667</v>
      </c>
      <c r="J568" s="2">
        <v>1.08</v>
      </c>
      <c r="K568" s="2">
        <v>3.7</v>
      </c>
      <c r="L568" s="2">
        <v>8.42</v>
      </c>
      <c r="M568" s="2">
        <v>15.36</v>
      </c>
      <c r="N568" s="2">
        <v>0.38620838699999999</v>
      </c>
      <c r="O568" s="2">
        <v>0.68015501599999995</v>
      </c>
      <c r="P568" s="2">
        <v>2.7080715710000001</v>
      </c>
      <c r="Q568" s="2">
        <v>2.6675253190000001</v>
      </c>
      <c r="R568" s="2">
        <v>0.51745516999999996</v>
      </c>
      <c r="S568" s="2">
        <v>0.48706994100000001</v>
      </c>
      <c r="T568" s="2">
        <v>2.6581745200000002</v>
      </c>
      <c r="U568" s="2">
        <v>2.6226807270000001</v>
      </c>
      <c r="V568" s="2">
        <v>0.53933794000000002</v>
      </c>
      <c r="W568" s="2">
        <v>0.118033284</v>
      </c>
      <c r="X568">
        <f t="shared" si="24"/>
        <v>1</v>
      </c>
      <c r="Y568">
        <f t="shared" si="25"/>
        <v>1</v>
      </c>
      <c r="Z568">
        <f t="shared" si="26"/>
        <v>0</v>
      </c>
    </row>
    <row r="569" spans="1:26" ht="15.75" customHeight="1" x14ac:dyDescent="0.2">
      <c r="A569" s="2" t="s">
        <v>23</v>
      </c>
      <c r="B569" s="2" t="s">
        <v>24</v>
      </c>
      <c r="C569" s="2" t="s">
        <v>32</v>
      </c>
      <c r="D569" s="2" t="s">
        <v>33</v>
      </c>
      <c r="E569" s="2">
        <v>120</v>
      </c>
      <c r="F569" s="2">
        <v>103.66666669999999</v>
      </c>
      <c r="G569" s="2">
        <v>646.66666669999995</v>
      </c>
      <c r="H569" s="2">
        <v>1134.666667</v>
      </c>
      <c r="I569" s="2">
        <v>2607</v>
      </c>
      <c r="J569" s="2">
        <v>0.82</v>
      </c>
      <c r="K569" s="2">
        <v>6.12</v>
      </c>
      <c r="L569" s="2">
        <v>9.3000000000000007</v>
      </c>
      <c r="M569" s="2">
        <v>14.77</v>
      </c>
      <c r="N569" s="2">
        <v>1.5610191490000001</v>
      </c>
      <c r="O569" s="2">
        <v>1.560417183</v>
      </c>
      <c r="P569" s="2">
        <v>2.6030334970000002</v>
      </c>
      <c r="Q569" s="2">
        <v>2.6014243389999998</v>
      </c>
      <c r="R569" s="2">
        <v>1.902077893</v>
      </c>
      <c r="S569" s="2">
        <v>1.9324631219999999</v>
      </c>
      <c r="T569" s="2">
        <v>1.777043353</v>
      </c>
      <c r="U569" s="2">
        <v>1.7415495599999999</v>
      </c>
      <c r="V569" s="2">
        <v>2.9588710030000001</v>
      </c>
      <c r="W569" s="2">
        <v>9.2269329999999997E-2</v>
      </c>
      <c r="X569">
        <f t="shared" si="24"/>
        <v>1</v>
      </c>
      <c r="Y569">
        <f t="shared" si="25"/>
        <v>1</v>
      </c>
      <c r="Z569">
        <f t="shared" si="26"/>
        <v>1</v>
      </c>
    </row>
    <row r="570" spans="1:26" ht="15.75" customHeight="1" x14ac:dyDescent="0.2">
      <c r="A570" s="2" t="s">
        <v>23</v>
      </c>
      <c r="B570" s="2" t="s">
        <v>24</v>
      </c>
      <c r="C570" s="2" t="s">
        <v>28</v>
      </c>
      <c r="D570" s="2" t="s">
        <v>29</v>
      </c>
      <c r="E570" s="2">
        <v>90</v>
      </c>
      <c r="F570" s="2">
        <v>131.66666670000001</v>
      </c>
      <c r="G570" s="2">
        <v>649.33333330000005</v>
      </c>
      <c r="H570" s="2">
        <v>2094.666667</v>
      </c>
      <c r="I570" s="2">
        <v>3449</v>
      </c>
      <c r="J570" s="2">
        <v>1.1599999999999999</v>
      </c>
      <c r="K570" s="2">
        <v>6.14</v>
      </c>
      <c r="L570" s="2">
        <v>13.32</v>
      </c>
      <c r="M570" s="2">
        <v>16.57</v>
      </c>
      <c r="N570" s="2">
        <v>5.7040140209999999</v>
      </c>
      <c r="O570" s="2">
        <v>6.0610442259999999</v>
      </c>
      <c r="P570" s="2">
        <v>2.9544470839999999</v>
      </c>
      <c r="Q570" s="2">
        <v>3.0011704259999998</v>
      </c>
      <c r="R570" s="2">
        <v>1.922679759</v>
      </c>
      <c r="S570" s="2">
        <v>1.9530649879999999</v>
      </c>
      <c r="T570" s="2">
        <v>2.243225383</v>
      </c>
      <c r="U570" s="2">
        <v>2.278719175</v>
      </c>
      <c r="V570" s="2">
        <v>2.9794728689999999</v>
      </c>
      <c r="W570" s="2">
        <v>8.0769006000000004E-2</v>
      </c>
      <c r="X570">
        <f t="shared" si="24"/>
        <v>1</v>
      </c>
      <c r="Y570">
        <f t="shared" si="25"/>
        <v>1</v>
      </c>
      <c r="Z570">
        <f t="shared" si="26"/>
        <v>1</v>
      </c>
    </row>
    <row r="571" spans="1:26" ht="15.75" customHeight="1" x14ac:dyDescent="0.2">
      <c r="A571" s="2" t="s">
        <v>23</v>
      </c>
      <c r="B571" s="2" t="s">
        <v>24</v>
      </c>
      <c r="C571" s="2" t="s">
        <v>32</v>
      </c>
      <c r="D571" s="2" t="s">
        <v>33</v>
      </c>
      <c r="E571" s="2">
        <v>118</v>
      </c>
      <c r="F571" s="2">
        <v>131.66666670000001</v>
      </c>
      <c r="G571" s="2">
        <v>687</v>
      </c>
      <c r="H571" s="2">
        <v>1470.666667</v>
      </c>
      <c r="I571" s="2">
        <v>2997.666667</v>
      </c>
      <c r="J571" s="2">
        <v>1.1599999999999999</v>
      </c>
      <c r="K571" s="2">
        <v>6.43</v>
      </c>
      <c r="L571" s="2">
        <v>10.96</v>
      </c>
      <c r="M571" s="2">
        <v>15.68</v>
      </c>
      <c r="N571" s="2">
        <v>0.144013898</v>
      </c>
      <c r="O571" s="2">
        <v>0.145338939</v>
      </c>
      <c r="P571" s="2">
        <v>2.2121870879999999</v>
      </c>
      <c r="Q571" s="2">
        <v>2.2410082820000001</v>
      </c>
      <c r="R571" s="2">
        <v>2.2092470180000001</v>
      </c>
      <c r="S571" s="2">
        <v>2.2396322479999999</v>
      </c>
      <c r="T571" s="2">
        <v>0.114014581</v>
      </c>
      <c r="U571" s="2">
        <v>7.8520788999999994E-2</v>
      </c>
      <c r="V571" s="2">
        <v>3.2660401280000002</v>
      </c>
      <c r="W571" s="2">
        <v>8.7949897999999999E-2</v>
      </c>
      <c r="X571">
        <f t="shared" si="24"/>
        <v>1</v>
      </c>
      <c r="Y571">
        <f t="shared" si="25"/>
        <v>1</v>
      </c>
      <c r="Z571">
        <f t="shared" si="26"/>
        <v>1</v>
      </c>
    </row>
    <row r="572" spans="1:26" ht="15.75" customHeight="1" x14ac:dyDescent="0.2">
      <c r="A572" s="2" t="s">
        <v>23</v>
      </c>
      <c r="B572" s="2" t="s">
        <v>24</v>
      </c>
      <c r="C572" s="2" t="s">
        <v>25</v>
      </c>
      <c r="D572" s="2" t="s">
        <v>25</v>
      </c>
      <c r="E572" s="2">
        <v>154</v>
      </c>
      <c r="F572" s="2">
        <v>109.66666669999999</v>
      </c>
      <c r="G572" s="2">
        <v>652.33333330000005</v>
      </c>
      <c r="H572" s="2">
        <v>1502.333333</v>
      </c>
      <c r="I572" s="2">
        <v>2735</v>
      </c>
      <c r="J572" s="2">
        <v>0.89</v>
      </c>
      <c r="K572" s="2">
        <v>6.16</v>
      </c>
      <c r="L572" s="2">
        <v>11.1</v>
      </c>
      <c r="M572" s="2">
        <v>15.09</v>
      </c>
      <c r="N572" s="2">
        <v>0.31569054200000002</v>
      </c>
      <c r="O572" s="2">
        <v>0.41056684199999999</v>
      </c>
      <c r="P572" s="2">
        <v>1.9459812940000001</v>
      </c>
      <c r="Q572" s="2">
        <v>1.977150695</v>
      </c>
      <c r="R572" s="2">
        <v>1.9458065819999999</v>
      </c>
      <c r="S572" s="2">
        <v>1.9761918119999999</v>
      </c>
      <c r="T572" s="2">
        <v>2.6075645000000001E-2</v>
      </c>
      <c r="U572" s="2">
        <v>6.1569436999999998E-2</v>
      </c>
      <c r="V572" s="2">
        <v>3.002599692</v>
      </c>
      <c r="W572" s="2">
        <v>0.10554446200000001</v>
      </c>
      <c r="X572">
        <f t="shared" si="24"/>
        <v>1</v>
      </c>
      <c r="Y572">
        <f t="shared" si="25"/>
        <v>1</v>
      </c>
      <c r="Z572">
        <f t="shared" si="26"/>
        <v>0</v>
      </c>
    </row>
    <row r="573" spans="1:26" ht="15.75" customHeight="1" x14ac:dyDescent="0.2">
      <c r="A573" s="2" t="s">
        <v>23</v>
      </c>
      <c r="B573" s="2" t="s">
        <v>24</v>
      </c>
      <c r="C573" s="2" t="s">
        <v>27</v>
      </c>
      <c r="D573" s="2" t="s">
        <v>27</v>
      </c>
      <c r="E573" s="2">
        <v>120</v>
      </c>
      <c r="F573" s="2">
        <v>110.33333330000001</v>
      </c>
      <c r="G573" s="2">
        <v>388</v>
      </c>
      <c r="H573" s="2">
        <v>2124.333333</v>
      </c>
      <c r="I573" s="2">
        <v>2918.333333</v>
      </c>
      <c r="J573" s="2">
        <v>0.9</v>
      </c>
      <c r="K573" s="2">
        <v>3.9</v>
      </c>
      <c r="L573" s="2">
        <v>13.41</v>
      </c>
      <c r="M573" s="2">
        <v>15.51</v>
      </c>
      <c r="N573" s="2">
        <v>0.15356692199999999</v>
      </c>
      <c r="O573" s="2">
        <v>0.28570574300000001</v>
      </c>
      <c r="P573" s="2">
        <v>2.358989711</v>
      </c>
      <c r="Q573" s="2">
        <v>2.390307516</v>
      </c>
      <c r="R573" s="2">
        <v>0.318723704</v>
      </c>
      <c r="S573" s="2">
        <v>0.28833847400000001</v>
      </c>
      <c r="T573" s="2">
        <v>2.3373591199999999</v>
      </c>
      <c r="U573" s="2">
        <v>2.372852913</v>
      </c>
      <c r="V573" s="2">
        <v>0.73806940600000004</v>
      </c>
      <c r="W573" s="2">
        <v>9.6984580000000001E-2</v>
      </c>
      <c r="X573">
        <f t="shared" si="24"/>
        <v>1</v>
      </c>
      <c r="Y573">
        <f t="shared" si="25"/>
        <v>1</v>
      </c>
      <c r="Z573">
        <f t="shared" si="26"/>
        <v>0</v>
      </c>
    </row>
    <row r="574" spans="1:26" ht="15.75" customHeight="1" x14ac:dyDescent="0.2">
      <c r="A574" s="2" t="s">
        <v>23</v>
      </c>
      <c r="B574" s="2" t="s">
        <v>24</v>
      </c>
      <c r="C574" s="2" t="s">
        <v>30</v>
      </c>
      <c r="D574" s="2" t="s">
        <v>31</v>
      </c>
      <c r="E574" s="2">
        <v>120</v>
      </c>
      <c r="F574" s="2">
        <v>114</v>
      </c>
      <c r="G574" s="2">
        <v>743</v>
      </c>
      <c r="H574" s="2">
        <v>1315.333333</v>
      </c>
      <c r="I574" s="2">
        <v>2504.666667</v>
      </c>
      <c r="J574" s="2">
        <v>0.94</v>
      </c>
      <c r="K574" s="2">
        <v>6.84</v>
      </c>
      <c r="L574" s="2">
        <v>10.24</v>
      </c>
      <c r="M574" s="2">
        <v>14.51</v>
      </c>
      <c r="N574" s="2">
        <v>4.4804030309999998</v>
      </c>
      <c r="O574" s="2">
        <v>4.5951462059999999</v>
      </c>
      <c r="P574" s="2">
        <v>2.7519986689999998</v>
      </c>
      <c r="Q574" s="2">
        <v>2.770427883</v>
      </c>
      <c r="R574" s="2">
        <v>2.6205301759999999</v>
      </c>
      <c r="S574" s="2">
        <v>2.6509154060000002</v>
      </c>
      <c r="T574" s="2">
        <v>0.84042743399999997</v>
      </c>
      <c r="U574" s="2">
        <v>0.80493364099999998</v>
      </c>
      <c r="V574" s="2">
        <v>3.677323286</v>
      </c>
      <c r="W574" s="2">
        <v>0.14133158300000001</v>
      </c>
      <c r="X574">
        <f t="shared" si="24"/>
        <v>1</v>
      </c>
      <c r="Y574">
        <f t="shared" si="25"/>
        <v>1</v>
      </c>
      <c r="Z574">
        <f t="shared" si="26"/>
        <v>1</v>
      </c>
    </row>
    <row r="575" spans="1:26" ht="15.75" customHeight="1" x14ac:dyDescent="0.2">
      <c r="A575" s="2" t="s">
        <v>23</v>
      </c>
      <c r="B575" s="2" t="s">
        <v>24</v>
      </c>
      <c r="C575" s="2" t="s">
        <v>25</v>
      </c>
      <c r="D575" s="2" t="s">
        <v>25</v>
      </c>
      <c r="E575" s="2">
        <v>119</v>
      </c>
      <c r="F575" s="2">
        <v>106.33333330000001</v>
      </c>
      <c r="G575" s="2">
        <v>713.66666669999995</v>
      </c>
      <c r="H575" s="2">
        <v>1478.333333</v>
      </c>
      <c r="I575" s="2">
        <v>2794.666667</v>
      </c>
      <c r="J575" s="2">
        <v>0.85</v>
      </c>
      <c r="K575" s="2">
        <v>6.63</v>
      </c>
      <c r="L575" s="2">
        <v>11</v>
      </c>
      <c r="M575" s="2">
        <v>15.23</v>
      </c>
      <c r="N575" s="2">
        <v>0.31890857700000003</v>
      </c>
      <c r="O575" s="2">
        <v>0.23845185699999999</v>
      </c>
      <c r="P575" s="2">
        <v>2.4085691910000002</v>
      </c>
      <c r="Q575" s="2">
        <v>2.4380338049999999</v>
      </c>
      <c r="R575" s="2">
        <v>2.4072448409999998</v>
      </c>
      <c r="S575" s="2">
        <v>2.4376300710000001</v>
      </c>
      <c r="T575" s="2">
        <v>7.9861258000000004E-2</v>
      </c>
      <c r="U575" s="2">
        <v>4.4367466000000001E-2</v>
      </c>
      <c r="V575" s="2">
        <v>3.4640379509999999</v>
      </c>
      <c r="W575" s="2">
        <v>0.14466330999999999</v>
      </c>
      <c r="X575">
        <f t="shared" si="24"/>
        <v>1</v>
      </c>
      <c r="Y575">
        <f t="shared" si="25"/>
        <v>1</v>
      </c>
      <c r="Z575">
        <f t="shared" si="26"/>
        <v>0</v>
      </c>
    </row>
    <row r="576" spans="1:26" ht="15.75" customHeight="1" x14ac:dyDescent="0.2">
      <c r="A576" s="2" t="s">
        <v>23</v>
      </c>
      <c r="B576" s="2" t="s">
        <v>24</v>
      </c>
      <c r="C576" s="2" t="s">
        <v>30</v>
      </c>
      <c r="D576" s="2" t="s">
        <v>31</v>
      </c>
      <c r="E576" s="2">
        <v>160</v>
      </c>
      <c r="F576" s="2">
        <v>105.66666669999999</v>
      </c>
      <c r="G576" s="2">
        <v>589</v>
      </c>
      <c r="H576" s="2">
        <v>1216</v>
      </c>
      <c r="I576" s="2">
        <v>2580.666667</v>
      </c>
      <c r="J576" s="2">
        <v>0.84</v>
      </c>
      <c r="K576" s="2">
        <v>5.67</v>
      </c>
      <c r="L576" s="2">
        <v>9.73</v>
      </c>
      <c r="M576" s="2">
        <v>14.71</v>
      </c>
      <c r="N576" s="2">
        <v>4.2191964549999996</v>
      </c>
      <c r="O576" s="2">
        <v>4.3067574559999997</v>
      </c>
      <c r="P576" s="2">
        <v>1.9729376000000001</v>
      </c>
      <c r="Q576" s="2">
        <v>1.9716138169999999</v>
      </c>
      <c r="R576" s="2">
        <v>1.446017455</v>
      </c>
      <c r="S576" s="2">
        <v>1.476402684</v>
      </c>
      <c r="T576" s="2">
        <v>1.3422057570000001</v>
      </c>
      <c r="U576" s="2">
        <v>1.306711964</v>
      </c>
      <c r="V576" s="2">
        <v>2.5028105649999999</v>
      </c>
      <c r="W576" s="2">
        <v>0.128693853</v>
      </c>
      <c r="X576">
        <f t="shared" si="24"/>
        <v>1</v>
      </c>
      <c r="Y576">
        <f t="shared" si="25"/>
        <v>1</v>
      </c>
      <c r="Z576">
        <f t="shared" si="26"/>
        <v>1</v>
      </c>
    </row>
    <row r="577" spans="1:26" ht="15.75" customHeight="1" x14ac:dyDescent="0.2">
      <c r="A577" s="2" t="s">
        <v>23</v>
      </c>
      <c r="B577" s="2" t="s">
        <v>24</v>
      </c>
      <c r="C577" s="2" t="s">
        <v>25</v>
      </c>
      <c r="D577" s="2" t="s">
        <v>25</v>
      </c>
      <c r="E577" s="2">
        <v>120</v>
      </c>
      <c r="F577" s="2">
        <v>219.33333329999999</v>
      </c>
      <c r="G577" s="2">
        <v>822.33333330000005</v>
      </c>
      <c r="H577" s="2">
        <v>1585.666667</v>
      </c>
      <c r="I577" s="2">
        <v>2707</v>
      </c>
      <c r="J577" s="2">
        <v>2.17</v>
      </c>
      <c r="K577" s="2">
        <v>7.39</v>
      </c>
      <c r="L577" s="2">
        <v>11.46</v>
      </c>
      <c r="M577" s="2">
        <v>15.02</v>
      </c>
      <c r="N577" s="2">
        <v>0.34445461799999999</v>
      </c>
      <c r="O577" s="2">
        <v>0.22763002700000001</v>
      </c>
      <c r="P577" s="2">
        <v>3.0107210210000002</v>
      </c>
      <c r="Q577" s="2">
        <v>2.882227307</v>
      </c>
      <c r="R577" s="2">
        <v>3.0106376049999999</v>
      </c>
      <c r="S577" s="2">
        <v>2.8819687809999999</v>
      </c>
      <c r="T577" s="2">
        <v>2.2411576999999998E-2</v>
      </c>
      <c r="U577" s="2">
        <v>3.8603009000000001E-2</v>
      </c>
      <c r="V577" s="2">
        <v>4.2902409060000002</v>
      </c>
      <c r="W577" s="2">
        <v>6.9922080999999997E-2</v>
      </c>
      <c r="X577">
        <f t="shared" si="24"/>
        <v>1</v>
      </c>
      <c r="Y577">
        <f t="shared" si="25"/>
        <v>1</v>
      </c>
      <c r="Z577">
        <f t="shared" si="26"/>
        <v>0</v>
      </c>
    </row>
    <row r="578" spans="1:26" ht="15.75" customHeight="1" x14ac:dyDescent="0.2">
      <c r="A578" s="2" t="s">
        <v>23</v>
      </c>
      <c r="B578" s="2" t="s">
        <v>24</v>
      </c>
      <c r="C578" s="2" t="s">
        <v>26</v>
      </c>
      <c r="D578" s="2" t="s">
        <v>26</v>
      </c>
      <c r="E578" s="2">
        <v>87</v>
      </c>
      <c r="F578" s="2">
        <v>186.33333329999999</v>
      </c>
      <c r="G578" s="2">
        <v>341.33333329999999</v>
      </c>
      <c r="H578" s="2">
        <v>935.33333330000005</v>
      </c>
      <c r="I578" s="2">
        <v>2873.666667</v>
      </c>
      <c r="J578" s="2">
        <v>1.8</v>
      </c>
      <c r="K578" s="2">
        <v>3.45</v>
      </c>
      <c r="L578" s="2">
        <v>8.1300000000000008</v>
      </c>
      <c r="M578" s="2">
        <v>15.41</v>
      </c>
      <c r="N578" s="2">
        <v>0.28571022400000001</v>
      </c>
      <c r="O578" s="2">
        <v>0.59813975699999999</v>
      </c>
      <c r="P578" s="2">
        <v>3.479705982</v>
      </c>
      <c r="Q578" s="2">
        <v>3.4584305770000001</v>
      </c>
      <c r="R578" s="2">
        <v>0.936745473</v>
      </c>
      <c r="S578" s="2">
        <v>1.0654142959999999</v>
      </c>
      <c r="T578" s="2">
        <v>3.351247774</v>
      </c>
      <c r="U578" s="2">
        <v>3.2902331880000002</v>
      </c>
      <c r="V578" s="2">
        <v>0.34285782799999998</v>
      </c>
      <c r="W578" s="2">
        <v>4.1123943000000003E-2</v>
      </c>
      <c r="X578">
        <f t="shared" si="24"/>
        <v>1</v>
      </c>
      <c r="Y578">
        <f t="shared" si="25"/>
        <v>1</v>
      </c>
      <c r="Z578">
        <f t="shared" si="26"/>
        <v>0</v>
      </c>
    </row>
    <row r="579" spans="1:26" ht="15.75" customHeight="1" x14ac:dyDescent="0.2">
      <c r="A579" s="2" t="s">
        <v>23</v>
      </c>
      <c r="B579" s="2" t="s">
        <v>24</v>
      </c>
      <c r="C579" s="2" t="s">
        <v>27</v>
      </c>
      <c r="D579" s="2" t="s">
        <v>27</v>
      </c>
      <c r="E579" s="2">
        <v>119</v>
      </c>
      <c r="F579" s="2">
        <v>220.33333329999999</v>
      </c>
      <c r="G579" s="2">
        <v>400.66666670000001</v>
      </c>
      <c r="H579" s="2">
        <v>2447</v>
      </c>
      <c r="I579" s="2">
        <v>3126</v>
      </c>
      <c r="J579" s="2">
        <v>2.1800000000000002</v>
      </c>
      <c r="K579" s="2">
        <v>4.0199999999999996</v>
      </c>
      <c r="L579" s="2">
        <v>14.36</v>
      </c>
      <c r="M579" s="2">
        <v>15.95</v>
      </c>
      <c r="N579" s="2">
        <v>0.14030034299999999</v>
      </c>
      <c r="O579" s="2">
        <v>0.47952402300000002</v>
      </c>
      <c r="P579" s="2">
        <v>2.8969656499999998</v>
      </c>
      <c r="Q579" s="2">
        <v>2.9760363399999998</v>
      </c>
      <c r="R579" s="2">
        <v>0.36284387099999998</v>
      </c>
      <c r="S579" s="2">
        <v>0.49151269399999997</v>
      </c>
      <c r="T579" s="2">
        <v>2.8741527979999999</v>
      </c>
      <c r="U579" s="2">
        <v>2.935167383</v>
      </c>
      <c r="V579" s="2">
        <v>0.91675943000000004</v>
      </c>
      <c r="W579" s="2">
        <v>6.8958050000000007E-2</v>
      </c>
      <c r="X579">
        <f t="shared" ref="X579:X642" si="27">IF(B579="normal",1,0)</f>
        <v>1</v>
      </c>
      <c r="Y579">
        <f t="shared" ref="Y579:Y642" si="28">IF(A579="lecture",1,0)</f>
        <v>1</v>
      </c>
      <c r="Z579">
        <f t="shared" ref="Z579:Z642" si="29">IF(ISNUMBER(FIND("~",D579)),1,0)</f>
        <v>0</v>
      </c>
    </row>
    <row r="580" spans="1:26" ht="15.75" customHeight="1" x14ac:dyDescent="0.2">
      <c r="A580" s="2" t="s">
        <v>23</v>
      </c>
      <c r="B580" s="2" t="s">
        <v>24</v>
      </c>
      <c r="C580" s="2" t="s">
        <v>28</v>
      </c>
      <c r="D580" s="2" t="s">
        <v>29</v>
      </c>
      <c r="E580" s="2">
        <v>122</v>
      </c>
      <c r="F580" s="2">
        <v>226.33333329999999</v>
      </c>
      <c r="G580" s="2">
        <v>442.66666670000001</v>
      </c>
      <c r="H580" s="2">
        <v>2139.666667</v>
      </c>
      <c r="I580" s="2">
        <v>3414</v>
      </c>
      <c r="J580" s="2">
        <v>2.25</v>
      </c>
      <c r="K580" s="2">
        <v>4.41</v>
      </c>
      <c r="L580" s="2">
        <v>13.46</v>
      </c>
      <c r="M580" s="2">
        <v>16.5</v>
      </c>
      <c r="N580" s="2">
        <v>5.1608633739999998</v>
      </c>
      <c r="O580" s="2">
        <v>4.9324510220000004</v>
      </c>
      <c r="P580" s="2">
        <v>1.980464016</v>
      </c>
      <c r="Q580" s="2">
        <v>2.0438712429999999</v>
      </c>
      <c r="R580" s="2">
        <v>2.6267556000000001E-2</v>
      </c>
      <c r="S580" s="2">
        <v>0.102401267</v>
      </c>
      <c r="T580" s="2">
        <v>1.980289811</v>
      </c>
      <c r="U580" s="2">
        <v>2.0413043970000002</v>
      </c>
      <c r="V580" s="2">
        <v>1.3058708569999999</v>
      </c>
      <c r="W580" s="2">
        <v>5.0086618999999999E-2</v>
      </c>
      <c r="X580">
        <f t="shared" si="27"/>
        <v>1</v>
      </c>
      <c r="Y580">
        <f t="shared" si="28"/>
        <v>1</v>
      </c>
      <c r="Z580">
        <f t="shared" si="29"/>
        <v>1</v>
      </c>
    </row>
    <row r="581" spans="1:26" ht="15.75" customHeight="1" x14ac:dyDescent="0.2">
      <c r="A581" s="2" t="s">
        <v>23</v>
      </c>
      <c r="B581" s="2" t="s">
        <v>24</v>
      </c>
      <c r="C581" s="2" t="s">
        <v>30</v>
      </c>
      <c r="D581" s="2" t="s">
        <v>31</v>
      </c>
      <c r="E581" s="2">
        <v>135</v>
      </c>
      <c r="F581" s="2">
        <v>214.66666670000001</v>
      </c>
      <c r="G581" s="2">
        <v>598</v>
      </c>
      <c r="H581" s="2">
        <v>1411</v>
      </c>
      <c r="I581" s="2">
        <v>2933.333333</v>
      </c>
      <c r="J581" s="2">
        <v>2.12</v>
      </c>
      <c r="K581" s="2">
        <v>5.74</v>
      </c>
      <c r="L581" s="2">
        <v>10.69</v>
      </c>
      <c r="M581" s="2">
        <v>15.54</v>
      </c>
      <c r="N581" s="2">
        <v>4.0592435819999997</v>
      </c>
      <c r="O581" s="2">
        <v>3.596998626</v>
      </c>
      <c r="P581" s="2">
        <v>1.5680713980000001</v>
      </c>
      <c r="Q581" s="2">
        <v>1.4262401360000001</v>
      </c>
      <c r="R581" s="2">
        <v>1.3543452549999999</v>
      </c>
      <c r="S581" s="2">
        <v>1.225676432</v>
      </c>
      <c r="T581" s="2">
        <v>0.79031439400000003</v>
      </c>
      <c r="U581" s="2">
        <v>0.72929980800000005</v>
      </c>
      <c r="V581" s="2">
        <v>2.633948556</v>
      </c>
      <c r="W581" s="2">
        <v>4.3119201000000003E-2</v>
      </c>
      <c r="X581">
        <f t="shared" si="27"/>
        <v>1</v>
      </c>
      <c r="Y581">
        <f t="shared" si="28"/>
        <v>1</v>
      </c>
      <c r="Z581">
        <f t="shared" si="29"/>
        <v>1</v>
      </c>
    </row>
    <row r="582" spans="1:26" ht="15.75" customHeight="1" x14ac:dyDescent="0.2">
      <c r="A582" s="2" t="s">
        <v>23</v>
      </c>
      <c r="B582" s="2" t="s">
        <v>24</v>
      </c>
      <c r="C582" s="2" t="s">
        <v>26</v>
      </c>
      <c r="D582" s="2" t="s">
        <v>26</v>
      </c>
      <c r="E582" s="2">
        <v>132</v>
      </c>
      <c r="F582" s="2">
        <v>213.33333329999999</v>
      </c>
      <c r="G582" s="2">
        <v>370</v>
      </c>
      <c r="H582" s="2">
        <v>824.33333330000005</v>
      </c>
      <c r="I582" s="2">
        <v>3046.333333</v>
      </c>
      <c r="J582" s="2">
        <v>2.1</v>
      </c>
      <c r="K582" s="2">
        <v>3.73</v>
      </c>
      <c r="L582" s="2">
        <v>7.41</v>
      </c>
      <c r="M582" s="2">
        <v>15.78</v>
      </c>
      <c r="N582" s="2">
        <v>0.96302479900000004</v>
      </c>
      <c r="O582" s="2">
        <v>1.160928041</v>
      </c>
      <c r="P582" s="2">
        <v>4.1272150820000002</v>
      </c>
      <c r="Q582" s="2">
        <v>4.0897075340000004</v>
      </c>
      <c r="R582" s="2">
        <v>0.65581772800000004</v>
      </c>
      <c r="S582" s="2">
        <v>0.78448655099999998</v>
      </c>
      <c r="T582" s="2">
        <v>4.0747769810000003</v>
      </c>
      <c r="U582" s="2">
        <v>4.0137623949999996</v>
      </c>
      <c r="V582" s="2">
        <v>0.62378557300000004</v>
      </c>
      <c r="W582" s="2">
        <v>6.3020404000000002E-2</v>
      </c>
      <c r="X582">
        <f t="shared" si="27"/>
        <v>1</v>
      </c>
      <c r="Y582">
        <f t="shared" si="28"/>
        <v>1</v>
      </c>
      <c r="Z582">
        <f t="shared" si="29"/>
        <v>0</v>
      </c>
    </row>
    <row r="583" spans="1:26" ht="15.75" customHeight="1" x14ac:dyDescent="0.2">
      <c r="A583" s="2" t="s">
        <v>23</v>
      </c>
      <c r="B583" s="2" t="s">
        <v>24</v>
      </c>
      <c r="C583" s="2" t="s">
        <v>28</v>
      </c>
      <c r="D583" s="2" t="s">
        <v>29</v>
      </c>
      <c r="E583" s="2">
        <v>126</v>
      </c>
      <c r="F583" s="2">
        <v>245</v>
      </c>
      <c r="G583" s="2">
        <v>306.33333329999999</v>
      </c>
      <c r="H583" s="2">
        <v>1067.333333</v>
      </c>
      <c r="I583" s="2">
        <v>2280.333333</v>
      </c>
      <c r="J583" s="2">
        <v>2.4500000000000002</v>
      </c>
      <c r="K583" s="2">
        <v>3.09</v>
      </c>
      <c r="L583" s="2">
        <v>8.92</v>
      </c>
      <c r="M583" s="2">
        <v>13.89</v>
      </c>
      <c r="N583" s="2">
        <v>0.76228651300000005</v>
      </c>
      <c r="O583" s="2">
        <v>0.84984125200000005</v>
      </c>
      <c r="P583" s="2">
        <v>2.8662811989999999</v>
      </c>
      <c r="Q583" s="2">
        <v>2.8731983090000002</v>
      </c>
      <c r="R583" s="2">
        <v>1.2893741400000001</v>
      </c>
      <c r="S583" s="2">
        <v>1.418042963</v>
      </c>
      <c r="T583" s="2">
        <v>2.5598988729999999</v>
      </c>
      <c r="U583" s="2">
        <v>2.4988842870000001</v>
      </c>
      <c r="V583" s="2">
        <v>-9.7708389999999999E-3</v>
      </c>
      <c r="W583" s="2">
        <v>5.3622551999999997E-2</v>
      </c>
      <c r="X583">
        <f t="shared" si="27"/>
        <v>1</v>
      </c>
      <c r="Y583">
        <f t="shared" si="28"/>
        <v>1</v>
      </c>
      <c r="Z583">
        <f t="shared" si="29"/>
        <v>1</v>
      </c>
    </row>
    <row r="584" spans="1:26" ht="15.75" customHeight="1" x14ac:dyDescent="0.2">
      <c r="A584" s="2" t="s">
        <v>23</v>
      </c>
      <c r="B584" s="2" t="s">
        <v>24</v>
      </c>
      <c r="C584" s="2" t="s">
        <v>32</v>
      </c>
      <c r="D584" s="2" t="s">
        <v>33</v>
      </c>
      <c r="E584" s="2">
        <v>153</v>
      </c>
      <c r="F584" s="2">
        <v>206.66666670000001</v>
      </c>
      <c r="G584" s="2">
        <v>702.66666669999995</v>
      </c>
      <c r="H584" s="2">
        <v>1716.666667</v>
      </c>
      <c r="I584" s="2">
        <v>3277</v>
      </c>
      <c r="J584" s="2">
        <v>2.0299999999999998</v>
      </c>
      <c r="K584" s="2">
        <v>6.55</v>
      </c>
      <c r="L584" s="2">
        <v>11.99</v>
      </c>
      <c r="M584" s="2">
        <v>16.25</v>
      </c>
      <c r="N584" s="2">
        <v>0.67311589900000002</v>
      </c>
      <c r="O584" s="2">
        <v>0.78815625600000006</v>
      </c>
      <c r="P584" s="2">
        <v>2.2201920409999998</v>
      </c>
      <c r="Q584" s="2">
        <v>2.1106654150000002</v>
      </c>
      <c r="R584" s="2">
        <v>2.1618478689999998</v>
      </c>
      <c r="S584" s="2">
        <v>2.0331790459999999</v>
      </c>
      <c r="T584" s="2">
        <v>0.50563474100000005</v>
      </c>
      <c r="U584" s="2">
        <v>0.56664932700000004</v>
      </c>
      <c r="V584" s="2">
        <v>3.4414511700000001</v>
      </c>
      <c r="W584" s="2">
        <v>5.6222326000000003E-2</v>
      </c>
      <c r="X584">
        <f t="shared" si="27"/>
        <v>1</v>
      </c>
      <c r="Y584">
        <f t="shared" si="28"/>
        <v>1</v>
      </c>
      <c r="Z584">
        <f t="shared" si="29"/>
        <v>1</v>
      </c>
    </row>
    <row r="585" spans="1:26" ht="15.75" customHeight="1" x14ac:dyDescent="0.2">
      <c r="A585" s="2" t="s">
        <v>23</v>
      </c>
      <c r="B585" s="2" t="s">
        <v>24</v>
      </c>
      <c r="C585" s="2" t="s">
        <v>32</v>
      </c>
      <c r="D585" s="2" t="s">
        <v>33</v>
      </c>
      <c r="E585" s="2">
        <v>122</v>
      </c>
      <c r="F585" s="2">
        <v>227</v>
      </c>
      <c r="G585" s="2">
        <v>586</v>
      </c>
      <c r="H585" s="2">
        <v>1414</v>
      </c>
      <c r="I585" s="2">
        <v>3214</v>
      </c>
      <c r="J585" s="2">
        <v>2.25</v>
      </c>
      <c r="K585" s="2">
        <v>5.64</v>
      </c>
      <c r="L585" s="2">
        <v>10.71</v>
      </c>
      <c r="M585" s="2">
        <v>16.12</v>
      </c>
      <c r="N585" s="2">
        <v>1.8212285450000001</v>
      </c>
      <c r="O585" s="2">
        <v>1.729442462</v>
      </c>
      <c r="P585" s="2">
        <v>1.4779192029999999</v>
      </c>
      <c r="Q585" s="2">
        <v>1.3364750460000001</v>
      </c>
      <c r="R585" s="2">
        <v>1.2575229999999999</v>
      </c>
      <c r="S585" s="2">
        <v>1.128854177</v>
      </c>
      <c r="T585" s="2">
        <v>0.776454168</v>
      </c>
      <c r="U585" s="2">
        <v>0.71543958200000002</v>
      </c>
      <c r="V585" s="2">
        <v>2.5371263009999998</v>
      </c>
      <c r="W585" s="2">
        <v>5.8279208999999998E-2</v>
      </c>
      <c r="X585">
        <f t="shared" si="27"/>
        <v>1</v>
      </c>
      <c r="Y585">
        <f t="shared" si="28"/>
        <v>1</v>
      </c>
      <c r="Z585">
        <f t="shared" si="29"/>
        <v>1</v>
      </c>
    </row>
    <row r="586" spans="1:26" ht="15.75" customHeight="1" x14ac:dyDescent="0.2">
      <c r="A586" s="2" t="s">
        <v>23</v>
      </c>
      <c r="B586" s="2" t="s">
        <v>24</v>
      </c>
      <c r="C586" s="2" t="s">
        <v>25</v>
      </c>
      <c r="D586" s="2" t="s">
        <v>25</v>
      </c>
      <c r="E586" s="2">
        <v>197</v>
      </c>
      <c r="F586" s="2">
        <v>188.33333329999999</v>
      </c>
      <c r="G586" s="2">
        <v>756</v>
      </c>
      <c r="H586" s="2">
        <v>1407</v>
      </c>
      <c r="I586" s="2">
        <v>2322.333333</v>
      </c>
      <c r="J586" s="2">
        <v>1.82</v>
      </c>
      <c r="K586" s="2">
        <v>6.93</v>
      </c>
      <c r="L586" s="2">
        <v>10.67</v>
      </c>
      <c r="M586" s="2">
        <v>14.01</v>
      </c>
      <c r="N586" s="2">
        <v>1.0627216399999999</v>
      </c>
      <c r="O586" s="2">
        <v>0.87012400400000001</v>
      </c>
      <c r="P586" s="2">
        <v>2.6746097369999999</v>
      </c>
      <c r="Q586" s="2">
        <v>2.5335871050000001</v>
      </c>
      <c r="R586" s="2">
        <v>2.5493776170000002</v>
      </c>
      <c r="S586" s="2">
        <v>2.4207087939999998</v>
      </c>
      <c r="T586" s="2">
        <v>0.80883311499999999</v>
      </c>
      <c r="U586" s="2">
        <v>0.74781852999999998</v>
      </c>
      <c r="V586" s="2">
        <v>3.8289809180000001</v>
      </c>
      <c r="W586" s="2">
        <v>6.1743625000000003E-2</v>
      </c>
      <c r="X586">
        <f t="shared" si="27"/>
        <v>1</v>
      </c>
      <c r="Y586">
        <f t="shared" si="28"/>
        <v>1</v>
      </c>
      <c r="Z586">
        <f t="shared" si="29"/>
        <v>0</v>
      </c>
    </row>
    <row r="587" spans="1:26" ht="15.75" customHeight="1" x14ac:dyDescent="0.2">
      <c r="A587" s="2" t="s">
        <v>23</v>
      </c>
      <c r="B587" s="2" t="s">
        <v>24</v>
      </c>
      <c r="C587" s="2" t="s">
        <v>32</v>
      </c>
      <c r="D587" s="2" t="s">
        <v>33</v>
      </c>
      <c r="E587" s="2">
        <v>153</v>
      </c>
      <c r="F587" s="2">
        <v>234.66666670000001</v>
      </c>
      <c r="G587" s="2">
        <v>324</v>
      </c>
      <c r="H587" s="2">
        <v>964.33333330000005</v>
      </c>
      <c r="I587" s="2">
        <v>2719.666667</v>
      </c>
      <c r="J587" s="2">
        <v>2.34</v>
      </c>
      <c r="K587" s="2">
        <v>3.27</v>
      </c>
      <c r="L587" s="2">
        <v>8.31</v>
      </c>
      <c r="M587" s="2">
        <v>15.05</v>
      </c>
      <c r="N587" s="2">
        <v>5.1637484389999999</v>
      </c>
      <c r="O587" s="2">
        <v>5.0431262969999997</v>
      </c>
      <c r="P587" s="2">
        <v>3.3599259479999999</v>
      </c>
      <c r="Q587" s="2">
        <v>3.347842016</v>
      </c>
      <c r="R587" s="2">
        <v>1.110029825</v>
      </c>
      <c r="S587" s="2">
        <v>1.238698648</v>
      </c>
      <c r="T587" s="2">
        <v>3.1712672799999999</v>
      </c>
      <c r="U587" s="2">
        <v>3.1102526940000002</v>
      </c>
      <c r="V587" s="2">
        <v>0.169573476</v>
      </c>
      <c r="W587" s="2">
        <v>5.4474478999999999E-2</v>
      </c>
      <c r="X587">
        <f t="shared" si="27"/>
        <v>1</v>
      </c>
      <c r="Y587">
        <f t="shared" si="28"/>
        <v>1</v>
      </c>
      <c r="Z587">
        <f t="shared" si="29"/>
        <v>1</v>
      </c>
    </row>
    <row r="588" spans="1:26" ht="15.75" customHeight="1" x14ac:dyDescent="0.2">
      <c r="A588" s="2" t="s">
        <v>23</v>
      </c>
      <c r="B588" s="2" t="s">
        <v>24</v>
      </c>
      <c r="C588" s="2" t="s">
        <v>32</v>
      </c>
      <c r="D588" s="2" t="s">
        <v>33</v>
      </c>
      <c r="E588" s="2">
        <v>145</v>
      </c>
      <c r="F588" s="2">
        <v>230.33333329999999</v>
      </c>
      <c r="G588" s="2">
        <v>690</v>
      </c>
      <c r="H588" s="2">
        <v>1675.666667</v>
      </c>
      <c r="I588" s="2">
        <v>3599.666667</v>
      </c>
      <c r="J588" s="2">
        <v>2.29</v>
      </c>
      <c r="K588" s="2">
        <v>6.45</v>
      </c>
      <c r="L588" s="2">
        <v>11.83</v>
      </c>
      <c r="M588" s="2">
        <v>16.829999999999998</v>
      </c>
      <c r="N588" s="2">
        <v>0.71747050999999995</v>
      </c>
      <c r="O588" s="2">
        <v>0.78757044499999995</v>
      </c>
      <c r="P588" s="2">
        <v>2.0960152719999998</v>
      </c>
      <c r="Q588" s="2">
        <v>1.9807934110000001</v>
      </c>
      <c r="R588" s="2">
        <v>2.067517279</v>
      </c>
      <c r="S588" s="2">
        <v>1.9388484560000001</v>
      </c>
      <c r="T588" s="2">
        <v>0.34445946399999999</v>
      </c>
      <c r="U588" s="2">
        <v>0.40547404999999997</v>
      </c>
      <c r="V588" s="2">
        <v>3.3471205799999999</v>
      </c>
      <c r="W588" s="2">
        <v>5.3656791000000002E-2</v>
      </c>
      <c r="X588">
        <f t="shared" si="27"/>
        <v>1</v>
      </c>
      <c r="Y588">
        <f t="shared" si="28"/>
        <v>1</v>
      </c>
      <c r="Z588">
        <f t="shared" si="29"/>
        <v>1</v>
      </c>
    </row>
    <row r="589" spans="1:26" ht="15.75" customHeight="1" x14ac:dyDescent="0.2">
      <c r="A589" s="2" t="s">
        <v>23</v>
      </c>
      <c r="B589" s="2" t="s">
        <v>24</v>
      </c>
      <c r="C589" s="2" t="s">
        <v>25</v>
      </c>
      <c r="D589" s="2" t="s">
        <v>25</v>
      </c>
      <c r="E589" s="2">
        <v>86</v>
      </c>
      <c r="F589" s="2">
        <v>202.33333329999999</v>
      </c>
      <c r="G589" s="2">
        <v>759.66666669999995</v>
      </c>
      <c r="H589" s="2">
        <v>1753.333333</v>
      </c>
      <c r="I589" s="2">
        <v>2978</v>
      </c>
      <c r="J589" s="2">
        <v>1.98</v>
      </c>
      <c r="K589" s="2">
        <v>6.96</v>
      </c>
      <c r="L589" s="2">
        <v>12.13</v>
      </c>
      <c r="M589" s="2">
        <v>15.64</v>
      </c>
      <c r="N589" s="2">
        <v>0.46282244</v>
      </c>
      <c r="O589" s="2">
        <v>0.65467030100000001</v>
      </c>
      <c r="P589" s="2">
        <v>2.6554289789999999</v>
      </c>
      <c r="Q589" s="2">
        <v>2.547104601</v>
      </c>
      <c r="R589" s="2">
        <v>2.5754618979999999</v>
      </c>
      <c r="S589" s="2">
        <v>2.446793075</v>
      </c>
      <c r="T589" s="2">
        <v>0.64676044499999996</v>
      </c>
      <c r="U589" s="2">
        <v>0.70777503100000005</v>
      </c>
      <c r="V589" s="2">
        <v>3.8550651990000002</v>
      </c>
      <c r="W589" s="2">
        <v>5.3914960999999997E-2</v>
      </c>
      <c r="X589">
        <f t="shared" si="27"/>
        <v>1</v>
      </c>
      <c r="Y589">
        <f t="shared" si="28"/>
        <v>1</v>
      </c>
      <c r="Z589">
        <f t="shared" si="29"/>
        <v>0</v>
      </c>
    </row>
    <row r="590" spans="1:26" ht="15.75" customHeight="1" x14ac:dyDescent="0.2">
      <c r="A590" s="2" t="s">
        <v>23</v>
      </c>
      <c r="B590" s="2" t="s">
        <v>24</v>
      </c>
      <c r="C590" s="2" t="s">
        <v>25</v>
      </c>
      <c r="D590" s="2" t="s">
        <v>25</v>
      </c>
      <c r="E590" s="2">
        <v>117</v>
      </c>
      <c r="F590" s="2">
        <v>222.66666670000001</v>
      </c>
      <c r="G590" s="2">
        <v>886.33333330000005</v>
      </c>
      <c r="H590" s="2">
        <v>1709.666667</v>
      </c>
      <c r="I590" s="2">
        <v>2964.333333</v>
      </c>
      <c r="J590" s="2">
        <v>2.21</v>
      </c>
      <c r="K590" s="2">
        <v>7.82</v>
      </c>
      <c r="L590" s="2">
        <v>11.96</v>
      </c>
      <c r="M590" s="2">
        <v>15.61</v>
      </c>
      <c r="N590" s="2">
        <v>0.70496400800000003</v>
      </c>
      <c r="O590" s="2">
        <v>0.78819983299999996</v>
      </c>
      <c r="P590" s="2">
        <v>3.4684415</v>
      </c>
      <c r="Q590" s="2">
        <v>3.3503297860000001</v>
      </c>
      <c r="R590" s="2">
        <v>3.4352942670000002</v>
      </c>
      <c r="S590" s="2">
        <v>3.3066254430000002</v>
      </c>
      <c r="T590" s="2">
        <v>0.47837196700000001</v>
      </c>
      <c r="U590" s="2">
        <v>0.53938655199999996</v>
      </c>
      <c r="V590" s="2">
        <v>4.7148975679999996</v>
      </c>
      <c r="W590" s="2">
        <v>7.2610715000000006E-2</v>
      </c>
      <c r="X590">
        <f t="shared" si="27"/>
        <v>1</v>
      </c>
      <c r="Y590">
        <f t="shared" si="28"/>
        <v>1</v>
      </c>
      <c r="Z590">
        <f t="shared" si="29"/>
        <v>0</v>
      </c>
    </row>
    <row r="591" spans="1:26" ht="15.75" customHeight="1" x14ac:dyDescent="0.2">
      <c r="A591" s="2" t="s">
        <v>23</v>
      </c>
      <c r="B591" s="2" t="s">
        <v>24</v>
      </c>
      <c r="C591" s="2" t="s">
        <v>27</v>
      </c>
      <c r="D591" s="2" t="s">
        <v>27</v>
      </c>
      <c r="E591" s="2">
        <v>166</v>
      </c>
      <c r="F591" s="2">
        <v>225.66666670000001</v>
      </c>
      <c r="G591" s="2">
        <v>353.33333329999999</v>
      </c>
      <c r="H591" s="2">
        <v>2475</v>
      </c>
      <c r="I591" s="2">
        <v>3055</v>
      </c>
      <c r="J591" s="2">
        <v>2.2400000000000002</v>
      </c>
      <c r="K591" s="2">
        <v>3.56</v>
      </c>
      <c r="L591" s="2">
        <v>14.43</v>
      </c>
      <c r="M591" s="2">
        <v>15.8</v>
      </c>
      <c r="N591" s="2">
        <v>0.34797341199999998</v>
      </c>
      <c r="O591" s="2">
        <v>0.74896668799999999</v>
      </c>
      <c r="P591" s="2">
        <v>3.0608436999999999</v>
      </c>
      <c r="Q591" s="2">
        <v>3.1558737099999998</v>
      </c>
      <c r="R591" s="2">
        <v>0.81830056699999998</v>
      </c>
      <c r="S591" s="2">
        <v>0.94696939000000002</v>
      </c>
      <c r="T591" s="2">
        <v>2.9494318669999999</v>
      </c>
      <c r="U591" s="2">
        <v>3.0104464530000001</v>
      </c>
      <c r="V591" s="2">
        <v>0.46130273399999999</v>
      </c>
      <c r="W591" s="2">
        <v>4.1939072000000001E-2</v>
      </c>
      <c r="X591">
        <f t="shared" si="27"/>
        <v>1</v>
      </c>
      <c r="Y591">
        <f t="shared" si="28"/>
        <v>1</v>
      </c>
      <c r="Z591">
        <f t="shared" si="29"/>
        <v>0</v>
      </c>
    </row>
    <row r="592" spans="1:26" ht="15.75" customHeight="1" x14ac:dyDescent="0.2">
      <c r="A592" s="2" t="s">
        <v>23</v>
      </c>
      <c r="B592" s="2" t="s">
        <v>24</v>
      </c>
      <c r="C592" s="2" t="s">
        <v>30</v>
      </c>
      <c r="D592" s="2" t="s">
        <v>31</v>
      </c>
      <c r="E592" s="2">
        <v>107</v>
      </c>
      <c r="F592" s="2">
        <v>210.33333329999999</v>
      </c>
      <c r="G592" s="2">
        <v>548</v>
      </c>
      <c r="H592" s="2">
        <v>1211.666667</v>
      </c>
      <c r="I592" s="2">
        <v>2308</v>
      </c>
      <c r="J592" s="2">
        <v>2.0699999999999998</v>
      </c>
      <c r="K592" s="2">
        <v>5.33</v>
      </c>
      <c r="L592" s="2">
        <v>9.7100000000000009</v>
      </c>
      <c r="M592" s="2">
        <v>13.97</v>
      </c>
      <c r="N592" s="2">
        <v>4.8137907450000004</v>
      </c>
      <c r="O592" s="2">
        <v>4.3527674310000002</v>
      </c>
      <c r="P592" s="2">
        <v>2.0063793350000001</v>
      </c>
      <c r="Q592" s="2">
        <v>1.893861287</v>
      </c>
      <c r="R592" s="2">
        <v>0.94480667699999998</v>
      </c>
      <c r="S592" s="2">
        <v>0.81613785400000005</v>
      </c>
      <c r="T592" s="2">
        <v>1.7699995420000001</v>
      </c>
      <c r="U592" s="2">
        <v>1.7089849560000001</v>
      </c>
      <c r="V592" s="2">
        <v>2.2244099780000002</v>
      </c>
      <c r="W592" s="2">
        <v>7.3807851999999993E-2</v>
      </c>
      <c r="X592">
        <f t="shared" si="27"/>
        <v>1</v>
      </c>
      <c r="Y592">
        <f t="shared" si="28"/>
        <v>1</v>
      </c>
      <c r="Z592">
        <f t="shared" si="29"/>
        <v>1</v>
      </c>
    </row>
    <row r="593" spans="1:26" ht="15.75" customHeight="1" x14ac:dyDescent="0.2">
      <c r="A593" s="2" t="s">
        <v>23</v>
      </c>
      <c r="B593" s="2" t="s">
        <v>24</v>
      </c>
      <c r="C593" s="2" t="s">
        <v>28</v>
      </c>
      <c r="D593" s="2" t="s">
        <v>29</v>
      </c>
      <c r="E593" s="2">
        <v>101</v>
      </c>
      <c r="F593" s="2">
        <v>225.66666670000001</v>
      </c>
      <c r="G593" s="2">
        <v>436.66666670000001</v>
      </c>
      <c r="H593" s="2">
        <v>1443.333333</v>
      </c>
      <c r="I593" s="2">
        <v>2727.333333</v>
      </c>
      <c r="J593" s="2">
        <v>2.2400000000000002</v>
      </c>
      <c r="K593" s="2">
        <v>4.3499999999999996</v>
      </c>
      <c r="L593" s="2">
        <v>10.84</v>
      </c>
      <c r="M593" s="2">
        <v>15.07</v>
      </c>
      <c r="N593" s="2">
        <v>2.58529841</v>
      </c>
      <c r="O593" s="2">
        <v>2.3320294819999998</v>
      </c>
      <c r="P593" s="2">
        <v>0.64285087900000004</v>
      </c>
      <c r="Q593" s="2">
        <v>0.60207674200000005</v>
      </c>
      <c r="R593" s="2">
        <v>2.8484820000000001E-2</v>
      </c>
      <c r="S593" s="2">
        <v>0.15715364400000001</v>
      </c>
      <c r="T593" s="2">
        <v>0.64221948600000001</v>
      </c>
      <c r="U593" s="2">
        <v>0.58120490000000002</v>
      </c>
      <c r="V593" s="2">
        <v>1.251118481</v>
      </c>
      <c r="W593" s="2">
        <v>5.2645604999999998E-2</v>
      </c>
      <c r="X593">
        <f t="shared" si="27"/>
        <v>1</v>
      </c>
      <c r="Y593">
        <f t="shared" si="28"/>
        <v>1</v>
      </c>
      <c r="Z593">
        <f t="shared" si="29"/>
        <v>1</v>
      </c>
    </row>
    <row r="594" spans="1:26" ht="15.75" customHeight="1" x14ac:dyDescent="0.2">
      <c r="A594" s="2" t="s">
        <v>23</v>
      </c>
      <c r="B594" s="2" t="s">
        <v>24</v>
      </c>
      <c r="C594" s="2" t="s">
        <v>28</v>
      </c>
      <c r="D594" s="2" t="s">
        <v>29</v>
      </c>
      <c r="E594" s="2">
        <v>149</v>
      </c>
      <c r="F594" s="2">
        <v>221.66666670000001</v>
      </c>
      <c r="G594" s="2">
        <v>262.33333329999999</v>
      </c>
      <c r="H594" s="2">
        <v>1115.333333</v>
      </c>
      <c r="I594" s="2">
        <v>2165</v>
      </c>
      <c r="J594" s="2">
        <v>2.19</v>
      </c>
      <c r="K594" s="2">
        <v>2.63</v>
      </c>
      <c r="L594" s="2">
        <v>9.19</v>
      </c>
      <c r="M594" s="2">
        <v>13.54</v>
      </c>
      <c r="N594" s="2">
        <v>1.2822067580000001</v>
      </c>
      <c r="O594" s="2">
        <v>1.3814609659999999</v>
      </c>
      <c r="P594" s="2">
        <v>2.8803569219999998</v>
      </c>
      <c r="Q594" s="2">
        <v>2.913305867</v>
      </c>
      <c r="R594" s="2">
        <v>1.74843744</v>
      </c>
      <c r="S594" s="2">
        <v>1.877106264</v>
      </c>
      <c r="T594" s="2">
        <v>2.2889784880000001</v>
      </c>
      <c r="U594" s="2">
        <v>2.2279639019999999</v>
      </c>
      <c r="V594" s="2">
        <v>-0.46883413899999998</v>
      </c>
      <c r="W594" s="2">
        <v>8.3512526000000004E-2</v>
      </c>
      <c r="X594">
        <f t="shared" si="27"/>
        <v>1</v>
      </c>
      <c r="Y594">
        <f t="shared" si="28"/>
        <v>1</v>
      </c>
      <c r="Z594">
        <f t="shared" si="29"/>
        <v>1</v>
      </c>
    </row>
    <row r="595" spans="1:26" ht="15.75" customHeight="1" x14ac:dyDescent="0.2">
      <c r="A595" s="2" t="s">
        <v>23</v>
      </c>
      <c r="B595" s="2" t="s">
        <v>24</v>
      </c>
      <c r="C595" s="2" t="s">
        <v>32</v>
      </c>
      <c r="D595" s="2" t="s">
        <v>33</v>
      </c>
      <c r="E595" s="2">
        <v>153</v>
      </c>
      <c r="F595" s="2">
        <v>218.33333329999999</v>
      </c>
      <c r="G595" s="2">
        <v>503</v>
      </c>
      <c r="H595" s="2">
        <v>1347</v>
      </c>
      <c r="I595" s="2">
        <v>2651.333333</v>
      </c>
      <c r="J595" s="2">
        <v>2.16</v>
      </c>
      <c r="K595" s="2">
        <v>4.95</v>
      </c>
      <c r="L595" s="2">
        <v>10.39</v>
      </c>
      <c r="M595" s="2">
        <v>14.88</v>
      </c>
      <c r="N595" s="2">
        <v>2.5781538519999998</v>
      </c>
      <c r="O595" s="2">
        <v>2.4923049490000002</v>
      </c>
      <c r="P595" s="2">
        <v>1.2281252890000001</v>
      </c>
      <c r="Q595" s="2">
        <v>1.1183427159999999</v>
      </c>
      <c r="R595" s="2">
        <v>0.56200533200000002</v>
      </c>
      <c r="S595" s="2">
        <v>0.43333650899999998</v>
      </c>
      <c r="T595" s="2">
        <v>1.091989804</v>
      </c>
      <c r="U595" s="2">
        <v>1.030975218</v>
      </c>
      <c r="V595" s="2">
        <v>1.8416086330000001</v>
      </c>
      <c r="W595" s="2">
        <v>7.3739495000000002E-2</v>
      </c>
      <c r="X595">
        <f t="shared" si="27"/>
        <v>1</v>
      </c>
      <c r="Y595">
        <f t="shared" si="28"/>
        <v>1</v>
      </c>
      <c r="Z595">
        <f t="shared" si="29"/>
        <v>1</v>
      </c>
    </row>
    <row r="596" spans="1:26" ht="15.75" customHeight="1" x14ac:dyDescent="0.2">
      <c r="A596" s="2" t="s">
        <v>23</v>
      </c>
      <c r="B596" s="2" t="s">
        <v>24</v>
      </c>
      <c r="C596" s="2" t="s">
        <v>26</v>
      </c>
      <c r="D596" s="2" t="s">
        <v>26</v>
      </c>
      <c r="E596" s="2">
        <v>149</v>
      </c>
      <c r="F596" s="2">
        <v>222</v>
      </c>
      <c r="G596" s="2">
        <v>363.66666670000001</v>
      </c>
      <c r="H596" s="2">
        <v>1093.333333</v>
      </c>
      <c r="I596" s="2">
        <v>2762.333333</v>
      </c>
      <c r="J596" s="2">
        <v>2.2000000000000002</v>
      </c>
      <c r="K596" s="2">
        <v>3.67</v>
      </c>
      <c r="L596" s="2">
        <v>9.07</v>
      </c>
      <c r="M596" s="2">
        <v>15.15</v>
      </c>
      <c r="N596" s="2">
        <v>0.70857852200000004</v>
      </c>
      <c r="O596" s="2">
        <v>0.54637435199999995</v>
      </c>
      <c r="P596" s="2">
        <v>2.5164841789999999</v>
      </c>
      <c r="Q596" s="2">
        <v>2.4986416739999999</v>
      </c>
      <c r="R596" s="2">
        <v>0.71728663400000003</v>
      </c>
      <c r="S596" s="2">
        <v>0.84595545699999997</v>
      </c>
      <c r="T596" s="2">
        <v>2.4120929719999999</v>
      </c>
      <c r="U596" s="2">
        <v>2.3510783869999998</v>
      </c>
      <c r="V596" s="2">
        <v>0.56231666700000005</v>
      </c>
      <c r="W596" s="2">
        <v>6.3059802999999998E-2</v>
      </c>
      <c r="X596">
        <f t="shared" si="27"/>
        <v>1</v>
      </c>
      <c r="Y596">
        <f t="shared" si="28"/>
        <v>1</v>
      </c>
      <c r="Z596">
        <f t="shared" si="29"/>
        <v>0</v>
      </c>
    </row>
    <row r="597" spans="1:26" ht="15.75" customHeight="1" x14ac:dyDescent="0.2">
      <c r="A597" s="2" t="s">
        <v>23</v>
      </c>
      <c r="B597" s="2" t="s">
        <v>24</v>
      </c>
      <c r="C597" s="2" t="s">
        <v>25</v>
      </c>
      <c r="D597" s="2" t="s">
        <v>25</v>
      </c>
      <c r="E597" s="2">
        <v>170</v>
      </c>
      <c r="F597" s="2">
        <v>220</v>
      </c>
      <c r="G597" s="2">
        <v>741.33333330000005</v>
      </c>
      <c r="H597" s="2">
        <v>1509.666667</v>
      </c>
      <c r="I597" s="2">
        <v>2579.666667</v>
      </c>
      <c r="J597" s="2">
        <v>2.1800000000000002</v>
      </c>
      <c r="K597" s="2">
        <v>6.83</v>
      </c>
      <c r="L597" s="2">
        <v>11.14</v>
      </c>
      <c r="M597" s="2">
        <v>14.7</v>
      </c>
      <c r="N597" s="2">
        <v>0.66499375999999999</v>
      </c>
      <c r="O597" s="2">
        <v>0.50891520899999998</v>
      </c>
      <c r="P597" s="2">
        <v>2.4688447870000001</v>
      </c>
      <c r="Q597" s="2">
        <v>2.333260766</v>
      </c>
      <c r="R597" s="2">
        <v>2.4443323810000002</v>
      </c>
      <c r="S597" s="2">
        <v>2.3156635570000002</v>
      </c>
      <c r="T597" s="2">
        <v>0.34703572199999999</v>
      </c>
      <c r="U597" s="2">
        <v>0.28602113699999998</v>
      </c>
      <c r="V597" s="2">
        <v>3.723935682</v>
      </c>
      <c r="W597" s="2">
        <v>8.4008541000000006E-2</v>
      </c>
      <c r="X597">
        <f t="shared" si="27"/>
        <v>1</v>
      </c>
      <c r="Y597">
        <f t="shared" si="28"/>
        <v>1</v>
      </c>
      <c r="Z597">
        <f t="shared" si="29"/>
        <v>0</v>
      </c>
    </row>
    <row r="598" spans="1:26" ht="15.75" customHeight="1" x14ac:dyDescent="0.2">
      <c r="A598" s="2" t="s">
        <v>23</v>
      </c>
      <c r="B598" s="2" t="s">
        <v>24</v>
      </c>
      <c r="C598" s="2" t="s">
        <v>30</v>
      </c>
      <c r="D598" s="2" t="s">
        <v>31</v>
      </c>
      <c r="E598" s="2">
        <v>179</v>
      </c>
      <c r="F598" s="2">
        <v>226</v>
      </c>
      <c r="G598" s="2">
        <v>630.33333330000005</v>
      </c>
      <c r="H598" s="2">
        <v>1455.666667</v>
      </c>
      <c r="I598" s="2">
        <v>2570.333333</v>
      </c>
      <c r="J598" s="2">
        <v>2.2400000000000002</v>
      </c>
      <c r="K598" s="2">
        <v>5.99</v>
      </c>
      <c r="L598" s="2">
        <v>10.9</v>
      </c>
      <c r="M598" s="2">
        <v>14.68</v>
      </c>
      <c r="N598" s="2">
        <v>4.0073815469999996</v>
      </c>
      <c r="O598" s="2">
        <v>3.5497619540000001</v>
      </c>
      <c r="P598" s="2">
        <v>1.7142056160000001</v>
      </c>
      <c r="Q598" s="2">
        <v>1.5724831530000001</v>
      </c>
      <c r="R598" s="2">
        <v>1.6107624650000001</v>
      </c>
      <c r="S598" s="2">
        <v>1.4820936419999999</v>
      </c>
      <c r="T598" s="2">
        <v>0.58646839299999998</v>
      </c>
      <c r="U598" s="2">
        <v>0.52545380699999999</v>
      </c>
      <c r="V598" s="2">
        <v>2.8903657659999999</v>
      </c>
      <c r="W598" s="2">
        <v>7.222568E-2</v>
      </c>
      <c r="X598">
        <f t="shared" si="27"/>
        <v>1</v>
      </c>
      <c r="Y598">
        <f t="shared" si="28"/>
        <v>1</v>
      </c>
      <c r="Z598">
        <f t="shared" si="29"/>
        <v>1</v>
      </c>
    </row>
    <row r="599" spans="1:26" ht="15.75" customHeight="1" x14ac:dyDescent="0.2">
      <c r="A599" s="2" t="s">
        <v>23</v>
      </c>
      <c r="B599" s="2" t="s">
        <v>24</v>
      </c>
      <c r="C599" s="2" t="s">
        <v>27</v>
      </c>
      <c r="D599" s="2" t="s">
        <v>27</v>
      </c>
      <c r="E599" s="2">
        <v>100</v>
      </c>
      <c r="F599" s="2">
        <v>199.33333329999999</v>
      </c>
      <c r="G599" s="2">
        <v>340.66666670000001</v>
      </c>
      <c r="H599" s="2">
        <v>2232</v>
      </c>
      <c r="I599" s="2">
        <v>2954</v>
      </c>
      <c r="J599" s="2">
        <v>1.94</v>
      </c>
      <c r="K599" s="2">
        <v>3.44</v>
      </c>
      <c r="L599" s="2">
        <v>13.74</v>
      </c>
      <c r="M599" s="2">
        <v>15.59</v>
      </c>
      <c r="N599" s="2">
        <v>0.71905728800000002</v>
      </c>
      <c r="O599" s="2">
        <v>0.64534819200000004</v>
      </c>
      <c r="P599" s="2">
        <v>2.451394455</v>
      </c>
      <c r="Q599" s="2">
        <v>2.558999837</v>
      </c>
      <c r="R599" s="2">
        <v>0.94336197399999999</v>
      </c>
      <c r="S599" s="2">
        <v>1.072030797</v>
      </c>
      <c r="T599" s="2">
        <v>2.2626097679999999</v>
      </c>
      <c r="U599" s="2">
        <v>2.323624353</v>
      </c>
      <c r="V599" s="2">
        <v>0.33624132699999998</v>
      </c>
      <c r="W599" s="2">
        <v>4.7655570000000001E-2</v>
      </c>
      <c r="X599">
        <f t="shared" si="27"/>
        <v>1</v>
      </c>
      <c r="Y599">
        <f t="shared" si="28"/>
        <v>1</v>
      </c>
      <c r="Z599">
        <f t="shared" si="29"/>
        <v>0</v>
      </c>
    </row>
    <row r="600" spans="1:26" ht="15.75" customHeight="1" x14ac:dyDescent="0.2">
      <c r="A600" s="2" t="s">
        <v>23</v>
      </c>
      <c r="B600" s="2" t="s">
        <v>24</v>
      </c>
      <c r="C600" s="2" t="s">
        <v>30</v>
      </c>
      <c r="D600" s="2" t="s">
        <v>31</v>
      </c>
      <c r="E600" s="2">
        <v>108</v>
      </c>
      <c r="F600" s="2">
        <v>230</v>
      </c>
      <c r="G600" s="2">
        <v>401.66666670000001</v>
      </c>
      <c r="H600" s="2">
        <v>1208</v>
      </c>
      <c r="I600" s="2">
        <v>2608.666667</v>
      </c>
      <c r="J600" s="2">
        <v>2.29</v>
      </c>
      <c r="K600" s="2">
        <v>4.03</v>
      </c>
      <c r="L600" s="2">
        <v>9.69</v>
      </c>
      <c r="M600" s="2">
        <v>14.78</v>
      </c>
      <c r="N600" s="2">
        <v>4.6151112970000003</v>
      </c>
      <c r="O600" s="2">
        <v>4.1866855709999999</v>
      </c>
      <c r="P600" s="2">
        <v>1.8237468910000001</v>
      </c>
      <c r="Q600" s="2">
        <v>1.7941425449999999</v>
      </c>
      <c r="R600" s="2">
        <v>0.35341847399999998</v>
      </c>
      <c r="S600" s="2">
        <v>0.482087298</v>
      </c>
      <c r="T600" s="2">
        <v>1.789175258</v>
      </c>
      <c r="U600" s="2">
        <v>1.7281606730000001</v>
      </c>
      <c r="V600" s="2">
        <v>0.92618482700000004</v>
      </c>
      <c r="W600" s="2">
        <v>4.6970689000000003E-2</v>
      </c>
      <c r="X600">
        <f t="shared" si="27"/>
        <v>1</v>
      </c>
      <c r="Y600">
        <f t="shared" si="28"/>
        <v>1</v>
      </c>
      <c r="Z600">
        <f t="shared" si="29"/>
        <v>1</v>
      </c>
    </row>
    <row r="601" spans="1:26" ht="15.75" customHeight="1" x14ac:dyDescent="0.2">
      <c r="A601" s="2" t="s">
        <v>23</v>
      </c>
      <c r="B601" s="2" t="s">
        <v>24</v>
      </c>
      <c r="C601" s="2" t="s">
        <v>27</v>
      </c>
      <c r="D601" s="2" t="s">
        <v>27</v>
      </c>
      <c r="E601" s="2">
        <v>117</v>
      </c>
      <c r="F601" s="2">
        <v>210</v>
      </c>
      <c r="G601" s="2">
        <v>388</v>
      </c>
      <c r="H601" s="2">
        <v>2430.666667</v>
      </c>
      <c r="I601" s="2">
        <v>3159.333333</v>
      </c>
      <c r="J601" s="2">
        <v>2.06</v>
      </c>
      <c r="K601" s="2">
        <v>3.9</v>
      </c>
      <c r="L601" s="2">
        <v>14.31</v>
      </c>
      <c r="M601" s="2">
        <v>16.02</v>
      </c>
      <c r="N601" s="2">
        <v>1.2414359E-2</v>
      </c>
      <c r="O601" s="2">
        <v>0.46495704300000001</v>
      </c>
      <c r="P601" s="2">
        <v>2.8707085320000001</v>
      </c>
      <c r="Q601" s="2">
        <v>2.9547993149999998</v>
      </c>
      <c r="R601" s="2">
        <v>0.48292712999999998</v>
      </c>
      <c r="S601" s="2">
        <v>0.61159595300000003</v>
      </c>
      <c r="T601" s="2">
        <v>2.829796612</v>
      </c>
      <c r="U601" s="2">
        <v>2.8908111980000002</v>
      </c>
      <c r="V601" s="2">
        <v>0.79667617099999999</v>
      </c>
      <c r="W601" s="2">
        <v>5.4124948999999999E-2</v>
      </c>
      <c r="X601">
        <f t="shared" si="27"/>
        <v>1</v>
      </c>
      <c r="Y601">
        <f t="shared" si="28"/>
        <v>1</v>
      </c>
      <c r="Z601">
        <f t="shared" si="29"/>
        <v>0</v>
      </c>
    </row>
    <row r="602" spans="1:26" ht="15.75" customHeight="1" x14ac:dyDescent="0.2">
      <c r="A602" s="2" t="s">
        <v>23</v>
      </c>
      <c r="B602" s="2" t="s">
        <v>24</v>
      </c>
      <c r="C602" s="2" t="s">
        <v>26</v>
      </c>
      <c r="D602" s="2" t="s">
        <v>26</v>
      </c>
      <c r="E602" s="2">
        <v>107</v>
      </c>
      <c r="F602" s="2">
        <v>204</v>
      </c>
      <c r="G602" s="2">
        <v>368.33333329999999</v>
      </c>
      <c r="H602" s="2">
        <v>1108.333333</v>
      </c>
      <c r="I602" s="2">
        <v>2639.666667</v>
      </c>
      <c r="J602" s="2">
        <v>2</v>
      </c>
      <c r="K602" s="2">
        <v>3.71</v>
      </c>
      <c r="L602" s="2">
        <v>9.15</v>
      </c>
      <c r="M602" s="2">
        <v>14.86</v>
      </c>
      <c r="N602" s="2">
        <v>0.79684343700000004</v>
      </c>
      <c r="O602" s="2">
        <v>0.612840885</v>
      </c>
      <c r="P602" s="2">
        <v>2.4229999499999999</v>
      </c>
      <c r="Q602" s="2">
        <v>2.4041732769999999</v>
      </c>
      <c r="R602" s="2">
        <v>0.67196133400000002</v>
      </c>
      <c r="S602" s="2">
        <v>0.80063015800000004</v>
      </c>
      <c r="T602" s="2">
        <v>2.3279597760000001</v>
      </c>
      <c r="U602" s="2">
        <v>2.266945191</v>
      </c>
      <c r="V602" s="2">
        <v>0.60764196699999995</v>
      </c>
      <c r="W602" s="2">
        <v>5.6451448000000001E-2</v>
      </c>
      <c r="X602">
        <f t="shared" si="27"/>
        <v>1</v>
      </c>
      <c r="Y602">
        <f t="shared" si="28"/>
        <v>1</v>
      </c>
      <c r="Z602">
        <f t="shared" si="29"/>
        <v>0</v>
      </c>
    </row>
    <row r="603" spans="1:26" ht="15.75" customHeight="1" x14ac:dyDescent="0.2">
      <c r="A603" s="2" t="s">
        <v>23</v>
      </c>
      <c r="B603" s="2" t="s">
        <v>24</v>
      </c>
      <c r="C603" s="2" t="s">
        <v>27</v>
      </c>
      <c r="D603" s="2" t="s">
        <v>27</v>
      </c>
      <c r="E603" s="2">
        <v>230</v>
      </c>
      <c r="F603" s="2">
        <v>230</v>
      </c>
      <c r="G603" s="2">
        <v>332</v>
      </c>
      <c r="H603" s="2">
        <v>2506</v>
      </c>
      <c r="I603" s="2">
        <v>3072.333333</v>
      </c>
      <c r="J603" s="2">
        <v>2.29</v>
      </c>
      <c r="K603" s="2">
        <v>3.35</v>
      </c>
      <c r="L603" s="2">
        <v>14.51</v>
      </c>
      <c r="M603" s="2">
        <v>15.84</v>
      </c>
      <c r="N603" s="2">
        <v>0.57483232299999998</v>
      </c>
      <c r="O603" s="2">
        <v>0.95772007599999998</v>
      </c>
      <c r="P603" s="2">
        <v>3.201779734</v>
      </c>
      <c r="Q603" s="2">
        <v>3.3025160439999999</v>
      </c>
      <c r="R603" s="2">
        <v>1.0297267530000001</v>
      </c>
      <c r="S603" s="2">
        <v>1.158395576</v>
      </c>
      <c r="T603" s="2">
        <v>3.0316754910000001</v>
      </c>
      <c r="U603" s="2">
        <v>3.0926900759999998</v>
      </c>
      <c r="V603" s="2">
        <v>0.249876548</v>
      </c>
      <c r="W603" s="2">
        <v>5.0702939000000002E-2</v>
      </c>
      <c r="X603">
        <f t="shared" si="27"/>
        <v>1</v>
      </c>
      <c r="Y603">
        <f t="shared" si="28"/>
        <v>1</v>
      </c>
      <c r="Z603">
        <f t="shared" si="29"/>
        <v>0</v>
      </c>
    </row>
    <row r="604" spans="1:26" ht="15.75" customHeight="1" x14ac:dyDescent="0.2">
      <c r="A604" s="2" t="s">
        <v>23</v>
      </c>
      <c r="B604" s="2" t="s">
        <v>24</v>
      </c>
      <c r="C604" s="2" t="s">
        <v>30</v>
      </c>
      <c r="D604" s="2" t="s">
        <v>31</v>
      </c>
      <c r="E604" s="2">
        <v>151</v>
      </c>
      <c r="F604" s="2">
        <v>200.66666670000001</v>
      </c>
      <c r="G604" s="2">
        <v>478.33333329999999</v>
      </c>
      <c r="H604" s="2">
        <v>1157.666667</v>
      </c>
      <c r="I604" s="2">
        <v>2637</v>
      </c>
      <c r="J604" s="2">
        <v>1.96</v>
      </c>
      <c r="K604" s="2">
        <v>4.7300000000000004</v>
      </c>
      <c r="L604" s="2">
        <v>9.43</v>
      </c>
      <c r="M604" s="2">
        <v>14.85</v>
      </c>
      <c r="N604" s="2">
        <v>4.952517598</v>
      </c>
      <c r="O604" s="2">
        <v>4.5026705490000003</v>
      </c>
      <c r="P604" s="2">
        <v>2.0858916280000002</v>
      </c>
      <c r="Q604" s="2">
        <v>2.0077668950000001</v>
      </c>
      <c r="R604" s="2">
        <v>0.346178288</v>
      </c>
      <c r="S604" s="2">
        <v>0.21750946500000001</v>
      </c>
      <c r="T604" s="2">
        <v>2.0569648699999998</v>
      </c>
      <c r="U604" s="2">
        <v>1.9959502840000001</v>
      </c>
      <c r="V604" s="2">
        <v>1.625781589</v>
      </c>
      <c r="W604" s="2">
        <v>3.3384590999999998E-2</v>
      </c>
      <c r="X604">
        <f t="shared" si="27"/>
        <v>1</v>
      </c>
      <c r="Y604">
        <f t="shared" si="28"/>
        <v>1</v>
      </c>
      <c r="Z604">
        <f t="shared" si="29"/>
        <v>1</v>
      </c>
    </row>
    <row r="605" spans="1:26" ht="15.75" customHeight="1" x14ac:dyDescent="0.2">
      <c r="A605" s="2" t="s">
        <v>23</v>
      </c>
      <c r="B605" s="2" t="s">
        <v>24</v>
      </c>
      <c r="C605" s="2" t="s">
        <v>27</v>
      </c>
      <c r="D605" s="2" t="s">
        <v>27</v>
      </c>
      <c r="E605" s="2">
        <v>183</v>
      </c>
      <c r="F605" s="2">
        <v>208</v>
      </c>
      <c r="G605" s="2">
        <v>344</v>
      </c>
      <c r="H605" s="2">
        <v>2471.666667</v>
      </c>
      <c r="I605" s="2">
        <v>3051.333333</v>
      </c>
      <c r="J605" s="2">
        <v>2.04</v>
      </c>
      <c r="K605" s="2">
        <v>3.47</v>
      </c>
      <c r="L605" s="2">
        <v>14.42</v>
      </c>
      <c r="M605" s="2">
        <v>15.79</v>
      </c>
      <c r="N605" s="2">
        <v>0.43256511800000003</v>
      </c>
      <c r="O605" s="2">
        <v>0.80795517800000005</v>
      </c>
      <c r="P605" s="2">
        <v>3.0782033759999998</v>
      </c>
      <c r="Q605" s="2">
        <v>3.1762718259999998</v>
      </c>
      <c r="R605" s="2">
        <v>0.91031775800000003</v>
      </c>
      <c r="S605" s="2">
        <v>1.0389865810000001</v>
      </c>
      <c r="T605" s="2">
        <v>2.9405199550000001</v>
      </c>
      <c r="U605" s="2">
        <v>3.0015345400000002</v>
      </c>
      <c r="V605" s="2">
        <v>0.36928554299999999</v>
      </c>
      <c r="W605" s="2">
        <v>5.1779166000000001E-2</v>
      </c>
      <c r="X605">
        <f t="shared" si="27"/>
        <v>1</v>
      </c>
      <c r="Y605">
        <f t="shared" si="28"/>
        <v>1</v>
      </c>
      <c r="Z605">
        <f t="shared" si="29"/>
        <v>0</v>
      </c>
    </row>
    <row r="606" spans="1:26" ht="15.75" customHeight="1" x14ac:dyDescent="0.2">
      <c r="A606" s="2" t="s">
        <v>23</v>
      </c>
      <c r="B606" s="2" t="s">
        <v>24</v>
      </c>
      <c r="C606" s="2" t="s">
        <v>26</v>
      </c>
      <c r="D606" s="2" t="s">
        <v>26</v>
      </c>
      <c r="E606" s="2">
        <v>156</v>
      </c>
      <c r="F606" s="2">
        <v>210.66666670000001</v>
      </c>
      <c r="G606" s="2">
        <v>343.33333329999999</v>
      </c>
      <c r="H606" s="2">
        <v>1142.333333</v>
      </c>
      <c r="I606" s="2">
        <v>2616</v>
      </c>
      <c r="J606" s="2">
        <v>2.0699999999999998</v>
      </c>
      <c r="K606" s="2">
        <v>3.47</v>
      </c>
      <c r="L606" s="2">
        <v>9.34</v>
      </c>
      <c r="M606" s="2">
        <v>14.8</v>
      </c>
      <c r="N606" s="2">
        <v>0.98922137499999996</v>
      </c>
      <c r="O606" s="2">
        <v>0.87632698200000003</v>
      </c>
      <c r="P606" s="2">
        <v>2.328410549</v>
      </c>
      <c r="Q606" s="2">
        <v>2.3273496800000002</v>
      </c>
      <c r="R606" s="2">
        <v>0.91691895000000001</v>
      </c>
      <c r="S606" s="2">
        <v>1.0455877730000001</v>
      </c>
      <c r="T606" s="2">
        <v>2.1402699190000001</v>
      </c>
      <c r="U606" s="2">
        <v>2.0792553329999999</v>
      </c>
      <c r="V606" s="2">
        <v>0.36268435100000002</v>
      </c>
      <c r="W606" s="2">
        <v>7.0889947999999994E-2</v>
      </c>
      <c r="X606">
        <f t="shared" si="27"/>
        <v>1</v>
      </c>
      <c r="Y606">
        <f t="shared" si="28"/>
        <v>1</v>
      </c>
      <c r="Z606">
        <f t="shared" si="29"/>
        <v>0</v>
      </c>
    </row>
    <row r="607" spans="1:26" ht="15.75" customHeight="1" x14ac:dyDescent="0.2">
      <c r="A607" s="2" t="s">
        <v>23</v>
      </c>
      <c r="B607" s="2" t="s">
        <v>24</v>
      </c>
      <c r="C607" s="2" t="s">
        <v>30</v>
      </c>
      <c r="D607" s="2" t="s">
        <v>31</v>
      </c>
      <c r="E607" s="2">
        <v>120</v>
      </c>
      <c r="F607" s="2">
        <v>225.66666670000001</v>
      </c>
      <c r="G607" s="2">
        <v>407.66666670000001</v>
      </c>
      <c r="H607" s="2">
        <v>1056.666667</v>
      </c>
      <c r="I607" s="2">
        <v>1867.333333</v>
      </c>
      <c r="J607" s="2">
        <v>2.2400000000000002</v>
      </c>
      <c r="K607" s="2">
        <v>4.09</v>
      </c>
      <c r="L607" s="2">
        <v>8.86</v>
      </c>
      <c r="M607" s="2">
        <v>12.55</v>
      </c>
      <c r="N607" s="2">
        <v>5.4486287969999996</v>
      </c>
      <c r="O607" s="2">
        <v>5.0186049099999996</v>
      </c>
      <c r="P607" s="2">
        <v>2.6380499190000002</v>
      </c>
      <c r="Q607" s="2">
        <v>2.595409745</v>
      </c>
      <c r="R607" s="2">
        <v>0.297033294</v>
      </c>
      <c r="S607" s="2">
        <v>0.42570211699999999</v>
      </c>
      <c r="T607" s="2">
        <v>2.6212742310000001</v>
      </c>
      <c r="U607" s="2">
        <v>2.560259646</v>
      </c>
      <c r="V607" s="2">
        <v>0.98257000699999997</v>
      </c>
      <c r="W607" s="2">
        <v>4.1441853000000001E-2</v>
      </c>
      <c r="X607">
        <f t="shared" si="27"/>
        <v>1</v>
      </c>
      <c r="Y607">
        <f t="shared" si="28"/>
        <v>1</v>
      </c>
      <c r="Z607">
        <f t="shared" si="29"/>
        <v>1</v>
      </c>
    </row>
    <row r="608" spans="1:26" ht="15.75" customHeight="1" x14ac:dyDescent="0.2">
      <c r="A608" s="2" t="s">
        <v>23</v>
      </c>
      <c r="B608" s="2" t="s">
        <v>24</v>
      </c>
      <c r="C608" s="2" t="s">
        <v>32</v>
      </c>
      <c r="D608" s="2" t="s">
        <v>33</v>
      </c>
      <c r="E608" s="2">
        <v>121</v>
      </c>
      <c r="F608" s="2">
        <v>196</v>
      </c>
      <c r="G608" s="2">
        <v>608</v>
      </c>
      <c r="H608" s="2">
        <v>1494.333333</v>
      </c>
      <c r="I608" s="2">
        <v>3220</v>
      </c>
      <c r="J608" s="2">
        <v>1.91</v>
      </c>
      <c r="K608" s="2">
        <v>5.82</v>
      </c>
      <c r="L608" s="2">
        <v>11.07</v>
      </c>
      <c r="M608" s="2">
        <v>16.14</v>
      </c>
      <c r="N608" s="2">
        <v>1.4878627310000001</v>
      </c>
      <c r="O608" s="2">
        <v>1.4245766120000001</v>
      </c>
      <c r="P608" s="2">
        <v>1.492964116</v>
      </c>
      <c r="Q608" s="2">
        <v>1.352611842</v>
      </c>
      <c r="R608" s="2">
        <v>1.434339239</v>
      </c>
      <c r="S608" s="2">
        <v>1.305670415</v>
      </c>
      <c r="T608" s="2">
        <v>0.41426175199999998</v>
      </c>
      <c r="U608" s="2">
        <v>0.35324716699999997</v>
      </c>
      <c r="V608" s="2">
        <v>2.7139425400000001</v>
      </c>
      <c r="W608" s="2">
        <v>6.2698661000000003E-2</v>
      </c>
      <c r="X608">
        <f t="shared" si="27"/>
        <v>1</v>
      </c>
      <c r="Y608">
        <f t="shared" si="28"/>
        <v>1</v>
      </c>
      <c r="Z608">
        <f t="shared" si="29"/>
        <v>1</v>
      </c>
    </row>
    <row r="609" spans="1:26" ht="15.75" customHeight="1" x14ac:dyDescent="0.2">
      <c r="A609" s="2" t="s">
        <v>23</v>
      </c>
      <c r="B609" s="2" t="s">
        <v>24</v>
      </c>
      <c r="C609" s="2" t="s">
        <v>28</v>
      </c>
      <c r="D609" s="2" t="s">
        <v>29</v>
      </c>
      <c r="E609" s="2">
        <v>111</v>
      </c>
      <c r="F609" s="2">
        <v>227</v>
      </c>
      <c r="G609" s="2">
        <v>350.33333329999999</v>
      </c>
      <c r="H609" s="2">
        <v>1951</v>
      </c>
      <c r="I609" s="2">
        <v>3241.333333</v>
      </c>
      <c r="J609" s="2">
        <v>2.25</v>
      </c>
      <c r="K609" s="2">
        <v>3.54</v>
      </c>
      <c r="L609" s="2">
        <v>12.84</v>
      </c>
      <c r="M609" s="2">
        <v>16.18</v>
      </c>
      <c r="N609" s="2">
        <v>4.481278262</v>
      </c>
      <c r="O609" s="2">
        <v>4.2962335740000004</v>
      </c>
      <c r="P609" s="2">
        <v>1.6042838770000001</v>
      </c>
      <c r="Q609" s="2">
        <v>1.725797053</v>
      </c>
      <c r="R609" s="2">
        <v>0.84779644099999996</v>
      </c>
      <c r="S609" s="2">
        <v>0.97646526499999997</v>
      </c>
      <c r="T609" s="2">
        <v>1.3619720820000001</v>
      </c>
      <c r="U609" s="2">
        <v>1.4229866680000001</v>
      </c>
      <c r="V609" s="2">
        <v>0.43180685899999999</v>
      </c>
      <c r="W609" s="2">
        <v>5.6314864999999999E-2</v>
      </c>
      <c r="X609">
        <f t="shared" si="27"/>
        <v>1</v>
      </c>
      <c r="Y609">
        <f t="shared" si="28"/>
        <v>1</v>
      </c>
      <c r="Z609">
        <f t="shared" si="29"/>
        <v>1</v>
      </c>
    </row>
    <row r="610" spans="1:26" ht="15.75" customHeight="1" x14ac:dyDescent="0.2">
      <c r="A610" s="2" t="s">
        <v>23</v>
      </c>
      <c r="B610" s="2" t="s">
        <v>24</v>
      </c>
      <c r="C610" s="2" t="s">
        <v>28</v>
      </c>
      <c r="D610" s="2" t="s">
        <v>29</v>
      </c>
      <c r="E610" s="2">
        <v>137</v>
      </c>
      <c r="F610" s="2">
        <v>235</v>
      </c>
      <c r="G610" s="2">
        <v>302.33333329999999</v>
      </c>
      <c r="H610" s="2">
        <v>1662.333333</v>
      </c>
      <c r="I610" s="2">
        <v>3024.333333</v>
      </c>
      <c r="J610" s="2">
        <v>2.34</v>
      </c>
      <c r="K610" s="2">
        <v>3.05</v>
      </c>
      <c r="L610" s="2">
        <v>11.77</v>
      </c>
      <c r="M610" s="2">
        <v>15.74</v>
      </c>
      <c r="N610" s="2">
        <v>3.4555061779999998</v>
      </c>
      <c r="O610" s="2">
        <v>3.3135423350000002</v>
      </c>
      <c r="P610" s="2">
        <v>1.3618788449999999</v>
      </c>
      <c r="Q610" s="2">
        <v>1.5009625499999999</v>
      </c>
      <c r="R610" s="2">
        <v>1.330369291</v>
      </c>
      <c r="S610" s="2">
        <v>1.4590381139999999</v>
      </c>
      <c r="T610" s="2">
        <v>0.29125854299999998</v>
      </c>
      <c r="U610" s="2">
        <v>0.35227312900000002</v>
      </c>
      <c r="V610" s="2">
        <v>-5.0765989999999997E-2</v>
      </c>
      <c r="W610" s="2">
        <v>8.7870851999999999E-2</v>
      </c>
      <c r="X610">
        <f t="shared" si="27"/>
        <v>1</v>
      </c>
      <c r="Y610">
        <f t="shared" si="28"/>
        <v>1</v>
      </c>
      <c r="Z610">
        <f t="shared" si="29"/>
        <v>1</v>
      </c>
    </row>
    <row r="611" spans="1:26" ht="15.75" customHeight="1" x14ac:dyDescent="0.2">
      <c r="A611" s="2" t="s">
        <v>23</v>
      </c>
      <c r="B611" s="2" t="s">
        <v>24</v>
      </c>
      <c r="C611" s="2" t="s">
        <v>26</v>
      </c>
      <c r="D611" s="2" t="s">
        <v>26</v>
      </c>
      <c r="E611" s="2">
        <v>151</v>
      </c>
      <c r="F611" s="2">
        <v>245.33333329999999</v>
      </c>
      <c r="G611" s="2">
        <v>390.66666670000001</v>
      </c>
      <c r="H611" s="2">
        <v>954.66666669999995</v>
      </c>
      <c r="I611" s="2">
        <v>2787</v>
      </c>
      <c r="J611" s="2">
        <v>2.4500000000000002</v>
      </c>
      <c r="K611" s="2">
        <v>3.93</v>
      </c>
      <c r="L611" s="2">
        <v>8.25</v>
      </c>
      <c r="M611" s="2">
        <v>15.21</v>
      </c>
      <c r="N611" s="2">
        <v>0.33278673600000003</v>
      </c>
      <c r="O611" s="2">
        <v>0.315424959</v>
      </c>
      <c r="P611" s="2">
        <v>3.2630992160000001</v>
      </c>
      <c r="Q611" s="2">
        <v>3.2235969670000002</v>
      </c>
      <c r="R611" s="2">
        <v>0.457538897</v>
      </c>
      <c r="S611" s="2">
        <v>0.58620771999999999</v>
      </c>
      <c r="T611" s="2">
        <v>3.2308628339999999</v>
      </c>
      <c r="U611" s="2">
        <v>3.1698482480000001</v>
      </c>
      <c r="V611" s="2">
        <v>0.82206440400000003</v>
      </c>
      <c r="W611" s="2">
        <v>9.4925154999999997E-2</v>
      </c>
      <c r="X611">
        <f t="shared" si="27"/>
        <v>1</v>
      </c>
      <c r="Y611">
        <f t="shared" si="28"/>
        <v>1</v>
      </c>
      <c r="Z611">
        <f t="shared" si="29"/>
        <v>0</v>
      </c>
    </row>
    <row r="612" spans="1:26" ht="15.75" customHeight="1" x14ac:dyDescent="0.2">
      <c r="A612" s="2" t="s">
        <v>23</v>
      </c>
      <c r="B612" s="2" t="s">
        <v>24</v>
      </c>
      <c r="C612" s="2" t="s">
        <v>25</v>
      </c>
      <c r="D612" s="2" t="s">
        <v>25</v>
      </c>
      <c r="E612" s="2">
        <v>193</v>
      </c>
      <c r="F612" s="2">
        <v>213.66666670000001</v>
      </c>
      <c r="G612" s="2">
        <v>851.33333330000005</v>
      </c>
      <c r="H612" s="2">
        <v>1593</v>
      </c>
      <c r="I612" s="2">
        <v>3083</v>
      </c>
      <c r="J612" s="2">
        <v>2.11</v>
      </c>
      <c r="K612" s="2">
        <v>7.59</v>
      </c>
      <c r="L612" s="2">
        <v>11.49</v>
      </c>
      <c r="M612" s="2">
        <v>15.86</v>
      </c>
      <c r="N612" s="2">
        <v>0.48338388799999998</v>
      </c>
      <c r="O612" s="2">
        <v>0.41731016599999998</v>
      </c>
      <c r="P612" s="2">
        <v>3.2054661699999998</v>
      </c>
      <c r="Q612" s="2">
        <v>3.0775648210000002</v>
      </c>
      <c r="R612" s="2">
        <v>3.2054557400000001</v>
      </c>
      <c r="S612" s="2">
        <v>3.0767869170000002</v>
      </c>
      <c r="T612" s="2">
        <v>8.1771359999999998E-3</v>
      </c>
      <c r="U612" s="2">
        <v>6.9191720999999998E-2</v>
      </c>
      <c r="V612" s="2">
        <v>4.4850590410000004</v>
      </c>
      <c r="W612" s="2">
        <v>5.4131345999999997E-2</v>
      </c>
      <c r="X612">
        <f t="shared" si="27"/>
        <v>1</v>
      </c>
      <c r="Y612">
        <f t="shared" si="28"/>
        <v>1</v>
      </c>
      <c r="Z612">
        <f t="shared" si="29"/>
        <v>0</v>
      </c>
    </row>
    <row r="613" spans="1:26" ht="15.75" customHeight="1" x14ac:dyDescent="0.2">
      <c r="A613" s="2" t="s">
        <v>23</v>
      </c>
      <c r="B613" s="2" t="s">
        <v>24</v>
      </c>
      <c r="C613" s="2" t="s">
        <v>30</v>
      </c>
      <c r="D613" s="2" t="s">
        <v>31</v>
      </c>
      <c r="E613" s="2">
        <v>248</v>
      </c>
      <c r="F613" s="2">
        <v>222.33333329999999</v>
      </c>
      <c r="G613" s="2">
        <v>408.33333329999999</v>
      </c>
      <c r="H613" s="2">
        <v>1295.666667</v>
      </c>
      <c r="I613" s="2">
        <v>2361</v>
      </c>
      <c r="J613" s="2">
        <v>2.2000000000000002</v>
      </c>
      <c r="K613" s="2">
        <v>4.09</v>
      </c>
      <c r="L613" s="2">
        <v>10.14</v>
      </c>
      <c r="M613" s="2">
        <v>14.12</v>
      </c>
      <c r="N613" s="2">
        <v>4.1712741500000003</v>
      </c>
      <c r="O613" s="2">
        <v>3.7398996100000002</v>
      </c>
      <c r="P613" s="2">
        <v>1.3736609849999999</v>
      </c>
      <c r="Q613" s="2">
        <v>1.3484158209999999</v>
      </c>
      <c r="R613" s="2">
        <v>0.29078590900000001</v>
      </c>
      <c r="S613" s="2">
        <v>0.419454732</v>
      </c>
      <c r="T613" s="2">
        <v>1.342530467</v>
      </c>
      <c r="U613" s="2">
        <v>1.2815158820000001</v>
      </c>
      <c r="V613" s="2">
        <v>0.98881739199999996</v>
      </c>
      <c r="W613" s="2">
        <v>8.5015129999999994E-2</v>
      </c>
      <c r="X613">
        <f t="shared" si="27"/>
        <v>1</v>
      </c>
      <c r="Y613">
        <f t="shared" si="28"/>
        <v>1</v>
      </c>
      <c r="Z613">
        <f t="shared" si="29"/>
        <v>1</v>
      </c>
    </row>
    <row r="614" spans="1:26" ht="15.75" customHeight="1" x14ac:dyDescent="0.2">
      <c r="A614" s="2" t="s">
        <v>23</v>
      </c>
      <c r="B614" s="2" t="s">
        <v>24</v>
      </c>
      <c r="C614" s="2" t="s">
        <v>28</v>
      </c>
      <c r="D614" s="2" t="s">
        <v>29</v>
      </c>
      <c r="E614" s="2">
        <v>105</v>
      </c>
      <c r="F614" s="2">
        <v>197</v>
      </c>
      <c r="G614" s="2">
        <v>306</v>
      </c>
      <c r="H614" s="2">
        <v>1478</v>
      </c>
      <c r="I614" s="2">
        <v>3018.333333</v>
      </c>
      <c r="J614" s="2">
        <v>1.92</v>
      </c>
      <c r="K614" s="2">
        <v>3.09</v>
      </c>
      <c r="L614" s="2">
        <v>11</v>
      </c>
      <c r="M614" s="2">
        <v>15.72</v>
      </c>
      <c r="N614" s="2">
        <v>2.6833661599999998</v>
      </c>
      <c r="O614" s="2">
        <v>2.5547847570000002</v>
      </c>
      <c r="P614" s="2">
        <v>1.381305832</v>
      </c>
      <c r="Q614" s="2">
        <v>1.483777412</v>
      </c>
      <c r="R614" s="2">
        <v>1.2927848740000001</v>
      </c>
      <c r="S614" s="2">
        <v>1.4214536980000001</v>
      </c>
      <c r="T614" s="2">
        <v>0.48653167600000002</v>
      </c>
      <c r="U614" s="2">
        <v>0.42551708999999999</v>
      </c>
      <c r="V614" s="2">
        <v>-1.3181573E-2</v>
      </c>
      <c r="W614" s="2">
        <v>4.3606766999999998E-2</v>
      </c>
      <c r="X614">
        <f t="shared" si="27"/>
        <v>1</v>
      </c>
      <c r="Y614">
        <f t="shared" si="28"/>
        <v>1</v>
      </c>
      <c r="Z614">
        <f t="shared" si="29"/>
        <v>1</v>
      </c>
    </row>
    <row r="615" spans="1:26" ht="15.75" customHeight="1" x14ac:dyDescent="0.2">
      <c r="A615" s="2" t="s">
        <v>23</v>
      </c>
      <c r="B615" s="2" t="s">
        <v>24</v>
      </c>
      <c r="C615" s="2" t="s">
        <v>28</v>
      </c>
      <c r="D615" s="2" t="s">
        <v>29</v>
      </c>
      <c r="E615" s="2">
        <v>142</v>
      </c>
      <c r="F615" s="2">
        <v>220.66666670000001</v>
      </c>
      <c r="G615" s="2">
        <v>376.66666670000001</v>
      </c>
      <c r="H615" s="2">
        <v>1714.333333</v>
      </c>
      <c r="I615" s="2">
        <v>3087.666667</v>
      </c>
      <c r="J615" s="2">
        <v>2.1800000000000002</v>
      </c>
      <c r="K615" s="2">
        <v>3.79</v>
      </c>
      <c r="L615" s="2">
        <v>11.98</v>
      </c>
      <c r="M615" s="2">
        <v>15.87</v>
      </c>
      <c r="N615" s="2">
        <v>3.6196505330000002</v>
      </c>
      <c r="O615" s="2">
        <v>3.4190676510000002</v>
      </c>
      <c r="P615" s="2">
        <v>0.77227686100000004</v>
      </c>
      <c r="Q615" s="2">
        <v>0.91076509800000005</v>
      </c>
      <c r="R615" s="2">
        <v>0.59147359700000002</v>
      </c>
      <c r="S615" s="2">
        <v>0.72014241999999995</v>
      </c>
      <c r="T615" s="2">
        <v>0.49655869200000002</v>
      </c>
      <c r="U615" s="2">
        <v>0.55757327700000003</v>
      </c>
      <c r="V615" s="2">
        <v>0.68812970399999995</v>
      </c>
      <c r="W615" s="2">
        <v>4.0808974999999997E-2</v>
      </c>
      <c r="X615">
        <f t="shared" si="27"/>
        <v>1</v>
      </c>
      <c r="Y615">
        <f t="shared" si="28"/>
        <v>1</v>
      </c>
      <c r="Z615">
        <f t="shared" si="29"/>
        <v>1</v>
      </c>
    </row>
    <row r="616" spans="1:26" ht="15.75" customHeight="1" x14ac:dyDescent="0.2">
      <c r="A616" s="2" t="s">
        <v>23</v>
      </c>
      <c r="B616" s="2" t="s">
        <v>24</v>
      </c>
      <c r="C616" s="2" t="s">
        <v>32</v>
      </c>
      <c r="D616" s="2" t="s">
        <v>33</v>
      </c>
      <c r="E616" s="2">
        <v>209</v>
      </c>
      <c r="F616" s="2">
        <v>203.66666670000001</v>
      </c>
      <c r="G616" s="2">
        <v>599.66666669999995</v>
      </c>
      <c r="H616" s="2">
        <v>1789.666667</v>
      </c>
      <c r="I616" s="2">
        <v>3131.666667</v>
      </c>
      <c r="J616" s="2">
        <v>1.99</v>
      </c>
      <c r="K616" s="2">
        <v>5.75</v>
      </c>
      <c r="L616" s="2">
        <v>12.27</v>
      </c>
      <c r="M616" s="2">
        <v>15.96</v>
      </c>
      <c r="N616" s="2">
        <v>1.5132051950000001</v>
      </c>
      <c r="O616" s="2">
        <v>1.609544174</v>
      </c>
      <c r="P616" s="2">
        <v>1.5764293890000001</v>
      </c>
      <c r="Q616" s="2">
        <v>1.4996993949999999</v>
      </c>
      <c r="R616" s="2">
        <v>1.3677209910000001</v>
      </c>
      <c r="S616" s="2">
        <v>1.2390521670000001</v>
      </c>
      <c r="T616" s="2">
        <v>0.78388067400000006</v>
      </c>
      <c r="U616" s="2">
        <v>0.84489526000000004</v>
      </c>
      <c r="V616" s="2">
        <v>2.647324292</v>
      </c>
      <c r="W616" s="2">
        <v>5.7698004999999997E-2</v>
      </c>
      <c r="X616">
        <f t="shared" si="27"/>
        <v>1</v>
      </c>
      <c r="Y616">
        <f t="shared" si="28"/>
        <v>1</v>
      </c>
      <c r="Z616">
        <f t="shared" si="29"/>
        <v>1</v>
      </c>
    </row>
    <row r="617" spans="1:26" ht="15.75" customHeight="1" x14ac:dyDescent="0.2">
      <c r="A617" s="2" t="s">
        <v>23</v>
      </c>
      <c r="B617" s="2" t="s">
        <v>24</v>
      </c>
      <c r="C617" s="2" t="s">
        <v>25</v>
      </c>
      <c r="D617" s="2" t="s">
        <v>25</v>
      </c>
      <c r="E617" s="2">
        <v>108</v>
      </c>
      <c r="F617" s="2">
        <v>176.33333329999999</v>
      </c>
      <c r="G617" s="2">
        <v>695</v>
      </c>
      <c r="H617" s="2">
        <v>1677</v>
      </c>
      <c r="I617" s="2">
        <v>2865</v>
      </c>
      <c r="J617" s="2">
        <v>1.68</v>
      </c>
      <c r="K617" s="2">
        <v>6.49</v>
      </c>
      <c r="L617" s="2">
        <v>11.83</v>
      </c>
      <c r="M617" s="2">
        <v>15.39</v>
      </c>
      <c r="N617" s="2">
        <v>0.681550867</v>
      </c>
      <c r="O617" s="2">
        <v>0.75577138300000002</v>
      </c>
      <c r="P617" s="2">
        <v>2.1337217979999998</v>
      </c>
      <c r="Q617" s="2">
        <v>2.018432062</v>
      </c>
      <c r="R617" s="2">
        <v>2.1048605610000002</v>
      </c>
      <c r="S617" s="2">
        <v>1.976191738</v>
      </c>
      <c r="T617" s="2">
        <v>0.34975810200000002</v>
      </c>
      <c r="U617" s="2">
        <v>0.410772688</v>
      </c>
      <c r="V617" s="2">
        <v>3.384463862</v>
      </c>
      <c r="W617" s="2">
        <v>5.5443938999999998E-2</v>
      </c>
      <c r="X617">
        <f t="shared" si="27"/>
        <v>1</v>
      </c>
      <c r="Y617">
        <f t="shared" si="28"/>
        <v>1</v>
      </c>
      <c r="Z617">
        <f t="shared" si="29"/>
        <v>0</v>
      </c>
    </row>
    <row r="618" spans="1:26" ht="15.75" customHeight="1" x14ac:dyDescent="0.2">
      <c r="A618" s="2" t="s">
        <v>23</v>
      </c>
      <c r="B618" s="2" t="s">
        <v>24</v>
      </c>
      <c r="C618" s="2" t="s">
        <v>27</v>
      </c>
      <c r="D618" s="2" t="s">
        <v>27</v>
      </c>
      <c r="E618" s="2">
        <v>83</v>
      </c>
      <c r="F618" s="2">
        <v>186.66666670000001</v>
      </c>
      <c r="G618" s="2">
        <v>351.33333329999999</v>
      </c>
      <c r="H618" s="2">
        <v>2538</v>
      </c>
      <c r="I618" s="2">
        <v>3080.333333</v>
      </c>
      <c r="J618" s="2">
        <v>1.8</v>
      </c>
      <c r="K618" s="2">
        <v>3.55</v>
      </c>
      <c r="L618" s="2">
        <v>14.6</v>
      </c>
      <c r="M618" s="2">
        <v>15.85</v>
      </c>
      <c r="N618" s="2">
        <v>0.451071428</v>
      </c>
      <c r="O618" s="2">
        <v>0.88995657500000003</v>
      </c>
      <c r="P618" s="2">
        <v>3.2261093879999998</v>
      </c>
      <c r="Q618" s="2">
        <v>3.3202206940000001</v>
      </c>
      <c r="R618" s="2">
        <v>0.83795597600000005</v>
      </c>
      <c r="S618" s="2">
        <v>0.96662479899999998</v>
      </c>
      <c r="T618" s="2">
        <v>3.115383053</v>
      </c>
      <c r="U618" s="2">
        <v>3.1763976380000001</v>
      </c>
      <c r="V618" s="2">
        <v>0.44164732499999998</v>
      </c>
      <c r="W618" s="2">
        <v>7.5856749000000001E-2</v>
      </c>
      <c r="X618">
        <f t="shared" si="27"/>
        <v>1</v>
      </c>
      <c r="Y618">
        <f t="shared" si="28"/>
        <v>1</v>
      </c>
      <c r="Z618">
        <f t="shared" si="29"/>
        <v>0</v>
      </c>
    </row>
    <row r="619" spans="1:26" ht="15.75" customHeight="1" x14ac:dyDescent="0.2">
      <c r="A619" s="2" t="s">
        <v>23</v>
      </c>
      <c r="B619" s="2" t="s">
        <v>24</v>
      </c>
      <c r="C619" s="2" t="s">
        <v>32</v>
      </c>
      <c r="D619" s="2" t="s">
        <v>33</v>
      </c>
      <c r="E619" s="2">
        <v>143</v>
      </c>
      <c r="F619" s="2">
        <v>188.33333329999999</v>
      </c>
      <c r="G619" s="2">
        <v>649</v>
      </c>
      <c r="H619" s="2">
        <v>1613</v>
      </c>
      <c r="I619" s="2">
        <v>2708.333333</v>
      </c>
      <c r="J619" s="2">
        <v>1.82</v>
      </c>
      <c r="K619" s="2">
        <v>6.14</v>
      </c>
      <c r="L619" s="2">
        <v>11.57</v>
      </c>
      <c r="M619" s="2">
        <v>15.02</v>
      </c>
      <c r="N619" s="2">
        <v>1.029183017</v>
      </c>
      <c r="O619" s="2">
        <v>1.0346341560000001</v>
      </c>
      <c r="P619" s="2">
        <v>1.758257937</v>
      </c>
      <c r="Q619" s="2">
        <v>1.6343162099999999</v>
      </c>
      <c r="R619" s="2">
        <v>1.7559034019999999</v>
      </c>
      <c r="S619" s="2">
        <v>1.627234579</v>
      </c>
      <c r="T619" s="2">
        <v>9.0962708000000003E-2</v>
      </c>
      <c r="U619" s="2">
        <v>0.15197729400000001</v>
      </c>
      <c r="V619" s="2">
        <v>3.0355067029999998</v>
      </c>
      <c r="W619" s="2">
        <v>5.3953556999999999E-2</v>
      </c>
      <c r="X619">
        <f t="shared" si="27"/>
        <v>1</v>
      </c>
      <c r="Y619">
        <f t="shared" si="28"/>
        <v>1</v>
      </c>
      <c r="Z619">
        <f t="shared" si="29"/>
        <v>1</v>
      </c>
    </row>
    <row r="620" spans="1:26" ht="15.75" customHeight="1" x14ac:dyDescent="0.2">
      <c r="A620" s="2" t="s">
        <v>23</v>
      </c>
      <c r="B620" s="2" t="s">
        <v>24</v>
      </c>
      <c r="C620" s="2" t="s">
        <v>28</v>
      </c>
      <c r="D620" s="2" t="s">
        <v>29</v>
      </c>
      <c r="E620" s="2">
        <v>120</v>
      </c>
      <c r="F620" s="2">
        <v>212.33333329999999</v>
      </c>
      <c r="G620" s="2">
        <v>355</v>
      </c>
      <c r="H620" s="2">
        <v>1701.333333</v>
      </c>
      <c r="I620" s="2">
        <v>2841.333333</v>
      </c>
      <c r="J620" s="2">
        <v>2.09</v>
      </c>
      <c r="K620" s="2">
        <v>3.58</v>
      </c>
      <c r="L620" s="2">
        <v>11.93</v>
      </c>
      <c r="M620" s="2">
        <v>15.34</v>
      </c>
      <c r="N620" s="2">
        <v>3.5645614000000001</v>
      </c>
      <c r="O620" s="2">
        <v>3.3792977959999999</v>
      </c>
      <c r="P620" s="2">
        <v>0.91751791500000002</v>
      </c>
      <c r="Q620" s="2">
        <v>1.0596635940000001</v>
      </c>
      <c r="R620" s="2">
        <v>0.80194700200000002</v>
      </c>
      <c r="S620" s="2">
        <v>0.93061582600000003</v>
      </c>
      <c r="T620" s="2">
        <v>0.44578036100000001</v>
      </c>
      <c r="U620" s="2">
        <v>0.50679494700000005</v>
      </c>
      <c r="V620" s="2">
        <v>0.47765629900000001</v>
      </c>
      <c r="W620" s="2">
        <v>3.6355638000000003E-2</v>
      </c>
      <c r="X620">
        <f t="shared" si="27"/>
        <v>1</v>
      </c>
      <c r="Y620">
        <f t="shared" si="28"/>
        <v>1</v>
      </c>
      <c r="Z620">
        <f t="shared" si="29"/>
        <v>1</v>
      </c>
    </row>
    <row r="621" spans="1:26" ht="15.75" customHeight="1" x14ac:dyDescent="0.2">
      <c r="A621" s="2" t="s">
        <v>23</v>
      </c>
      <c r="B621" s="2" t="s">
        <v>24</v>
      </c>
      <c r="C621" s="2" t="s">
        <v>27</v>
      </c>
      <c r="D621" s="2" t="s">
        <v>27</v>
      </c>
      <c r="E621" s="2">
        <v>105</v>
      </c>
      <c r="F621" s="2">
        <v>241.66666670000001</v>
      </c>
      <c r="G621" s="2">
        <v>433.33333329999999</v>
      </c>
      <c r="H621" s="2">
        <v>2434.333333</v>
      </c>
      <c r="I621" s="2">
        <v>3035</v>
      </c>
      <c r="J621" s="2">
        <v>2.41</v>
      </c>
      <c r="K621" s="2">
        <v>4.32</v>
      </c>
      <c r="L621" s="2">
        <v>14.32</v>
      </c>
      <c r="M621" s="2">
        <v>15.76</v>
      </c>
      <c r="N621" s="2">
        <v>0.43506967200000002</v>
      </c>
      <c r="O621" s="2">
        <v>0.50980148599999997</v>
      </c>
      <c r="P621" s="2">
        <v>2.8403961039999999</v>
      </c>
      <c r="Q621" s="2">
        <v>2.906863129</v>
      </c>
      <c r="R621" s="2">
        <v>5.9021429E-2</v>
      </c>
      <c r="S621" s="2">
        <v>0.187690252</v>
      </c>
      <c r="T621" s="2">
        <v>2.839782826</v>
      </c>
      <c r="U621" s="2">
        <v>2.9007974110000001</v>
      </c>
      <c r="V621" s="2">
        <v>1.2205818719999999</v>
      </c>
      <c r="W621" s="2">
        <v>3.8329739000000002E-2</v>
      </c>
      <c r="X621">
        <f t="shared" si="27"/>
        <v>1</v>
      </c>
      <c r="Y621">
        <f t="shared" si="28"/>
        <v>1</v>
      </c>
      <c r="Z621">
        <f t="shared" si="29"/>
        <v>0</v>
      </c>
    </row>
    <row r="622" spans="1:26" ht="15.75" customHeight="1" x14ac:dyDescent="0.2">
      <c r="A622" s="2" t="s">
        <v>23</v>
      </c>
      <c r="B622" s="2" t="s">
        <v>24</v>
      </c>
      <c r="C622" s="2" t="s">
        <v>26</v>
      </c>
      <c r="D622" s="2" t="s">
        <v>26</v>
      </c>
      <c r="E622" s="2">
        <v>125</v>
      </c>
      <c r="F622" s="2">
        <v>197</v>
      </c>
      <c r="G622" s="2">
        <v>361.33333329999999</v>
      </c>
      <c r="H622" s="2">
        <v>893.33333330000005</v>
      </c>
      <c r="I622" s="2">
        <v>2752.333333</v>
      </c>
      <c r="J622" s="2">
        <v>1.92</v>
      </c>
      <c r="K622" s="2">
        <v>3.64</v>
      </c>
      <c r="L622" s="2">
        <v>7.86</v>
      </c>
      <c r="M622" s="2">
        <v>15.13</v>
      </c>
      <c r="N622" s="2">
        <v>0.50069926600000003</v>
      </c>
      <c r="O622" s="2">
        <v>0.73041464199999995</v>
      </c>
      <c r="P622" s="2">
        <v>3.693292617</v>
      </c>
      <c r="Q622" s="2">
        <v>3.6619084389999998</v>
      </c>
      <c r="R622" s="2">
        <v>0.74001762299999996</v>
      </c>
      <c r="S622" s="2">
        <v>0.868686446</v>
      </c>
      <c r="T622" s="2">
        <v>3.6183952619999999</v>
      </c>
      <c r="U622" s="2">
        <v>3.5573806760000002</v>
      </c>
      <c r="V622" s="2">
        <v>0.53958567800000001</v>
      </c>
      <c r="W622" s="2">
        <v>6.5058711000000005E-2</v>
      </c>
      <c r="X622">
        <f t="shared" si="27"/>
        <v>1</v>
      </c>
      <c r="Y622">
        <f t="shared" si="28"/>
        <v>1</v>
      </c>
      <c r="Z622">
        <f t="shared" si="29"/>
        <v>0</v>
      </c>
    </row>
    <row r="623" spans="1:26" ht="15.75" customHeight="1" x14ac:dyDescent="0.2">
      <c r="A623" s="2" t="s">
        <v>23</v>
      </c>
      <c r="B623" s="2" t="s">
        <v>24</v>
      </c>
      <c r="C623" s="2" t="s">
        <v>27</v>
      </c>
      <c r="D623" s="2" t="s">
        <v>27</v>
      </c>
      <c r="E623" s="2">
        <v>135</v>
      </c>
      <c r="F623" s="2">
        <v>211.66666670000001</v>
      </c>
      <c r="G623" s="2">
        <v>415.33333329999999</v>
      </c>
      <c r="H623" s="2">
        <v>2394.333333</v>
      </c>
      <c r="I623" s="2">
        <v>3114.666667</v>
      </c>
      <c r="J623" s="2">
        <v>2.08</v>
      </c>
      <c r="K623" s="2">
        <v>4.16</v>
      </c>
      <c r="L623" s="2">
        <v>14.21</v>
      </c>
      <c r="M623" s="2">
        <v>15.93</v>
      </c>
      <c r="N623" s="2">
        <v>0.28433818900000002</v>
      </c>
      <c r="O623" s="2">
        <v>0.34377142700000002</v>
      </c>
      <c r="P623" s="2">
        <v>2.7392226989999999</v>
      </c>
      <c r="Q623" s="2">
        <v>2.8133174140000001</v>
      </c>
      <c r="R623" s="2">
        <v>0.22540009499999999</v>
      </c>
      <c r="S623" s="2">
        <v>0.35406891800000001</v>
      </c>
      <c r="T623" s="2">
        <v>2.7299332949999999</v>
      </c>
      <c r="U623" s="2">
        <v>2.79094788</v>
      </c>
      <c r="V623" s="2">
        <v>1.0542032059999999</v>
      </c>
      <c r="W623" s="2">
        <v>6.2696131000000002E-2</v>
      </c>
      <c r="X623">
        <f t="shared" si="27"/>
        <v>1</v>
      </c>
      <c r="Y623">
        <f t="shared" si="28"/>
        <v>1</v>
      </c>
      <c r="Z623">
        <f t="shared" si="29"/>
        <v>0</v>
      </c>
    </row>
    <row r="624" spans="1:26" ht="15.75" customHeight="1" x14ac:dyDescent="0.2">
      <c r="A624" s="2" t="s">
        <v>23</v>
      </c>
      <c r="B624" s="2" t="s">
        <v>24</v>
      </c>
      <c r="C624" s="2" t="s">
        <v>27</v>
      </c>
      <c r="D624" s="2" t="s">
        <v>27</v>
      </c>
      <c r="E624" s="2">
        <v>148</v>
      </c>
      <c r="F624" s="2">
        <v>226.33333329999999</v>
      </c>
      <c r="G624" s="2">
        <v>431.33333329999999</v>
      </c>
      <c r="H624" s="2">
        <v>2434.666667</v>
      </c>
      <c r="I624" s="2">
        <v>2983.333333</v>
      </c>
      <c r="J624" s="2">
        <v>2.25</v>
      </c>
      <c r="K624" s="2">
        <v>4.3099999999999996</v>
      </c>
      <c r="L624" s="2">
        <v>14.32</v>
      </c>
      <c r="M624" s="2">
        <v>15.65</v>
      </c>
      <c r="N624" s="2">
        <v>0.41675555600000003</v>
      </c>
      <c r="O624" s="2">
        <v>0.50173605899999996</v>
      </c>
      <c r="P624" s="2">
        <v>2.8417436679999999</v>
      </c>
      <c r="Q624" s="2">
        <v>2.9090112459999999</v>
      </c>
      <c r="R624" s="2">
        <v>7.7384257999999997E-2</v>
      </c>
      <c r="S624" s="2">
        <v>0.206053081</v>
      </c>
      <c r="T624" s="2">
        <v>2.8406898370000002</v>
      </c>
      <c r="U624" s="2">
        <v>2.901704423</v>
      </c>
      <c r="V624" s="2">
        <v>1.2022190429999999</v>
      </c>
      <c r="W624" s="2">
        <v>5.6705804999999998E-2</v>
      </c>
      <c r="X624">
        <f t="shared" si="27"/>
        <v>1</v>
      </c>
      <c r="Y624">
        <f t="shared" si="28"/>
        <v>1</v>
      </c>
      <c r="Z624">
        <f t="shared" si="29"/>
        <v>0</v>
      </c>
    </row>
    <row r="625" spans="1:26" ht="15.75" customHeight="1" x14ac:dyDescent="0.2">
      <c r="A625" s="2" t="s">
        <v>23</v>
      </c>
      <c r="B625" s="2" t="s">
        <v>24</v>
      </c>
      <c r="C625" s="2" t="s">
        <v>32</v>
      </c>
      <c r="D625" s="2" t="s">
        <v>33</v>
      </c>
      <c r="E625" s="2">
        <v>145</v>
      </c>
      <c r="F625" s="2">
        <v>231.33333329999999</v>
      </c>
      <c r="G625" s="2">
        <v>336.33333329999999</v>
      </c>
      <c r="H625" s="2">
        <v>823.66666669999995</v>
      </c>
      <c r="I625" s="2">
        <v>2279.333333</v>
      </c>
      <c r="J625" s="2">
        <v>2.2999999999999998</v>
      </c>
      <c r="K625" s="2">
        <v>3.4</v>
      </c>
      <c r="L625" s="2">
        <v>7.4</v>
      </c>
      <c r="M625" s="2">
        <v>13.88</v>
      </c>
      <c r="N625" s="2">
        <v>5.7201213539999998</v>
      </c>
      <c r="O625" s="2">
        <v>5.5784446450000003</v>
      </c>
      <c r="P625" s="2">
        <v>4.1968764060000003</v>
      </c>
      <c r="Q625" s="2">
        <v>4.1701451809999996</v>
      </c>
      <c r="R625" s="2">
        <v>0.98646287499999996</v>
      </c>
      <c r="S625" s="2">
        <v>1.115131699</v>
      </c>
      <c r="T625" s="2">
        <v>4.0792968219999999</v>
      </c>
      <c r="U625" s="2">
        <v>4.0182822360000001</v>
      </c>
      <c r="V625" s="2">
        <v>0.29314042600000001</v>
      </c>
      <c r="W625" s="2">
        <v>7.6671893000000005E-2</v>
      </c>
      <c r="X625">
        <f t="shared" si="27"/>
        <v>1</v>
      </c>
      <c r="Y625">
        <f t="shared" si="28"/>
        <v>1</v>
      </c>
      <c r="Z625">
        <f t="shared" si="29"/>
        <v>1</v>
      </c>
    </row>
    <row r="626" spans="1:26" ht="15.75" customHeight="1" x14ac:dyDescent="0.2">
      <c r="A626" s="2" t="s">
        <v>23</v>
      </c>
      <c r="B626" s="2" t="s">
        <v>24</v>
      </c>
      <c r="C626" s="2" t="s">
        <v>28</v>
      </c>
      <c r="D626" s="2" t="s">
        <v>29</v>
      </c>
      <c r="E626" s="2">
        <v>144</v>
      </c>
      <c r="F626" s="2">
        <v>221.33333329999999</v>
      </c>
      <c r="G626" s="2">
        <v>289.33333329999999</v>
      </c>
      <c r="H626" s="2">
        <v>899.33333330000005</v>
      </c>
      <c r="I626" s="2">
        <v>2221</v>
      </c>
      <c r="J626" s="2">
        <v>2.19</v>
      </c>
      <c r="K626" s="2">
        <v>2.92</v>
      </c>
      <c r="L626" s="2">
        <v>7.9</v>
      </c>
      <c r="M626" s="2">
        <v>13.71</v>
      </c>
      <c r="N626" s="2">
        <v>0.83303257799999997</v>
      </c>
      <c r="O626" s="2">
        <v>1.1508341790000001</v>
      </c>
      <c r="P626" s="2">
        <v>3.8677771330000001</v>
      </c>
      <c r="Q626" s="2">
        <v>3.8626472509999998</v>
      </c>
      <c r="R626" s="2">
        <v>1.464610491</v>
      </c>
      <c r="S626" s="2">
        <v>1.5932793139999999</v>
      </c>
      <c r="T626" s="2">
        <v>3.5797508379999998</v>
      </c>
      <c r="U626" s="2">
        <v>3.5187362520000001</v>
      </c>
      <c r="V626" s="2">
        <v>-0.18500718999999999</v>
      </c>
      <c r="W626" s="2">
        <v>7.4110598E-2</v>
      </c>
      <c r="X626">
        <f t="shared" si="27"/>
        <v>1</v>
      </c>
      <c r="Y626">
        <f t="shared" si="28"/>
        <v>1</v>
      </c>
      <c r="Z626">
        <f t="shared" si="29"/>
        <v>1</v>
      </c>
    </row>
    <row r="627" spans="1:26" ht="15.75" customHeight="1" x14ac:dyDescent="0.2">
      <c r="A627" s="2" t="s">
        <v>23</v>
      </c>
      <c r="B627" s="2" t="s">
        <v>24</v>
      </c>
      <c r="C627" s="2" t="s">
        <v>26</v>
      </c>
      <c r="D627" s="2" t="s">
        <v>26</v>
      </c>
      <c r="E627" s="2">
        <v>128</v>
      </c>
      <c r="F627" s="2">
        <v>189</v>
      </c>
      <c r="G627" s="2">
        <v>333.66666670000001</v>
      </c>
      <c r="H627" s="2">
        <v>1168.666667</v>
      </c>
      <c r="I627" s="2">
        <v>2526</v>
      </c>
      <c r="J627" s="2">
        <v>1.83</v>
      </c>
      <c r="K627" s="2">
        <v>3.37</v>
      </c>
      <c r="L627" s="2">
        <v>9.48</v>
      </c>
      <c r="M627" s="2">
        <v>14.57</v>
      </c>
      <c r="N627" s="2">
        <v>1.146814083</v>
      </c>
      <c r="O627" s="2">
        <v>1.0471821969999999</v>
      </c>
      <c r="P627" s="2">
        <v>2.2398957940000002</v>
      </c>
      <c r="Q627" s="2">
        <v>2.248184524</v>
      </c>
      <c r="R627" s="2">
        <v>1.013067454</v>
      </c>
      <c r="S627" s="2">
        <v>1.1417362769999999</v>
      </c>
      <c r="T627" s="2">
        <v>1.9977055589999999</v>
      </c>
      <c r="U627" s="2">
        <v>1.9366909729999999</v>
      </c>
      <c r="V627" s="2">
        <v>0.26653584699999999</v>
      </c>
      <c r="W627" s="2">
        <v>5.8947691000000003E-2</v>
      </c>
      <c r="X627">
        <f t="shared" si="27"/>
        <v>1</v>
      </c>
      <c r="Y627">
        <f t="shared" si="28"/>
        <v>1</v>
      </c>
      <c r="Z627">
        <f t="shared" si="29"/>
        <v>0</v>
      </c>
    </row>
    <row r="628" spans="1:26" ht="15.75" customHeight="1" x14ac:dyDescent="0.2">
      <c r="A628" s="2" t="s">
        <v>23</v>
      </c>
      <c r="B628" s="2" t="s">
        <v>24</v>
      </c>
      <c r="C628" s="2" t="s">
        <v>30</v>
      </c>
      <c r="D628" s="2" t="s">
        <v>31</v>
      </c>
      <c r="E628" s="2">
        <v>157</v>
      </c>
      <c r="F628" s="2">
        <v>225.66666670000001</v>
      </c>
      <c r="G628" s="2">
        <v>355.66666670000001</v>
      </c>
      <c r="H628" s="2">
        <v>1258</v>
      </c>
      <c r="I628" s="2">
        <v>2107.666667</v>
      </c>
      <c r="J628" s="2">
        <v>2.2400000000000002</v>
      </c>
      <c r="K628" s="2">
        <v>3.59</v>
      </c>
      <c r="L628" s="2">
        <v>9.9499999999999993</v>
      </c>
      <c r="M628" s="2">
        <v>13.36</v>
      </c>
      <c r="N628" s="2">
        <v>4.3656851049999998</v>
      </c>
      <c r="O628" s="2">
        <v>3.9583619200000002</v>
      </c>
      <c r="P628" s="2">
        <v>1.7256967480000001</v>
      </c>
      <c r="Q628" s="2">
        <v>1.7366966479999999</v>
      </c>
      <c r="R628" s="2">
        <v>0.79541216800000003</v>
      </c>
      <c r="S628" s="2">
        <v>0.92408099099999996</v>
      </c>
      <c r="T628" s="2">
        <v>1.5314531490000001</v>
      </c>
      <c r="U628" s="2">
        <v>1.4704385630000001</v>
      </c>
      <c r="V628" s="2">
        <v>0.484191133</v>
      </c>
      <c r="W628" s="2">
        <v>4.771011E-2</v>
      </c>
      <c r="X628">
        <f t="shared" si="27"/>
        <v>1</v>
      </c>
      <c r="Y628">
        <f t="shared" si="28"/>
        <v>1</v>
      </c>
      <c r="Z628">
        <f t="shared" si="29"/>
        <v>1</v>
      </c>
    </row>
    <row r="629" spans="1:26" ht="15.75" customHeight="1" x14ac:dyDescent="0.2">
      <c r="A629" s="2" t="s">
        <v>23</v>
      </c>
      <c r="B629" s="2" t="s">
        <v>24</v>
      </c>
      <c r="C629" s="2" t="s">
        <v>27</v>
      </c>
      <c r="D629" s="2" t="s">
        <v>27</v>
      </c>
      <c r="E629" s="2">
        <v>84</v>
      </c>
      <c r="F629" s="2">
        <v>214.66666670000001</v>
      </c>
      <c r="G629" s="2">
        <v>392.33333329999999</v>
      </c>
      <c r="H629" s="2">
        <v>2437.333333</v>
      </c>
      <c r="I629" s="2">
        <v>3116.333333</v>
      </c>
      <c r="J629" s="2">
        <v>2.12</v>
      </c>
      <c r="K629" s="2">
        <v>3.94</v>
      </c>
      <c r="L629" s="2">
        <v>14.33</v>
      </c>
      <c r="M629" s="2">
        <v>15.93</v>
      </c>
      <c r="N629" s="2">
        <v>5.7418229000000001E-2</v>
      </c>
      <c r="O629" s="2">
        <v>0.46886419299999998</v>
      </c>
      <c r="P629" s="2">
        <v>2.8819901319999999</v>
      </c>
      <c r="Q629" s="2">
        <v>2.9643453929999999</v>
      </c>
      <c r="R629" s="2">
        <v>0.44170048200000001</v>
      </c>
      <c r="S629" s="2">
        <v>0.57036930500000005</v>
      </c>
      <c r="T629" s="2">
        <v>2.8479409769999999</v>
      </c>
      <c r="U629" s="2">
        <v>2.9089555630000001</v>
      </c>
      <c r="V629" s="2">
        <v>0.83790281899999997</v>
      </c>
      <c r="W629" s="2">
        <v>4.0489150000000002E-2</v>
      </c>
      <c r="X629">
        <f t="shared" si="27"/>
        <v>1</v>
      </c>
      <c r="Y629">
        <f t="shared" si="28"/>
        <v>1</v>
      </c>
      <c r="Z629">
        <f t="shared" si="29"/>
        <v>0</v>
      </c>
    </row>
    <row r="630" spans="1:26" ht="15.75" customHeight="1" x14ac:dyDescent="0.2">
      <c r="A630" s="2" t="s">
        <v>23</v>
      </c>
      <c r="B630" s="2" t="s">
        <v>24</v>
      </c>
      <c r="C630" s="2" t="s">
        <v>30</v>
      </c>
      <c r="D630" s="2" t="s">
        <v>31</v>
      </c>
      <c r="E630" s="2">
        <v>124</v>
      </c>
      <c r="F630" s="2">
        <v>213</v>
      </c>
      <c r="G630" s="2">
        <v>438.33333329999999</v>
      </c>
      <c r="H630" s="2">
        <v>1251</v>
      </c>
      <c r="I630" s="2">
        <v>2261</v>
      </c>
      <c r="J630" s="2">
        <v>2.1</v>
      </c>
      <c r="K630" s="2">
        <v>4.37</v>
      </c>
      <c r="L630" s="2">
        <v>9.92</v>
      </c>
      <c r="M630" s="2">
        <v>13.83</v>
      </c>
      <c r="N630" s="2">
        <v>4.4170697939999997</v>
      </c>
      <c r="O630" s="2">
        <v>3.9756167769999999</v>
      </c>
      <c r="P630" s="2">
        <v>1.567107067</v>
      </c>
      <c r="Q630" s="2">
        <v>1.5127082869999999</v>
      </c>
      <c r="R630" s="2">
        <v>1.3248347000000001E-2</v>
      </c>
      <c r="S630" s="2">
        <v>0.14191717000000001</v>
      </c>
      <c r="T630" s="2">
        <v>1.567051065</v>
      </c>
      <c r="U630" s="2">
        <v>1.5060364799999999</v>
      </c>
      <c r="V630" s="2">
        <v>1.2663549540000001</v>
      </c>
      <c r="W630" s="2">
        <v>5.7915663999999999E-2</v>
      </c>
      <c r="X630">
        <f t="shared" si="27"/>
        <v>1</v>
      </c>
      <c r="Y630">
        <f t="shared" si="28"/>
        <v>1</v>
      </c>
      <c r="Z630">
        <f t="shared" si="29"/>
        <v>1</v>
      </c>
    </row>
    <row r="631" spans="1:26" ht="15.75" customHeight="1" x14ac:dyDescent="0.2">
      <c r="A631" s="2" t="s">
        <v>23</v>
      </c>
      <c r="B631" s="2" t="s">
        <v>24</v>
      </c>
      <c r="C631" s="2" t="s">
        <v>26</v>
      </c>
      <c r="D631" s="2" t="s">
        <v>26</v>
      </c>
      <c r="E631" s="2">
        <v>121</v>
      </c>
      <c r="F631" s="2">
        <v>225.66666670000001</v>
      </c>
      <c r="G631" s="2">
        <v>350.66666670000001</v>
      </c>
      <c r="H631" s="2">
        <v>902.33333330000005</v>
      </c>
      <c r="I631" s="2">
        <v>2475</v>
      </c>
      <c r="J631" s="2">
        <v>2.2400000000000002</v>
      </c>
      <c r="K631" s="2">
        <v>3.54</v>
      </c>
      <c r="L631" s="2">
        <v>7.92</v>
      </c>
      <c r="M631" s="2">
        <v>14.43</v>
      </c>
      <c r="N631" s="2">
        <v>0.44794539100000003</v>
      </c>
      <c r="O631" s="2">
        <v>0.71623629300000002</v>
      </c>
      <c r="P631" s="2">
        <v>3.6592746260000002</v>
      </c>
      <c r="Q631" s="2">
        <v>3.6322735659999998</v>
      </c>
      <c r="R631" s="2">
        <v>0.84451533999999995</v>
      </c>
      <c r="S631" s="2">
        <v>0.97318416299999999</v>
      </c>
      <c r="T631" s="2">
        <v>3.560489381</v>
      </c>
      <c r="U631" s="2">
        <v>3.4994747949999998</v>
      </c>
      <c r="V631" s="2">
        <v>0.43508796100000002</v>
      </c>
      <c r="W631" s="2">
        <v>7.2716041999999995E-2</v>
      </c>
      <c r="X631">
        <f t="shared" si="27"/>
        <v>1</v>
      </c>
      <c r="Y631">
        <f t="shared" si="28"/>
        <v>1</v>
      </c>
      <c r="Z631">
        <f t="shared" si="29"/>
        <v>0</v>
      </c>
    </row>
    <row r="632" spans="1:26" ht="15.75" customHeight="1" x14ac:dyDescent="0.2">
      <c r="A632" s="2" t="s">
        <v>23</v>
      </c>
      <c r="B632" s="2" t="s">
        <v>24</v>
      </c>
      <c r="C632" s="2" t="s">
        <v>26</v>
      </c>
      <c r="D632" s="2" t="s">
        <v>26</v>
      </c>
      <c r="E632" s="2">
        <v>106</v>
      </c>
      <c r="F632" s="2">
        <v>232.66666670000001</v>
      </c>
      <c r="G632" s="2">
        <v>369</v>
      </c>
      <c r="H632" s="2">
        <v>970.66666669999995</v>
      </c>
      <c r="I632" s="2">
        <v>2815.666667</v>
      </c>
      <c r="J632" s="2">
        <v>2.31</v>
      </c>
      <c r="K632" s="2">
        <v>3.72</v>
      </c>
      <c r="L632" s="2">
        <v>8.35</v>
      </c>
      <c r="M632" s="2">
        <v>15.28</v>
      </c>
      <c r="N632" s="2">
        <v>0.106232347</v>
      </c>
      <c r="O632" s="2">
        <v>0.255784713</v>
      </c>
      <c r="P632" s="2">
        <v>3.2023493420000002</v>
      </c>
      <c r="Q632" s="2">
        <v>3.172432787</v>
      </c>
      <c r="R632" s="2">
        <v>0.66550111899999997</v>
      </c>
      <c r="S632" s="2">
        <v>0.79416994200000002</v>
      </c>
      <c r="T632" s="2">
        <v>3.1324350860000001</v>
      </c>
      <c r="U632" s="2">
        <v>3.0714204999999999</v>
      </c>
      <c r="V632" s="2">
        <v>0.614102182</v>
      </c>
      <c r="W632" s="2">
        <v>4.8618621000000001E-2</v>
      </c>
      <c r="X632">
        <f t="shared" si="27"/>
        <v>1</v>
      </c>
      <c r="Y632">
        <f t="shared" si="28"/>
        <v>1</v>
      </c>
      <c r="Z632">
        <f t="shared" si="29"/>
        <v>0</v>
      </c>
    </row>
    <row r="633" spans="1:26" ht="15.75" customHeight="1" x14ac:dyDescent="0.2">
      <c r="A633" s="2" t="s">
        <v>23</v>
      </c>
      <c r="B633" s="2" t="s">
        <v>24</v>
      </c>
      <c r="C633" s="2" t="s">
        <v>26</v>
      </c>
      <c r="D633" s="2" t="s">
        <v>26</v>
      </c>
      <c r="E633" s="2">
        <v>81</v>
      </c>
      <c r="F633" s="2">
        <v>188.66666670000001</v>
      </c>
      <c r="G633" s="2">
        <v>345.33333329999999</v>
      </c>
      <c r="H633" s="2">
        <v>753.33333330000005</v>
      </c>
      <c r="I633" s="2">
        <v>2952.666667</v>
      </c>
      <c r="J633" s="2">
        <v>1.82</v>
      </c>
      <c r="K633" s="2">
        <v>3.49</v>
      </c>
      <c r="L633" s="2">
        <v>6.91</v>
      </c>
      <c r="M633" s="2">
        <v>15.58</v>
      </c>
      <c r="N633" s="2">
        <v>1.4554620119999999</v>
      </c>
      <c r="O633" s="2">
        <v>1.689380702</v>
      </c>
      <c r="P633" s="2">
        <v>4.6558676769999998</v>
      </c>
      <c r="Q633" s="2">
        <v>4.6228500029999999</v>
      </c>
      <c r="R633" s="2">
        <v>0.89712682799999999</v>
      </c>
      <c r="S633" s="2">
        <v>1.0257956509999999</v>
      </c>
      <c r="T633" s="2">
        <v>4.5686176549999997</v>
      </c>
      <c r="U633" s="2">
        <v>4.507603069</v>
      </c>
      <c r="V633" s="2">
        <v>0.38247647299999998</v>
      </c>
      <c r="W633" s="2">
        <v>6.4795058000000003E-2</v>
      </c>
      <c r="X633">
        <f t="shared" si="27"/>
        <v>1</v>
      </c>
      <c r="Y633">
        <f t="shared" si="28"/>
        <v>1</v>
      </c>
      <c r="Z633">
        <f t="shared" si="29"/>
        <v>0</v>
      </c>
    </row>
    <row r="634" spans="1:26" ht="15.75" customHeight="1" x14ac:dyDescent="0.2">
      <c r="A634" s="2" t="s">
        <v>23</v>
      </c>
      <c r="B634" s="2" t="s">
        <v>24</v>
      </c>
      <c r="C634" s="2" t="s">
        <v>25</v>
      </c>
      <c r="D634" s="2" t="s">
        <v>25</v>
      </c>
      <c r="E634" s="2">
        <v>253</v>
      </c>
      <c r="F634" s="2">
        <v>193.33333329999999</v>
      </c>
      <c r="G634" s="2">
        <v>710.33333330000005</v>
      </c>
      <c r="H634" s="2">
        <v>1665.333333</v>
      </c>
      <c r="I634" s="2">
        <v>3063.666667</v>
      </c>
      <c r="J634" s="2">
        <v>1.88</v>
      </c>
      <c r="K634" s="2">
        <v>6.6</v>
      </c>
      <c r="L634" s="2">
        <v>11.79</v>
      </c>
      <c r="M634" s="2">
        <v>15.82</v>
      </c>
      <c r="N634" s="2">
        <v>0.56207132699999995</v>
      </c>
      <c r="O634" s="2">
        <v>0.63317726799999996</v>
      </c>
      <c r="P634" s="2">
        <v>2.2391395429999998</v>
      </c>
      <c r="Q634" s="2">
        <v>2.1213499570000001</v>
      </c>
      <c r="R634" s="2">
        <v>2.2185079499999998</v>
      </c>
      <c r="S634" s="2">
        <v>2.0898391269999999</v>
      </c>
      <c r="T634" s="2">
        <v>0.30326286899999999</v>
      </c>
      <c r="U634" s="2">
        <v>0.36427745499999997</v>
      </c>
      <c r="V634" s="2">
        <v>3.4981112510000001</v>
      </c>
      <c r="W634" s="2">
        <v>5.2764608999999997E-2</v>
      </c>
      <c r="X634">
        <f t="shared" si="27"/>
        <v>1</v>
      </c>
      <c r="Y634">
        <f t="shared" si="28"/>
        <v>1</v>
      </c>
      <c r="Z634">
        <f t="shared" si="29"/>
        <v>0</v>
      </c>
    </row>
    <row r="635" spans="1:26" ht="15.75" customHeight="1" x14ac:dyDescent="0.2">
      <c r="A635" s="2" t="s">
        <v>23</v>
      </c>
      <c r="B635" s="2" t="s">
        <v>24</v>
      </c>
      <c r="C635" s="2" t="s">
        <v>25</v>
      </c>
      <c r="D635" s="2" t="s">
        <v>25</v>
      </c>
      <c r="E635" s="2">
        <v>149</v>
      </c>
      <c r="F635" s="2">
        <v>187.66666670000001</v>
      </c>
      <c r="G635" s="2">
        <v>773.66666669999995</v>
      </c>
      <c r="H635" s="2">
        <v>1598.333333</v>
      </c>
      <c r="I635" s="2">
        <v>2986.333333</v>
      </c>
      <c r="J635" s="2">
        <v>1.81</v>
      </c>
      <c r="K635" s="2">
        <v>7.06</v>
      </c>
      <c r="L635" s="2">
        <v>11.51</v>
      </c>
      <c r="M635" s="2">
        <v>15.66</v>
      </c>
      <c r="N635" s="2">
        <v>0.22344593200000001</v>
      </c>
      <c r="O635" s="2">
        <v>0.114221727</v>
      </c>
      <c r="P635" s="2">
        <v>2.6745849239999999</v>
      </c>
      <c r="Q635" s="2">
        <v>2.547382727</v>
      </c>
      <c r="R635" s="2">
        <v>2.6744127839999998</v>
      </c>
      <c r="S635" s="2">
        <v>2.5457439609999999</v>
      </c>
      <c r="T635" s="2">
        <v>3.0344281000000001E-2</v>
      </c>
      <c r="U635" s="2">
        <v>9.1358866999999996E-2</v>
      </c>
      <c r="V635" s="2">
        <v>3.9540160850000001</v>
      </c>
      <c r="W635" s="2">
        <v>3.5960833999999997E-2</v>
      </c>
      <c r="X635">
        <f t="shared" si="27"/>
        <v>1</v>
      </c>
      <c r="Y635">
        <f t="shared" si="28"/>
        <v>1</v>
      </c>
      <c r="Z635">
        <f t="shared" si="29"/>
        <v>0</v>
      </c>
    </row>
    <row r="636" spans="1:26" ht="15.75" customHeight="1" x14ac:dyDescent="0.2">
      <c r="A636" s="2" t="s">
        <v>23</v>
      </c>
      <c r="B636" s="2" t="s">
        <v>24</v>
      </c>
      <c r="C636" s="2" t="s">
        <v>25</v>
      </c>
      <c r="D636" s="2" t="s">
        <v>25</v>
      </c>
      <c r="E636" s="2">
        <v>175</v>
      </c>
      <c r="F636" s="2">
        <v>221.66666670000001</v>
      </c>
      <c r="G636" s="2">
        <v>767.33333330000005</v>
      </c>
      <c r="H636" s="2">
        <v>1700.333333</v>
      </c>
      <c r="I636" s="2">
        <v>3044.666667</v>
      </c>
      <c r="J636" s="2">
        <v>2.19</v>
      </c>
      <c r="K636" s="2">
        <v>7.01</v>
      </c>
      <c r="L636" s="2">
        <v>11.92</v>
      </c>
      <c r="M636" s="2">
        <v>15.78</v>
      </c>
      <c r="N636" s="2">
        <v>0.25766992399999999</v>
      </c>
      <c r="O636" s="2">
        <v>0.44351591400000001</v>
      </c>
      <c r="P636" s="2">
        <v>2.6666377539999999</v>
      </c>
      <c r="Q636" s="2">
        <v>2.5511595310000001</v>
      </c>
      <c r="R636" s="2">
        <v>2.6297751210000002</v>
      </c>
      <c r="S636" s="2">
        <v>2.5011062970000002</v>
      </c>
      <c r="T636" s="2">
        <v>0.44185939600000002</v>
      </c>
      <c r="U636" s="2">
        <v>0.502873982</v>
      </c>
      <c r="V636" s="2">
        <v>3.9093784220000001</v>
      </c>
      <c r="W636" s="2">
        <v>5.7496780999999997E-2</v>
      </c>
      <c r="X636">
        <f t="shared" si="27"/>
        <v>1</v>
      </c>
      <c r="Y636">
        <f t="shared" si="28"/>
        <v>1</v>
      </c>
      <c r="Z636">
        <f t="shared" si="29"/>
        <v>0</v>
      </c>
    </row>
    <row r="637" spans="1:26" ht="15.75" customHeight="1" x14ac:dyDescent="0.2">
      <c r="A637" s="2" t="s">
        <v>23</v>
      </c>
      <c r="B637" s="2" t="s">
        <v>24</v>
      </c>
      <c r="C637" s="2" t="s">
        <v>28</v>
      </c>
      <c r="D637" s="2" t="s">
        <v>29</v>
      </c>
      <c r="E637" s="2">
        <v>110</v>
      </c>
      <c r="F637" s="2">
        <v>214.33333329999999</v>
      </c>
      <c r="G637" s="2">
        <v>334</v>
      </c>
      <c r="H637" s="2">
        <v>1337.333333</v>
      </c>
      <c r="I637" s="2">
        <v>2658</v>
      </c>
      <c r="J637" s="2">
        <v>2.11</v>
      </c>
      <c r="K637" s="2">
        <v>3.37</v>
      </c>
      <c r="L637" s="2">
        <v>10.34</v>
      </c>
      <c r="M637" s="2">
        <v>14.9</v>
      </c>
      <c r="N637" s="2">
        <v>1.994432199</v>
      </c>
      <c r="O637" s="2">
        <v>1.849112796</v>
      </c>
      <c r="P637" s="2">
        <v>1.521815074</v>
      </c>
      <c r="Q637" s="2">
        <v>1.5675152729999999</v>
      </c>
      <c r="R637" s="2">
        <v>1.009738499</v>
      </c>
      <c r="S637" s="2">
        <v>1.1384073219999999</v>
      </c>
      <c r="T637" s="2">
        <v>1.138573354</v>
      </c>
      <c r="U637" s="2">
        <v>1.0775587680000001</v>
      </c>
      <c r="V637" s="2">
        <v>0.26986480200000001</v>
      </c>
      <c r="W637" s="2">
        <v>4.4308245000000003E-2</v>
      </c>
      <c r="X637">
        <f t="shared" si="27"/>
        <v>1</v>
      </c>
      <c r="Y637">
        <f t="shared" si="28"/>
        <v>1</v>
      </c>
      <c r="Z637">
        <f t="shared" si="29"/>
        <v>1</v>
      </c>
    </row>
    <row r="638" spans="1:26" ht="15.75" customHeight="1" x14ac:dyDescent="0.2">
      <c r="A638" s="2" t="s">
        <v>23</v>
      </c>
      <c r="B638" s="2" t="s">
        <v>24</v>
      </c>
      <c r="C638" s="2" t="s">
        <v>30</v>
      </c>
      <c r="D638" s="2" t="s">
        <v>31</v>
      </c>
      <c r="E638" s="2">
        <v>148</v>
      </c>
      <c r="F638" s="2">
        <v>228.66666670000001</v>
      </c>
      <c r="G638" s="2">
        <v>348</v>
      </c>
      <c r="H638" s="2">
        <v>1191.666667</v>
      </c>
      <c r="I638" s="2">
        <v>2074.333333</v>
      </c>
      <c r="J638" s="2">
        <v>2.27</v>
      </c>
      <c r="K638" s="2">
        <v>3.51</v>
      </c>
      <c r="L638" s="2">
        <v>9.61</v>
      </c>
      <c r="M638" s="2">
        <v>13.25</v>
      </c>
      <c r="N638" s="2">
        <v>4.7140357179999999</v>
      </c>
      <c r="O638" s="2">
        <v>4.3088016209999997</v>
      </c>
      <c r="P638" s="2">
        <v>2.0674653580000002</v>
      </c>
      <c r="Q638" s="2">
        <v>2.0712212189999999</v>
      </c>
      <c r="R638" s="2">
        <v>0.87079068999999998</v>
      </c>
      <c r="S638" s="2">
        <v>0.99945951300000002</v>
      </c>
      <c r="T638" s="2">
        <v>1.875136417</v>
      </c>
      <c r="U638" s="2">
        <v>1.814121831</v>
      </c>
      <c r="V638" s="2">
        <v>0.40881261099999999</v>
      </c>
      <c r="W638" s="2">
        <v>5.6115703000000003E-2</v>
      </c>
      <c r="X638">
        <f t="shared" si="27"/>
        <v>1</v>
      </c>
      <c r="Y638">
        <f t="shared" si="28"/>
        <v>1</v>
      </c>
      <c r="Z638">
        <f t="shared" si="29"/>
        <v>1</v>
      </c>
    </row>
    <row r="639" spans="1:26" ht="15.75" customHeight="1" x14ac:dyDescent="0.2">
      <c r="A639" s="2" t="s">
        <v>23</v>
      </c>
      <c r="B639" s="2" t="s">
        <v>24</v>
      </c>
      <c r="C639" s="2" t="s">
        <v>32</v>
      </c>
      <c r="D639" s="2" t="s">
        <v>33</v>
      </c>
      <c r="E639" s="2">
        <v>177</v>
      </c>
      <c r="F639" s="2">
        <v>209.33333329999999</v>
      </c>
      <c r="G639" s="2">
        <v>633</v>
      </c>
      <c r="H639" s="2">
        <v>1739</v>
      </c>
      <c r="I639" s="2">
        <v>3270.666667</v>
      </c>
      <c r="J639" s="2">
        <v>2.06</v>
      </c>
      <c r="K639" s="2">
        <v>6.01</v>
      </c>
      <c r="L639" s="2">
        <v>12.07</v>
      </c>
      <c r="M639" s="2">
        <v>16.23</v>
      </c>
      <c r="N639" s="2">
        <v>1.2001250020000001</v>
      </c>
      <c r="O639" s="2">
        <v>1.2872018590000001</v>
      </c>
      <c r="P639" s="2">
        <v>1.7356774479999999</v>
      </c>
      <c r="Q639" s="2">
        <v>1.6386605569999999</v>
      </c>
      <c r="R639" s="2">
        <v>1.6316248250000001</v>
      </c>
      <c r="S639" s="2">
        <v>1.5029560019999999</v>
      </c>
      <c r="T639" s="2">
        <v>0.59192620699999998</v>
      </c>
      <c r="U639" s="2">
        <v>0.65294079199999999</v>
      </c>
      <c r="V639" s="2">
        <v>2.9112281260000001</v>
      </c>
      <c r="W639" s="2">
        <v>7.1372751999999998E-2</v>
      </c>
      <c r="X639">
        <f t="shared" si="27"/>
        <v>1</v>
      </c>
      <c r="Y639">
        <f t="shared" si="28"/>
        <v>1</v>
      </c>
      <c r="Z639">
        <f t="shared" si="29"/>
        <v>1</v>
      </c>
    </row>
    <row r="640" spans="1:26" ht="15.75" customHeight="1" x14ac:dyDescent="0.2">
      <c r="A640" s="2" t="s">
        <v>23</v>
      </c>
      <c r="B640" s="2" t="s">
        <v>24</v>
      </c>
      <c r="C640" s="2" t="s">
        <v>26</v>
      </c>
      <c r="D640" s="2" t="s">
        <v>26</v>
      </c>
      <c r="E640" s="2">
        <v>112</v>
      </c>
      <c r="F640" s="2">
        <v>231.33333329999999</v>
      </c>
      <c r="G640" s="2">
        <v>362</v>
      </c>
      <c r="H640" s="2">
        <v>991</v>
      </c>
      <c r="I640" s="2">
        <v>2659.333333</v>
      </c>
      <c r="J640" s="2">
        <v>2.2999999999999998</v>
      </c>
      <c r="K640" s="2">
        <v>3.65</v>
      </c>
      <c r="L640" s="2">
        <v>8.4700000000000006</v>
      </c>
      <c r="M640" s="2">
        <v>14.9</v>
      </c>
      <c r="N640" s="2">
        <v>0.115925587</v>
      </c>
      <c r="O640" s="2">
        <v>0.230211795</v>
      </c>
      <c r="P640" s="2">
        <v>3.0970094700000002</v>
      </c>
      <c r="Q640" s="2">
        <v>3.0713735780000002</v>
      </c>
      <c r="R640" s="2">
        <v>0.73351839299999999</v>
      </c>
      <c r="S640" s="2">
        <v>0.86218721600000003</v>
      </c>
      <c r="T640" s="2">
        <v>3.0088898990000001</v>
      </c>
      <c r="U640" s="2">
        <v>2.9478753129999999</v>
      </c>
      <c r="V640" s="2">
        <v>0.54608490799999998</v>
      </c>
      <c r="W640" s="2">
        <v>4.8937925E-2</v>
      </c>
      <c r="X640">
        <f t="shared" si="27"/>
        <v>1</v>
      </c>
      <c r="Y640">
        <f t="shared" si="28"/>
        <v>1</v>
      </c>
      <c r="Z640">
        <f t="shared" si="29"/>
        <v>0</v>
      </c>
    </row>
    <row r="641" spans="1:26" ht="15.75" customHeight="1" x14ac:dyDescent="0.2">
      <c r="A641" s="2" t="s">
        <v>23</v>
      </c>
      <c r="B641" s="2" t="s">
        <v>24</v>
      </c>
      <c r="C641" s="2" t="s">
        <v>32</v>
      </c>
      <c r="D641" s="2" t="s">
        <v>33</v>
      </c>
      <c r="E641" s="2">
        <v>177</v>
      </c>
      <c r="F641" s="2">
        <v>224</v>
      </c>
      <c r="G641" s="2">
        <v>433.66666670000001</v>
      </c>
      <c r="H641" s="2">
        <v>1273</v>
      </c>
      <c r="I641" s="2">
        <v>2824</v>
      </c>
      <c r="J641" s="2">
        <v>2.2200000000000002</v>
      </c>
      <c r="K641" s="2">
        <v>4.33</v>
      </c>
      <c r="L641" s="2">
        <v>10.029999999999999</v>
      </c>
      <c r="M641" s="2">
        <v>15.3</v>
      </c>
      <c r="N641" s="2">
        <v>3.2951956679999999</v>
      </c>
      <c r="O641" s="2">
        <v>3.2081453999999998</v>
      </c>
      <c r="P641" s="2">
        <v>1.4567663479999999</v>
      </c>
      <c r="Q641" s="2">
        <v>1.4068445199999999</v>
      </c>
      <c r="R641" s="2">
        <v>5.5963941000000003E-2</v>
      </c>
      <c r="S641" s="2">
        <v>0.184632764</v>
      </c>
      <c r="T641" s="2">
        <v>1.45569098</v>
      </c>
      <c r="U641" s="2">
        <v>1.394676394</v>
      </c>
      <c r="V641" s="2">
        <v>1.22363936</v>
      </c>
      <c r="W641" s="2">
        <v>6.2051971999999997E-2</v>
      </c>
      <c r="X641">
        <f t="shared" si="27"/>
        <v>1</v>
      </c>
      <c r="Y641">
        <f t="shared" si="28"/>
        <v>1</v>
      </c>
      <c r="Z641">
        <f t="shared" si="29"/>
        <v>1</v>
      </c>
    </row>
    <row r="642" spans="1:26" ht="15.75" customHeight="1" x14ac:dyDescent="0.2">
      <c r="A642" s="2" t="s">
        <v>23</v>
      </c>
      <c r="B642" s="2" t="s">
        <v>24</v>
      </c>
      <c r="C642" s="2" t="s">
        <v>28</v>
      </c>
      <c r="D642" s="2" t="s">
        <v>29</v>
      </c>
      <c r="E642" s="2">
        <v>137</v>
      </c>
      <c r="F642" s="2">
        <v>228.66666670000001</v>
      </c>
      <c r="G642" s="2">
        <v>330</v>
      </c>
      <c r="H642" s="2">
        <v>1093.666667</v>
      </c>
      <c r="I642" s="2">
        <v>2245.666667</v>
      </c>
      <c r="J642" s="2">
        <v>2.27</v>
      </c>
      <c r="K642" s="2">
        <v>3.33</v>
      </c>
      <c r="L642" s="2">
        <v>9.07</v>
      </c>
      <c r="M642" s="2">
        <v>13.79</v>
      </c>
      <c r="N642" s="2">
        <v>0.76135934900000002</v>
      </c>
      <c r="O642" s="2">
        <v>0.73611963999999996</v>
      </c>
      <c r="P642" s="2">
        <v>2.6288986639999998</v>
      </c>
      <c r="Q642" s="2">
        <v>2.6281952639999999</v>
      </c>
      <c r="R642" s="2">
        <v>1.0497499210000001</v>
      </c>
      <c r="S642" s="2">
        <v>1.178418744</v>
      </c>
      <c r="T642" s="2">
        <v>2.4102143659999999</v>
      </c>
      <c r="U642" s="2">
        <v>2.3491997800000002</v>
      </c>
      <c r="V642" s="2">
        <v>0.22985338</v>
      </c>
      <c r="W642" s="2">
        <v>4.2052643000000001E-2</v>
      </c>
      <c r="X642">
        <f t="shared" si="27"/>
        <v>1</v>
      </c>
      <c r="Y642">
        <f t="shared" si="28"/>
        <v>1</v>
      </c>
      <c r="Z642">
        <f t="shared" si="29"/>
        <v>1</v>
      </c>
    </row>
    <row r="643" spans="1:26" ht="15.75" customHeight="1" x14ac:dyDescent="0.2">
      <c r="A643" s="2" t="s">
        <v>23</v>
      </c>
      <c r="B643" s="2" t="s">
        <v>24</v>
      </c>
      <c r="C643" s="2" t="s">
        <v>32</v>
      </c>
      <c r="D643" s="2" t="s">
        <v>33</v>
      </c>
      <c r="E643" s="2">
        <v>127</v>
      </c>
      <c r="F643" s="2">
        <v>206.33333329999999</v>
      </c>
      <c r="G643" s="2">
        <v>568.33333330000005</v>
      </c>
      <c r="H643" s="2">
        <v>1718</v>
      </c>
      <c r="I643" s="2">
        <v>3314.333333</v>
      </c>
      <c r="J643" s="2">
        <v>2.02</v>
      </c>
      <c r="K643" s="2">
        <v>5.5</v>
      </c>
      <c r="L643" s="2">
        <v>11.99</v>
      </c>
      <c r="M643" s="2">
        <v>16.32</v>
      </c>
      <c r="N643" s="2">
        <v>1.6860457529999999</v>
      </c>
      <c r="O643" s="2">
        <v>1.743550943</v>
      </c>
      <c r="P643" s="2">
        <v>1.224901778</v>
      </c>
      <c r="Q643" s="2">
        <v>1.138640224</v>
      </c>
      <c r="R643" s="2">
        <v>1.1133065600000001</v>
      </c>
      <c r="S643" s="2">
        <v>0.98463773700000001</v>
      </c>
      <c r="T643" s="2">
        <v>0.51081588499999997</v>
      </c>
      <c r="U643" s="2">
        <v>0.57183047099999995</v>
      </c>
      <c r="V643" s="2">
        <v>2.3929098610000001</v>
      </c>
      <c r="W643" s="2">
        <v>5.9062902E-2</v>
      </c>
      <c r="X643">
        <f t="shared" ref="X643:X706" si="30">IF(B643="normal",1,0)</f>
        <v>1</v>
      </c>
      <c r="Y643">
        <f t="shared" ref="Y643:Y706" si="31">IF(A643="lecture",1,0)</f>
        <v>1</v>
      </c>
      <c r="Z643">
        <f t="shared" ref="Z643:Z706" si="32">IF(ISNUMBER(FIND("~",D643)),1,0)</f>
        <v>1</v>
      </c>
    </row>
    <row r="644" spans="1:26" ht="15.75" customHeight="1" x14ac:dyDescent="0.2">
      <c r="A644" s="2" t="s">
        <v>23</v>
      </c>
      <c r="B644" s="2" t="s">
        <v>24</v>
      </c>
      <c r="C644" s="2" t="s">
        <v>25</v>
      </c>
      <c r="D644" s="2" t="s">
        <v>25</v>
      </c>
      <c r="E644" s="2">
        <v>207</v>
      </c>
      <c r="F644" s="2">
        <v>217.33333329999999</v>
      </c>
      <c r="G644" s="2">
        <v>793</v>
      </c>
      <c r="H644" s="2">
        <v>1874</v>
      </c>
      <c r="I644" s="2">
        <v>3062.333333</v>
      </c>
      <c r="J644" s="2">
        <v>2.15</v>
      </c>
      <c r="K644" s="2">
        <v>7.19</v>
      </c>
      <c r="L644" s="2">
        <v>12.57</v>
      </c>
      <c r="M644" s="2">
        <v>15.82</v>
      </c>
      <c r="N644" s="2">
        <v>0.86328577100000004</v>
      </c>
      <c r="O644" s="2">
        <v>1.064578196</v>
      </c>
      <c r="P644" s="2">
        <v>3.0142181410000002</v>
      </c>
      <c r="Q644" s="2">
        <v>2.9182350869999998</v>
      </c>
      <c r="R644" s="2">
        <v>2.8094047290000002</v>
      </c>
      <c r="S644" s="2">
        <v>2.6807359059999998</v>
      </c>
      <c r="T644" s="2">
        <v>1.092133724</v>
      </c>
      <c r="U644" s="2">
        <v>1.1531483090000001</v>
      </c>
      <c r="V644" s="2">
        <v>4.0890080299999996</v>
      </c>
      <c r="W644" s="2">
        <v>6.2774571000000001E-2</v>
      </c>
      <c r="X644">
        <f t="shared" si="30"/>
        <v>1</v>
      </c>
      <c r="Y644">
        <f t="shared" si="31"/>
        <v>1</v>
      </c>
      <c r="Z644">
        <f t="shared" si="32"/>
        <v>0</v>
      </c>
    </row>
    <row r="645" spans="1:26" ht="15.75" customHeight="1" x14ac:dyDescent="0.2">
      <c r="A645" s="2" t="s">
        <v>23</v>
      </c>
      <c r="B645" s="2" t="s">
        <v>24</v>
      </c>
      <c r="C645" s="2" t="s">
        <v>27</v>
      </c>
      <c r="D645" s="2" t="s">
        <v>27</v>
      </c>
      <c r="E645" s="2">
        <v>124</v>
      </c>
      <c r="F645" s="2">
        <v>223.33333329999999</v>
      </c>
      <c r="G645" s="2">
        <v>469</v>
      </c>
      <c r="H645" s="2">
        <v>2356.333333</v>
      </c>
      <c r="I645" s="2">
        <v>2984</v>
      </c>
      <c r="J645" s="2">
        <v>2.21</v>
      </c>
      <c r="K645" s="2">
        <v>4.6500000000000004</v>
      </c>
      <c r="L645" s="2">
        <v>14.11</v>
      </c>
      <c r="M645" s="2">
        <v>15.65</v>
      </c>
      <c r="N645" s="2">
        <v>0.783165365</v>
      </c>
      <c r="O645" s="2">
        <v>0.61851647499999995</v>
      </c>
      <c r="P645" s="2">
        <v>2.6368761109999999</v>
      </c>
      <c r="Q645" s="2">
        <v>2.6880821400000001</v>
      </c>
      <c r="R645" s="2">
        <v>0.26337090299999999</v>
      </c>
      <c r="S645" s="2">
        <v>0.13470208</v>
      </c>
      <c r="T645" s="2">
        <v>2.623690415</v>
      </c>
      <c r="U645" s="2">
        <v>2.6847050010000002</v>
      </c>
      <c r="V645" s="2">
        <v>1.5429742040000001</v>
      </c>
      <c r="W645" s="2">
        <v>3.9692848000000003E-2</v>
      </c>
      <c r="X645">
        <f t="shared" si="30"/>
        <v>1</v>
      </c>
      <c r="Y645">
        <f t="shared" si="31"/>
        <v>1</v>
      </c>
      <c r="Z645">
        <f t="shared" si="32"/>
        <v>0</v>
      </c>
    </row>
    <row r="646" spans="1:26" ht="15.75" customHeight="1" x14ac:dyDescent="0.2">
      <c r="A646" s="2" t="s">
        <v>23</v>
      </c>
      <c r="B646" s="2" t="s">
        <v>24</v>
      </c>
      <c r="C646" s="2" t="s">
        <v>30</v>
      </c>
      <c r="D646" s="2" t="s">
        <v>31</v>
      </c>
      <c r="E646" s="2">
        <v>108</v>
      </c>
      <c r="F646" s="2">
        <v>209.33333329999999</v>
      </c>
      <c r="G646" s="2">
        <v>604.33333330000005</v>
      </c>
      <c r="H646" s="2">
        <v>1621</v>
      </c>
      <c r="I646" s="2">
        <v>3026</v>
      </c>
      <c r="J646" s="2">
        <v>2.06</v>
      </c>
      <c r="K646" s="2">
        <v>5.79</v>
      </c>
      <c r="L646" s="2">
        <v>11.61</v>
      </c>
      <c r="M646" s="2">
        <v>15.74</v>
      </c>
      <c r="N646" s="2">
        <v>3.3008549619999998</v>
      </c>
      <c r="O646" s="2">
        <v>2.8491932339999999</v>
      </c>
      <c r="P646" s="2">
        <v>1.410525526</v>
      </c>
      <c r="Q646" s="2">
        <v>1.289724774</v>
      </c>
      <c r="R646" s="2">
        <v>1.4050805529999999</v>
      </c>
      <c r="S646" s="2">
        <v>1.2764117290000001</v>
      </c>
      <c r="T646" s="2">
        <v>0.123818016</v>
      </c>
      <c r="U646" s="2">
        <v>0.18483260100000001</v>
      </c>
      <c r="V646" s="2">
        <v>2.6846838540000002</v>
      </c>
      <c r="W646" s="2">
        <v>5.2811748999999998E-2</v>
      </c>
      <c r="X646">
        <f t="shared" si="30"/>
        <v>1</v>
      </c>
      <c r="Y646">
        <f t="shared" si="31"/>
        <v>1</v>
      </c>
      <c r="Z646">
        <f t="shared" si="32"/>
        <v>1</v>
      </c>
    </row>
    <row r="647" spans="1:26" ht="15.75" customHeight="1" x14ac:dyDescent="0.2">
      <c r="A647" s="2" t="s">
        <v>23</v>
      </c>
      <c r="B647" s="2" t="s">
        <v>24</v>
      </c>
      <c r="C647" s="2" t="s">
        <v>25</v>
      </c>
      <c r="D647" s="2" t="s">
        <v>25</v>
      </c>
      <c r="E647" s="2">
        <v>152</v>
      </c>
      <c r="F647" s="2">
        <v>223.33333329999999</v>
      </c>
      <c r="G647" s="2">
        <v>920</v>
      </c>
      <c r="H647" s="2">
        <v>1736.333333</v>
      </c>
      <c r="I647" s="2">
        <v>3066</v>
      </c>
      <c r="J647" s="2">
        <v>2.21</v>
      </c>
      <c r="K647" s="2">
        <v>8.0299999999999994</v>
      </c>
      <c r="L647" s="2">
        <v>12.06</v>
      </c>
      <c r="M647" s="2">
        <v>15.82</v>
      </c>
      <c r="N647" s="2">
        <v>0.94357171500000003</v>
      </c>
      <c r="O647" s="2">
        <v>1.0250528649999999</v>
      </c>
      <c r="P647" s="2">
        <v>3.6971506249999999</v>
      </c>
      <c r="Q647" s="2">
        <v>3.580588755</v>
      </c>
      <c r="R647" s="2">
        <v>3.6511058529999998</v>
      </c>
      <c r="S647" s="2">
        <v>3.5224370299999999</v>
      </c>
      <c r="T647" s="2">
        <v>0.58167756800000003</v>
      </c>
      <c r="U647" s="2">
        <v>0.64269215400000002</v>
      </c>
      <c r="V647" s="2">
        <v>4.9307091539999996</v>
      </c>
      <c r="W647" s="2">
        <v>6.8921472999999997E-2</v>
      </c>
      <c r="X647">
        <f t="shared" si="30"/>
        <v>1</v>
      </c>
      <c r="Y647">
        <f t="shared" si="31"/>
        <v>1</v>
      </c>
      <c r="Z647">
        <f t="shared" si="32"/>
        <v>0</v>
      </c>
    </row>
    <row r="648" spans="1:26" ht="15.75" customHeight="1" x14ac:dyDescent="0.2">
      <c r="A648" s="2" t="s">
        <v>23</v>
      </c>
      <c r="B648" s="2" t="s">
        <v>24</v>
      </c>
      <c r="C648" s="2" t="s">
        <v>30</v>
      </c>
      <c r="D648" s="2" t="s">
        <v>31</v>
      </c>
      <c r="E648" s="2">
        <v>140</v>
      </c>
      <c r="F648" s="2">
        <v>203</v>
      </c>
      <c r="G648" s="2">
        <v>428.33333329999999</v>
      </c>
      <c r="H648" s="2">
        <v>1192.666667</v>
      </c>
      <c r="I648" s="2">
        <v>2550.666667</v>
      </c>
      <c r="J648" s="2">
        <v>1.99</v>
      </c>
      <c r="K648" s="2">
        <v>4.28</v>
      </c>
      <c r="L648" s="2">
        <v>9.61</v>
      </c>
      <c r="M648" s="2">
        <v>14.63</v>
      </c>
      <c r="N648" s="2">
        <v>4.7097250600000002</v>
      </c>
      <c r="O648" s="2">
        <v>4.2721851099999997</v>
      </c>
      <c r="P648" s="2">
        <v>1.872792896</v>
      </c>
      <c r="Q648" s="2">
        <v>1.823861996</v>
      </c>
      <c r="R648" s="2">
        <v>0.10498616400000001</v>
      </c>
      <c r="S648" s="2">
        <v>0.23365498700000001</v>
      </c>
      <c r="T648" s="2">
        <v>1.8698478919999999</v>
      </c>
      <c r="U648" s="2">
        <v>1.8088333059999999</v>
      </c>
      <c r="V648" s="2">
        <v>1.174617137</v>
      </c>
      <c r="W648" s="2">
        <v>6.6031387999999996E-2</v>
      </c>
      <c r="X648">
        <f t="shared" si="30"/>
        <v>1</v>
      </c>
      <c r="Y648">
        <f t="shared" si="31"/>
        <v>1</v>
      </c>
      <c r="Z648">
        <f t="shared" si="32"/>
        <v>1</v>
      </c>
    </row>
    <row r="649" spans="1:26" ht="15.75" customHeight="1" x14ac:dyDescent="0.2">
      <c r="A649" s="2" t="s">
        <v>23</v>
      </c>
      <c r="B649" s="2" t="s">
        <v>24</v>
      </c>
      <c r="C649" s="2" t="s">
        <v>25</v>
      </c>
      <c r="D649" s="2" t="s">
        <v>25</v>
      </c>
      <c r="E649" s="2">
        <v>103</v>
      </c>
      <c r="F649" s="2">
        <v>260.33333329999999</v>
      </c>
      <c r="G649" s="2">
        <v>845.66666669999995</v>
      </c>
      <c r="H649" s="2">
        <v>1506.666667</v>
      </c>
      <c r="I649" s="2">
        <v>2725</v>
      </c>
      <c r="J649" s="2">
        <v>2.61</v>
      </c>
      <c r="K649" s="2">
        <v>7.55</v>
      </c>
      <c r="L649" s="2">
        <v>11.12</v>
      </c>
      <c r="M649" s="2">
        <v>15.06</v>
      </c>
      <c r="N649" s="2">
        <v>0.40449687400000001</v>
      </c>
      <c r="O649" s="2">
        <v>0.28206715700000001</v>
      </c>
      <c r="P649" s="2">
        <v>2.7105124329999999</v>
      </c>
      <c r="Q649" s="2">
        <v>2.7625391700000002</v>
      </c>
      <c r="R649" s="2">
        <v>2.7093018569999998</v>
      </c>
      <c r="S649" s="2">
        <v>2.7585589939999999</v>
      </c>
      <c r="T649" s="2">
        <v>8.1000622999999994E-2</v>
      </c>
      <c r="U649" s="2">
        <v>0.14823947900000001</v>
      </c>
      <c r="V649" s="2">
        <v>4.3204416549999998</v>
      </c>
      <c r="W649" s="2">
        <v>0.11232534700000001</v>
      </c>
      <c r="X649">
        <f t="shared" si="30"/>
        <v>1</v>
      </c>
      <c r="Y649">
        <f t="shared" si="31"/>
        <v>1</v>
      </c>
      <c r="Z649">
        <f t="shared" si="32"/>
        <v>0</v>
      </c>
    </row>
    <row r="650" spans="1:26" ht="15.75" customHeight="1" x14ac:dyDescent="0.2">
      <c r="A650" s="2" t="s">
        <v>23</v>
      </c>
      <c r="B650" s="2" t="s">
        <v>24</v>
      </c>
      <c r="C650" s="2" t="s">
        <v>26</v>
      </c>
      <c r="D650" s="2" t="s">
        <v>26</v>
      </c>
      <c r="E650" s="2">
        <v>116</v>
      </c>
      <c r="F650" s="2">
        <v>238</v>
      </c>
      <c r="G650" s="2">
        <v>419</v>
      </c>
      <c r="H650" s="2">
        <v>982.33333330000005</v>
      </c>
      <c r="I650" s="2">
        <v>2892.666667</v>
      </c>
      <c r="J650" s="2">
        <v>2.37</v>
      </c>
      <c r="K650" s="2">
        <v>4.1900000000000004</v>
      </c>
      <c r="L650" s="2">
        <v>8.42</v>
      </c>
      <c r="M650" s="2">
        <v>15.45</v>
      </c>
      <c r="N650" s="2">
        <v>0.44867079900000001</v>
      </c>
      <c r="O650" s="2">
        <v>0.13755446800000001</v>
      </c>
      <c r="P650" s="2">
        <v>2.8570521420000001</v>
      </c>
      <c r="Q650" s="2">
        <v>2.912015212</v>
      </c>
      <c r="R650" s="2">
        <v>0.64970651099999999</v>
      </c>
      <c r="S650" s="2">
        <v>0.60044937399999998</v>
      </c>
      <c r="T650" s="2">
        <v>2.7821984820000001</v>
      </c>
      <c r="U650" s="2">
        <v>2.849437338</v>
      </c>
      <c r="V650" s="2">
        <v>0.96143328699999997</v>
      </c>
      <c r="W650" s="2">
        <v>0.13741037</v>
      </c>
      <c r="X650">
        <f t="shared" si="30"/>
        <v>1</v>
      </c>
      <c r="Y650">
        <f t="shared" si="31"/>
        <v>1</v>
      </c>
      <c r="Z650">
        <f t="shared" si="32"/>
        <v>0</v>
      </c>
    </row>
    <row r="651" spans="1:26" ht="15.75" customHeight="1" x14ac:dyDescent="0.2">
      <c r="A651" s="2" t="s">
        <v>23</v>
      </c>
      <c r="B651" s="2" t="s">
        <v>24</v>
      </c>
      <c r="C651" s="2" t="s">
        <v>27</v>
      </c>
      <c r="D651" s="2" t="s">
        <v>27</v>
      </c>
      <c r="E651" s="2">
        <v>171</v>
      </c>
      <c r="F651" s="2">
        <v>142</v>
      </c>
      <c r="G651" s="2">
        <v>502</v>
      </c>
      <c r="H651" s="2">
        <v>2209</v>
      </c>
      <c r="I651" s="2">
        <v>3227</v>
      </c>
      <c r="J651" s="2">
        <v>1.28</v>
      </c>
      <c r="K651" s="2">
        <v>4.9400000000000004</v>
      </c>
      <c r="L651" s="2">
        <v>13.68</v>
      </c>
      <c r="M651" s="2">
        <v>16.149999999999999</v>
      </c>
      <c r="N651" s="2">
        <v>0.60540239699999998</v>
      </c>
      <c r="O651" s="2">
        <v>0.66525560100000003</v>
      </c>
      <c r="P651" s="2">
        <v>2.4744172799999999</v>
      </c>
      <c r="Q651" s="2">
        <v>2.409674646</v>
      </c>
      <c r="R651" s="2">
        <v>9.4937133000000007E-2</v>
      </c>
      <c r="S651" s="2">
        <v>0.14419427000000001</v>
      </c>
      <c r="T651" s="2">
        <v>2.4725953600000001</v>
      </c>
      <c r="U651" s="2">
        <v>2.4053565039999998</v>
      </c>
      <c r="V651" s="2">
        <v>1.7060769309999999</v>
      </c>
      <c r="W651" s="2">
        <v>8.4314776999999994E-2</v>
      </c>
      <c r="X651">
        <f t="shared" si="30"/>
        <v>1</v>
      </c>
      <c r="Y651">
        <f t="shared" si="31"/>
        <v>1</v>
      </c>
      <c r="Z651">
        <f t="shared" si="32"/>
        <v>0</v>
      </c>
    </row>
    <row r="652" spans="1:26" ht="15.75" customHeight="1" x14ac:dyDescent="0.2">
      <c r="A652" s="2" t="s">
        <v>23</v>
      </c>
      <c r="B652" s="2" t="s">
        <v>24</v>
      </c>
      <c r="C652" s="2" t="s">
        <v>28</v>
      </c>
      <c r="D652" s="2" t="s">
        <v>29</v>
      </c>
      <c r="E652" s="2">
        <v>116</v>
      </c>
      <c r="F652" s="2">
        <v>242</v>
      </c>
      <c r="G652" s="2">
        <v>474.33333329999999</v>
      </c>
      <c r="H652" s="2">
        <v>1571.666667</v>
      </c>
      <c r="I652" s="2">
        <v>2708.333333</v>
      </c>
      <c r="J652" s="2">
        <v>2.42</v>
      </c>
      <c r="K652" s="2">
        <v>4.6900000000000004</v>
      </c>
      <c r="L652" s="2">
        <v>11.4</v>
      </c>
      <c r="M652" s="2">
        <v>15.02</v>
      </c>
      <c r="N652" s="2">
        <v>2.6548249519999998</v>
      </c>
      <c r="O652" s="2">
        <v>2.9400849240000002</v>
      </c>
      <c r="P652" s="2">
        <v>0.24696638900000001</v>
      </c>
      <c r="Q652" s="2">
        <v>0.163620289</v>
      </c>
      <c r="R652" s="2">
        <v>0.147635403</v>
      </c>
      <c r="S652" s="2">
        <v>9.8378266000000006E-2</v>
      </c>
      <c r="T652" s="2">
        <v>0.19798026399999999</v>
      </c>
      <c r="U652" s="2">
        <v>0.130741408</v>
      </c>
      <c r="V652" s="2">
        <v>1.463504395</v>
      </c>
      <c r="W652" s="2">
        <v>5.2598611000000003E-2</v>
      </c>
      <c r="X652">
        <f t="shared" si="30"/>
        <v>1</v>
      </c>
      <c r="Y652">
        <f t="shared" si="31"/>
        <v>1</v>
      </c>
      <c r="Z652">
        <f t="shared" si="32"/>
        <v>1</v>
      </c>
    </row>
    <row r="653" spans="1:26" ht="15.75" customHeight="1" x14ac:dyDescent="0.2">
      <c r="A653" s="2" t="s">
        <v>23</v>
      </c>
      <c r="B653" s="2" t="s">
        <v>24</v>
      </c>
      <c r="C653" s="2" t="s">
        <v>30</v>
      </c>
      <c r="D653" s="2" t="s">
        <v>31</v>
      </c>
      <c r="E653" s="2">
        <v>159</v>
      </c>
      <c r="F653" s="2">
        <v>232.66666670000001</v>
      </c>
      <c r="G653" s="2">
        <v>550</v>
      </c>
      <c r="H653" s="2">
        <v>1200.666667</v>
      </c>
      <c r="I653" s="2">
        <v>1953.333333</v>
      </c>
      <c r="J653" s="2">
        <v>2.31</v>
      </c>
      <c r="K653" s="2">
        <v>5.34</v>
      </c>
      <c r="L653" s="2">
        <v>9.65</v>
      </c>
      <c r="M653" s="2">
        <v>12.85</v>
      </c>
      <c r="N653" s="2">
        <v>3.5323398199999998</v>
      </c>
      <c r="O653" s="2">
        <v>3.7829885480000001</v>
      </c>
      <c r="P653" s="2">
        <v>1.628195149</v>
      </c>
      <c r="Q653" s="2">
        <v>1.707562732</v>
      </c>
      <c r="R653" s="2">
        <v>0.50309892899999997</v>
      </c>
      <c r="S653" s="2">
        <v>0.55235606699999995</v>
      </c>
      <c r="T653" s="2">
        <v>1.548518941</v>
      </c>
      <c r="U653" s="2">
        <v>1.6157577970000001</v>
      </c>
      <c r="V653" s="2">
        <v>2.1142387280000001</v>
      </c>
      <c r="W653" s="2">
        <v>0.13847324</v>
      </c>
      <c r="X653">
        <f t="shared" si="30"/>
        <v>1</v>
      </c>
      <c r="Y653">
        <f t="shared" si="31"/>
        <v>1</v>
      </c>
      <c r="Z653">
        <f t="shared" si="32"/>
        <v>1</v>
      </c>
    </row>
    <row r="654" spans="1:26" ht="15.75" customHeight="1" x14ac:dyDescent="0.2">
      <c r="A654" s="2" t="s">
        <v>23</v>
      </c>
      <c r="B654" s="2" t="s">
        <v>24</v>
      </c>
      <c r="C654" s="2" t="s">
        <v>26</v>
      </c>
      <c r="D654" s="2" t="s">
        <v>26</v>
      </c>
      <c r="E654" s="2">
        <v>154</v>
      </c>
      <c r="F654" s="2">
        <v>250.33333329999999</v>
      </c>
      <c r="G654" s="2">
        <v>490.66666670000001</v>
      </c>
      <c r="H654" s="2">
        <v>882.66666669999995</v>
      </c>
      <c r="I654" s="2">
        <v>2937</v>
      </c>
      <c r="J654" s="2">
        <v>2.5099999999999998</v>
      </c>
      <c r="K654" s="2">
        <v>4.84</v>
      </c>
      <c r="L654" s="2">
        <v>7.79</v>
      </c>
      <c r="M654" s="2">
        <v>15.55</v>
      </c>
      <c r="N654" s="2">
        <v>1.019405997</v>
      </c>
      <c r="O654" s="2">
        <v>0.86760561300000005</v>
      </c>
      <c r="P654" s="2">
        <v>3.4083601159999999</v>
      </c>
      <c r="Q654" s="2">
        <v>3.475894566</v>
      </c>
      <c r="R654" s="2">
        <v>3.7676630000000001E-3</v>
      </c>
      <c r="S654" s="2">
        <v>4.5489474000000002E-2</v>
      </c>
      <c r="T654" s="2">
        <v>3.4083580339999999</v>
      </c>
      <c r="U654" s="2">
        <v>3.4755968899999998</v>
      </c>
      <c r="V654" s="2">
        <v>1.6073721350000001</v>
      </c>
      <c r="W654" s="2">
        <v>0.147604768</v>
      </c>
      <c r="X654">
        <f t="shared" si="30"/>
        <v>1</v>
      </c>
      <c r="Y654">
        <f t="shared" si="31"/>
        <v>1</v>
      </c>
      <c r="Z654">
        <f t="shared" si="32"/>
        <v>0</v>
      </c>
    </row>
    <row r="655" spans="1:26" ht="15.75" customHeight="1" x14ac:dyDescent="0.2">
      <c r="A655" s="2" t="s">
        <v>23</v>
      </c>
      <c r="B655" s="2" t="s">
        <v>24</v>
      </c>
      <c r="C655" s="2" t="s">
        <v>28</v>
      </c>
      <c r="D655" s="2" t="s">
        <v>29</v>
      </c>
      <c r="E655" s="2">
        <v>118</v>
      </c>
      <c r="F655" s="2">
        <v>232.66666670000001</v>
      </c>
      <c r="G655" s="2">
        <v>338</v>
      </c>
      <c r="H655" s="2">
        <v>1123</v>
      </c>
      <c r="I655" s="2">
        <v>2832</v>
      </c>
      <c r="J655" s="2">
        <v>2.31</v>
      </c>
      <c r="K655" s="2">
        <v>3.41</v>
      </c>
      <c r="L655" s="2">
        <v>9.24</v>
      </c>
      <c r="M655" s="2">
        <v>15.31</v>
      </c>
      <c r="N655" s="2">
        <v>1.1819329119999999</v>
      </c>
      <c r="O655" s="2">
        <v>1.1714349900000001</v>
      </c>
      <c r="P655" s="2">
        <v>2.4311323900000001</v>
      </c>
      <c r="Q655" s="2">
        <v>2.4578875930000001</v>
      </c>
      <c r="R655" s="2">
        <v>1.428268933</v>
      </c>
      <c r="S655" s="2">
        <v>1.379011795</v>
      </c>
      <c r="T655" s="2">
        <v>1.967346577</v>
      </c>
      <c r="U655" s="2">
        <v>2.0345854339999998</v>
      </c>
      <c r="V655" s="2">
        <v>0.18287086599999999</v>
      </c>
      <c r="W655" s="2">
        <v>0.116115941</v>
      </c>
      <c r="X655">
        <f t="shared" si="30"/>
        <v>1</v>
      </c>
      <c r="Y655">
        <f t="shared" si="31"/>
        <v>1</v>
      </c>
      <c r="Z655">
        <f t="shared" si="32"/>
        <v>1</v>
      </c>
    </row>
    <row r="656" spans="1:26" ht="15.75" customHeight="1" x14ac:dyDescent="0.2">
      <c r="A656" s="2" t="s">
        <v>23</v>
      </c>
      <c r="B656" s="2" t="s">
        <v>24</v>
      </c>
      <c r="C656" s="2" t="s">
        <v>32</v>
      </c>
      <c r="D656" s="2" t="s">
        <v>33</v>
      </c>
      <c r="E656" s="2">
        <v>93</v>
      </c>
      <c r="F656" s="2">
        <v>255</v>
      </c>
      <c r="G656" s="2">
        <v>558.66666669999995</v>
      </c>
      <c r="H656" s="2">
        <v>1034</v>
      </c>
      <c r="I656" s="2">
        <v>2771.666667</v>
      </c>
      <c r="J656" s="2">
        <v>2.56</v>
      </c>
      <c r="K656" s="2">
        <v>5.42</v>
      </c>
      <c r="L656" s="2">
        <v>8.73</v>
      </c>
      <c r="M656" s="2">
        <v>15.17</v>
      </c>
      <c r="N656" s="2">
        <v>3.1983098110000001</v>
      </c>
      <c r="O656" s="2">
        <v>3.402695639</v>
      </c>
      <c r="P656" s="2">
        <v>2.5399795909999998</v>
      </c>
      <c r="Q656" s="2">
        <v>2.6168304729999998</v>
      </c>
      <c r="R656" s="2">
        <v>0.575136749</v>
      </c>
      <c r="S656" s="2">
        <v>0.62439388699999998</v>
      </c>
      <c r="T656" s="2">
        <v>2.4740076879999999</v>
      </c>
      <c r="U656" s="2">
        <v>2.5412465449999999</v>
      </c>
      <c r="V656" s="2">
        <v>2.1862765479999999</v>
      </c>
      <c r="W656" s="2">
        <v>6.3664094000000004E-2</v>
      </c>
      <c r="X656">
        <f t="shared" si="30"/>
        <v>1</v>
      </c>
      <c r="Y656">
        <f t="shared" si="31"/>
        <v>1</v>
      </c>
      <c r="Z656">
        <f t="shared" si="32"/>
        <v>1</v>
      </c>
    </row>
    <row r="657" spans="1:26" ht="15.75" customHeight="1" x14ac:dyDescent="0.2">
      <c r="A657" s="2" t="s">
        <v>23</v>
      </c>
      <c r="B657" s="2" t="s">
        <v>24</v>
      </c>
      <c r="C657" s="2" t="s">
        <v>32</v>
      </c>
      <c r="D657" s="2" t="s">
        <v>33</v>
      </c>
      <c r="E657" s="2">
        <v>117</v>
      </c>
      <c r="F657" s="2">
        <v>221</v>
      </c>
      <c r="G657" s="2">
        <v>606.66666669999995</v>
      </c>
      <c r="H657" s="2">
        <v>843.33333330000005</v>
      </c>
      <c r="I657" s="2">
        <v>2444.666667</v>
      </c>
      <c r="J657" s="2">
        <v>2.19</v>
      </c>
      <c r="K657" s="2">
        <v>5.81</v>
      </c>
      <c r="L657" s="2">
        <v>7.54</v>
      </c>
      <c r="M657" s="2">
        <v>14.35</v>
      </c>
      <c r="N657" s="2">
        <v>4.0849734690000004</v>
      </c>
      <c r="O657" s="2">
        <v>4.2303584120000002</v>
      </c>
      <c r="P657" s="2">
        <v>3.7926265940000001</v>
      </c>
      <c r="Q657" s="2">
        <v>3.870308444</v>
      </c>
      <c r="R657" s="2">
        <v>0.96530682499999998</v>
      </c>
      <c r="S657" s="2">
        <v>1.014563962</v>
      </c>
      <c r="T657" s="2">
        <v>3.6677239830000001</v>
      </c>
      <c r="U657" s="2">
        <v>3.7349628400000001</v>
      </c>
      <c r="V657" s="2">
        <v>2.5764466229999998</v>
      </c>
      <c r="W657" s="2">
        <v>0.15392956799999999</v>
      </c>
      <c r="X657">
        <f t="shared" si="30"/>
        <v>1</v>
      </c>
      <c r="Y657">
        <f t="shared" si="31"/>
        <v>1</v>
      </c>
      <c r="Z657">
        <f t="shared" si="32"/>
        <v>1</v>
      </c>
    </row>
    <row r="658" spans="1:26" ht="15.75" customHeight="1" x14ac:dyDescent="0.2">
      <c r="A658" s="2" t="s">
        <v>23</v>
      </c>
      <c r="B658" s="2" t="s">
        <v>24</v>
      </c>
      <c r="C658" s="2" t="s">
        <v>25</v>
      </c>
      <c r="D658" s="2" t="s">
        <v>25</v>
      </c>
      <c r="E658" s="2">
        <v>135</v>
      </c>
      <c r="F658" s="2">
        <v>247</v>
      </c>
      <c r="G658" s="2">
        <v>828.33333330000005</v>
      </c>
      <c r="H658" s="2">
        <v>1369.666667</v>
      </c>
      <c r="I658" s="2">
        <v>2186.666667</v>
      </c>
      <c r="J658" s="2">
        <v>2.4700000000000002</v>
      </c>
      <c r="K658" s="2">
        <v>7.43</v>
      </c>
      <c r="L658" s="2">
        <v>10.5</v>
      </c>
      <c r="M658" s="2">
        <v>13.61</v>
      </c>
      <c r="N658" s="2">
        <v>0.89120996699999999</v>
      </c>
      <c r="O658" s="2">
        <v>0.90840826699999999</v>
      </c>
      <c r="P658" s="2">
        <v>2.6869260609999999</v>
      </c>
      <c r="Q658" s="2">
        <v>2.7525838340000002</v>
      </c>
      <c r="R658" s="2">
        <v>2.5928747219999999</v>
      </c>
      <c r="S658" s="2">
        <v>2.642131859</v>
      </c>
      <c r="T658" s="2">
        <v>0.704678888</v>
      </c>
      <c r="U658" s="2">
        <v>0.77191774499999999</v>
      </c>
      <c r="V658" s="2">
        <v>4.2040145200000003</v>
      </c>
      <c r="W658" s="2">
        <v>8.2815103000000001E-2</v>
      </c>
      <c r="X658">
        <f t="shared" si="30"/>
        <v>1</v>
      </c>
      <c r="Y658">
        <f t="shared" si="31"/>
        <v>1</v>
      </c>
      <c r="Z658">
        <f t="shared" si="32"/>
        <v>0</v>
      </c>
    </row>
    <row r="659" spans="1:26" ht="15.75" customHeight="1" x14ac:dyDescent="0.2">
      <c r="A659" s="2" t="s">
        <v>23</v>
      </c>
      <c r="B659" s="2" t="s">
        <v>24</v>
      </c>
      <c r="C659" s="2" t="s">
        <v>32</v>
      </c>
      <c r="D659" s="2" t="s">
        <v>33</v>
      </c>
      <c r="E659" s="2">
        <v>122</v>
      </c>
      <c r="F659" s="2">
        <v>253.33333329999999</v>
      </c>
      <c r="G659" s="2">
        <v>698</v>
      </c>
      <c r="H659" s="2">
        <v>989.33333330000005</v>
      </c>
      <c r="I659" s="2">
        <v>2778.333333</v>
      </c>
      <c r="J659" s="2">
        <v>2.54</v>
      </c>
      <c r="K659" s="2">
        <v>6.51</v>
      </c>
      <c r="L659" s="2">
        <v>8.4600000000000009</v>
      </c>
      <c r="M659" s="2">
        <v>15.19</v>
      </c>
      <c r="N659" s="2">
        <v>2.9893527510000002</v>
      </c>
      <c r="O659" s="2">
        <v>3.108429922</v>
      </c>
      <c r="P659" s="2">
        <v>3.2080285960000001</v>
      </c>
      <c r="Q659" s="2">
        <v>3.2910847190000001</v>
      </c>
      <c r="R659" s="2">
        <v>1.6687965300000001</v>
      </c>
      <c r="S659" s="2">
        <v>1.718053668</v>
      </c>
      <c r="T659" s="2">
        <v>2.739811236</v>
      </c>
      <c r="U659" s="2">
        <v>2.807050093</v>
      </c>
      <c r="V659" s="2">
        <v>3.2799363289999999</v>
      </c>
      <c r="W659" s="2">
        <v>0.167564454</v>
      </c>
      <c r="X659">
        <f t="shared" si="30"/>
        <v>1</v>
      </c>
      <c r="Y659">
        <f t="shared" si="31"/>
        <v>1</v>
      </c>
      <c r="Z659">
        <f t="shared" si="32"/>
        <v>1</v>
      </c>
    </row>
    <row r="660" spans="1:26" ht="15.75" customHeight="1" x14ac:dyDescent="0.2">
      <c r="A660" s="2" t="s">
        <v>23</v>
      </c>
      <c r="B660" s="2" t="s">
        <v>24</v>
      </c>
      <c r="C660" s="2" t="s">
        <v>32</v>
      </c>
      <c r="D660" s="2" t="s">
        <v>33</v>
      </c>
      <c r="E660" s="2">
        <v>142</v>
      </c>
      <c r="F660" s="2">
        <v>250</v>
      </c>
      <c r="G660" s="2">
        <v>693</v>
      </c>
      <c r="H660" s="2">
        <v>1638.666667</v>
      </c>
      <c r="I660" s="2">
        <v>3059.333333</v>
      </c>
      <c r="J660" s="2">
        <v>2.5</v>
      </c>
      <c r="K660" s="2">
        <v>6.47</v>
      </c>
      <c r="L660" s="2">
        <v>11.68</v>
      </c>
      <c r="M660" s="2">
        <v>15.81</v>
      </c>
      <c r="N660" s="2">
        <v>0.816813185</v>
      </c>
      <c r="O660" s="2">
        <v>1.0840489879999999</v>
      </c>
      <c r="P660" s="2">
        <v>1.6992754999999999</v>
      </c>
      <c r="Q660" s="2">
        <v>1.7295484249999999</v>
      </c>
      <c r="R660" s="2">
        <v>1.6315375759999999</v>
      </c>
      <c r="S660" s="2">
        <v>1.6807947130000001</v>
      </c>
      <c r="T660" s="2">
        <v>0.47499722500000002</v>
      </c>
      <c r="U660" s="2">
        <v>0.40775836900000001</v>
      </c>
      <c r="V660" s="2">
        <v>3.2426773739999999</v>
      </c>
      <c r="W660" s="2">
        <v>8.9785489999999996E-2</v>
      </c>
      <c r="X660">
        <f t="shared" si="30"/>
        <v>1</v>
      </c>
      <c r="Y660">
        <f t="shared" si="31"/>
        <v>1</v>
      </c>
      <c r="Z660">
        <f t="shared" si="32"/>
        <v>1</v>
      </c>
    </row>
    <row r="661" spans="1:26" ht="15.75" customHeight="1" x14ac:dyDescent="0.2">
      <c r="A661" s="2" t="s">
        <v>23</v>
      </c>
      <c r="B661" s="2" t="s">
        <v>24</v>
      </c>
      <c r="C661" s="2" t="s">
        <v>25</v>
      </c>
      <c r="D661" s="2" t="s">
        <v>25</v>
      </c>
      <c r="E661" s="2">
        <v>81</v>
      </c>
      <c r="F661" s="2">
        <v>239.66666670000001</v>
      </c>
      <c r="G661" s="2">
        <v>736.33333330000005</v>
      </c>
      <c r="H661" s="2">
        <v>1619</v>
      </c>
      <c r="I661" s="2">
        <v>1821.666667</v>
      </c>
      <c r="J661" s="2">
        <v>2.39</v>
      </c>
      <c r="K661" s="2">
        <v>6.79</v>
      </c>
      <c r="L661" s="2">
        <v>11.6</v>
      </c>
      <c r="M661" s="2">
        <v>12.38</v>
      </c>
      <c r="N661" s="2">
        <v>0.49434499599999998</v>
      </c>
      <c r="O661" s="2">
        <v>0.75579537299999999</v>
      </c>
      <c r="P661" s="2">
        <v>1.989417006</v>
      </c>
      <c r="Q661" s="2">
        <v>2.0257664879999999</v>
      </c>
      <c r="R661" s="2">
        <v>1.9498577420000001</v>
      </c>
      <c r="S661" s="2">
        <v>1.999114879</v>
      </c>
      <c r="T661" s="2">
        <v>0.39475918300000001</v>
      </c>
      <c r="U661" s="2">
        <v>0.327520327</v>
      </c>
      <c r="V661" s="2">
        <v>3.5609975399999998</v>
      </c>
      <c r="W661" s="2">
        <v>9.3504004000000002E-2</v>
      </c>
      <c r="X661">
        <f t="shared" si="30"/>
        <v>1</v>
      </c>
      <c r="Y661">
        <f t="shared" si="31"/>
        <v>1</v>
      </c>
      <c r="Z661">
        <f t="shared" si="32"/>
        <v>0</v>
      </c>
    </row>
    <row r="662" spans="1:26" ht="15.75" customHeight="1" x14ac:dyDescent="0.2">
      <c r="A662" s="2" t="s">
        <v>23</v>
      </c>
      <c r="B662" s="2" t="s">
        <v>24</v>
      </c>
      <c r="C662" s="2" t="s">
        <v>25</v>
      </c>
      <c r="D662" s="2" t="s">
        <v>25</v>
      </c>
      <c r="E662" s="2">
        <v>119</v>
      </c>
      <c r="F662" s="2">
        <v>255.66666670000001</v>
      </c>
      <c r="G662" s="2">
        <v>745</v>
      </c>
      <c r="H662" s="2">
        <v>1623.333333</v>
      </c>
      <c r="I662" s="2">
        <v>2321</v>
      </c>
      <c r="J662" s="2">
        <v>2.56</v>
      </c>
      <c r="K662" s="2">
        <v>6.85</v>
      </c>
      <c r="L662" s="2">
        <v>11.62</v>
      </c>
      <c r="M662" s="2">
        <v>14.01</v>
      </c>
      <c r="N662" s="2">
        <v>0.44985807</v>
      </c>
      <c r="O662" s="2">
        <v>0.700850749</v>
      </c>
      <c r="P662" s="2">
        <v>2.0541448459999998</v>
      </c>
      <c r="Q662" s="2">
        <v>2.0902689909999999</v>
      </c>
      <c r="R662" s="2">
        <v>2.0122979189999999</v>
      </c>
      <c r="S662" s="2">
        <v>2.061555056</v>
      </c>
      <c r="T662" s="2">
        <v>0.412514404</v>
      </c>
      <c r="U662" s="2">
        <v>0.34527554799999999</v>
      </c>
      <c r="V662" s="2">
        <v>3.6234377169999998</v>
      </c>
      <c r="W662" s="2">
        <v>0.11263092299999999</v>
      </c>
      <c r="X662">
        <f t="shared" si="30"/>
        <v>1</v>
      </c>
      <c r="Y662">
        <f t="shared" si="31"/>
        <v>1</v>
      </c>
      <c r="Z662">
        <f t="shared" si="32"/>
        <v>0</v>
      </c>
    </row>
    <row r="663" spans="1:26" ht="15.75" customHeight="1" x14ac:dyDescent="0.2">
      <c r="A663" s="2" t="s">
        <v>23</v>
      </c>
      <c r="B663" s="2" t="s">
        <v>24</v>
      </c>
      <c r="C663" s="2" t="s">
        <v>27</v>
      </c>
      <c r="D663" s="2" t="s">
        <v>27</v>
      </c>
      <c r="E663" s="2">
        <v>161</v>
      </c>
      <c r="F663" s="2">
        <v>253</v>
      </c>
      <c r="G663" s="2">
        <v>486.33333329999999</v>
      </c>
      <c r="H663" s="2">
        <v>1956</v>
      </c>
      <c r="I663" s="2">
        <v>2994.666667</v>
      </c>
      <c r="J663" s="2">
        <v>2.54</v>
      </c>
      <c r="K663" s="2">
        <v>4.8</v>
      </c>
      <c r="L663" s="2">
        <v>12.86</v>
      </c>
      <c r="M663" s="2">
        <v>15.67</v>
      </c>
      <c r="N663" s="2">
        <v>0.28726611600000002</v>
      </c>
      <c r="O663" s="2">
        <v>0.61661730800000003</v>
      </c>
      <c r="P663" s="2">
        <v>1.6587938419999999</v>
      </c>
      <c r="Q663" s="2">
        <v>1.591047229</v>
      </c>
      <c r="R663" s="2">
        <v>4.1749425E-2</v>
      </c>
      <c r="S663" s="2">
        <v>7.5077119999999997E-3</v>
      </c>
      <c r="T663" s="2">
        <v>1.658268372</v>
      </c>
      <c r="U663" s="2">
        <v>1.5910295160000001</v>
      </c>
      <c r="V663" s="2">
        <v>1.5693903730000001</v>
      </c>
      <c r="W663" s="2">
        <v>8.1295621999999998E-2</v>
      </c>
      <c r="X663">
        <f t="shared" si="30"/>
        <v>1</v>
      </c>
      <c r="Y663">
        <f t="shared" si="31"/>
        <v>1</v>
      </c>
      <c r="Z663">
        <f t="shared" si="32"/>
        <v>0</v>
      </c>
    </row>
    <row r="664" spans="1:26" ht="15.75" customHeight="1" x14ac:dyDescent="0.2">
      <c r="A664" s="2" t="s">
        <v>23</v>
      </c>
      <c r="B664" s="2" t="s">
        <v>24</v>
      </c>
      <c r="C664" s="2" t="s">
        <v>30</v>
      </c>
      <c r="D664" s="2" t="s">
        <v>31</v>
      </c>
      <c r="E664" s="2">
        <v>131</v>
      </c>
      <c r="F664" s="2">
        <v>243.66666670000001</v>
      </c>
      <c r="G664" s="2">
        <v>850</v>
      </c>
      <c r="H664" s="2">
        <v>1425.666667</v>
      </c>
      <c r="I664" s="2">
        <v>3212.666667</v>
      </c>
      <c r="J664" s="2">
        <v>2.4300000000000002</v>
      </c>
      <c r="K664" s="2">
        <v>7.58</v>
      </c>
      <c r="L664" s="2">
        <v>10.76</v>
      </c>
      <c r="M664" s="2">
        <v>16.12</v>
      </c>
      <c r="N664" s="2">
        <v>3.7379948710000002</v>
      </c>
      <c r="O664" s="2">
        <v>4.0939235749999998</v>
      </c>
      <c r="P664" s="2">
        <v>2.7738915190000002</v>
      </c>
      <c r="Q664" s="2">
        <v>2.833872291</v>
      </c>
      <c r="R664" s="2">
        <v>2.7381842110000001</v>
      </c>
      <c r="S664" s="2">
        <v>2.7874413480000002</v>
      </c>
      <c r="T664" s="2">
        <v>0.44364556300000002</v>
      </c>
      <c r="U664" s="2">
        <v>0.51088441900000003</v>
      </c>
      <c r="V664" s="2">
        <v>4.349324009</v>
      </c>
      <c r="W664" s="2">
        <v>0.114980271</v>
      </c>
      <c r="X664">
        <f t="shared" si="30"/>
        <v>1</v>
      </c>
      <c r="Y664">
        <f t="shared" si="31"/>
        <v>1</v>
      </c>
      <c r="Z664">
        <f t="shared" si="32"/>
        <v>1</v>
      </c>
    </row>
    <row r="665" spans="1:26" ht="15.75" customHeight="1" x14ac:dyDescent="0.2">
      <c r="A665" s="2" t="s">
        <v>23</v>
      </c>
      <c r="B665" s="2" t="s">
        <v>24</v>
      </c>
      <c r="C665" s="2" t="s">
        <v>28</v>
      </c>
      <c r="D665" s="2" t="s">
        <v>29</v>
      </c>
      <c r="E665" s="2">
        <v>50</v>
      </c>
      <c r="F665" s="2">
        <v>248</v>
      </c>
      <c r="G665" s="2">
        <v>331.33333329999999</v>
      </c>
      <c r="H665" s="2">
        <v>893</v>
      </c>
      <c r="I665" s="2">
        <v>2970</v>
      </c>
      <c r="J665" s="2">
        <v>2.48</v>
      </c>
      <c r="K665" s="2">
        <v>3.35</v>
      </c>
      <c r="L665" s="2">
        <v>7.86</v>
      </c>
      <c r="M665" s="2">
        <v>15.62</v>
      </c>
      <c r="N665" s="2">
        <v>1.4521910389999999</v>
      </c>
      <c r="O665" s="2">
        <v>1.150382738</v>
      </c>
      <c r="P665" s="2">
        <v>3.6605216390000002</v>
      </c>
      <c r="Q665" s="2">
        <v>3.702492603</v>
      </c>
      <c r="R665" s="2">
        <v>1.4947998220000001</v>
      </c>
      <c r="S665" s="2">
        <v>1.4455426849999999</v>
      </c>
      <c r="T665" s="2">
        <v>3.3414057160000001</v>
      </c>
      <c r="U665" s="2">
        <v>3.408644572</v>
      </c>
      <c r="V665" s="2">
        <v>0.116339976</v>
      </c>
      <c r="W665" s="2">
        <v>6.3206570000000004E-2</v>
      </c>
      <c r="X665">
        <f t="shared" si="30"/>
        <v>1</v>
      </c>
      <c r="Y665">
        <f t="shared" si="31"/>
        <v>1</v>
      </c>
      <c r="Z665">
        <f t="shared" si="32"/>
        <v>1</v>
      </c>
    </row>
    <row r="666" spans="1:26" ht="15.75" customHeight="1" x14ac:dyDescent="0.2">
      <c r="A666" s="2" t="s">
        <v>23</v>
      </c>
      <c r="B666" s="2" t="s">
        <v>24</v>
      </c>
      <c r="C666" s="2" t="s">
        <v>28</v>
      </c>
      <c r="D666" s="2" t="s">
        <v>29</v>
      </c>
      <c r="E666" s="2">
        <v>73</v>
      </c>
      <c r="F666" s="2">
        <v>257.33333329999999</v>
      </c>
      <c r="G666" s="2">
        <v>286.33333329999999</v>
      </c>
      <c r="H666" s="2">
        <v>1202.333333</v>
      </c>
      <c r="I666" s="2">
        <v>2319.666667</v>
      </c>
      <c r="J666" s="2">
        <v>2.58</v>
      </c>
      <c r="K666" s="2">
        <v>2.89</v>
      </c>
      <c r="L666" s="2">
        <v>9.66</v>
      </c>
      <c r="M666" s="2">
        <v>14</v>
      </c>
      <c r="N666" s="2">
        <v>1.844921378</v>
      </c>
      <c r="O666" s="2">
        <v>1.849230248</v>
      </c>
      <c r="P666" s="2">
        <v>2.487930258</v>
      </c>
      <c r="Q666" s="2">
        <v>2.4922458619999999</v>
      </c>
      <c r="R666" s="2">
        <v>1.954212445</v>
      </c>
      <c r="S666" s="2">
        <v>1.9049553079999999</v>
      </c>
      <c r="T666" s="2">
        <v>1.5397566979999999</v>
      </c>
      <c r="U666" s="2">
        <v>1.606995554</v>
      </c>
      <c r="V666" s="2">
        <v>-0.34307264700000001</v>
      </c>
      <c r="W666" s="2">
        <v>9.0284765000000003E-2</v>
      </c>
      <c r="X666">
        <f t="shared" si="30"/>
        <v>1</v>
      </c>
      <c r="Y666">
        <f t="shared" si="31"/>
        <v>1</v>
      </c>
      <c r="Z666">
        <f t="shared" si="32"/>
        <v>1</v>
      </c>
    </row>
    <row r="667" spans="1:26" ht="15.75" customHeight="1" x14ac:dyDescent="0.2">
      <c r="A667" s="2" t="s">
        <v>23</v>
      </c>
      <c r="B667" s="2" t="s">
        <v>24</v>
      </c>
      <c r="C667" s="2" t="s">
        <v>32</v>
      </c>
      <c r="D667" s="2" t="s">
        <v>33</v>
      </c>
      <c r="E667" s="2">
        <v>210</v>
      </c>
      <c r="F667" s="2">
        <v>251</v>
      </c>
      <c r="G667" s="2">
        <v>599.66666669999995</v>
      </c>
      <c r="H667" s="2">
        <v>1023.666667</v>
      </c>
      <c r="I667" s="2">
        <v>1959</v>
      </c>
      <c r="J667" s="2">
        <v>2.5099999999999998</v>
      </c>
      <c r="K667" s="2">
        <v>5.75</v>
      </c>
      <c r="L667" s="2">
        <v>8.67</v>
      </c>
      <c r="M667" s="2">
        <v>12.87</v>
      </c>
      <c r="N667" s="2">
        <v>3.0748438839999999</v>
      </c>
      <c r="O667" s="2">
        <v>3.2575929260000001</v>
      </c>
      <c r="P667" s="2">
        <v>2.6929593920000001</v>
      </c>
      <c r="Q667" s="2">
        <v>2.7729824179999998</v>
      </c>
      <c r="R667" s="2">
        <v>0.90931842699999998</v>
      </c>
      <c r="S667" s="2">
        <v>0.95857556399999999</v>
      </c>
      <c r="T667" s="2">
        <v>2.5347919609999998</v>
      </c>
      <c r="U667" s="2">
        <v>2.6020308179999998</v>
      </c>
      <c r="V667" s="2">
        <v>2.5204582250000001</v>
      </c>
      <c r="W667" s="2">
        <v>0.14725886499999999</v>
      </c>
      <c r="X667">
        <f t="shared" si="30"/>
        <v>1</v>
      </c>
      <c r="Y667">
        <f t="shared" si="31"/>
        <v>1</v>
      </c>
      <c r="Z667">
        <f t="shared" si="32"/>
        <v>1</v>
      </c>
    </row>
    <row r="668" spans="1:26" ht="15.75" customHeight="1" x14ac:dyDescent="0.2">
      <c r="A668" s="2" t="s">
        <v>23</v>
      </c>
      <c r="B668" s="2" t="s">
        <v>24</v>
      </c>
      <c r="C668" s="2" t="s">
        <v>26</v>
      </c>
      <c r="D668" s="2" t="s">
        <v>26</v>
      </c>
      <c r="E668" s="2">
        <v>82</v>
      </c>
      <c r="F668" s="2">
        <v>229.33333329999999</v>
      </c>
      <c r="G668" s="2">
        <v>428.66666670000001</v>
      </c>
      <c r="H668" s="2">
        <v>1069</v>
      </c>
      <c r="I668" s="2">
        <v>2900.333333</v>
      </c>
      <c r="J668" s="2">
        <v>2.2799999999999998</v>
      </c>
      <c r="K668" s="2">
        <v>4.28</v>
      </c>
      <c r="L668" s="2">
        <v>8.93</v>
      </c>
      <c r="M668" s="2">
        <v>15.47</v>
      </c>
      <c r="N668" s="2">
        <v>0.27627663099999999</v>
      </c>
      <c r="O668" s="2">
        <v>0.447277808</v>
      </c>
      <c r="P668" s="2">
        <v>2.3393026849999998</v>
      </c>
      <c r="Q668" s="2">
        <v>2.3936398460000001</v>
      </c>
      <c r="R668" s="2">
        <v>0.56031842600000004</v>
      </c>
      <c r="S668" s="2">
        <v>0.51106128799999995</v>
      </c>
      <c r="T668" s="2">
        <v>2.2712067970000001</v>
      </c>
      <c r="U668" s="2">
        <v>2.338445653</v>
      </c>
      <c r="V668" s="2">
        <v>1.050821373</v>
      </c>
      <c r="W668" s="2">
        <v>9.3301552999999995E-2</v>
      </c>
      <c r="X668">
        <f t="shared" si="30"/>
        <v>1</v>
      </c>
      <c r="Y668">
        <f t="shared" si="31"/>
        <v>1</v>
      </c>
      <c r="Z668">
        <f t="shared" si="32"/>
        <v>0</v>
      </c>
    </row>
    <row r="669" spans="1:26" ht="15.75" customHeight="1" x14ac:dyDescent="0.2">
      <c r="A669" s="2" t="s">
        <v>23</v>
      </c>
      <c r="B669" s="2" t="s">
        <v>24</v>
      </c>
      <c r="C669" s="2" t="s">
        <v>25</v>
      </c>
      <c r="D669" s="2" t="s">
        <v>25</v>
      </c>
      <c r="E669" s="2">
        <v>163</v>
      </c>
      <c r="F669" s="2">
        <v>234</v>
      </c>
      <c r="G669" s="2">
        <v>784.33333330000005</v>
      </c>
      <c r="H669" s="2">
        <v>1689</v>
      </c>
      <c r="I669" s="2">
        <v>3056</v>
      </c>
      <c r="J669" s="2">
        <v>2.33</v>
      </c>
      <c r="K669" s="2">
        <v>7.13</v>
      </c>
      <c r="L669" s="2">
        <v>11.88</v>
      </c>
      <c r="M669" s="2">
        <v>15.8</v>
      </c>
      <c r="N669" s="2">
        <v>0.52297224200000003</v>
      </c>
      <c r="O669" s="2">
        <v>0.61558702200000004</v>
      </c>
      <c r="P669" s="2">
        <v>2.388503622</v>
      </c>
      <c r="Q669" s="2">
        <v>2.4179750659999999</v>
      </c>
      <c r="R669" s="2">
        <v>2.2907237390000001</v>
      </c>
      <c r="S669" s="2">
        <v>2.3399808769999999</v>
      </c>
      <c r="T669" s="2">
        <v>0.67641282000000003</v>
      </c>
      <c r="U669" s="2">
        <v>0.60917396400000001</v>
      </c>
      <c r="V669" s="2">
        <v>3.9018635380000002</v>
      </c>
      <c r="W669" s="2">
        <v>7.1268355000000005E-2</v>
      </c>
      <c r="X669">
        <f t="shared" si="30"/>
        <v>1</v>
      </c>
      <c r="Y669">
        <f t="shared" si="31"/>
        <v>1</v>
      </c>
      <c r="Z669">
        <f t="shared" si="32"/>
        <v>0</v>
      </c>
    </row>
    <row r="670" spans="1:26" ht="15.75" customHeight="1" x14ac:dyDescent="0.2">
      <c r="A670" s="2" t="s">
        <v>23</v>
      </c>
      <c r="B670" s="2" t="s">
        <v>24</v>
      </c>
      <c r="C670" s="2" t="s">
        <v>30</v>
      </c>
      <c r="D670" s="2" t="s">
        <v>31</v>
      </c>
      <c r="E670" s="2">
        <v>243</v>
      </c>
      <c r="F670" s="2">
        <v>202.66666670000001</v>
      </c>
      <c r="G670" s="2">
        <v>446.66666670000001</v>
      </c>
      <c r="H670" s="2">
        <v>1036.333333</v>
      </c>
      <c r="I670" s="2">
        <v>1755.666667</v>
      </c>
      <c r="J670" s="2">
        <v>1.98</v>
      </c>
      <c r="K670" s="2">
        <v>4.45</v>
      </c>
      <c r="L670" s="2">
        <v>8.74</v>
      </c>
      <c r="M670" s="2">
        <v>12.14</v>
      </c>
      <c r="N670" s="2">
        <v>4.3886293460000001</v>
      </c>
      <c r="O670" s="2">
        <v>4.5700368469999999</v>
      </c>
      <c r="P670" s="2">
        <v>2.4919710849999999</v>
      </c>
      <c r="Q670" s="2">
        <v>2.5512227780000001</v>
      </c>
      <c r="R670" s="2">
        <v>0.39578509099999998</v>
      </c>
      <c r="S670" s="2">
        <v>0.34652795400000003</v>
      </c>
      <c r="T670" s="2">
        <v>2.4603402299999999</v>
      </c>
      <c r="U670" s="2">
        <v>2.5275790869999999</v>
      </c>
      <c r="V670" s="2">
        <v>1.2153547069999999</v>
      </c>
      <c r="W670" s="2">
        <v>6.2043208000000002E-2</v>
      </c>
      <c r="X670">
        <f t="shared" si="30"/>
        <v>1</v>
      </c>
      <c r="Y670">
        <f t="shared" si="31"/>
        <v>1</v>
      </c>
      <c r="Z670">
        <f t="shared" si="32"/>
        <v>1</v>
      </c>
    </row>
    <row r="671" spans="1:26" ht="15.75" customHeight="1" x14ac:dyDescent="0.2">
      <c r="A671" s="2" t="s">
        <v>23</v>
      </c>
      <c r="B671" s="2" t="s">
        <v>24</v>
      </c>
      <c r="C671" s="2" t="s">
        <v>27</v>
      </c>
      <c r="D671" s="2" t="s">
        <v>27</v>
      </c>
      <c r="E671" s="2">
        <v>98</v>
      </c>
      <c r="F671" s="2">
        <v>232.66666670000001</v>
      </c>
      <c r="G671" s="2">
        <v>438</v>
      </c>
      <c r="H671" s="2">
        <v>1726.333333</v>
      </c>
      <c r="I671" s="2">
        <v>2759</v>
      </c>
      <c r="J671" s="2">
        <v>2.31</v>
      </c>
      <c r="K671" s="2">
        <v>4.37</v>
      </c>
      <c r="L671" s="2">
        <v>12.03</v>
      </c>
      <c r="M671" s="2">
        <v>15.14</v>
      </c>
      <c r="N671" s="2">
        <v>1.144688674</v>
      </c>
      <c r="O671" s="2">
        <v>1.287017802</v>
      </c>
      <c r="P671" s="2">
        <v>0.94944140399999999</v>
      </c>
      <c r="Q671" s="2">
        <v>0.86662970399999995</v>
      </c>
      <c r="R671" s="2">
        <v>0.47469651099999999</v>
      </c>
      <c r="S671" s="2">
        <v>0.42543937399999998</v>
      </c>
      <c r="T671" s="2">
        <v>0.82225434200000003</v>
      </c>
      <c r="U671" s="2">
        <v>0.75501548500000004</v>
      </c>
      <c r="V671" s="2">
        <v>1.1364432870000001</v>
      </c>
      <c r="W671" s="2">
        <v>0.103857383</v>
      </c>
      <c r="X671">
        <f t="shared" si="30"/>
        <v>1</v>
      </c>
      <c r="Y671">
        <f t="shared" si="31"/>
        <v>1</v>
      </c>
      <c r="Z671">
        <f t="shared" si="32"/>
        <v>0</v>
      </c>
    </row>
    <row r="672" spans="1:26" ht="15.75" customHeight="1" x14ac:dyDescent="0.2">
      <c r="A672" s="2" t="s">
        <v>23</v>
      </c>
      <c r="B672" s="2" t="s">
        <v>24</v>
      </c>
      <c r="C672" s="2" t="s">
        <v>30</v>
      </c>
      <c r="D672" s="2" t="s">
        <v>31</v>
      </c>
      <c r="E672" s="2">
        <v>85</v>
      </c>
      <c r="F672" s="2">
        <v>266</v>
      </c>
      <c r="G672" s="2">
        <v>837</v>
      </c>
      <c r="H672" s="2">
        <v>1166.333333</v>
      </c>
      <c r="I672" s="2">
        <v>2269.666667</v>
      </c>
      <c r="J672" s="2">
        <v>2.67</v>
      </c>
      <c r="K672" s="2">
        <v>7.49</v>
      </c>
      <c r="L672" s="2">
        <v>9.4700000000000006</v>
      </c>
      <c r="M672" s="2">
        <v>13.86</v>
      </c>
      <c r="N672" s="2">
        <v>4.6070843039999998</v>
      </c>
      <c r="O672" s="2">
        <v>4.9439188109999996</v>
      </c>
      <c r="P672" s="2">
        <v>3.16637514</v>
      </c>
      <c r="Q672" s="2">
        <v>3.244512442</v>
      </c>
      <c r="R672" s="2">
        <v>2.6512686670000001</v>
      </c>
      <c r="S672" s="2">
        <v>2.7005258049999998</v>
      </c>
      <c r="T672" s="2">
        <v>1.731099645</v>
      </c>
      <c r="U672" s="2">
        <v>1.798338502</v>
      </c>
      <c r="V672" s="2">
        <v>4.2624084660000001</v>
      </c>
      <c r="W672" s="2">
        <v>0.13716963800000001</v>
      </c>
      <c r="X672">
        <f t="shared" si="30"/>
        <v>1</v>
      </c>
      <c r="Y672">
        <f t="shared" si="31"/>
        <v>1</v>
      </c>
      <c r="Z672">
        <f t="shared" si="32"/>
        <v>1</v>
      </c>
    </row>
    <row r="673" spans="1:26" ht="15.75" customHeight="1" x14ac:dyDescent="0.2">
      <c r="A673" s="2" t="s">
        <v>23</v>
      </c>
      <c r="B673" s="2" t="s">
        <v>24</v>
      </c>
      <c r="C673" s="2" t="s">
        <v>27</v>
      </c>
      <c r="D673" s="2" t="s">
        <v>27</v>
      </c>
      <c r="E673" s="2">
        <v>110</v>
      </c>
      <c r="F673" s="2">
        <v>239</v>
      </c>
      <c r="G673" s="2">
        <v>449</v>
      </c>
      <c r="H673" s="2">
        <v>2285</v>
      </c>
      <c r="I673" s="2">
        <v>3399.333333</v>
      </c>
      <c r="J673" s="2">
        <v>2.38</v>
      </c>
      <c r="K673" s="2">
        <v>4.47</v>
      </c>
      <c r="L673" s="2">
        <v>13.9</v>
      </c>
      <c r="M673" s="2">
        <v>16.48</v>
      </c>
      <c r="N673" s="2">
        <v>0.806646804</v>
      </c>
      <c r="O673" s="2">
        <v>0.59553212300000002</v>
      </c>
      <c r="P673" s="2">
        <v>2.724140437</v>
      </c>
      <c r="Q673" s="2">
        <v>2.6510612999999998</v>
      </c>
      <c r="R673" s="2">
        <v>0.37463671999999998</v>
      </c>
      <c r="S673" s="2">
        <v>0.32537958300000003</v>
      </c>
      <c r="T673" s="2">
        <v>2.6982565580000002</v>
      </c>
      <c r="U673" s="2">
        <v>2.6310177010000002</v>
      </c>
      <c r="V673" s="2">
        <v>1.2365030779999999</v>
      </c>
      <c r="W673" s="2">
        <v>0.115094927</v>
      </c>
      <c r="X673">
        <f t="shared" si="30"/>
        <v>1</v>
      </c>
      <c r="Y673">
        <f t="shared" si="31"/>
        <v>1</v>
      </c>
      <c r="Z673">
        <f t="shared" si="32"/>
        <v>0</v>
      </c>
    </row>
    <row r="674" spans="1:26" ht="15.75" customHeight="1" x14ac:dyDescent="0.2">
      <c r="A674" s="2" t="s">
        <v>23</v>
      </c>
      <c r="B674" s="2" t="s">
        <v>24</v>
      </c>
      <c r="C674" s="2" t="s">
        <v>26</v>
      </c>
      <c r="D674" s="2" t="s">
        <v>26</v>
      </c>
      <c r="E674" s="2">
        <v>121</v>
      </c>
      <c r="F674" s="2">
        <v>282.66666670000001</v>
      </c>
      <c r="G674" s="2">
        <v>508.66666670000001</v>
      </c>
      <c r="H674" s="2">
        <v>1154.333333</v>
      </c>
      <c r="I674" s="2">
        <v>2747.666667</v>
      </c>
      <c r="J674" s="2">
        <v>2.85</v>
      </c>
      <c r="K674" s="2">
        <v>4.99</v>
      </c>
      <c r="L674" s="2">
        <v>9.41</v>
      </c>
      <c r="M674" s="2">
        <v>15.12</v>
      </c>
      <c r="N674" s="2">
        <v>0.82367286900000003</v>
      </c>
      <c r="O674" s="2">
        <v>1.145798713</v>
      </c>
      <c r="P674" s="2">
        <v>1.8023333610000001</v>
      </c>
      <c r="Q674" s="2">
        <v>1.8740030329999999</v>
      </c>
      <c r="R674" s="2">
        <v>0.15257542800000001</v>
      </c>
      <c r="S674" s="2">
        <v>0.20183256499999999</v>
      </c>
      <c r="T674" s="2">
        <v>1.7958636589999999</v>
      </c>
      <c r="U674" s="2">
        <v>1.863102515</v>
      </c>
      <c r="V674" s="2">
        <v>1.763715226</v>
      </c>
      <c r="W674" s="2">
        <v>0.11889564399999999</v>
      </c>
      <c r="X674">
        <f t="shared" si="30"/>
        <v>1</v>
      </c>
      <c r="Y674">
        <f t="shared" si="31"/>
        <v>1</v>
      </c>
      <c r="Z674">
        <f t="shared" si="32"/>
        <v>0</v>
      </c>
    </row>
    <row r="675" spans="1:26" ht="15.75" customHeight="1" x14ac:dyDescent="0.2">
      <c r="A675" s="2" t="s">
        <v>23</v>
      </c>
      <c r="B675" s="2" t="s">
        <v>24</v>
      </c>
      <c r="C675" s="2" t="s">
        <v>27</v>
      </c>
      <c r="D675" s="2" t="s">
        <v>27</v>
      </c>
      <c r="E675" s="2">
        <v>99</v>
      </c>
      <c r="F675" s="2">
        <v>271.33333329999999</v>
      </c>
      <c r="G675" s="2">
        <v>529.33333330000005</v>
      </c>
      <c r="H675" s="2">
        <v>2311.333333</v>
      </c>
      <c r="I675" s="2">
        <v>3366.666667</v>
      </c>
      <c r="J675" s="2">
        <v>2.73</v>
      </c>
      <c r="K675" s="2">
        <v>5.17</v>
      </c>
      <c r="L675" s="2">
        <v>13.98</v>
      </c>
      <c r="M675" s="2">
        <v>16.41</v>
      </c>
      <c r="N675" s="2">
        <v>0.98134089899999999</v>
      </c>
      <c r="O675" s="2">
        <v>1.034083831</v>
      </c>
      <c r="P675" s="2">
        <v>2.7940451240000002</v>
      </c>
      <c r="Q675" s="2">
        <v>2.7336710210000001</v>
      </c>
      <c r="R675" s="2">
        <v>0.329292217</v>
      </c>
      <c r="S675" s="2">
        <v>0.37854935499999998</v>
      </c>
      <c r="T675" s="2">
        <v>2.7745729020000001</v>
      </c>
      <c r="U675" s="2">
        <v>2.7073340460000002</v>
      </c>
      <c r="V675" s="2">
        <v>1.9404320159999999</v>
      </c>
      <c r="W675" s="2">
        <v>3.4502629E-2</v>
      </c>
      <c r="X675">
        <f t="shared" si="30"/>
        <v>1</v>
      </c>
      <c r="Y675">
        <f t="shared" si="31"/>
        <v>1</v>
      </c>
      <c r="Z675">
        <f t="shared" si="32"/>
        <v>0</v>
      </c>
    </row>
    <row r="676" spans="1:26" ht="15.75" customHeight="1" x14ac:dyDescent="0.2">
      <c r="A676" s="2" t="s">
        <v>23</v>
      </c>
      <c r="B676" s="2" t="s">
        <v>24</v>
      </c>
      <c r="C676" s="2" t="s">
        <v>30</v>
      </c>
      <c r="D676" s="2" t="s">
        <v>31</v>
      </c>
      <c r="E676" s="2">
        <v>131</v>
      </c>
      <c r="F676" s="2">
        <v>242.33333329999999</v>
      </c>
      <c r="G676" s="2">
        <v>714</v>
      </c>
      <c r="H676" s="2">
        <v>1057.666667</v>
      </c>
      <c r="I676" s="2">
        <v>1947.333333</v>
      </c>
      <c r="J676" s="2">
        <v>2.42</v>
      </c>
      <c r="K676" s="2">
        <v>6.63</v>
      </c>
      <c r="L676" s="2">
        <v>8.8699999999999992</v>
      </c>
      <c r="M676" s="2">
        <v>12.83</v>
      </c>
      <c r="N676" s="2">
        <v>4.6805859849999996</v>
      </c>
      <c r="O676" s="2">
        <v>4.982257454</v>
      </c>
      <c r="P676" s="2">
        <v>2.9414736979999998</v>
      </c>
      <c r="Q676" s="2">
        <v>3.0248069430000002</v>
      </c>
      <c r="R676" s="2">
        <v>1.787088834</v>
      </c>
      <c r="S676" s="2">
        <v>1.8363459710000001</v>
      </c>
      <c r="T676" s="2">
        <v>2.3363606350000001</v>
      </c>
      <c r="U676" s="2">
        <v>2.4035994920000001</v>
      </c>
      <c r="V676" s="2">
        <v>3.3982286319999999</v>
      </c>
      <c r="W676" s="2">
        <v>0.100372393</v>
      </c>
      <c r="X676">
        <f t="shared" si="30"/>
        <v>1</v>
      </c>
      <c r="Y676">
        <f t="shared" si="31"/>
        <v>1</v>
      </c>
      <c r="Z676">
        <f t="shared" si="32"/>
        <v>1</v>
      </c>
    </row>
    <row r="677" spans="1:26" ht="15.75" customHeight="1" x14ac:dyDescent="0.2">
      <c r="A677" s="2" t="s">
        <v>23</v>
      </c>
      <c r="B677" s="2" t="s">
        <v>24</v>
      </c>
      <c r="C677" s="2" t="s">
        <v>27</v>
      </c>
      <c r="D677" s="2" t="s">
        <v>27</v>
      </c>
      <c r="E677" s="2">
        <v>177</v>
      </c>
      <c r="F677" s="2">
        <v>284</v>
      </c>
      <c r="G677" s="2">
        <v>511.33333329999999</v>
      </c>
      <c r="H677" s="2">
        <v>1990</v>
      </c>
      <c r="I677" s="2">
        <v>2695</v>
      </c>
      <c r="J677" s="2">
        <v>2.86</v>
      </c>
      <c r="K677" s="2">
        <v>5.0199999999999996</v>
      </c>
      <c r="L677" s="2">
        <v>12.98</v>
      </c>
      <c r="M677" s="2">
        <v>14.99</v>
      </c>
      <c r="N677" s="2">
        <v>0.36326092900000001</v>
      </c>
      <c r="O677" s="2">
        <v>0.72067389599999998</v>
      </c>
      <c r="P677" s="2">
        <v>1.782436336</v>
      </c>
      <c r="Q677" s="2">
        <v>1.7212749650000001</v>
      </c>
      <c r="R677" s="2">
        <v>0.17554367400000001</v>
      </c>
      <c r="S677" s="2">
        <v>0.22480081199999999</v>
      </c>
      <c r="T677" s="2">
        <v>1.7737710419999999</v>
      </c>
      <c r="U677" s="2">
        <v>1.706532186</v>
      </c>
      <c r="V677" s="2">
        <v>1.7866834730000001</v>
      </c>
      <c r="W677" s="2">
        <v>0.11999377999999999</v>
      </c>
      <c r="X677">
        <f t="shared" si="30"/>
        <v>1</v>
      </c>
      <c r="Y677">
        <f t="shared" si="31"/>
        <v>1</v>
      </c>
      <c r="Z677">
        <f t="shared" si="32"/>
        <v>0</v>
      </c>
    </row>
    <row r="678" spans="1:26" ht="15.75" customHeight="1" x14ac:dyDescent="0.2">
      <c r="A678" s="2" t="s">
        <v>23</v>
      </c>
      <c r="B678" s="2" t="s">
        <v>24</v>
      </c>
      <c r="C678" s="2" t="s">
        <v>26</v>
      </c>
      <c r="D678" s="2" t="s">
        <v>26</v>
      </c>
      <c r="E678" s="2">
        <v>84</v>
      </c>
      <c r="F678" s="2">
        <v>269.33333329999999</v>
      </c>
      <c r="G678" s="2">
        <v>497</v>
      </c>
      <c r="H678" s="2">
        <v>1362.333333</v>
      </c>
      <c r="I678" s="2">
        <v>2870.666667</v>
      </c>
      <c r="J678" s="2">
        <v>2.71</v>
      </c>
      <c r="K678" s="2">
        <v>4.8899999999999997</v>
      </c>
      <c r="L678" s="2">
        <v>10.46</v>
      </c>
      <c r="M678" s="2">
        <v>15.4</v>
      </c>
      <c r="N678" s="2">
        <v>1.755969688</v>
      </c>
      <c r="O678" s="2">
        <v>2.061092683</v>
      </c>
      <c r="P678" s="2">
        <v>0.74130473900000005</v>
      </c>
      <c r="Q678" s="2">
        <v>0.81302024500000003</v>
      </c>
      <c r="R678" s="2">
        <v>5.1503146999999999E-2</v>
      </c>
      <c r="S678" s="2">
        <v>0.100760285</v>
      </c>
      <c r="T678" s="2">
        <v>0.73951345000000002</v>
      </c>
      <c r="U678" s="2">
        <v>0.80675230600000003</v>
      </c>
      <c r="V678" s="2">
        <v>1.6626429460000001</v>
      </c>
      <c r="W678" s="2">
        <v>0.139675408</v>
      </c>
      <c r="X678">
        <f t="shared" si="30"/>
        <v>1</v>
      </c>
      <c r="Y678">
        <f t="shared" si="31"/>
        <v>1</v>
      </c>
      <c r="Z678">
        <f t="shared" si="32"/>
        <v>0</v>
      </c>
    </row>
    <row r="679" spans="1:26" ht="15.75" customHeight="1" x14ac:dyDescent="0.2">
      <c r="A679" s="2" t="s">
        <v>23</v>
      </c>
      <c r="B679" s="2" t="s">
        <v>24</v>
      </c>
      <c r="C679" s="2" t="s">
        <v>30</v>
      </c>
      <c r="D679" s="2" t="s">
        <v>31</v>
      </c>
      <c r="E679" s="2">
        <v>84</v>
      </c>
      <c r="F679" s="2">
        <v>236</v>
      </c>
      <c r="G679" s="2">
        <v>835.66666669999995</v>
      </c>
      <c r="H679" s="2">
        <v>1403.666667</v>
      </c>
      <c r="I679" s="2">
        <v>3684.666667</v>
      </c>
      <c r="J679" s="2">
        <v>2.35</v>
      </c>
      <c r="K679" s="2">
        <v>7.48</v>
      </c>
      <c r="L679" s="2">
        <v>10.66</v>
      </c>
      <c r="M679" s="2">
        <v>16.97</v>
      </c>
      <c r="N679" s="2">
        <v>3.7305938350000001</v>
      </c>
      <c r="O679" s="2">
        <v>4.0846422000000002</v>
      </c>
      <c r="P679" s="2">
        <v>2.6979606180000002</v>
      </c>
      <c r="Q679" s="2">
        <v>2.760354236</v>
      </c>
      <c r="R679" s="2">
        <v>2.6423085479999999</v>
      </c>
      <c r="S679" s="2">
        <v>2.6915656860000001</v>
      </c>
      <c r="T679" s="2">
        <v>0.54515780400000002</v>
      </c>
      <c r="U679" s="2">
        <v>0.61239666100000001</v>
      </c>
      <c r="V679" s="2">
        <v>4.253448347</v>
      </c>
      <c r="W679" s="2">
        <v>9.3493675999999998E-2</v>
      </c>
      <c r="X679">
        <f t="shared" si="30"/>
        <v>1</v>
      </c>
      <c r="Y679">
        <f t="shared" si="31"/>
        <v>1</v>
      </c>
      <c r="Z679">
        <f t="shared" si="32"/>
        <v>1</v>
      </c>
    </row>
    <row r="680" spans="1:26" ht="15.75" customHeight="1" x14ac:dyDescent="0.2">
      <c r="A680" s="2" t="s">
        <v>23</v>
      </c>
      <c r="B680" s="2" t="s">
        <v>24</v>
      </c>
      <c r="C680" s="2" t="s">
        <v>32</v>
      </c>
      <c r="D680" s="2" t="s">
        <v>33</v>
      </c>
      <c r="E680" s="2">
        <v>116</v>
      </c>
      <c r="F680" s="2">
        <v>228.33333329999999</v>
      </c>
      <c r="G680" s="2">
        <v>609.33333330000005</v>
      </c>
      <c r="H680" s="2">
        <v>1046.666667</v>
      </c>
      <c r="I680" s="2">
        <v>2737.666667</v>
      </c>
      <c r="J680" s="2">
        <v>2.27</v>
      </c>
      <c r="K680" s="2">
        <v>5.83</v>
      </c>
      <c r="L680" s="2">
        <v>8.8000000000000007</v>
      </c>
      <c r="M680" s="2">
        <v>15.09</v>
      </c>
      <c r="N680" s="2">
        <v>2.9195815500000002</v>
      </c>
      <c r="O680" s="2">
        <v>3.1025379169999998</v>
      </c>
      <c r="P680" s="2">
        <v>2.594921523</v>
      </c>
      <c r="Q680" s="2">
        <v>2.6759130180000001</v>
      </c>
      <c r="R680" s="2">
        <v>0.98655549200000003</v>
      </c>
      <c r="S680" s="2">
        <v>1.0358126299999999</v>
      </c>
      <c r="T680" s="2">
        <v>2.4000679090000001</v>
      </c>
      <c r="U680" s="2">
        <v>2.4673067660000001</v>
      </c>
      <c r="V680" s="2">
        <v>2.597695291</v>
      </c>
      <c r="W680" s="2">
        <v>5.4512306000000003E-2</v>
      </c>
      <c r="X680">
        <f t="shared" si="30"/>
        <v>1</v>
      </c>
      <c r="Y680">
        <f t="shared" si="31"/>
        <v>1</v>
      </c>
      <c r="Z680">
        <f t="shared" si="32"/>
        <v>1</v>
      </c>
    </row>
    <row r="681" spans="1:26" ht="15.75" customHeight="1" x14ac:dyDescent="0.2">
      <c r="A681" s="2" t="s">
        <v>23</v>
      </c>
      <c r="B681" s="2" t="s">
        <v>24</v>
      </c>
      <c r="C681" s="2" t="s">
        <v>28</v>
      </c>
      <c r="D681" s="2" t="s">
        <v>29</v>
      </c>
      <c r="E681" s="2">
        <v>121</v>
      </c>
      <c r="F681" s="2">
        <v>222.33333329999999</v>
      </c>
      <c r="G681" s="2">
        <v>466.66666670000001</v>
      </c>
      <c r="H681" s="2">
        <v>1134</v>
      </c>
      <c r="I681" s="2">
        <v>2464.333333</v>
      </c>
      <c r="J681" s="2">
        <v>2.2000000000000002</v>
      </c>
      <c r="K681" s="2">
        <v>4.63</v>
      </c>
      <c r="L681" s="2">
        <v>9.3000000000000007</v>
      </c>
      <c r="M681" s="2">
        <v>14.4</v>
      </c>
      <c r="N681" s="2">
        <v>0.55855686400000004</v>
      </c>
      <c r="O681" s="2">
        <v>0.86877058299999999</v>
      </c>
      <c r="P681" s="2">
        <v>1.918926138</v>
      </c>
      <c r="Q681" s="2">
        <v>1.981004172</v>
      </c>
      <c r="R681" s="2">
        <v>0.21583303500000001</v>
      </c>
      <c r="S681" s="2">
        <v>0.166575898</v>
      </c>
      <c r="T681" s="2">
        <v>1.9067494920000001</v>
      </c>
      <c r="U681" s="2">
        <v>1.973988348</v>
      </c>
      <c r="V681" s="2">
        <v>1.395306763</v>
      </c>
      <c r="W681" s="2">
        <v>0.16025890300000001</v>
      </c>
      <c r="X681">
        <f t="shared" si="30"/>
        <v>1</v>
      </c>
      <c r="Y681">
        <f t="shared" si="31"/>
        <v>1</v>
      </c>
      <c r="Z681">
        <f t="shared" si="32"/>
        <v>1</v>
      </c>
    </row>
    <row r="682" spans="1:26" ht="15.75" customHeight="1" x14ac:dyDescent="0.2">
      <c r="A682" s="2" t="s">
        <v>23</v>
      </c>
      <c r="B682" s="2" t="s">
        <v>24</v>
      </c>
      <c r="C682" s="2" t="s">
        <v>28</v>
      </c>
      <c r="D682" s="2" t="s">
        <v>29</v>
      </c>
      <c r="E682" s="2">
        <v>114</v>
      </c>
      <c r="F682" s="2">
        <v>228.33333329999999</v>
      </c>
      <c r="G682" s="2">
        <v>278.33333329999999</v>
      </c>
      <c r="H682" s="2">
        <v>1055</v>
      </c>
      <c r="I682" s="2">
        <v>2230.666667</v>
      </c>
      <c r="J682" s="2">
        <v>2.27</v>
      </c>
      <c r="K682" s="2">
        <v>2.8</v>
      </c>
      <c r="L682" s="2">
        <v>8.85</v>
      </c>
      <c r="M682" s="2">
        <v>13.74</v>
      </c>
      <c r="N682" s="2">
        <v>1.691611929</v>
      </c>
      <c r="O682" s="2">
        <v>1.5530604800000001</v>
      </c>
      <c r="P682" s="2">
        <v>3.1118313309999999</v>
      </c>
      <c r="Q682" s="2">
        <v>3.1314448459999999</v>
      </c>
      <c r="R682" s="2">
        <v>2.0378196900000001</v>
      </c>
      <c r="S682" s="2">
        <v>1.9885625520000001</v>
      </c>
      <c r="T682" s="2">
        <v>2.3517621360000001</v>
      </c>
      <c r="U682" s="2">
        <v>2.419000992</v>
      </c>
      <c r="V682" s="2">
        <v>-0.42667989099999998</v>
      </c>
      <c r="W682" s="2">
        <v>9.8523369999999999E-2</v>
      </c>
      <c r="X682">
        <f t="shared" si="30"/>
        <v>1</v>
      </c>
      <c r="Y682">
        <f t="shared" si="31"/>
        <v>1</v>
      </c>
      <c r="Z682">
        <f t="shared" si="32"/>
        <v>1</v>
      </c>
    </row>
    <row r="683" spans="1:26" ht="15.75" customHeight="1" x14ac:dyDescent="0.2">
      <c r="A683" s="2" t="s">
        <v>23</v>
      </c>
      <c r="B683" s="2" t="s">
        <v>24</v>
      </c>
      <c r="C683" s="2" t="s">
        <v>26</v>
      </c>
      <c r="D683" s="2" t="s">
        <v>26</v>
      </c>
      <c r="E683" s="2">
        <v>122</v>
      </c>
      <c r="F683" s="2">
        <v>252.33333329999999</v>
      </c>
      <c r="G683" s="2">
        <v>463</v>
      </c>
      <c r="H683" s="2">
        <v>888</v>
      </c>
      <c r="I683" s="2">
        <v>2968</v>
      </c>
      <c r="J683" s="2">
        <v>2.5299999999999998</v>
      </c>
      <c r="K683" s="2">
        <v>4.59</v>
      </c>
      <c r="L683" s="2">
        <v>7.83</v>
      </c>
      <c r="M683" s="2">
        <v>15.62</v>
      </c>
      <c r="N683" s="2">
        <v>0.92998246200000001</v>
      </c>
      <c r="O683" s="2">
        <v>0.71354347500000004</v>
      </c>
      <c r="P683" s="2">
        <v>3.3828883300000001</v>
      </c>
      <c r="Q683" s="2">
        <v>3.4467496240000002</v>
      </c>
      <c r="R683" s="2">
        <v>0.24860185300000001</v>
      </c>
      <c r="S683" s="2">
        <v>0.19934471600000001</v>
      </c>
      <c r="T683" s="2">
        <v>3.3737413319999998</v>
      </c>
      <c r="U683" s="2">
        <v>3.4409801880000002</v>
      </c>
      <c r="V683" s="2">
        <v>1.3625379449999999</v>
      </c>
      <c r="W683" s="2">
        <v>6.4455757000000002E-2</v>
      </c>
      <c r="X683">
        <f t="shared" si="30"/>
        <v>1</v>
      </c>
      <c r="Y683">
        <f t="shared" si="31"/>
        <v>1</v>
      </c>
      <c r="Z683">
        <f t="shared" si="32"/>
        <v>0</v>
      </c>
    </row>
    <row r="684" spans="1:26" ht="15.75" customHeight="1" x14ac:dyDescent="0.2">
      <c r="A684" s="2" t="s">
        <v>23</v>
      </c>
      <c r="B684" s="2" t="s">
        <v>24</v>
      </c>
      <c r="C684" s="2" t="s">
        <v>25</v>
      </c>
      <c r="D684" s="2" t="s">
        <v>25</v>
      </c>
      <c r="E684" s="2">
        <v>150</v>
      </c>
      <c r="F684" s="2">
        <v>268.66666670000001</v>
      </c>
      <c r="G684" s="2">
        <v>847</v>
      </c>
      <c r="H684" s="2">
        <v>1579</v>
      </c>
      <c r="I684" s="2">
        <v>2097</v>
      </c>
      <c r="J684" s="2">
        <v>2.7</v>
      </c>
      <c r="K684" s="2">
        <v>7.56</v>
      </c>
      <c r="L684" s="2">
        <v>11.43</v>
      </c>
      <c r="M684" s="2">
        <v>13.33</v>
      </c>
      <c r="N684" s="2">
        <v>0.33872212299999999</v>
      </c>
      <c r="O684" s="2">
        <v>4.8118766E-2</v>
      </c>
      <c r="P684" s="2">
        <v>2.7278116570000002</v>
      </c>
      <c r="Q684" s="2">
        <v>2.7721679269999999</v>
      </c>
      <c r="R684" s="2">
        <v>2.7181982329999999</v>
      </c>
      <c r="S684" s="2">
        <v>2.76745537</v>
      </c>
      <c r="T684" s="2">
        <v>0.228811721</v>
      </c>
      <c r="U684" s="2">
        <v>0.16157286400000001</v>
      </c>
      <c r="V684" s="2">
        <v>4.3293380309999998</v>
      </c>
      <c r="W684" s="2">
        <v>0.18017482700000001</v>
      </c>
      <c r="X684">
        <f t="shared" si="30"/>
        <v>1</v>
      </c>
      <c r="Y684">
        <f t="shared" si="31"/>
        <v>1</v>
      </c>
      <c r="Z684">
        <f t="shared" si="32"/>
        <v>0</v>
      </c>
    </row>
    <row r="685" spans="1:26" ht="15.75" customHeight="1" x14ac:dyDescent="0.2">
      <c r="A685" s="2" t="s">
        <v>23</v>
      </c>
      <c r="B685" s="2" t="s">
        <v>24</v>
      </c>
      <c r="C685" s="2" t="s">
        <v>30</v>
      </c>
      <c r="D685" s="2" t="s">
        <v>31</v>
      </c>
      <c r="E685" s="2">
        <v>148</v>
      </c>
      <c r="F685" s="2">
        <v>235.33333329999999</v>
      </c>
      <c r="G685" s="2">
        <v>802.66666669999995</v>
      </c>
      <c r="H685" s="2">
        <v>1289.666667</v>
      </c>
      <c r="I685" s="2">
        <v>3289</v>
      </c>
      <c r="J685" s="2">
        <v>2.34</v>
      </c>
      <c r="K685" s="2">
        <v>7.26</v>
      </c>
      <c r="L685" s="2">
        <v>10.11</v>
      </c>
      <c r="M685" s="2">
        <v>16.27</v>
      </c>
      <c r="N685" s="2">
        <v>3.9642553230000002</v>
      </c>
      <c r="O685" s="2">
        <v>4.3070083859999997</v>
      </c>
      <c r="P685" s="2">
        <v>2.653445075</v>
      </c>
      <c r="Q685" s="2">
        <v>2.7263372060000002</v>
      </c>
      <c r="R685" s="2">
        <v>2.4177896259999998</v>
      </c>
      <c r="S685" s="2">
        <v>2.4670467629999999</v>
      </c>
      <c r="T685" s="2">
        <v>1.0931898689999999</v>
      </c>
      <c r="U685" s="2">
        <v>1.1604287259999999</v>
      </c>
      <c r="V685" s="2">
        <v>4.0289294240000002</v>
      </c>
      <c r="W685" s="2">
        <v>0.15332190200000001</v>
      </c>
      <c r="X685">
        <f t="shared" si="30"/>
        <v>1</v>
      </c>
      <c r="Y685">
        <f t="shared" si="31"/>
        <v>1</v>
      </c>
      <c r="Z685">
        <f t="shared" si="32"/>
        <v>1</v>
      </c>
    </row>
    <row r="686" spans="1:26" ht="15.75" customHeight="1" x14ac:dyDescent="0.2">
      <c r="A686" s="2" t="s">
        <v>23</v>
      </c>
      <c r="B686" s="2" t="s">
        <v>24</v>
      </c>
      <c r="C686" s="2" t="s">
        <v>28</v>
      </c>
      <c r="D686" s="2" t="s">
        <v>29</v>
      </c>
      <c r="E686" s="2">
        <v>151</v>
      </c>
      <c r="F686" s="2">
        <v>252.33333329999999</v>
      </c>
      <c r="G686" s="2">
        <v>321.66666670000001</v>
      </c>
      <c r="H686" s="2">
        <v>970</v>
      </c>
      <c r="I686" s="2">
        <v>2676.333333</v>
      </c>
      <c r="J686" s="2">
        <v>2.5299999999999998</v>
      </c>
      <c r="K686" s="2">
        <v>3.25</v>
      </c>
      <c r="L686" s="2">
        <v>8.35</v>
      </c>
      <c r="M686" s="2">
        <v>14.95</v>
      </c>
      <c r="N686" s="2">
        <v>1.308250388</v>
      </c>
      <c r="O686" s="2">
        <v>1.0727383539999999</v>
      </c>
      <c r="P686" s="2">
        <v>3.2709204949999999</v>
      </c>
      <c r="Q686" s="2">
        <v>3.3065526570000001</v>
      </c>
      <c r="R686" s="2">
        <v>1.5919601910000001</v>
      </c>
      <c r="S686" s="2">
        <v>1.542703054</v>
      </c>
      <c r="T686" s="2">
        <v>2.8573735550000001</v>
      </c>
      <c r="U686" s="2">
        <v>2.9246124120000001</v>
      </c>
      <c r="V686" s="2">
        <v>1.9179607000000001E-2</v>
      </c>
      <c r="W686" s="2">
        <v>5.2382669E-2</v>
      </c>
      <c r="X686">
        <f t="shared" si="30"/>
        <v>1</v>
      </c>
      <c r="Y686">
        <f t="shared" si="31"/>
        <v>1</v>
      </c>
      <c r="Z686">
        <f t="shared" si="32"/>
        <v>1</v>
      </c>
    </row>
    <row r="687" spans="1:26" ht="15.75" customHeight="1" x14ac:dyDescent="0.2">
      <c r="A687" s="2" t="s">
        <v>23</v>
      </c>
      <c r="B687" s="2" t="s">
        <v>24</v>
      </c>
      <c r="C687" s="2" t="s">
        <v>28</v>
      </c>
      <c r="D687" s="2" t="s">
        <v>29</v>
      </c>
      <c r="E687" s="2">
        <v>182</v>
      </c>
      <c r="F687" s="2">
        <v>234</v>
      </c>
      <c r="G687" s="2">
        <v>295.33333329999999</v>
      </c>
      <c r="H687" s="2">
        <v>1344</v>
      </c>
      <c r="I687" s="2">
        <v>2825.333333</v>
      </c>
      <c r="J687" s="2">
        <v>2.33</v>
      </c>
      <c r="K687" s="2">
        <v>2.98</v>
      </c>
      <c r="L687" s="2">
        <v>10.38</v>
      </c>
      <c r="M687" s="2">
        <v>15.3</v>
      </c>
      <c r="N687" s="2">
        <v>2.2172741550000001</v>
      </c>
      <c r="O687" s="2">
        <v>2.3125341210000001</v>
      </c>
      <c r="P687" s="2">
        <v>2.0364671200000002</v>
      </c>
      <c r="Q687" s="2">
        <v>2.0204143879999998</v>
      </c>
      <c r="R687" s="2">
        <v>1.860863277</v>
      </c>
      <c r="S687" s="2">
        <v>1.8116061400000001</v>
      </c>
      <c r="T687" s="2">
        <v>0.82727637300000001</v>
      </c>
      <c r="U687" s="2">
        <v>0.89451522900000002</v>
      </c>
      <c r="V687" s="2">
        <v>-0.249723479</v>
      </c>
      <c r="W687" s="2">
        <v>7.3928680999999996E-2</v>
      </c>
      <c r="X687">
        <f t="shared" si="30"/>
        <v>1</v>
      </c>
      <c r="Y687">
        <f t="shared" si="31"/>
        <v>1</v>
      </c>
      <c r="Z687">
        <f t="shared" si="32"/>
        <v>1</v>
      </c>
    </row>
    <row r="688" spans="1:26" ht="15.75" customHeight="1" x14ac:dyDescent="0.2">
      <c r="A688" s="2" t="s">
        <v>23</v>
      </c>
      <c r="B688" s="2" t="s">
        <v>24</v>
      </c>
      <c r="C688" s="2" t="s">
        <v>32</v>
      </c>
      <c r="D688" s="2" t="s">
        <v>33</v>
      </c>
      <c r="E688" s="2">
        <v>132</v>
      </c>
      <c r="F688" s="2">
        <v>243.66666670000001</v>
      </c>
      <c r="G688" s="2">
        <v>512</v>
      </c>
      <c r="H688" s="2">
        <v>1058.333333</v>
      </c>
      <c r="I688" s="2">
        <v>2436.333333</v>
      </c>
      <c r="J688" s="2">
        <v>2.4300000000000002</v>
      </c>
      <c r="K688" s="2">
        <v>5.0199999999999996</v>
      </c>
      <c r="L688" s="2">
        <v>8.8699999999999992</v>
      </c>
      <c r="M688" s="2">
        <v>14.33</v>
      </c>
      <c r="N688" s="2">
        <v>3.3293897129999999</v>
      </c>
      <c r="O688" s="2">
        <v>3.5573792659999999</v>
      </c>
      <c r="P688" s="2">
        <v>2.339548175</v>
      </c>
      <c r="Q688" s="2">
        <v>2.4108012520000002</v>
      </c>
      <c r="R688" s="2">
        <v>0.181277993</v>
      </c>
      <c r="S688" s="2">
        <v>0.23053513</v>
      </c>
      <c r="T688" s="2">
        <v>2.3325145119999999</v>
      </c>
      <c r="U688" s="2">
        <v>2.3997533689999999</v>
      </c>
      <c r="V688" s="2">
        <v>1.7924177910000001</v>
      </c>
      <c r="W688" s="2">
        <v>7.1109968999999995E-2</v>
      </c>
      <c r="X688">
        <f t="shared" si="30"/>
        <v>1</v>
      </c>
      <c r="Y688">
        <f t="shared" si="31"/>
        <v>1</v>
      </c>
      <c r="Z688">
        <f t="shared" si="32"/>
        <v>1</v>
      </c>
    </row>
    <row r="689" spans="1:26" ht="15.75" customHeight="1" x14ac:dyDescent="0.2">
      <c r="A689" s="2" t="s">
        <v>23</v>
      </c>
      <c r="B689" s="2" t="s">
        <v>24</v>
      </c>
      <c r="C689" s="2" t="s">
        <v>25</v>
      </c>
      <c r="D689" s="2" t="s">
        <v>25</v>
      </c>
      <c r="E689" s="2">
        <v>85</v>
      </c>
      <c r="F689" s="2">
        <v>238</v>
      </c>
      <c r="G689" s="2">
        <v>732.66666669999995</v>
      </c>
      <c r="H689" s="2">
        <v>1599.666667</v>
      </c>
      <c r="I689" s="2">
        <v>1836</v>
      </c>
      <c r="J689" s="2">
        <v>2.37</v>
      </c>
      <c r="K689" s="2">
        <v>6.76</v>
      </c>
      <c r="L689" s="2">
        <v>11.52</v>
      </c>
      <c r="M689" s="2">
        <v>12.44</v>
      </c>
      <c r="N689" s="2">
        <v>0.487345168</v>
      </c>
      <c r="O689" s="2">
        <v>0.76544680700000001</v>
      </c>
      <c r="P689" s="2">
        <v>1.948947022</v>
      </c>
      <c r="Q689" s="2">
        <v>1.9880778459999999</v>
      </c>
      <c r="R689" s="2">
        <v>1.9233197449999999</v>
      </c>
      <c r="S689" s="2">
        <v>1.972576882</v>
      </c>
      <c r="T689" s="2">
        <v>0.31501691300000001</v>
      </c>
      <c r="U689" s="2">
        <v>0.247778057</v>
      </c>
      <c r="V689" s="2">
        <v>3.5344595430000001</v>
      </c>
      <c r="W689" s="2">
        <v>9.1168099000000002E-2</v>
      </c>
      <c r="X689">
        <f t="shared" si="30"/>
        <v>1</v>
      </c>
      <c r="Y689">
        <f t="shared" si="31"/>
        <v>1</v>
      </c>
      <c r="Z689">
        <f t="shared" si="32"/>
        <v>0</v>
      </c>
    </row>
    <row r="690" spans="1:26" ht="15.75" customHeight="1" x14ac:dyDescent="0.2">
      <c r="A690" s="2" t="s">
        <v>23</v>
      </c>
      <c r="B690" s="2" t="s">
        <v>24</v>
      </c>
      <c r="C690" s="2" t="s">
        <v>27</v>
      </c>
      <c r="D690" s="2" t="s">
        <v>27</v>
      </c>
      <c r="E690" s="2">
        <v>88</v>
      </c>
      <c r="F690" s="2">
        <v>243</v>
      </c>
      <c r="G690" s="2">
        <v>424</v>
      </c>
      <c r="H690" s="2">
        <v>2048.666667</v>
      </c>
      <c r="I690" s="2">
        <v>3166.333333</v>
      </c>
      <c r="J690" s="2">
        <v>2.4300000000000002</v>
      </c>
      <c r="K690" s="2">
        <v>4.24</v>
      </c>
      <c r="L690" s="2">
        <v>13.17</v>
      </c>
      <c r="M690" s="2">
        <v>16.03</v>
      </c>
      <c r="N690" s="2">
        <v>0.449602051</v>
      </c>
      <c r="O690" s="2">
        <v>0.199281502</v>
      </c>
      <c r="P690" s="2">
        <v>2.0588622170000002</v>
      </c>
      <c r="Q690" s="2">
        <v>1.980329513</v>
      </c>
      <c r="R690" s="2">
        <v>0.60338078900000003</v>
      </c>
      <c r="S690" s="2">
        <v>0.55412365200000002</v>
      </c>
      <c r="T690" s="2">
        <v>1.9684626620000001</v>
      </c>
      <c r="U690" s="2">
        <v>1.9012238050000001</v>
      </c>
      <c r="V690" s="2">
        <v>1.0077590089999999</v>
      </c>
      <c r="W690" s="2">
        <v>0.110597348</v>
      </c>
      <c r="X690">
        <f t="shared" si="30"/>
        <v>1</v>
      </c>
      <c r="Y690">
        <f t="shared" si="31"/>
        <v>1</v>
      </c>
      <c r="Z690">
        <f t="shared" si="32"/>
        <v>0</v>
      </c>
    </row>
    <row r="691" spans="1:26" ht="15.75" customHeight="1" x14ac:dyDescent="0.2">
      <c r="A691" s="2" t="s">
        <v>23</v>
      </c>
      <c r="B691" s="2" t="s">
        <v>24</v>
      </c>
      <c r="C691" s="2" t="s">
        <v>32</v>
      </c>
      <c r="D691" s="2" t="s">
        <v>33</v>
      </c>
      <c r="E691" s="2">
        <v>110</v>
      </c>
      <c r="F691" s="2">
        <v>263.66666670000001</v>
      </c>
      <c r="G691" s="2">
        <v>513.33333330000005</v>
      </c>
      <c r="H691" s="2">
        <v>916.66666669999995</v>
      </c>
      <c r="I691" s="2">
        <v>2462.666667</v>
      </c>
      <c r="J691" s="2">
        <v>2.65</v>
      </c>
      <c r="K691" s="2">
        <v>5.03</v>
      </c>
      <c r="L691" s="2">
        <v>8.01</v>
      </c>
      <c r="M691" s="2">
        <v>14.4</v>
      </c>
      <c r="N691" s="2">
        <v>4.005903429</v>
      </c>
      <c r="O691" s="2">
        <v>4.2041231489999999</v>
      </c>
      <c r="P691" s="2">
        <v>3.1956931449999999</v>
      </c>
      <c r="Q691" s="2">
        <v>3.2660919420000001</v>
      </c>
      <c r="R691" s="2">
        <v>0.192737357</v>
      </c>
      <c r="S691" s="2">
        <v>0.241994494</v>
      </c>
      <c r="T691" s="2">
        <v>3.1898757010000001</v>
      </c>
      <c r="U691" s="2">
        <v>3.257114557</v>
      </c>
      <c r="V691" s="2">
        <v>1.8038771549999999</v>
      </c>
      <c r="W691" s="2">
        <v>8.9374908000000003E-2</v>
      </c>
      <c r="X691">
        <f t="shared" si="30"/>
        <v>1</v>
      </c>
      <c r="Y691">
        <f t="shared" si="31"/>
        <v>1</v>
      </c>
      <c r="Z691">
        <f t="shared" si="32"/>
        <v>1</v>
      </c>
    </row>
    <row r="692" spans="1:26" ht="15.75" customHeight="1" x14ac:dyDescent="0.2">
      <c r="A692" s="2" t="s">
        <v>23</v>
      </c>
      <c r="B692" s="2" t="s">
        <v>24</v>
      </c>
      <c r="C692" s="2" t="s">
        <v>28</v>
      </c>
      <c r="D692" s="2" t="s">
        <v>29</v>
      </c>
      <c r="E692" s="2">
        <v>114</v>
      </c>
      <c r="F692" s="2">
        <v>235</v>
      </c>
      <c r="G692" s="2">
        <v>284.66666670000001</v>
      </c>
      <c r="H692" s="2">
        <v>1335.666667</v>
      </c>
      <c r="I692" s="2">
        <v>2463.666667</v>
      </c>
      <c r="J692" s="2">
        <v>2.34</v>
      </c>
      <c r="K692" s="2">
        <v>2.87</v>
      </c>
      <c r="L692" s="2">
        <v>10.34</v>
      </c>
      <c r="M692" s="2">
        <v>14.4</v>
      </c>
      <c r="N692" s="2">
        <v>2.265945141</v>
      </c>
      <c r="O692" s="2">
        <v>2.3462155390000001</v>
      </c>
      <c r="P692" s="2">
        <v>2.1539904449999998</v>
      </c>
      <c r="Q692" s="2">
        <v>2.137533978</v>
      </c>
      <c r="R692" s="2">
        <v>1.9715814760000001</v>
      </c>
      <c r="S692" s="2">
        <v>1.922324339</v>
      </c>
      <c r="T692" s="2">
        <v>0.86749139600000003</v>
      </c>
      <c r="U692" s="2">
        <v>0.93473025200000004</v>
      </c>
      <c r="V692" s="2">
        <v>-0.36044167799999999</v>
      </c>
      <c r="W692" s="2">
        <v>8.7292624999999999E-2</v>
      </c>
      <c r="X692">
        <f t="shared" si="30"/>
        <v>1</v>
      </c>
      <c r="Y692">
        <f t="shared" si="31"/>
        <v>1</v>
      </c>
      <c r="Z692">
        <f t="shared" si="32"/>
        <v>1</v>
      </c>
    </row>
    <row r="693" spans="1:26" ht="15.75" customHeight="1" x14ac:dyDescent="0.2">
      <c r="A693" s="2" t="s">
        <v>23</v>
      </c>
      <c r="B693" s="2" t="s">
        <v>24</v>
      </c>
      <c r="C693" s="2" t="s">
        <v>26</v>
      </c>
      <c r="D693" s="2" t="s">
        <v>26</v>
      </c>
      <c r="E693" s="2">
        <v>115</v>
      </c>
      <c r="F693" s="2">
        <v>205.33333329999999</v>
      </c>
      <c r="G693" s="2">
        <v>378.33333329999999</v>
      </c>
      <c r="H693" s="2">
        <v>720.66666669999995</v>
      </c>
      <c r="I693" s="2">
        <v>2830</v>
      </c>
      <c r="J693" s="2">
        <v>2.0099999999999998</v>
      </c>
      <c r="K693" s="2">
        <v>3.81</v>
      </c>
      <c r="L693" s="2">
        <v>6.68</v>
      </c>
      <c r="M693" s="2">
        <v>15.31</v>
      </c>
      <c r="N693" s="2">
        <v>2.186306128</v>
      </c>
      <c r="O693" s="2">
        <v>1.877449857</v>
      </c>
      <c r="P693" s="2">
        <v>4.6420659410000003</v>
      </c>
      <c r="Q693" s="2">
        <v>4.6970682879999996</v>
      </c>
      <c r="R693" s="2">
        <v>1.0338474550000001</v>
      </c>
      <c r="S693" s="2">
        <v>0.98459031699999999</v>
      </c>
      <c r="T693" s="2">
        <v>4.5254762890000002</v>
      </c>
      <c r="U693" s="2">
        <v>4.5927151459999997</v>
      </c>
      <c r="V693" s="2">
        <v>0.57729234399999996</v>
      </c>
      <c r="W693" s="2">
        <v>0.113722243</v>
      </c>
      <c r="X693">
        <f t="shared" si="30"/>
        <v>1</v>
      </c>
      <c r="Y693">
        <f t="shared" si="31"/>
        <v>1</v>
      </c>
      <c r="Z693">
        <f t="shared" si="32"/>
        <v>0</v>
      </c>
    </row>
    <row r="694" spans="1:26" ht="15.75" customHeight="1" x14ac:dyDescent="0.2">
      <c r="A694" s="2" t="s">
        <v>23</v>
      </c>
      <c r="B694" s="2" t="s">
        <v>24</v>
      </c>
      <c r="C694" s="2" t="s">
        <v>27</v>
      </c>
      <c r="D694" s="2" t="s">
        <v>27</v>
      </c>
      <c r="E694" s="2">
        <v>130</v>
      </c>
      <c r="F694" s="2">
        <v>268.66666670000001</v>
      </c>
      <c r="G694" s="2">
        <v>468.66666670000001</v>
      </c>
      <c r="H694" s="2">
        <v>1959</v>
      </c>
      <c r="I694" s="2">
        <v>2943.333333</v>
      </c>
      <c r="J694" s="2">
        <v>2.7</v>
      </c>
      <c r="K694" s="2">
        <v>4.6399999999999997</v>
      </c>
      <c r="L694" s="2">
        <v>12.87</v>
      </c>
      <c r="M694" s="2">
        <v>15.56</v>
      </c>
      <c r="N694" s="2">
        <v>0.256629936</v>
      </c>
      <c r="O694" s="2">
        <v>0.51385615500000004</v>
      </c>
      <c r="P694" s="2">
        <v>1.6802474220000001</v>
      </c>
      <c r="Q694" s="2">
        <v>1.608195051</v>
      </c>
      <c r="R694" s="2">
        <v>0.19800083800000001</v>
      </c>
      <c r="S694" s="2">
        <v>0.14874370100000001</v>
      </c>
      <c r="T694" s="2">
        <v>1.6685403999999999</v>
      </c>
      <c r="U694" s="2">
        <v>1.601301544</v>
      </c>
      <c r="V694" s="2">
        <v>1.4131389599999999</v>
      </c>
      <c r="W694" s="2">
        <v>0.129804959</v>
      </c>
      <c r="X694">
        <f t="shared" si="30"/>
        <v>1</v>
      </c>
      <c r="Y694">
        <f t="shared" si="31"/>
        <v>1</v>
      </c>
      <c r="Z694">
        <f t="shared" si="32"/>
        <v>0</v>
      </c>
    </row>
    <row r="695" spans="1:26" ht="15.75" customHeight="1" x14ac:dyDescent="0.2">
      <c r="A695" s="2" t="s">
        <v>23</v>
      </c>
      <c r="B695" s="2" t="s">
        <v>24</v>
      </c>
      <c r="C695" s="2" t="s">
        <v>27</v>
      </c>
      <c r="D695" s="2" t="s">
        <v>27</v>
      </c>
      <c r="E695" s="2">
        <v>128</v>
      </c>
      <c r="F695" s="2">
        <v>234.66666670000001</v>
      </c>
      <c r="G695" s="2">
        <v>455.33333329999999</v>
      </c>
      <c r="H695" s="2">
        <v>2002</v>
      </c>
      <c r="I695" s="2">
        <v>2682.666667</v>
      </c>
      <c r="J695" s="2">
        <v>2.34</v>
      </c>
      <c r="K695" s="2">
        <v>4.5199999999999996</v>
      </c>
      <c r="L695" s="2">
        <v>13.02</v>
      </c>
      <c r="M695" s="2">
        <v>14.96</v>
      </c>
      <c r="N695" s="2">
        <v>0.19388054199999999</v>
      </c>
      <c r="O695" s="2">
        <v>0.32878356199999997</v>
      </c>
      <c r="P695" s="2">
        <v>1.841628115</v>
      </c>
      <c r="Q695" s="2">
        <v>1.7672911419999999</v>
      </c>
      <c r="R695" s="2">
        <v>0.31743996899999999</v>
      </c>
      <c r="S695" s="2">
        <v>0.26818283199999998</v>
      </c>
      <c r="T695" s="2">
        <v>1.814063389</v>
      </c>
      <c r="U695" s="2">
        <v>1.7468245330000001</v>
      </c>
      <c r="V695" s="2">
        <v>1.2936998289999999</v>
      </c>
      <c r="W695" s="2">
        <v>0.12287113</v>
      </c>
      <c r="X695">
        <f t="shared" si="30"/>
        <v>1</v>
      </c>
      <c r="Y695">
        <f t="shared" si="31"/>
        <v>1</v>
      </c>
      <c r="Z695">
        <f t="shared" si="32"/>
        <v>0</v>
      </c>
    </row>
    <row r="696" spans="1:26" ht="15.75" customHeight="1" x14ac:dyDescent="0.2">
      <c r="A696" s="2" t="s">
        <v>23</v>
      </c>
      <c r="B696" s="2" t="s">
        <v>24</v>
      </c>
      <c r="C696" s="2" t="s">
        <v>32</v>
      </c>
      <c r="D696" s="2" t="s">
        <v>33</v>
      </c>
      <c r="E696" s="2">
        <v>128</v>
      </c>
      <c r="F696" s="2">
        <v>239.33333329999999</v>
      </c>
      <c r="G696" s="2">
        <v>702.66666669999995</v>
      </c>
      <c r="H696" s="2">
        <v>1203.333333</v>
      </c>
      <c r="I696" s="2">
        <v>2598</v>
      </c>
      <c r="J696" s="2">
        <v>2.39</v>
      </c>
      <c r="K696" s="2">
        <v>6.55</v>
      </c>
      <c r="L696" s="2">
        <v>9.67</v>
      </c>
      <c r="M696" s="2">
        <v>14.75</v>
      </c>
      <c r="N696" s="2">
        <v>1.8288894090000001</v>
      </c>
      <c r="O696" s="2">
        <v>1.9901211969999999</v>
      </c>
      <c r="P696" s="2">
        <v>2.2926900730000002</v>
      </c>
      <c r="Q696" s="2">
        <v>2.3743515620000002</v>
      </c>
      <c r="R696" s="2">
        <v>1.703445305</v>
      </c>
      <c r="S696" s="2">
        <v>1.752702443</v>
      </c>
      <c r="T696" s="2">
        <v>1.534503784</v>
      </c>
      <c r="U696" s="2">
        <v>1.601742641</v>
      </c>
      <c r="V696" s="2">
        <v>3.3145851039999998</v>
      </c>
      <c r="W696" s="2">
        <v>0.26435744799999999</v>
      </c>
      <c r="X696">
        <f t="shared" si="30"/>
        <v>1</v>
      </c>
      <c r="Y696">
        <f t="shared" si="31"/>
        <v>1</v>
      </c>
      <c r="Z696">
        <f t="shared" si="32"/>
        <v>1</v>
      </c>
    </row>
    <row r="697" spans="1:26" ht="15.75" customHeight="1" x14ac:dyDescent="0.2">
      <c r="A697" s="2" t="s">
        <v>23</v>
      </c>
      <c r="B697" s="2" t="s">
        <v>24</v>
      </c>
      <c r="C697" s="2" t="s">
        <v>28</v>
      </c>
      <c r="D697" s="2" t="s">
        <v>29</v>
      </c>
      <c r="E697" s="2">
        <v>60</v>
      </c>
      <c r="F697" s="2">
        <v>248</v>
      </c>
      <c r="G697" s="2">
        <v>346.33333329999999</v>
      </c>
      <c r="H697" s="2">
        <v>976.33333330000005</v>
      </c>
      <c r="I697" s="2">
        <v>2302</v>
      </c>
      <c r="J697" s="2">
        <v>2.48</v>
      </c>
      <c r="K697" s="2">
        <v>3.5</v>
      </c>
      <c r="L697" s="2">
        <v>8.3800000000000008</v>
      </c>
      <c r="M697" s="2">
        <v>13.95</v>
      </c>
      <c r="N697" s="2">
        <v>1.062919771</v>
      </c>
      <c r="O697" s="2">
        <v>0.82350584299999996</v>
      </c>
      <c r="P697" s="2">
        <v>3.1234250609999998</v>
      </c>
      <c r="Q697" s="2">
        <v>3.1637346979999998</v>
      </c>
      <c r="R697" s="2">
        <v>1.345646203</v>
      </c>
      <c r="S697" s="2">
        <v>1.2963890659999999</v>
      </c>
      <c r="T697" s="2">
        <v>2.8186912579999999</v>
      </c>
      <c r="U697" s="2">
        <v>2.8859301149999999</v>
      </c>
      <c r="V697" s="2">
        <v>0.26549359500000003</v>
      </c>
      <c r="W697" s="2">
        <v>5.9685512000000003E-2</v>
      </c>
      <c r="X697">
        <f t="shared" si="30"/>
        <v>1</v>
      </c>
      <c r="Y697">
        <f t="shared" si="31"/>
        <v>1</v>
      </c>
      <c r="Z697">
        <f t="shared" si="32"/>
        <v>1</v>
      </c>
    </row>
    <row r="698" spans="1:26" ht="15.75" customHeight="1" x14ac:dyDescent="0.2">
      <c r="A698" s="2" t="s">
        <v>23</v>
      </c>
      <c r="B698" s="2" t="s">
        <v>24</v>
      </c>
      <c r="C698" s="2" t="s">
        <v>26</v>
      </c>
      <c r="D698" s="2" t="s">
        <v>26</v>
      </c>
      <c r="E698" s="2">
        <v>74</v>
      </c>
      <c r="F698" s="2">
        <v>237.66666670000001</v>
      </c>
      <c r="G698" s="2">
        <v>447.66666670000001</v>
      </c>
      <c r="H698" s="2">
        <v>1372.333333</v>
      </c>
      <c r="I698" s="2">
        <v>3005</v>
      </c>
      <c r="J698" s="2">
        <v>2.37</v>
      </c>
      <c r="K698" s="2">
        <v>4.45</v>
      </c>
      <c r="L698" s="2">
        <v>10.51</v>
      </c>
      <c r="M698" s="2">
        <v>15.7</v>
      </c>
      <c r="N698" s="2">
        <v>1.7575504479999999</v>
      </c>
      <c r="O698" s="2">
        <v>2.0302443769999998</v>
      </c>
      <c r="P698" s="2">
        <v>0.79276891199999999</v>
      </c>
      <c r="Q698" s="2">
        <v>0.83090195300000003</v>
      </c>
      <c r="R698" s="2">
        <v>0.38671648400000003</v>
      </c>
      <c r="S698" s="2">
        <v>0.33745934700000002</v>
      </c>
      <c r="T698" s="2">
        <v>0.69204978800000005</v>
      </c>
      <c r="U698" s="2">
        <v>0.75928864399999996</v>
      </c>
      <c r="V698" s="2">
        <v>1.224423314</v>
      </c>
      <c r="W698" s="2">
        <v>0.157966209</v>
      </c>
      <c r="X698">
        <f t="shared" si="30"/>
        <v>1</v>
      </c>
      <c r="Y698">
        <f t="shared" si="31"/>
        <v>1</v>
      </c>
      <c r="Z698">
        <f t="shared" si="32"/>
        <v>0</v>
      </c>
    </row>
    <row r="699" spans="1:26" ht="15.75" customHeight="1" x14ac:dyDescent="0.2">
      <c r="A699" s="2" t="s">
        <v>23</v>
      </c>
      <c r="B699" s="2" t="s">
        <v>24</v>
      </c>
      <c r="C699" s="2" t="s">
        <v>30</v>
      </c>
      <c r="D699" s="2" t="s">
        <v>31</v>
      </c>
      <c r="E699" s="2">
        <v>103</v>
      </c>
      <c r="F699" s="2">
        <v>215.33333329999999</v>
      </c>
      <c r="G699" s="2">
        <v>817.33333330000005</v>
      </c>
      <c r="H699" s="2">
        <v>1501.666667</v>
      </c>
      <c r="I699" s="2">
        <v>3629</v>
      </c>
      <c r="J699" s="2">
        <v>2.12</v>
      </c>
      <c r="K699" s="2">
        <v>7.36</v>
      </c>
      <c r="L699" s="2">
        <v>11.1</v>
      </c>
      <c r="M699" s="2">
        <v>16.88</v>
      </c>
      <c r="N699" s="2">
        <v>3.3543752320000002</v>
      </c>
      <c r="O699" s="2">
        <v>3.711742031</v>
      </c>
      <c r="P699" s="2">
        <v>2.52033576</v>
      </c>
      <c r="Q699" s="2">
        <v>2.5731223750000001</v>
      </c>
      <c r="R699" s="2">
        <v>2.5182345079999999</v>
      </c>
      <c r="S699" s="2">
        <v>2.567491645</v>
      </c>
      <c r="T699" s="2">
        <v>0.10289464500000001</v>
      </c>
      <c r="U699" s="2">
        <v>0.17013350199999999</v>
      </c>
      <c r="V699" s="2">
        <v>4.1293743059999999</v>
      </c>
      <c r="W699" s="2">
        <v>5.3647896E-2</v>
      </c>
      <c r="X699">
        <f t="shared" si="30"/>
        <v>1</v>
      </c>
      <c r="Y699">
        <f t="shared" si="31"/>
        <v>1</v>
      </c>
      <c r="Z699">
        <f t="shared" si="32"/>
        <v>1</v>
      </c>
    </row>
    <row r="700" spans="1:26" ht="15.75" customHeight="1" x14ac:dyDescent="0.2">
      <c r="A700" s="2" t="s">
        <v>23</v>
      </c>
      <c r="B700" s="2" t="s">
        <v>24</v>
      </c>
      <c r="C700" s="2" t="s">
        <v>27</v>
      </c>
      <c r="D700" s="2" t="s">
        <v>27</v>
      </c>
      <c r="E700" s="2">
        <v>83</v>
      </c>
      <c r="F700" s="2">
        <v>228.66666670000001</v>
      </c>
      <c r="G700" s="2">
        <v>461.33333329999999</v>
      </c>
      <c r="H700" s="2">
        <v>1840.333333</v>
      </c>
      <c r="I700" s="2">
        <v>2760.666667</v>
      </c>
      <c r="J700" s="2">
        <v>2.27</v>
      </c>
      <c r="K700" s="2">
        <v>4.58</v>
      </c>
      <c r="L700" s="2">
        <v>12.45</v>
      </c>
      <c r="M700" s="2">
        <v>15.15</v>
      </c>
      <c r="N700" s="2">
        <v>0.68040377200000002</v>
      </c>
      <c r="O700" s="2">
        <v>0.88204388899999997</v>
      </c>
      <c r="P700" s="2">
        <v>1.277338222</v>
      </c>
      <c r="Q700" s="2">
        <v>1.201873865</v>
      </c>
      <c r="R700" s="2">
        <v>0.26352957900000001</v>
      </c>
      <c r="S700" s="2">
        <v>0.21427244100000001</v>
      </c>
      <c r="T700" s="2">
        <v>1.24985803</v>
      </c>
      <c r="U700" s="2">
        <v>1.182619173</v>
      </c>
      <c r="V700" s="2">
        <v>1.34761022</v>
      </c>
      <c r="W700" s="2">
        <v>7.2663845000000005E-2</v>
      </c>
      <c r="X700">
        <f t="shared" si="30"/>
        <v>1</v>
      </c>
      <c r="Y700">
        <f t="shared" si="31"/>
        <v>1</v>
      </c>
      <c r="Z700">
        <f t="shared" si="32"/>
        <v>0</v>
      </c>
    </row>
    <row r="701" spans="1:26" ht="15.75" customHeight="1" x14ac:dyDescent="0.2">
      <c r="A701" s="2" t="s">
        <v>23</v>
      </c>
      <c r="B701" s="2" t="s">
        <v>24</v>
      </c>
      <c r="C701" s="2" t="s">
        <v>30</v>
      </c>
      <c r="D701" s="2" t="s">
        <v>31</v>
      </c>
      <c r="E701" s="2">
        <v>136</v>
      </c>
      <c r="F701" s="2">
        <v>240.66666670000001</v>
      </c>
      <c r="G701" s="2">
        <v>700</v>
      </c>
      <c r="H701" s="2">
        <v>1387.333333</v>
      </c>
      <c r="I701" s="2">
        <v>2822</v>
      </c>
      <c r="J701" s="2">
        <v>2.4</v>
      </c>
      <c r="K701" s="2">
        <v>6.53</v>
      </c>
      <c r="L701" s="2">
        <v>10.58</v>
      </c>
      <c r="M701" s="2">
        <v>15.29</v>
      </c>
      <c r="N701" s="2">
        <v>3.1388931819999999</v>
      </c>
      <c r="O701" s="2">
        <v>3.4729431860000002</v>
      </c>
      <c r="P701" s="2">
        <v>1.7946683800000001</v>
      </c>
      <c r="Q701" s="2">
        <v>1.864727628</v>
      </c>
      <c r="R701" s="2">
        <v>1.683660892</v>
      </c>
      <c r="S701" s="2">
        <v>1.7329180289999999</v>
      </c>
      <c r="T701" s="2">
        <v>0.62138602700000001</v>
      </c>
      <c r="U701" s="2">
        <v>0.68862488399999999</v>
      </c>
      <c r="V701" s="2">
        <v>3.2948006900000002</v>
      </c>
      <c r="W701" s="2">
        <v>9.7424778000000004E-2</v>
      </c>
      <c r="X701">
        <f t="shared" si="30"/>
        <v>1</v>
      </c>
      <c r="Y701">
        <f t="shared" si="31"/>
        <v>1</v>
      </c>
      <c r="Z701">
        <f t="shared" si="32"/>
        <v>1</v>
      </c>
    </row>
    <row r="702" spans="1:26" ht="15.75" customHeight="1" x14ac:dyDescent="0.2">
      <c r="A702" s="2" t="s">
        <v>23</v>
      </c>
      <c r="B702" s="2" t="s">
        <v>24</v>
      </c>
      <c r="C702" s="2" t="s">
        <v>26</v>
      </c>
      <c r="D702" s="2" t="s">
        <v>26</v>
      </c>
      <c r="E702" s="2">
        <v>74</v>
      </c>
      <c r="F702" s="2">
        <v>228.66666670000001</v>
      </c>
      <c r="G702" s="2">
        <v>438.33333329999999</v>
      </c>
      <c r="H702" s="2">
        <v>1127.333333</v>
      </c>
      <c r="I702" s="2">
        <v>2623</v>
      </c>
      <c r="J702" s="2">
        <v>2.27</v>
      </c>
      <c r="K702" s="2">
        <v>4.37</v>
      </c>
      <c r="L702" s="2">
        <v>9.26</v>
      </c>
      <c r="M702" s="2">
        <v>14.81</v>
      </c>
      <c r="N702" s="2">
        <v>0.52042772000000004</v>
      </c>
      <c r="O702" s="2">
        <v>0.77599871099999995</v>
      </c>
      <c r="P702" s="2">
        <v>1.999837316</v>
      </c>
      <c r="Q702" s="2">
        <v>2.054550903</v>
      </c>
      <c r="R702" s="2">
        <v>0.47165091100000001</v>
      </c>
      <c r="S702" s="2">
        <v>0.42239377299999997</v>
      </c>
      <c r="T702" s="2">
        <v>1.9434234509999999</v>
      </c>
      <c r="U702" s="2">
        <v>2.010662307</v>
      </c>
      <c r="V702" s="2">
        <v>1.139488888</v>
      </c>
      <c r="W702" s="2">
        <v>0.14738794799999999</v>
      </c>
      <c r="X702">
        <f t="shared" si="30"/>
        <v>1</v>
      </c>
      <c r="Y702">
        <f t="shared" si="31"/>
        <v>1</v>
      </c>
      <c r="Z702">
        <f t="shared" si="32"/>
        <v>0</v>
      </c>
    </row>
    <row r="703" spans="1:26" ht="15.75" customHeight="1" x14ac:dyDescent="0.2">
      <c r="A703" s="2" t="s">
        <v>23</v>
      </c>
      <c r="B703" s="2" t="s">
        <v>24</v>
      </c>
      <c r="C703" s="2" t="s">
        <v>26</v>
      </c>
      <c r="D703" s="2" t="s">
        <v>26</v>
      </c>
      <c r="E703" s="2">
        <v>140</v>
      </c>
      <c r="F703" s="2">
        <v>201.66666670000001</v>
      </c>
      <c r="G703" s="2">
        <v>450</v>
      </c>
      <c r="H703" s="2">
        <v>1035.333333</v>
      </c>
      <c r="I703" s="2">
        <v>2931.333333</v>
      </c>
      <c r="J703" s="2">
        <v>1.97</v>
      </c>
      <c r="K703" s="2">
        <v>4.4800000000000004</v>
      </c>
      <c r="L703" s="2">
        <v>8.74</v>
      </c>
      <c r="M703" s="2">
        <v>15.54</v>
      </c>
      <c r="N703" s="2">
        <v>2.3738697E-2</v>
      </c>
      <c r="O703" s="2">
        <v>0.29930680799999998</v>
      </c>
      <c r="P703" s="2">
        <v>2.493144837</v>
      </c>
      <c r="Q703" s="2">
        <v>2.5531062210000002</v>
      </c>
      <c r="R703" s="2">
        <v>0.36558566799999997</v>
      </c>
      <c r="S703" s="2">
        <v>0.31632853100000002</v>
      </c>
      <c r="T703" s="2">
        <v>2.4661951050000002</v>
      </c>
      <c r="U703" s="2">
        <v>2.5334339610000001</v>
      </c>
      <c r="V703" s="2">
        <v>1.2455541299999999</v>
      </c>
      <c r="W703" s="2">
        <v>0.18909958499999999</v>
      </c>
      <c r="X703">
        <f t="shared" si="30"/>
        <v>1</v>
      </c>
      <c r="Y703">
        <f t="shared" si="31"/>
        <v>1</v>
      </c>
      <c r="Z703">
        <f t="shared" si="32"/>
        <v>0</v>
      </c>
    </row>
    <row r="704" spans="1:26" ht="15.75" customHeight="1" x14ac:dyDescent="0.2">
      <c r="A704" s="2" t="s">
        <v>23</v>
      </c>
      <c r="B704" s="2" t="s">
        <v>24</v>
      </c>
      <c r="C704" s="2" t="s">
        <v>26</v>
      </c>
      <c r="D704" s="2" t="s">
        <v>26</v>
      </c>
      <c r="E704" s="2">
        <v>132</v>
      </c>
      <c r="F704" s="2">
        <v>255.66666670000001</v>
      </c>
      <c r="G704" s="2">
        <v>465.66666670000001</v>
      </c>
      <c r="H704" s="2">
        <v>855.66666669999995</v>
      </c>
      <c r="I704" s="2">
        <v>2866.666667</v>
      </c>
      <c r="J704" s="2">
        <v>2.56</v>
      </c>
      <c r="K704" s="2">
        <v>4.62</v>
      </c>
      <c r="L704" s="2">
        <v>7.62</v>
      </c>
      <c r="M704" s="2">
        <v>15.39</v>
      </c>
      <c r="N704" s="2">
        <v>1.1431945379999999</v>
      </c>
      <c r="O704" s="2">
        <v>0.91983464199999998</v>
      </c>
      <c r="P704" s="2">
        <v>3.59265502</v>
      </c>
      <c r="Q704" s="2">
        <v>3.657069999</v>
      </c>
      <c r="R704" s="2">
        <v>0.22476016100000001</v>
      </c>
      <c r="S704" s="2">
        <v>0.17550302300000001</v>
      </c>
      <c r="T704" s="2">
        <v>3.585617515</v>
      </c>
      <c r="U704" s="2">
        <v>3.6528563709999999</v>
      </c>
      <c r="V704" s="2">
        <v>1.386379638</v>
      </c>
      <c r="W704" s="2">
        <v>0.13825232600000001</v>
      </c>
      <c r="X704">
        <f t="shared" si="30"/>
        <v>1</v>
      </c>
      <c r="Y704">
        <f t="shared" si="31"/>
        <v>1</v>
      </c>
      <c r="Z704">
        <f t="shared" si="32"/>
        <v>0</v>
      </c>
    </row>
    <row r="705" spans="1:26" ht="15.75" customHeight="1" x14ac:dyDescent="0.2">
      <c r="A705" s="2" t="s">
        <v>23</v>
      </c>
      <c r="B705" s="2" t="s">
        <v>24</v>
      </c>
      <c r="C705" s="2" t="s">
        <v>25</v>
      </c>
      <c r="D705" s="2" t="s">
        <v>25</v>
      </c>
      <c r="E705" s="2">
        <v>220</v>
      </c>
      <c r="F705" s="2">
        <v>215.66666670000001</v>
      </c>
      <c r="G705" s="2">
        <v>817.33333330000005</v>
      </c>
      <c r="H705" s="2">
        <v>1446.333333</v>
      </c>
      <c r="I705" s="2">
        <v>2028.666667</v>
      </c>
      <c r="J705" s="2">
        <v>2.13</v>
      </c>
      <c r="K705" s="2">
        <v>7.36</v>
      </c>
      <c r="L705" s="2">
        <v>10.85</v>
      </c>
      <c r="M705" s="2">
        <v>13.11</v>
      </c>
      <c r="N705" s="2">
        <v>0.52847730000000004</v>
      </c>
      <c r="O705" s="2">
        <v>0.57235843799999997</v>
      </c>
      <c r="P705" s="2">
        <v>2.5423692349999998</v>
      </c>
      <c r="Q705" s="2">
        <v>2.6010897669999999</v>
      </c>
      <c r="R705" s="2">
        <v>2.5182345079999999</v>
      </c>
      <c r="S705" s="2">
        <v>2.567491645</v>
      </c>
      <c r="T705" s="2">
        <v>0.349480028</v>
      </c>
      <c r="U705" s="2">
        <v>0.41671888400000001</v>
      </c>
      <c r="V705" s="2">
        <v>4.1293743059999999</v>
      </c>
      <c r="W705" s="2">
        <v>0.146029616</v>
      </c>
      <c r="X705">
        <f t="shared" si="30"/>
        <v>1</v>
      </c>
      <c r="Y705">
        <f t="shared" si="31"/>
        <v>1</v>
      </c>
      <c r="Z705">
        <f t="shared" si="32"/>
        <v>0</v>
      </c>
    </row>
    <row r="706" spans="1:26" ht="15.75" customHeight="1" x14ac:dyDescent="0.2">
      <c r="A706" s="2" t="s">
        <v>23</v>
      </c>
      <c r="B706" s="2" t="s">
        <v>24</v>
      </c>
      <c r="C706" s="2" t="s">
        <v>25</v>
      </c>
      <c r="D706" s="2" t="s">
        <v>25</v>
      </c>
      <c r="E706" s="2">
        <v>134</v>
      </c>
      <c r="F706" s="2">
        <v>217</v>
      </c>
      <c r="G706" s="2">
        <v>839</v>
      </c>
      <c r="H706" s="2">
        <v>1596</v>
      </c>
      <c r="I706" s="2">
        <v>2732</v>
      </c>
      <c r="J706" s="2">
        <v>2.14</v>
      </c>
      <c r="K706" s="2">
        <v>7.51</v>
      </c>
      <c r="L706" s="2">
        <v>11.5</v>
      </c>
      <c r="M706" s="2">
        <v>15.08</v>
      </c>
      <c r="N706" s="2">
        <v>0.31072548500000002</v>
      </c>
      <c r="O706" s="2">
        <v>0.101417252</v>
      </c>
      <c r="P706" s="2">
        <v>2.6815042990000002</v>
      </c>
      <c r="Q706" s="2">
        <v>2.7238955740000002</v>
      </c>
      <c r="R706" s="2">
        <v>2.6646928399999998</v>
      </c>
      <c r="S706" s="2">
        <v>2.713949977</v>
      </c>
      <c r="T706" s="2">
        <v>0.29979556099999999</v>
      </c>
      <c r="U706" s="2">
        <v>0.232556705</v>
      </c>
      <c r="V706" s="2">
        <v>4.2758326379999998</v>
      </c>
      <c r="W706" s="2">
        <v>0.14210218799999999</v>
      </c>
      <c r="X706">
        <f t="shared" si="30"/>
        <v>1</v>
      </c>
      <c r="Y706">
        <f t="shared" si="31"/>
        <v>1</v>
      </c>
      <c r="Z706">
        <f t="shared" si="32"/>
        <v>0</v>
      </c>
    </row>
    <row r="707" spans="1:26" ht="15.75" customHeight="1" x14ac:dyDescent="0.2">
      <c r="A707" s="2" t="s">
        <v>23</v>
      </c>
      <c r="B707" s="2" t="s">
        <v>24</v>
      </c>
      <c r="C707" s="2" t="s">
        <v>25</v>
      </c>
      <c r="D707" s="2" t="s">
        <v>25</v>
      </c>
      <c r="E707" s="2">
        <v>209</v>
      </c>
      <c r="F707" s="2">
        <v>238.33333329999999</v>
      </c>
      <c r="G707" s="2">
        <v>789</v>
      </c>
      <c r="H707" s="2">
        <v>1555</v>
      </c>
      <c r="I707" s="2">
        <v>2422.666667</v>
      </c>
      <c r="J707" s="2">
        <v>2.38</v>
      </c>
      <c r="K707" s="2">
        <v>7.16</v>
      </c>
      <c r="L707" s="2">
        <v>11.33</v>
      </c>
      <c r="M707" s="2">
        <v>14.29</v>
      </c>
      <c r="N707" s="2">
        <v>7.1839759000000003E-2</v>
      </c>
      <c r="O707" s="2">
        <v>0.36399190599999998</v>
      </c>
      <c r="P707" s="2">
        <v>2.3267207679999999</v>
      </c>
      <c r="Q707" s="2">
        <v>2.3732491439999999</v>
      </c>
      <c r="R707" s="2">
        <v>2.323228582</v>
      </c>
      <c r="S707" s="2">
        <v>2.3724857190000002</v>
      </c>
      <c r="T707" s="2">
        <v>0.12743033200000001</v>
      </c>
      <c r="U707" s="2">
        <v>6.0191476000000001E-2</v>
      </c>
      <c r="V707" s="2">
        <v>3.93436838</v>
      </c>
      <c r="W707" s="2">
        <v>0.25394422900000002</v>
      </c>
      <c r="X707">
        <f t="shared" ref="X707:X770" si="33">IF(B707="normal",1,0)</f>
        <v>1</v>
      </c>
      <c r="Y707">
        <f t="shared" ref="Y707:Y770" si="34">IF(A707="lecture",1,0)</f>
        <v>1</v>
      </c>
      <c r="Z707">
        <f t="shared" ref="Z707:Z770" si="35">IF(ISNUMBER(FIND("~",D707)),1,0)</f>
        <v>0</v>
      </c>
    </row>
    <row r="708" spans="1:26" ht="15.75" customHeight="1" x14ac:dyDescent="0.2">
      <c r="A708" s="2" t="s">
        <v>23</v>
      </c>
      <c r="B708" s="2" t="s">
        <v>24</v>
      </c>
      <c r="C708" s="2" t="s">
        <v>28</v>
      </c>
      <c r="D708" s="2" t="s">
        <v>29</v>
      </c>
      <c r="E708" s="2">
        <v>149</v>
      </c>
      <c r="F708" s="2">
        <v>263.66666670000001</v>
      </c>
      <c r="G708" s="2">
        <v>306</v>
      </c>
      <c r="H708" s="2">
        <v>1211.666667</v>
      </c>
      <c r="I708" s="2">
        <v>2205.333333</v>
      </c>
      <c r="J708" s="2">
        <v>2.65</v>
      </c>
      <c r="K708" s="2">
        <v>3.09</v>
      </c>
      <c r="L708" s="2">
        <v>9.7100000000000009</v>
      </c>
      <c r="M708" s="2">
        <v>13.66</v>
      </c>
      <c r="N708" s="2">
        <v>1.698380198</v>
      </c>
      <c r="O708" s="2">
        <v>1.731899528</v>
      </c>
      <c r="P708" s="2">
        <v>2.299851292</v>
      </c>
      <c r="Q708" s="2">
        <v>2.3074300750000001</v>
      </c>
      <c r="R708" s="2">
        <v>1.7511874380000001</v>
      </c>
      <c r="S708" s="2">
        <v>1.701930301</v>
      </c>
      <c r="T708" s="2">
        <v>1.490858317</v>
      </c>
      <c r="U708" s="2">
        <v>1.558097174</v>
      </c>
      <c r="V708" s="2">
        <v>-0.14004764</v>
      </c>
      <c r="W708" s="2">
        <v>0.17503518000000001</v>
      </c>
      <c r="X708">
        <f t="shared" si="33"/>
        <v>1</v>
      </c>
      <c r="Y708">
        <f t="shared" si="34"/>
        <v>1</v>
      </c>
      <c r="Z708">
        <f t="shared" si="35"/>
        <v>1</v>
      </c>
    </row>
    <row r="709" spans="1:26" ht="15.75" customHeight="1" x14ac:dyDescent="0.2">
      <c r="A709" s="2" t="s">
        <v>23</v>
      </c>
      <c r="B709" s="2" t="s">
        <v>24</v>
      </c>
      <c r="C709" s="2" t="s">
        <v>30</v>
      </c>
      <c r="D709" s="2" t="s">
        <v>31</v>
      </c>
      <c r="E709" s="2">
        <v>154</v>
      </c>
      <c r="F709" s="2">
        <v>236</v>
      </c>
      <c r="G709" s="2">
        <v>636.66666669999995</v>
      </c>
      <c r="H709" s="2">
        <v>1164.666667</v>
      </c>
      <c r="I709" s="2">
        <v>1509.666667</v>
      </c>
      <c r="J709" s="2">
        <v>2.35</v>
      </c>
      <c r="K709" s="2">
        <v>6.04</v>
      </c>
      <c r="L709" s="2">
        <v>9.4600000000000009</v>
      </c>
      <c r="M709" s="2">
        <v>11.14</v>
      </c>
      <c r="N709" s="2">
        <v>3.9055286850000002</v>
      </c>
      <c r="O709" s="2">
        <v>4.1936029560000003</v>
      </c>
      <c r="P709" s="2">
        <v>2.1147672540000002</v>
      </c>
      <c r="Q709" s="2">
        <v>2.1980868999999998</v>
      </c>
      <c r="R709" s="2">
        <v>1.2018380420000001</v>
      </c>
      <c r="S709" s="2">
        <v>1.2510951800000001</v>
      </c>
      <c r="T709" s="2">
        <v>1.7400648999999999</v>
      </c>
      <c r="U709" s="2">
        <v>1.8073037569999999</v>
      </c>
      <c r="V709" s="2">
        <v>2.8129778409999999</v>
      </c>
      <c r="W709" s="2">
        <v>0.169648727</v>
      </c>
      <c r="X709">
        <f t="shared" si="33"/>
        <v>1</v>
      </c>
      <c r="Y709">
        <f t="shared" si="34"/>
        <v>1</v>
      </c>
      <c r="Z709">
        <f t="shared" si="35"/>
        <v>1</v>
      </c>
    </row>
    <row r="710" spans="1:26" ht="15.75" customHeight="1" x14ac:dyDescent="0.2">
      <c r="A710" s="2" t="s">
        <v>23</v>
      </c>
      <c r="B710" s="2" t="s">
        <v>24</v>
      </c>
      <c r="C710" s="2" t="s">
        <v>32</v>
      </c>
      <c r="D710" s="2" t="s">
        <v>33</v>
      </c>
      <c r="E710" s="2">
        <v>129</v>
      </c>
      <c r="F710" s="2">
        <v>245.66666670000001</v>
      </c>
      <c r="G710" s="2">
        <v>523.66666669999995</v>
      </c>
      <c r="H710" s="2">
        <v>999</v>
      </c>
      <c r="I710" s="2">
        <v>2189</v>
      </c>
      <c r="J710" s="2">
        <v>2.46</v>
      </c>
      <c r="K710" s="2">
        <v>5.12</v>
      </c>
      <c r="L710" s="2">
        <v>8.52</v>
      </c>
      <c r="M710" s="2">
        <v>13.61</v>
      </c>
      <c r="N710" s="2">
        <v>3.5380976579999999</v>
      </c>
      <c r="O710" s="2">
        <v>3.7490818020000001</v>
      </c>
      <c r="P710" s="2">
        <v>2.6963022570000001</v>
      </c>
      <c r="Q710" s="2">
        <v>2.7686286849999999</v>
      </c>
      <c r="R710" s="2">
        <v>0.281130253</v>
      </c>
      <c r="S710" s="2">
        <v>0.33038739099999997</v>
      </c>
      <c r="T710" s="2">
        <v>2.6816061680000001</v>
      </c>
      <c r="U710" s="2">
        <v>2.748845024</v>
      </c>
      <c r="V710" s="2">
        <v>1.892270052</v>
      </c>
      <c r="W710" s="2">
        <v>7.7899412000000001E-2</v>
      </c>
      <c r="X710">
        <f t="shared" si="33"/>
        <v>1</v>
      </c>
      <c r="Y710">
        <f t="shared" si="34"/>
        <v>1</v>
      </c>
      <c r="Z710">
        <f t="shared" si="35"/>
        <v>1</v>
      </c>
    </row>
    <row r="711" spans="1:26" ht="15.75" customHeight="1" x14ac:dyDescent="0.2">
      <c r="A711" s="2" t="s">
        <v>23</v>
      </c>
      <c r="B711" s="2" t="s">
        <v>24</v>
      </c>
      <c r="C711" s="2" t="s">
        <v>26</v>
      </c>
      <c r="D711" s="2" t="s">
        <v>26</v>
      </c>
      <c r="E711" s="2">
        <v>87</v>
      </c>
      <c r="F711" s="2">
        <v>220.66666670000001</v>
      </c>
      <c r="G711" s="2">
        <v>441</v>
      </c>
      <c r="H711" s="2">
        <v>1152.333333</v>
      </c>
      <c r="I711" s="2">
        <v>2829.666667</v>
      </c>
      <c r="J711" s="2">
        <v>2.1800000000000002</v>
      </c>
      <c r="K711" s="2">
        <v>4.3899999999999997</v>
      </c>
      <c r="L711" s="2">
        <v>9.4</v>
      </c>
      <c r="M711" s="2">
        <v>15.31</v>
      </c>
      <c r="N711" s="2">
        <v>0.64996607799999995</v>
      </c>
      <c r="O711" s="2">
        <v>0.91424084900000002</v>
      </c>
      <c r="P711" s="2">
        <v>1.8612574900000001</v>
      </c>
      <c r="Q711" s="2">
        <v>1.9157560979999999</v>
      </c>
      <c r="R711" s="2">
        <v>0.44731655199999998</v>
      </c>
      <c r="S711" s="2">
        <v>0.398059414</v>
      </c>
      <c r="T711" s="2">
        <v>1.8067062149999999</v>
      </c>
      <c r="U711" s="2">
        <v>1.8739450719999999</v>
      </c>
      <c r="V711" s="2">
        <v>1.1638232470000001</v>
      </c>
      <c r="W711" s="2">
        <v>0.13164364000000001</v>
      </c>
      <c r="X711">
        <f t="shared" si="33"/>
        <v>1</v>
      </c>
      <c r="Y711">
        <f t="shared" si="34"/>
        <v>1</v>
      </c>
      <c r="Z711">
        <f t="shared" si="35"/>
        <v>0</v>
      </c>
    </row>
    <row r="712" spans="1:26" ht="15.75" customHeight="1" x14ac:dyDescent="0.2">
      <c r="A712" s="2" t="s">
        <v>23</v>
      </c>
      <c r="B712" s="2" t="s">
        <v>24</v>
      </c>
      <c r="C712" s="2" t="s">
        <v>32</v>
      </c>
      <c r="D712" s="2" t="s">
        <v>33</v>
      </c>
      <c r="E712" s="2">
        <v>143</v>
      </c>
      <c r="F712" s="2">
        <v>234.66666670000001</v>
      </c>
      <c r="G712" s="2">
        <v>663</v>
      </c>
      <c r="H712" s="2">
        <v>1021.333333</v>
      </c>
      <c r="I712" s="2">
        <v>2187</v>
      </c>
      <c r="J712" s="2">
        <v>2.34</v>
      </c>
      <c r="K712" s="2">
        <v>6.25</v>
      </c>
      <c r="L712" s="2">
        <v>8.65</v>
      </c>
      <c r="M712" s="2">
        <v>13.61</v>
      </c>
      <c r="N712" s="2">
        <v>2.8828610210000001</v>
      </c>
      <c r="O712" s="2">
        <v>3.029485803</v>
      </c>
      <c r="P712" s="2">
        <v>2.910200304</v>
      </c>
      <c r="Q712" s="2">
        <v>2.992883629</v>
      </c>
      <c r="R712" s="2">
        <v>1.4050008599999999</v>
      </c>
      <c r="S712" s="2">
        <v>1.4542579980000001</v>
      </c>
      <c r="T712" s="2">
        <v>2.5485757570000001</v>
      </c>
      <c r="U712" s="2">
        <v>2.615814613</v>
      </c>
      <c r="V712" s="2">
        <v>3.0161406589999999</v>
      </c>
      <c r="W712" s="2">
        <v>0.202500493</v>
      </c>
      <c r="X712">
        <f t="shared" si="33"/>
        <v>1</v>
      </c>
      <c r="Y712">
        <f t="shared" si="34"/>
        <v>1</v>
      </c>
      <c r="Z712">
        <f t="shared" si="35"/>
        <v>1</v>
      </c>
    </row>
    <row r="713" spans="1:26" ht="15.75" customHeight="1" x14ac:dyDescent="0.2">
      <c r="A713" s="2" t="s">
        <v>23</v>
      </c>
      <c r="B713" s="2" t="s">
        <v>24</v>
      </c>
      <c r="C713" s="2" t="s">
        <v>28</v>
      </c>
      <c r="D713" s="2" t="s">
        <v>29</v>
      </c>
      <c r="E713" s="2">
        <v>94</v>
      </c>
      <c r="F713" s="2">
        <v>221.66666670000001</v>
      </c>
      <c r="G713" s="2">
        <v>502.66666670000001</v>
      </c>
      <c r="H713" s="2">
        <v>1457</v>
      </c>
      <c r="I713" s="2">
        <v>3285.333333</v>
      </c>
      <c r="J713" s="2">
        <v>2.19</v>
      </c>
      <c r="K713" s="2">
        <v>4.9400000000000004</v>
      </c>
      <c r="L713" s="2">
        <v>10.9</v>
      </c>
      <c r="M713" s="2">
        <v>16.260000000000002</v>
      </c>
      <c r="N713" s="2">
        <v>2.194450035</v>
      </c>
      <c r="O713" s="2">
        <v>2.4965856120000001</v>
      </c>
      <c r="P713" s="2">
        <v>0.31771015600000002</v>
      </c>
      <c r="Q713" s="2">
        <v>0.39790742400000001</v>
      </c>
      <c r="R713" s="2">
        <v>0.100715005</v>
      </c>
      <c r="S713" s="2">
        <v>0.149972143</v>
      </c>
      <c r="T713" s="2">
        <v>0.30132413000000002</v>
      </c>
      <c r="U713" s="2">
        <v>0.36856298599999998</v>
      </c>
      <c r="V713" s="2">
        <v>1.7118548039999999</v>
      </c>
      <c r="W713" s="2">
        <v>7.3747362999999996E-2</v>
      </c>
      <c r="X713">
        <f t="shared" si="33"/>
        <v>1</v>
      </c>
      <c r="Y713">
        <f t="shared" si="34"/>
        <v>1</v>
      </c>
      <c r="Z713">
        <f t="shared" si="35"/>
        <v>1</v>
      </c>
    </row>
    <row r="714" spans="1:26" ht="15.75" customHeight="1" x14ac:dyDescent="0.2">
      <c r="A714" s="2" t="s">
        <v>23</v>
      </c>
      <c r="B714" s="2" t="s">
        <v>24</v>
      </c>
      <c r="C714" s="2" t="s">
        <v>32</v>
      </c>
      <c r="D714" s="2" t="s">
        <v>33</v>
      </c>
      <c r="E714" s="2">
        <v>70</v>
      </c>
      <c r="F714" s="2">
        <v>235</v>
      </c>
      <c r="G714" s="2">
        <v>758.33333330000005</v>
      </c>
      <c r="H714" s="2">
        <v>1039.666667</v>
      </c>
      <c r="I714" s="2">
        <v>3370.333333</v>
      </c>
      <c r="J714" s="2">
        <v>2.34</v>
      </c>
      <c r="K714" s="2">
        <v>6.95</v>
      </c>
      <c r="L714" s="2">
        <v>8.76</v>
      </c>
      <c r="M714" s="2">
        <v>16.420000000000002</v>
      </c>
      <c r="N714" s="2">
        <v>2.6179178090000002</v>
      </c>
      <c r="O714" s="2">
        <v>2.7017300720000001</v>
      </c>
      <c r="P714" s="2">
        <v>3.2248507590000002</v>
      </c>
      <c r="Q714" s="2">
        <v>3.3079414909999998</v>
      </c>
      <c r="R714" s="2">
        <v>2.1075822830000002</v>
      </c>
      <c r="S714" s="2">
        <v>2.1568394209999999</v>
      </c>
      <c r="T714" s="2">
        <v>2.4408521749999998</v>
      </c>
      <c r="U714" s="2">
        <v>2.5080910310000002</v>
      </c>
      <c r="V714" s="2">
        <v>3.7187220820000002</v>
      </c>
      <c r="W714" s="2">
        <v>5.8192164999999997E-2</v>
      </c>
      <c r="X714">
        <f t="shared" si="33"/>
        <v>1</v>
      </c>
      <c r="Y714">
        <f t="shared" si="34"/>
        <v>1</v>
      </c>
      <c r="Z714">
        <f t="shared" si="35"/>
        <v>1</v>
      </c>
    </row>
    <row r="715" spans="1:26" ht="15.75" customHeight="1" x14ac:dyDescent="0.2">
      <c r="A715" s="2" t="s">
        <v>23</v>
      </c>
      <c r="B715" s="2" t="s">
        <v>24</v>
      </c>
      <c r="C715" s="2" t="s">
        <v>25</v>
      </c>
      <c r="D715" s="2" t="s">
        <v>25</v>
      </c>
      <c r="E715" s="2">
        <v>233</v>
      </c>
      <c r="F715" s="2">
        <v>236</v>
      </c>
      <c r="G715" s="2">
        <v>741.33333330000005</v>
      </c>
      <c r="H715" s="2">
        <v>1723.333333</v>
      </c>
      <c r="I715" s="2">
        <v>2293</v>
      </c>
      <c r="J715" s="2">
        <v>2.35</v>
      </c>
      <c r="K715" s="2">
        <v>6.83</v>
      </c>
      <c r="L715" s="2">
        <v>12.01</v>
      </c>
      <c r="M715" s="2">
        <v>13.92</v>
      </c>
      <c r="N715" s="2">
        <v>0.76196797000000005</v>
      </c>
      <c r="O715" s="2">
        <v>0.92476419200000004</v>
      </c>
      <c r="P715" s="2">
        <v>2.145008442</v>
      </c>
      <c r="Q715" s="2">
        <v>2.166711195</v>
      </c>
      <c r="R715" s="2">
        <v>1.9859298169999999</v>
      </c>
      <c r="S715" s="2">
        <v>2.0351869539999998</v>
      </c>
      <c r="T715" s="2">
        <v>0.810644174</v>
      </c>
      <c r="U715" s="2">
        <v>0.74340531700000001</v>
      </c>
      <c r="V715" s="2">
        <v>3.5970696150000001</v>
      </c>
      <c r="W715" s="2">
        <v>9.6712926000000005E-2</v>
      </c>
      <c r="X715">
        <f t="shared" si="33"/>
        <v>1</v>
      </c>
      <c r="Y715">
        <f t="shared" si="34"/>
        <v>1</v>
      </c>
      <c r="Z715">
        <f t="shared" si="35"/>
        <v>0</v>
      </c>
    </row>
    <row r="716" spans="1:26" ht="15.75" customHeight="1" x14ac:dyDescent="0.2">
      <c r="A716" s="2" t="s">
        <v>23</v>
      </c>
      <c r="B716" s="2" t="s">
        <v>24</v>
      </c>
      <c r="C716" s="2" t="s">
        <v>27</v>
      </c>
      <c r="D716" s="2" t="s">
        <v>27</v>
      </c>
      <c r="E716" s="2">
        <v>81</v>
      </c>
      <c r="F716" s="2">
        <v>255</v>
      </c>
      <c r="G716" s="2">
        <v>486</v>
      </c>
      <c r="H716" s="2">
        <v>2133</v>
      </c>
      <c r="I716" s="2">
        <v>3112</v>
      </c>
      <c r="J716" s="2">
        <v>2.56</v>
      </c>
      <c r="K716" s="2">
        <v>4.8</v>
      </c>
      <c r="L716" s="2">
        <v>13.44</v>
      </c>
      <c r="M716" s="2">
        <v>15.92</v>
      </c>
      <c r="N716" s="2">
        <v>0.33586901400000002</v>
      </c>
      <c r="O716" s="2">
        <v>0.43719783200000001</v>
      </c>
      <c r="P716" s="2">
        <v>2.2389996590000001</v>
      </c>
      <c r="Q716" s="2">
        <v>2.171319854</v>
      </c>
      <c r="R716" s="2">
        <v>4.4676673E-2</v>
      </c>
      <c r="S716" s="2">
        <v>4.5804640000000002E-3</v>
      </c>
      <c r="T716" s="2">
        <v>2.2385538789999999</v>
      </c>
      <c r="U716" s="2">
        <v>2.171315023</v>
      </c>
      <c r="V716" s="2">
        <v>1.5664631250000001</v>
      </c>
      <c r="W716" s="2">
        <v>5.1859695999999997E-2</v>
      </c>
      <c r="X716">
        <f t="shared" si="33"/>
        <v>1</v>
      </c>
      <c r="Y716">
        <f t="shared" si="34"/>
        <v>1</v>
      </c>
      <c r="Z716">
        <f t="shared" si="35"/>
        <v>0</v>
      </c>
    </row>
    <row r="717" spans="1:26" ht="15.75" customHeight="1" x14ac:dyDescent="0.2">
      <c r="A717" s="2" t="s">
        <v>23</v>
      </c>
      <c r="B717" s="2" t="s">
        <v>24</v>
      </c>
      <c r="C717" s="2" t="s">
        <v>30</v>
      </c>
      <c r="D717" s="2" t="s">
        <v>31</v>
      </c>
      <c r="E717" s="2">
        <v>96</v>
      </c>
      <c r="F717" s="2">
        <v>234</v>
      </c>
      <c r="G717" s="2">
        <v>579.66666669999995</v>
      </c>
      <c r="H717" s="2">
        <v>1145.333333</v>
      </c>
      <c r="I717" s="2">
        <v>1930</v>
      </c>
      <c r="J717" s="2">
        <v>2.33</v>
      </c>
      <c r="K717" s="2">
        <v>5.59</v>
      </c>
      <c r="L717" s="2">
        <v>9.36</v>
      </c>
      <c r="M717" s="2">
        <v>12.77</v>
      </c>
      <c r="N717" s="2">
        <v>3.8734440860000001</v>
      </c>
      <c r="O717" s="2">
        <v>4.134964385</v>
      </c>
      <c r="P717" s="2">
        <v>1.9905125829999999</v>
      </c>
      <c r="Q717" s="2">
        <v>2.0714298819999999</v>
      </c>
      <c r="R717" s="2">
        <v>0.74765091699999997</v>
      </c>
      <c r="S717" s="2">
        <v>0.79690805399999998</v>
      </c>
      <c r="T717" s="2">
        <v>1.8447651469999999</v>
      </c>
      <c r="U717" s="2">
        <v>1.9120040039999999</v>
      </c>
      <c r="V717" s="2">
        <v>2.358790715</v>
      </c>
      <c r="W717" s="2">
        <v>7.9472925999999999E-2</v>
      </c>
      <c r="X717">
        <f t="shared" si="33"/>
        <v>1</v>
      </c>
      <c r="Y717">
        <f t="shared" si="34"/>
        <v>1</v>
      </c>
      <c r="Z717">
        <f t="shared" si="35"/>
        <v>1</v>
      </c>
    </row>
    <row r="718" spans="1:26" ht="15.75" customHeight="1" x14ac:dyDescent="0.2">
      <c r="A718" s="2" t="s">
        <v>23</v>
      </c>
      <c r="B718" s="2" t="s">
        <v>24</v>
      </c>
      <c r="C718" s="2" t="s">
        <v>25</v>
      </c>
      <c r="D718" s="2" t="s">
        <v>25</v>
      </c>
      <c r="E718" s="2">
        <v>161</v>
      </c>
      <c r="F718" s="2">
        <v>224.66666670000001</v>
      </c>
      <c r="G718" s="2">
        <v>881.33333330000005</v>
      </c>
      <c r="H718" s="2">
        <v>1483.333333</v>
      </c>
      <c r="I718" s="2">
        <v>2284</v>
      </c>
      <c r="J718" s="2">
        <v>2.23</v>
      </c>
      <c r="K718" s="2">
        <v>7.79</v>
      </c>
      <c r="L718" s="2">
        <v>11.02</v>
      </c>
      <c r="M718" s="2">
        <v>13.9</v>
      </c>
      <c r="N718" s="2">
        <v>0.65679601399999998</v>
      </c>
      <c r="O718" s="2">
        <v>0.46561032200000002</v>
      </c>
      <c r="P718" s="2">
        <v>2.9501302580000002</v>
      </c>
      <c r="Q718" s="2">
        <v>3.0041617010000001</v>
      </c>
      <c r="R718" s="2">
        <v>2.9444043039999999</v>
      </c>
      <c r="S718" s="2">
        <v>2.993661441</v>
      </c>
      <c r="T718" s="2">
        <v>0.183716722</v>
      </c>
      <c r="U718" s="2">
        <v>0.25095557899999998</v>
      </c>
      <c r="V718" s="2">
        <v>4.5555441019999998</v>
      </c>
      <c r="W718" s="2">
        <v>0.18894794500000001</v>
      </c>
      <c r="X718">
        <f t="shared" si="33"/>
        <v>1</v>
      </c>
      <c r="Y718">
        <f t="shared" si="34"/>
        <v>1</v>
      </c>
      <c r="Z718">
        <f t="shared" si="35"/>
        <v>0</v>
      </c>
    </row>
    <row r="719" spans="1:26" ht="15.75" customHeight="1" x14ac:dyDescent="0.2">
      <c r="A719" s="2" t="s">
        <v>23</v>
      </c>
      <c r="B719" s="2" t="s">
        <v>24</v>
      </c>
      <c r="C719" s="2" t="s">
        <v>30</v>
      </c>
      <c r="D719" s="2" t="s">
        <v>31</v>
      </c>
      <c r="E719" s="2">
        <v>147</v>
      </c>
      <c r="F719" s="2">
        <v>284</v>
      </c>
      <c r="G719" s="2">
        <v>692.33333330000005</v>
      </c>
      <c r="H719" s="2">
        <v>1105.666667</v>
      </c>
      <c r="I719" s="2">
        <v>1899.666667</v>
      </c>
      <c r="J719" s="2">
        <v>2.86</v>
      </c>
      <c r="K719" s="2">
        <v>6.47</v>
      </c>
      <c r="L719" s="2">
        <v>9.14</v>
      </c>
      <c r="M719" s="2">
        <v>12.67</v>
      </c>
      <c r="N719" s="2">
        <v>4.3660245670000002</v>
      </c>
      <c r="O719" s="2">
        <v>4.6665487150000002</v>
      </c>
      <c r="P719" s="2">
        <v>2.6276635499999998</v>
      </c>
      <c r="Q719" s="2">
        <v>2.7109640490000002</v>
      </c>
      <c r="R719" s="2">
        <v>1.626559101</v>
      </c>
      <c r="S719" s="2">
        <v>1.675816239</v>
      </c>
      <c r="T719" s="2">
        <v>2.0637153920000002</v>
      </c>
      <c r="U719" s="2">
        <v>2.1309542480000001</v>
      </c>
      <c r="V719" s="2">
        <v>3.2376988999999998</v>
      </c>
      <c r="W719" s="2">
        <v>0.164874877</v>
      </c>
      <c r="X719">
        <f t="shared" si="33"/>
        <v>1</v>
      </c>
      <c r="Y719">
        <f t="shared" si="34"/>
        <v>1</v>
      </c>
      <c r="Z719">
        <f t="shared" si="35"/>
        <v>1</v>
      </c>
    </row>
    <row r="720" spans="1:26" ht="15.75" customHeight="1" x14ac:dyDescent="0.2">
      <c r="A720" s="2" t="s">
        <v>23</v>
      </c>
      <c r="B720" s="2" t="s">
        <v>24</v>
      </c>
      <c r="C720" s="2" t="s">
        <v>25</v>
      </c>
      <c r="D720" s="2" t="s">
        <v>25</v>
      </c>
      <c r="E720" s="2">
        <v>133</v>
      </c>
      <c r="F720" s="2">
        <v>231.33333329999999</v>
      </c>
      <c r="G720" s="2">
        <v>754.66666669999995</v>
      </c>
      <c r="H720" s="2">
        <v>1829.333333</v>
      </c>
      <c r="I720" s="2">
        <v>2808.666667</v>
      </c>
      <c r="J720" s="2">
        <v>2.2999999999999998</v>
      </c>
      <c r="K720" s="2">
        <v>6.92</v>
      </c>
      <c r="L720" s="2">
        <v>12.41</v>
      </c>
      <c r="M720" s="2">
        <v>15.26</v>
      </c>
      <c r="N720" s="2">
        <v>0.45136264300000001</v>
      </c>
      <c r="O720" s="2">
        <v>0.62330888399999995</v>
      </c>
      <c r="P720" s="2">
        <v>2.274494137</v>
      </c>
      <c r="Q720" s="2">
        <v>2.3324475680000001</v>
      </c>
      <c r="R720" s="2">
        <v>2.207534254</v>
      </c>
      <c r="S720" s="2">
        <v>2.2203295289999998</v>
      </c>
      <c r="T720" s="2">
        <v>0.54782853099999995</v>
      </c>
      <c r="U720" s="2">
        <v>0.71445674599999998</v>
      </c>
      <c r="V720" s="2">
        <v>3.7461437360000001</v>
      </c>
      <c r="W720" s="2">
        <v>6.4637268999999997E-2</v>
      </c>
      <c r="X720">
        <f t="shared" si="33"/>
        <v>1</v>
      </c>
      <c r="Y720">
        <f t="shared" si="34"/>
        <v>1</v>
      </c>
      <c r="Z720">
        <f t="shared" si="35"/>
        <v>0</v>
      </c>
    </row>
    <row r="721" spans="1:26" ht="15.75" customHeight="1" x14ac:dyDescent="0.2">
      <c r="A721" s="2" t="s">
        <v>23</v>
      </c>
      <c r="B721" s="2" t="s">
        <v>24</v>
      </c>
      <c r="C721" s="2" t="s">
        <v>26</v>
      </c>
      <c r="D721" s="2" t="s">
        <v>26</v>
      </c>
      <c r="E721" s="2">
        <v>119</v>
      </c>
      <c r="F721" s="2">
        <v>223.66666670000001</v>
      </c>
      <c r="G721" s="2">
        <v>396.66666670000001</v>
      </c>
      <c r="H721" s="2">
        <v>1003</v>
      </c>
      <c r="I721" s="2">
        <v>2622.666667</v>
      </c>
      <c r="J721" s="2">
        <v>2.2200000000000002</v>
      </c>
      <c r="K721" s="2">
        <v>3.98</v>
      </c>
      <c r="L721" s="2">
        <v>8.5500000000000007</v>
      </c>
      <c r="M721" s="2">
        <v>14.81</v>
      </c>
      <c r="N721" s="2">
        <v>0.16397999999999999</v>
      </c>
      <c r="O721" s="2">
        <v>0.29133532899999998</v>
      </c>
      <c r="P721" s="2">
        <v>3.3994815809999999</v>
      </c>
      <c r="Q721" s="2">
        <v>3.2340986649999999</v>
      </c>
      <c r="R721" s="2">
        <v>0.73296614500000001</v>
      </c>
      <c r="S721" s="2">
        <v>0.72017087000000002</v>
      </c>
      <c r="T721" s="2">
        <v>3.3195234070000001</v>
      </c>
      <c r="U721" s="2">
        <v>3.1528951919999999</v>
      </c>
      <c r="V721" s="2">
        <v>0.80564333799999999</v>
      </c>
      <c r="W721" s="2">
        <v>6.1484522E-2</v>
      </c>
      <c r="X721">
        <f t="shared" si="33"/>
        <v>1</v>
      </c>
      <c r="Y721">
        <f t="shared" si="34"/>
        <v>1</v>
      </c>
      <c r="Z721">
        <f t="shared" si="35"/>
        <v>0</v>
      </c>
    </row>
    <row r="722" spans="1:26" ht="15.75" customHeight="1" x14ac:dyDescent="0.2">
      <c r="A722" s="2" t="s">
        <v>23</v>
      </c>
      <c r="B722" s="2" t="s">
        <v>24</v>
      </c>
      <c r="C722" s="2" t="s">
        <v>27</v>
      </c>
      <c r="D722" s="2" t="s">
        <v>27</v>
      </c>
      <c r="E722" s="2">
        <v>227</v>
      </c>
      <c r="F722" s="2">
        <v>219</v>
      </c>
      <c r="G722" s="2">
        <v>429.33333329999999</v>
      </c>
      <c r="H722" s="2">
        <v>2375.333333</v>
      </c>
      <c r="I722" s="2">
        <v>3168.333333</v>
      </c>
      <c r="J722" s="2">
        <v>2.16</v>
      </c>
      <c r="K722" s="2">
        <v>4.29</v>
      </c>
      <c r="L722" s="2">
        <v>14.16</v>
      </c>
      <c r="M722" s="2">
        <v>16.03</v>
      </c>
      <c r="N722" s="2">
        <v>3.4832989000000002E-2</v>
      </c>
      <c r="O722" s="2">
        <v>4.7621023999999998E-2</v>
      </c>
      <c r="P722" s="2">
        <v>2.333896846</v>
      </c>
      <c r="Q722" s="2">
        <v>2.495723522</v>
      </c>
      <c r="R722" s="2">
        <v>0.428118528</v>
      </c>
      <c r="S722" s="2">
        <v>0.41532325199999998</v>
      </c>
      <c r="T722" s="2">
        <v>2.2942948840000001</v>
      </c>
      <c r="U722" s="2">
        <v>2.4609230979999999</v>
      </c>
      <c r="V722" s="2">
        <v>1.1104909549999999</v>
      </c>
      <c r="W722" s="2">
        <v>6.8347520999999994E-2</v>
      </c>
      <c r="X722">
        <f t="shared" si="33"/>
        <v>1</v>
      </c>
      <c r="Y722">
        <f t="shared" si="34"/>
        <v>1</v>
      </c>
      <c r="Z722">
        <f t="shared" si="35"/>
        <v>0</v>
      </c>
    </row>
    <row r="723" spans="1:26" ht="15.75" customHeight="1" x14ac:dyDescent="0.2">
      <c r="A723" s="2" t="s">
        <v>23</v>
      </c>
      <c r="B723" s="2" t="s">
        <v>24</v>
      </c>
      <c r="C723" s="2" t="s">
        <v>28</v>
      </c>
      <c r="D723" s="2" t="s">
        <v>29</v>
      </c>
      <c r="E723" s="2">
        <v>114</v>
      </c>
      <c r="F723" s="2">
        <v>235.33333329999999</v>
      </c>
      <c r="G723" s="2">
        <v>347.66666670000001</v>
      </c>
      <c r="H723" s="2">
        <v>993.66666669999995</v>
      </c>
      <c r="I723" s="2">
        <v>2338.333333</v>
      </c>
      <c r="J723" s="2">
        <v>2.34</v>
      </c>
      <c r="K723" s="2">
        <v>3.51</v>
      </c>
      <c r="L723" s="2">
        <v>8.49</v>
      </c>
      <c r="M723" s="2">
        <v>14.05</v>
      </c>
      <c r="N723" s="2">
        <v>0.52529184399999995</v>
      </c>
      <c r="O723" s="2">
        <v>0.47392963399999999</v>
      </c>
      <c r="P723" s="2">
        <v>3.5846724160000001</v>
      </c>
      <c r="Q723" s="2">
        <v>3.4237412169999999</v>
      </c>
      <c r="R723" s="2">
        <v>1.2064200789999999</v>
      </c>
      <c r="S723" s="2">
        <v>1.1936248039999999</v>
      </c>
      <c r="T723" s="2">
        <v>3.3755632009999998</v>
      </c>
      <c r="U723" s="2">
        <v>3.208934986</v>
      </c>
      <c r="V723" s="2">
        <v>0.33218940400000002</v>
      </c>
      <c r="W723" s="2">
        <v>4.7465723000000001E-2</v>
      </c>
      <c r="X723">
        <f t="shared" si="33"/>
        <v>1</v>
      </c>
      <c r="Y723">
        <f t="shared" si="34"/>
        <v>1</v>
      </c>
      <c r="Z723">
        <f t="shared" si="35"/>
        <v>1</v>
      </c>
    </row>
    <row r="724" spans="1:26" ht="15.75" customHeight="1" x14ac:dyDescent="0.2">
      <c r="A724" s="2" t="s">
        <v>23</v>
      </c>
      <c r="B724" s="2" t="s">
        <v>24</v>
      </c>
      <c r="C724" s="2" t="s">
        <v>30</v>
      </c>
      <c r="D724" s="2" t="s">
        <v>31</v>
      </c>
      <c r="E724" s="2">
        <v>155</v>
      </c>
      <c r="F724" s="2">
        <v>207.66666670000001</v>
      </c>
      <c r="G724" s="2">
        <v>608.33333330000005</v>
      </c>
      <c r="H724" s="2">
        <v>1805</v>
      </c>
      <c r="I724" s="2">
        <v>2744.666667</v>
      </c>
      <c r="J724" s="2">
        <v>2.04</v>
      </c>
      <c r="K724" s="2">
        <v>5.82</v>
      </c>
      <c r="L724" s="2">
        <v>12.32</v>
      </c>
      <c r="M724" s="2">
        <v>15.11</v>
      </c>
      <c r="N724" s="2">
        <v>2.3992750549999999</v>
      </c>
      <c r="O724" s="2">
        <v>2.4203819229999999</v>
      </c>
      <c r="P724" s="2">
        <v>1.195914718</v>
      </c>
      <c r="Q724" s="2">
        <v>1.280276864</v>
      </c>
      <c r="R724" s="2">
        <v>1.104654276</v>
      </c>
      <c r="S724" s="2">
        <v>1.117449551</v>
      </c>
      <c r="T724" s="2">
        <v>0.45820404100000001</v>
      </c>
      <c r="U724" s="2">
        <v>0.62483225499999995</v>
      </c>
      <c r="V724" s="2">
        <v>2.6432637589999999</v>
      </c>
      <c r="W724" s="2">
        <v>5.1117614999999998E-2</v>
      </c>
      <c r="X724">
        <f t="shared" si="33"/>
        <v>1</v>
      </c>
      <c r="Y724">
        <f t="shared" si="34"/>
        <v>1</v>
      </c>
      <c r="Z724">
        <f t="shared" si="35"/>
        <v>1</v>
      </c>
    </row>
    <row r="725" spans="1:26" ht="15.75" customHeight="1" x14ac:dyDescent="0.2">
      <c r="A725" s="2" t="s">
        <v>23</v>
      </c>
      <c r="B725" s="2" t="s">
        <v>24</v>
      </c>
      <c r="C725" s="2" t="s">
        <v>26</v>
      </c>
      <c r="D725" s="2" t="s">
        <v>26</v>
      </c>
      <c r="E725" s="2">
        <v>108</v>
      </c>
      <c r="F725" s="2">
        <v>230</v>
      </c>
      <c r="G725" s="2">
        <v>411.33333329999999</v>
      </c>
      <c r="H725" s="2">
        <v>933.66666669999995</v>
      </c>
      <c r="I725" s="2">
        <v>2585</v>
      </c>
      <c r="J725" s="2">
        <v>2.29</v>
      </c>
      <c r="K725" s="2">
        <v>4.12</v>
      </c>
      <c r="L725" s="2">
        <v>8.1199999999999992</v>
      </c>
      <c r="M725" s="2">
        <v>14.72</v>
      </c>
      <c r="N725" s="2">
        <v>0.60400082700000002</v>
      </c>
      <c r="O725" s="2">
        <v>0.241109772</v>
      </c>
      <c r="P725" s="2">
        <v>3.7914383900000002</v>
      </c>
      <c r="Q725" s="2">
        <v>3.6248922160000001</v>
      </c>
      <c r="R725" s="2">
        <v>0.595056849</v>
      </c>
      <c r="S725" s="2">
        <v>0.582261574</v>
      </c>
      <c r="T725" s="2">
        <v>3.7444508820000002</v>
      </c>
      <c r="U725" s="2">
        <v>3.577822667</v>
      </c>
      <c r="V725" s="2">
        <v>0.943552634</v>
      </c>
      <c r="W725" s="2">
        <v>6.0247749000000003E-2</v>
      </c>
      <c r="X725">
        <f t="shared" si="33"/>
        <v>1</v>
      </c>
      <c r="Y725">
        <f t="shared" si="34"/>
        <v>1</v>
      </c>
      <c r="Z725">
        <f t="shared" si="35"/>
        <v>0</v>
      </c>
    </row>
    <row r="726" spans="1:26" ht="15.75" customHeight="1" x14ac:dyDescent="0.2">
      <c r="A726" s="2" t="s">
        <v>23</v>
      </c>
      <c r="B726" s="2" t="s">
        <v>24</v>
      </c>
      <c r="C726" s="2" t="s">
        <v>28</v>
      </c>
      <c r="D726" s="2" t="s">
        <v>29</v>
      </c>
      <c r="E726" s="2">
        <v>131</v>
      </c>
      <c r="F726" s="2">
        <v>225.33333329999999</v>
      </c>
      <c r="G726" s="2">
        <v>388.33333329999999</v>
      </c>
      <c r="H726" s="2">
        <v>752.33333330000005</v>
      </c>
      <c r="I726" s="2">
        <v>2476.666667</v>
      </c>
      <c r="J726" s="2">
        <v>2.23</v>
      </c>
      <c r="K726" s="2">
        <v>3.9</v>
      </c>
      <c r="L726" s="2">
        <v>6.91</v>
      </c>
      <c r="M726" s="2">
        <v>14.44</v>
      </c>
      <c r="N726" s="2">
        <v>1.8048204919999999</v>
      </c>
      <c r="O726" s="2">
        <v>1.353777706</v>
      </c>
      <c r="P726" s="2">
        <v>5.0245685790000003</v>
      </c>
      <c r="Q726" s="2">
        <v>4.8580841589999997</v>
      </c>
      <c r="R726" s="2">
        <v>0.81209114800000004</v>
      </c>
      <c r="S726" s="2">
        <v>0.79929587300000005</v>
      </c>
      <c r="T726" s="2">
        <v>4.9585075749999996</v>
      </c>
      <c r="U726" s="2">
        <v>4.7918793600000003</v>
      </c>
      <c r="V726" s="2">
        <v>0.72651833499999996</v>
      </c>
      <c r="W726" s="2">
        <v>6.4246688999999996E-2</v>
      </c>
      <c r="X726">
        <f t="shared" si="33"/>
        <v>1</v>
      </c>
      <c r="Y726">
        <f t="shared" si="34"/>
        <v>1</v>
      </c>
      <c r="Z726">
        <f t="shared" si="35"/>
        <v>1</v>
      </c>
    </row>
    <row r="727" spans="1:26" ht="15.75" customHeight="1" x14ac:dyDescent="0.2">
      <c r="A727" s="2" t="s">
        <v>23</v>
      </c>
      <c r="B727" s="2" t="s">
        <v>24</v>
      </c>
      <c r="C727" s="2" t="s">
        <v>32</v>
      </c>
      <c r="D727" s="2" t="s">
        <v>33</v>
      </c>
      <c r="E727" s="2">
        <v>151</v>
      </c>
      <c r="F727" s="2">
        <v>227.66666670000001</v>
      </c>
      <c r="G727" s="2">
        <v>482</v>
      </c>
      <c r="H727" s="2">
        <v>945.33333330000005</v>
      </c>
      <c r="I727" s="2">
        <v>2437</v>
      </c>
      <c r="J727" s="2">
        <v>2.2599999999999998</v>
      </c>
      <c r="K727" s="2">
        <v>4.76</v>
      </c>
      <c r="L727" s="2">
        <v>8.19</v>
      </c>
      <c r="M727" s="2">
        <v>14.33</v>
      </c>
      <c r="N727" s="2">
        <v>4.8833663109999996</v>
      </c>
      <c r="O727" s="2">
        <v>4.6334055550000004</v>
      </c>
      <c r="P727" s="2">
        <v>3.6718200580000002</v>
      </c>
      <c r="Q727" s="2">
        <v>3.5053976389999999</v>
      </c>
      <c r="R727" s="2">
        <v>4.6195879000000002E-2</v>
      </c>
      <c r="S727" s="2">
        <v>5.8991153999999997E-2</v>
      </c>
      <c r="T727" s="2">
        <v>3.6715294470000002</v>
      </c>
      <c r="U727" s="2">
        <v>3.5049012319999999</v>
      </c>
      <c r="V727" s="2">
        <v>1.584805362</v>
      </c>
      <c r="W727" s="2">
        <v>4.7632437999999999E-2</v>
      </c>
      <c r="X727">
        <f t="shared" si="33"/>
        <v>1</v>
      </c>
      <c r="Y727">
        <f t="shared" si="34"/>
        <v>1</v>
      </c>
      <c r="Z727">
        <f t="shared" si="35"/>
        <v>1</v>
      </c>
    </row>
    <row r="728" spans="1:26" ht="15.75" customHeight="1" x14ac:dyDescent="0.2">
      <c r="A728" s="2" t="s">
        <v>23</v>
      </c>
      <c r="B728" s="2" t="s">
        <v>24</v>
      </c>
      <c r="C728" s="2" t="s">
        <v>32</v>
      </c>
      <c r="D728" s="2" t="s">
        <v>33</v>
      </c>
      <c r="E728" s="2">
        <v>121</v>
      </c>
      <c r="F728" s="2">
        <v>208</v>
      </c>
      <c r="G728" s="2">
        <v>507.33333329999999</v>
      </c>
      <c r="H728" s="2">
        <v>867.66666669999995</v>
      </c>
      <c r="I728" s="2">
        <v>2467.333333</v>
      </c>
      <c r="J728" s="2">
        <v>2.04</v>
      </c>
      <c r="K728" s="2">
        <v>4.9800000000000004</v>
      </c>
      <c r="L728" s="2">
        <v>7.7</v>
      </c>
      <c r="M728" s="2">
        <v>14.41</v>
      </c>
      <c r="N728" s="2">
        <v>5.205455465</v>
      </c>
      <c r="O728" s="2">
        <v>4.9384382540000002</v>
      </c>
      <c r="P728" s="2">
        <v>4.1768597710000002</v>
      </c>
      <c r="Q728" s="2">
        <v>4.0114594229999998</v>
      </c>
      <c r="R728" s="2">
        <v>0.26713455000000003</v>
      </c>
      <c r="S728" s="2">
        <v>0.27992982500000002</v>
      </c>
      <c r="T728" s="2">
        <v>4.1683086109999996</v>
      </c>
      <c r="U728" s="2">
        <v>4.0016803970000003</v>
      </c>
      <c r="V728" s="2">
        <v>1.8057440330000001</v>
      </c>
      <c r="W728" s="2">
        <v>6.2919759000000006E-2</v>
      </c>
      <c r="X728">
        <f t="shared" si="33"/>
        <v>1</v>
      </c>
      <c r="Y728">
        <f t="shared" si="34"/>
        <v>1</v>
      </c>
      <c r="Z728">
        <f t="shared" si="35"/>
        <v>1</v>
      </c>
    </row>
    <row r="729" spans="1:26" ht="15.75" customHeight="1" x14ac:dyDescent="0.2">
      <c r="A729" s="2" t="s">
        <v>23</v>
      </c>
      <c r="B729" s="2" t="s">
        <v>24</v>
      </c>
      <c r="C729" s="2" t="s">
        <v>25</v>
      </c>
      <c r="D729" s="2" t="s">
        <v>25</v>
      </c>
      <c r="E729" s="2">
        <v>180</v>
      </c>
      <c r="F729" s="2">
        <v>219</v>
      </c>
      <c r="G729" s="2">
        <v>873</v>
      </c>
      <c r="H729" s="2">
        <v>1778.333333</v>
      </c>
      <c r="I729" s="2">
        <v>2637.666667</v>
      </c>
      <c r="J729" s="2">
        <v>2.16</v>
      </c>
      <c r="K729" s="2">
        <v>7.73</v>
      </c>
      <c r="L729" s="2">
        <v>12.22</v>
      </c>
      <c r="M729" s="2">
        <v>14.85</v>
      </c>
      <c r="N729" s="2">
        <v>0.37955033999999999</v>
      </c>
      <c r="O729" s="2">
        <v>0.40085626400000002</v>
      </c>
      <c r="P729" s="2">
        <v>3.0373143890000001</v>
      </c>
      <c r="Q729" s="2">
        <v>3.0740707650000001</v>
      </c>
      <c r="R729" s="2">
        <v>3.0160656690000001</v>
      </c>
      <c r="S729" s="2">
        <v>3.0288609439999998</v>
      </c>
      <c r="T729" s="2">
        <v>0.35864547899999999</v>
      </c>
      <c r="U729" s="2">
        <v>0.52527369400000001</v>
      </c>
      <c r="V729" s="2">
        <v>4.5546751509999996</v>
      </c>
      <c r="W729" s="2">
        <v>5.6348694999999997E-2</v>
      </c>
      <c r="X729">
        <f t="shared" si="33"/>
        <v>1</v>
      </c>
      <c r="Y729">
        <f t="shared" si="34"/>
        <v>1</v>
      </c>
      <c r="Z729">
        <f t="shared" si="35"/>
        <v>0</v>
      </c>
    </row>
    <row r="730" spans="1:26" ht="15.75" customHeight="1" x14ac:dyDescent="0.2">
      <c r="A730" s="2" t="s">
        <v>23</v>
      </c>
      <c r="B730" s="2" t="s">
        <v>24</v>
      </c>
      <c r="C730" s="2" t="s">
        <v>32</v>
      </c>
      <c r="D730" s="2" t="s">
        <v>33</v>
      </c>
      <c r="E730" s="2">
        <v>138</v>
      </c>
      <c r="F730" s="2">
        <v>213.66666670000001</v>
      </c>
      <c r="G730" s="2">
        <v>576</v>
      </c>
      <c r="H730" s="2">
        <v>951.66666669999995</v>
      </c>
      <c r="I730" s="2">
        <v>2507.333333</v>
      </c>
      <c r="J730" s="2">
        <v>2.11</v>
      </c>
      <c r="K730" s="2">
        <v>5.56</v>
      </c>
      <c r="L730" s="2">
        <v>8.23</v>
      </c>
      <c r="M730" s="2">
        <v>14.52</v>
      </c>
      <c r="N730" s="2">
        <v>4.4728096769999999</v>
      </c>
      <c r="O730" s="2">
        <v>4.1958810590000004</v>
      </c>
      <c r="P730" s="2">
        <v>3.7289120480000002</v>
      </c>
      <c r="Q730" s="2">
        <v>3.5698539039999999</v>
      </c>
      <c r="R730" s="2">
        <v>0.84379713700000003</v>
      </c>
      <c r="S730" s="2">
        <v>0.85659241200000003</v>
      </c>
      <c r="T730" s="2">
        <v>3.6321882460000001</v>
      </c>
      <c r="U730" s="2">
        <v>3.465560032</v>
      </c>
      <c r="V730" s="2">
        <v>2.3824066199999998</v>
      </c>
      <c r="W730" s="2">
        <v>4.8031115999999999E-2</v>
      </c>
      <c r="X730">
        <f t="shared" si="33"/>
        <v>1</v>
      </c>
      <c r="Y730">
        <f t="shared" si="34"/>
        <v>1</v>
      </c>
      <c r="Z730">
        <f t="shared" si="35"/>
        <v>1</v>
      </c>
    </row>
    <row r="731" spans="1:26" ht="15.75" customHeight="1" x14ac:dyDescent="0.2">
      <c r="A731" s="2" t="s">
        <v>23</v>
      </c>
      <c r="B731" s="2" t="s">
        <v>24</v>
      </c>
      <c r="C731" s="2" t="s">
        <v>32</v>
      </c>
      <c r="D731" s="2" t="s">
        <v>33</v>
      </c>
      <c r="E731" s="2">
        <v>151</v>
      </c>
      <c r="F731" s="2">
        <v>219</v>
      </c>
      <c r="G731" s="2">
        <v>466.66666670000001</v>
      </c>
      <c r="H731" s="2">
        <v>959.33333330000005</v>
      </c>
      <c r="I731" s="2">
        <v>2472</v>
      </c>
      <c r="J731" s="2">
        <v>2.16</v>
      </c>
      <c r="K731" s="2">
        <v>4.63</v>
      </c>
      <c r="L731" s="2">
        <v>8.2799999999999994</v>
      </c>
      <c r="M731" s="2">
        <v>14.42</v>
      </c>
      <c r="N731" s="2">
        <v>4.8851560789999997</v>
      </c>
      <c r="O731" s="2">
        <v>4.642115048</v>
      </c>
      <c r="P731" s="2">
        <v>3.5859169299999998</v>
      </c>
      <c r="Q731" s="2">
        <v>3.4190314829999999</v>
      </c>
      <c r="R731" s="2">
        <v>8.9771171999999996E-2</v>
      </c>
      <c r="S731" s="2">
        <v>7.6975897000000001E-2</v>
      </c>
      <c r="T731" s="2">
        <v>3.5847930720000001</v>
      </c>
      <c r="U731" s="2">
        <v>3.4181648569999998</v>
      </c>
      <c r="V731" s="2">
        <v>1.448838311</v>
      </c>
      <c r="W731" s="2">
        <v>5.6712908999999999E-2</v>
      </c>
      <c r="X731">
        <f t="shared" si="33"/>
        <v>1</v>
      </c>
      <c r="Y731">
        <f t="shared" si="34"/>
        <v>1</v>
      </c>
      <c r="Z731">
        <f t="shared" si="35"/>
        <v>1</v>
      </c>
    </row>
    <row r="732" spans="1:26" ht="15.75" customHeight="1" x14ac:dyDescent="0.2">
      <c r="A732" s="2" t="s">
        <v>23</v>
      </c>
      <c r="B732" s="2" t="s">
        <v>24</v>
      </c>
      <c r="C732" s="2" t="s">
        <v>25</v>
      </c>
      <c r="D732" s="2" t="s">
        <v>25</v>
      </c>
      <c r="E732" s="2">
        <v>110</v>
      </c>
      <c r="F732" s="2">
        <v>232.66666670000001</v>
      </c>
      <c r="G732" s="2">
        <v>824</v>
      </c>
      <c r="H732" s="2">
        <v>1803.333333</v>
      </c>
      <c r="I732" s="2">
        <v>2839.666667</v>
      </c>
      <c r="J732" s="2">
        <v>2.31</v>
      </c>
      <c r="K732" s="2">
        <v>7.41</v>
      </c>
      <c r="L732" s="2">
        <v>12.32</v>
      </c>
      <c r="M732" s="2">
        <v>15.33</v>
      </c>
      <c r="N732" s="2">
        <v>4.0134981E-2</v>
      </c>
      <c r="O732" s="2">
        <v>0.31140087999999999</v>
      </c>
      <c r="P732" s="2">
        <v>2.7273229620000001</v>
      </c>
      <c r="Q732" s="2">
        <v>2.7723072000000002</v>
      </c>
      <c r="R732" s="2">
        <v>2.6896032750000001</v>
      </c>
      <c r="S732" s="2">
        <v>2.7023985509999999</v>
      </c>
      <c r="T732" s="2">
        <v>0.45202296600000003</v>
      </c>
      <c r="U732" s="2">
        <v>0.61865118100000005</v>
      </c>
      <c r="V732" s="2">
        <v>4.2282127579999997</v>
      </c>
      <c r="W732" s="2">
        <v>4.6195225999999999E-2</v>
      </c>
      <c r="X732">
        <f t="shared" si="33"/>
        <v>1</v>
      </c>
      <c r="Y732">
        <f t="shared" si="34"/>
        <v>1</v>
      </c>
      <c r="Z732">
        <f t="shared" si="35"/>
        <v>0</v>
      </c>
    </row>
    <row r="733" spans="1:26" ht="15.75" customHeight="1" x14ac:dyDescent="0.2">
      <c r="A733" s="2" t="s">
        <v>23</v>
      </c>
      <c r="B733" s="2" t="s">
        <v>24</v>
      </c>
      <c r="C733" s="2" t="s">
        <v>25</v>
      </c>
      <c r="D733" s="2" t="s">
        <v>25</v>
      </c>
      <c r="E733" s="2">
        <v>152</v>
      </c>
      <c r="F733" s="2">
        <v>220</v>
      </c>
      <c r="G733" s="2">
        <v>770</v>
      </c>
      <c r="H733" s="2">
        <v>1998.666667</v>
      </c>
      <c r="I733" s="2">
        <v>2850</v>
      </c>
      <c r="J733" s="2">
        <v>2.1800000000000002</v>
      </c>
      <c r="K733" s="2">
        <v>7.03</v>
      </c>
      <c r="L733" s="2">
        <v>13.01</v>
      </c>
      <c r="M733" s="2">
        <v>15.36</v>
      </c>
      <c r="N733" s="2">
        <v>0.758809434</v>
      </c>
      <c r="O733" s="2">
        <v>1.064165692</v>
      </c>
      <c r="P733" s="2">
        <v>2.5820391539999998</v>
      </c>
      <c r="Q733" s="2">
        <v>2.6710253100000001</v>
      </c>
      <c r="R733" s="2">
        <v>2.316254469</v>
      </c>
      <c r="S733" s="2">
        <v>2.3290497440000002</v>
      </c>
      <c r="T733" s="2">
        <v>1.1410045689999999</v>
      </c>
      <c r="U733" s="2">
        <v>1.3076327830000001</v>
      </c>
      <c r="V733" s="2">
        <v>3.8548639520000001</v>
      </c>
      <c r="W733" s="2">
        <v>6.6401055E-2</v>
      </c>
      <c r="X733">
        <f t="shared" si="33"/>
        <v>1</v>
      </c>
      <c r="Y733">
        <f t="shared" si="34"/>
        <v>1</v>
      </c>
      <c r="Z733">
        <f t="shared" si="35"/>
        <v>0</v>
      </c>
    </row>
    <row r="734" spans="1:26" ht="15.75" customHeight="1" x14ac:dyDescent="0.2">
      <c r="A734" s="2" t="s">
        <v>23</v>
      </c>
      <c r="B734" s="2" t="s">
        <v>24</v>
      </c>
      <c r="C734" s="2" t="s">
        <v>27</v>
      </c>
      <c r="D734" s="2" t="s">
        <v>27</v>
      </c>
      <c r="E734" s="2">
        <v>212</v>
      </c>
      <c r="F734" s="2">
        <v>228.66666670000001</v>
      </c>
      <c r="G734" s="2">
        <v>425.66666670000001</v>
      </c>
      <c r="H734" s="2">
        <v>2390.666667</v>
      </c>
      <c r="I734" s="2">
        <v>3328.333333</v>
      </c>
      <c r="J734" s="2">
        <v>2.27</v>
      </c>
      <c r="K734" s="2">
        <v>4.25</v>
      </c>
      <c r="L734" s="2">
        <v>14.2</v>
      </c>
      <c r="M734" s="2">
        <v>16.34</v>
      </c>
      <c r="N734" s="2">
        <v>5.9061688000000001E-2</v>
      </c>
      <c r="O734" s="2">
        <v>4.5210707000000003E-2</v>
      </c>
      <c r="P734" s="2">
        <v>2.3822257609999999</v>
      </c>
      <c r="Q734" s="2">
        <v>2.5436061099999998</v>
      </c>
      <c r="R734" s="2">
        <v>0.46192017099999999</v>
      </c>
      <c r="S734" s="2">
        <v>0.44912489500000002</v>
      </c>
      <c r="T734" s="2">
        <v>2.3370129080000002</v>
      </c>
      <c r="U734" s="2">
        <v>2.5036411219999999</v>
      </c>
      <c r="V734" s="2">
        <v>1.0766893120000001</v>
      </c>
      <c r="W734" s="2">
        <v>4.8279186000000002E-2</v>
      </c>
      <c r="X734">
        <f t="shared" si="33"/>
        <v>1</v>
      </c>
      <c r="Y734">
        <f t="shared" si="34"/>
        <v>1</v>
      </c>
      <c r="Z734">
        <f t="shared" si="35"/>
        <v>0</v>
      </c>
    </row>
    <row r="735" spans="1:26" ht="15.75" customHeight="1" x14ac:dyDescent="0.2">
      <c r="A735" s="2" t="s">
        <v>23</v>
      </c>
      <c r="B735" s="2" t="s">
        <v>24</v>
      </c>
      <c r="C735" s="2" t="s">
        <v>30</v>
      </c>
      <c r="D735" s="2" t="s">
        <v>31</v>
      </c>
      <c r="E735" s="2">
        <v>182</v>
      </c>
      <c r="F735" s="2">
        <v>204.33333329999999</v>
      </c>
      <c r="G735" s="2">
        <v>683.66666669999995</v>
      </c>
      <c r="H735" s="2">
        <v>1804</v>
      </c>
      <c r="I735" s="2">
        <v>2706.333333</v>
      </c>
      <c r="J735" s="2">
        <v>2</v>
      </c>
      <c r="K735" s="2">
        <v>6.4</v>
      </c>
      <c r="L735" s="2">
        <v>12.32</v>
      </c>
      <c r="M735" s="2">
        <v>15.02</v>
      </c>
      <c r="N735" s="2">
        <v>2.8165801799999999</v>
      </c>
      <c r="O735" s="2">
        <v>2.8259971230000001</v>
      </c>
      <c r="P735" s="2">
        <v>1.7477998960000001</v>
      </c>
      <c r="Q735" s="2">
        <v>1.8103550349999999</v>
      </c>
      <c r="R735" s="2">
        <v>1.6876723069999999</v>
      </c>
      <c r="S735" s="2">
        <v>1.7004675819999999</v>
      </c>
      <c r="T735" s="2">
        <v>0.45449605300000001</v>
      </c>
      <c r="U735" s="2">
        <v>0.62112426799999998</v>
      </c>
      <c r="V735" s="2">
        <v>3.2262817899999998</v>
      </c>
      <c r="W735" s="2">
        <v>5.3488318999999999E-2</v>
      </c>
      <c r="X735">
        <f t="shared" si="33"/>
        <v>1</v>
      </c>
      <c r="Y735">
        <f t="shared" si="34"/>
        <v>1</v>
      </c>
      <c r="Z735">
        <f t="shared" si="35"/>
        <v>1</v>
      </c>
    </row>
    <row r="736" spans="1:26" ht="15.75" customHeight="1" x14ac:dyDescent="0.2">
      <c r="A736" s="2" t="s">
        <v>23</v>
      </c>
      <c r="B736" s="2" t="s">
        <v>24</v>
      </c>
      <c r="C736" s="2" t="s">
        <v>28</v>
      </c>
      <c r="D736" s="2" t="s">
        <v>29</v>
      </c>
      <c r="E736" s="2">
        <v>135</v>
      </c>
      <c r="F736" s="2">
        <v>216.66666670000001</v>
      </c>
      <c r="G736" s="2">
        <v>409.33333329999999</v>
      </c>
      <c r="H736" s="2">
        <v>1369.666667</v>
      </c>
      <c r="I736" s="2">
        <v>2901.333333</v>
      </c>
      <c r="J736" s="2">
        <v>2.14</v>
      </c>
      <c r="K736" s="2">
        <v>4.0999999999999996</v>
      </c>
      <c r="L736" s="2">
        <v>10.5</v>
      </c>
      <c r="M736" s="2">
        <v>15.47</v>
      </c>
      <c r="N736" s="2">
        <v>1.7927460669999999</v>
      </c>
      <c r="O736" s="2">
        <v>2.245372916</v>
      </c>
      <c r="P736" s="2">
        <v>1.4980711659999999</v>
      </c>
      <c r="Q736" s="2">
        <v>1.3420213059999999</v>
      </c>
      <c r="R736" s="2">
        <v>0.61376212500000005</v>
      </c>
      <c r="S736" s="2">
        <v>0.60096684899999997</v>
      </c>
      <c r="T736" s="2">
        <v>1.3665698930000001</v>
      </c>
      <c r="U736" s="2">
        <v>1.1999416789999999</v>
      </c>
      <c r="V736" s="2">
        <v>0.92484735799999995</v>
      </c>
      <c r="W736" s="2">
        <v>4.5504492000000001E-2</v>
      </c>
      <c r="X736">
        <f t="shared" si="33"/>
        <v>1</v>
      </c>
      <c r="Y736">
        <f t="shared" si="34"/>
        <v>1</v>
      </c>
      <c r="Z736">
        <f t="shared" si="35"/>
        <v>1</v>
      </c>
    </row>
    <row r="737" spans="1:26" ht="15.75" customHeight="1" x14ac:dyDescent="0.2">
      <c r="A737" s="2" t="s">
        <v>23</v>
      </c>
      <c r="B737" s="2" t="s">
        <v>24</v>
      </c>
      <c r="C737" s="2" t="s">
        <v>28</v>
      </c>
      <c r="D737" s="2" t="s">
        <v>29</v>
      </c>
      <c r="E737" s="2">
        <v>119</v>
      </c>
      <c r="F737" s="2">
        <v>219.33333329999999</v>
      </c>
      <c r="G737" s="2">
        <v>306.66666670000001</v>
      </c>
      <c r="H737" s="2">
        <v>935.66666669999995</v>
      </c>
      <c r="I737" s="2">
        <v>2450.666667</v>
      </c>
      <c r="J737" s="2">
        <v>2.17</v>
      </c>
      <c r="K737" s="2">
        <v>3.1</v>
      </c>
      <c r="L737" s="2">
        <v>8.1300000000000008</v>
      </c>
      <c r="M737" s="2">
        <v>14.37</v>
      </c>
      <c r="N737" s="2">
        <v>1.0593813050000001</v>
      </c>
      <c r="O737" s="2">
        <v>0.83634208300000001</v>
      </c>
      <c r="P737" s="2">
        <v>4.0676837670000001</v>
      </c>
      <c r="Q737" s="2">
        <v>3.9101002729999998</v>
      </c>
      <c r="R737" s="2">
        <v>1.618305109</v>
      </c>
      <c r="S737" s="2">
        <v>1.6055098329999999</v>
      </c>
      <c r="T737" s="2">
        <v>3.7319083329999998</v>
      </c>
      <c r="U737" s="2">
        <v>3.565280118</v>
      </c>
      <c r="V737" s="2">
        <v>-7.9695626000000006E-2</v>
      </c>
      <c r="W737" s="2">
        <v>6.2578033000000005E-2</v>
      </c>
      <c r="X737">
        <f t="shared" si="33"/>
        <v>1</v>
      </c>
      <c r="Y737">
        <f t="shared" si="34"/>
        <v>1</v>
      </c>
      <c r="Z737">
        <f t="shared" si="35"/>
        <v>1</v>
      </c>
    </row>
    <row r="738" spans="1:26" ht="15.75" customHeight="1" x14ac:dyDescent="0.2">
      <c r="A738" s="2" t="s">
        <v>23</v>
      </c>
      <c r="B738" s="2" t="s">
        <v>24</v>
      </c>
      <c r="C738" s="2" t="s">
        <v>32</v>
      </c>
      <c r="D738" s="2" t="s">
        <v>33</v>
      </c>
      <c r="E738" s="2">
        <v>160</v>
      </c>
      <c r="F738" s="2">
        <v>227</v>
      </c>
      <c r="G738" s="2">
        <v>470.66666670000001</v>
      </c>
      <c r="H738" s="2">
        <v>1070.666667</v>
      </c>
      <c r="I738" s="2">
        <v>2411.666667</v>
      </c>
      <c r="J738" s="2">
        <v>2.25</v>
      </c>
      <c r="K738" s="2">
        <v>4.66</v>
      </c>
      <c r="L738" s="2">
        <v>8.94</v>
      </c>
      <c r="M738" s="2">
        <v>14.26</v>
      </c>
      <c r="N738" s="2">
        <v>4.3312059959999996</v>
      </c>
      <c r="O738" s="2">
        <v>4.1065063979999996</v>
      </c>
      <c r="P738" s="2">
        <v>2.9240586359999998</v>
      </c>
      <c r="Q738" s="2">
        <v>2.75723918</v>
      </c>
      <c r="R738" s="2">
        <v>5.4136124000000001E-2</v>
      </c>
      <c r="S738" s="2">
        <v>4.1340848999999999E-2</v>
      </c>
      <c r="T738" s="2">
        <v>2.923557454</v>
      </c>
      <c r="U738" s="2">
        <v>2.7569292399999998</v>
      </c>
      <c r="V738" s="2">
        <v>1.4844733590000001</v>
      </c>
      <c r="W738" s="2">
        <v>5.3046069000000001E-2</v>
      </c>
      <c r="X738">
        <f t="shared" si="33"/>
        <v>1</v>
      </c>
      <c r="Y738">
        <f t="shared" si="34"/>
        <v>1</v>
      </c>
      <c r="Z738">
        <f t="shared" si="35"/>
        <v>1</v>
      </c>
    </row>
    <row r="739" spans="1:26" ht="15.75" customHeight="1" x14ac:dyDescent="0.2">
      <c r="A739" s="2" t="s">
        <v>23</v>
      </c>
      <c r="B739" s="2" t="s">
        <v>24</v>
      </c>
      <c r="C739" s="2" t="s">
        <v>26</v>
      </c>
      <c r="D739" s="2" t="s">
        <v>26</v>
      </c>
      <c r="E739" s="2">
        <v>110</v>
      </c>
      <c r="F739" s="2">
        <v>225</v>
      </c>
      <c r="G739" s="2">
        <v>381.33333329999999</v>
      </c>
      <c r="H739" s="2">
        <v>1048.333333</v>
      </c>
      <c r="I739" s="2">
        <v>2622.333333</v>
      </c>
      <c r="J739" s="2">
        <v>2.23</v>
      </c>
      <c r="K739" s="2">
        <v>3.84</v>
      </c>
      <c r="L739" s="2">
        <v>8.81</v>
      </c>
      <c r="M739" s="2">
        <v>14.81</v>
      </c>
      <c r="N739" s="2">
        <v>0.18178842000000001</v>
      </c>
      <c r="O739" s="2">
        <v>0.55946490400000004</v>
      </c>
      <c r="P739" s="2">
        <v>3.1763212759999999</v>
      </c>
      <c r="Q739" s="2">
        <v>3.012849305</v>
      </c>
      <c r="R739" s="2">
        <v>0.87899142799999996</v>
      </c>
      <c r="S739" s="2">
        <v>0.866196152</v>
      </c>
      <c r="T739" s="2">
        <v>3.0522763500000001</v>
      </c>
      <c r="U739" s="2">
        <v>2.8856481349999998</v>
      </c>
      <c r="V739" s="2">
        <v>0.65961805500000004</v>
      </c>
      <c r="W739" s="2">
        <v>4.8677812000000001E-2</v>
      </c>
      <c r="X739">
        <f t="shared" si="33"/>
        <v>1</v>
      </c>
      <c r="Y739">
        <f t="shared" si="34"/>
        <v>1</v>
      </c>
      <c r="Z739">
        <f t="shared" si="35"/>
        <v>0</v>
      </c>
    </row>
    <row r="740" spans="1:26" ht="15.75" customHeight="1" x14ac:dyDescent="0.2">
      <c r="A740" s="2" t="s">
        <v>23</v>
      </c>
      <c r="B740" s="2" t="s">
        <v>24</v>
      </c>
      <c r="C740" s="2" t="s">
        <v>25</v>
      </c>
      <c r="D740" s="2" t="s">
        <v>25</v>
      </c>
      <c r="E740" s="2">
        <v>178</v>
      </c>
      <c r="F740" s="2">
        <v>219.66666670000001</v>
      </c>
      <c r="G740" s="2">
        <v>894.66666669999995</v>
      </c>
      <c r="H740" s="2">
        <v>1633.666667</v>
      </c>
      <c r="I740" s="2">
        <v>2760</v>
      </c>
      <c r="J740" s="2">
        <v>2.17</v>
      </c>
      <c r="K740" s="2">
        <v>7.87</v>
      </c>
      <c r="L740" s="2">
        <v>11.66</v>
      </c>
      <c r="M740" s="2">
        <v>15.15</v>
      </c>
      <c r="N740" s="2">
        <v>0.83747658199999997</v>
      </c>
      <c r="O740" s="2">
        <v>0.59066193899999997</v>
      </c>
      <c r="P740" s="2">
        <v>3.1636394800000001</v>
      </c>
      <c r="Q740" s="2">
        <v>3.1699013869999999</v>
      </c>
      <c r="R740" s="2">
        <v>3.1568463329999998</v>
      </c>
      <c r="S740" s="2">
        <v>3.1696416080000001</v>
      </c>
      <c r="T740" s="2">
        <v>0.20721002599999999</v>
      </c>
      <c r="U740" s="2">
        <v>4.0581812000000002E-2</v>
      </c>
      <c r="V740" s="2">
        <v>4.6954558149999999</v>
      </c>
      <c r="W740" s="2">
        <v>6.6755423999999994E-2</v>
      </c>
      <c r="X740">
        <f t="shared" si="33"/>
        <v>1</v>
      </c>
      <c r="Y740">
        <f t="shared" si="34"/>
        <v>1</v>
      </c>
      <c r="Z740">
        <f t="shared" si="35"/>
        <v>0</v>
      </c>
    </row>
    <row r="741" spans="1:26" ht="15.75" customHeight="1" x14ac:dyDescent="0.2">
      <c r="A741" s="2" t="s">
        <v>23</v>
      </c>
      <c r="B741" s="2" t="s">
        <v>24</v>
      </c>
      <c r="C741" s="2" t="s">
        <v>30</v>
      </c>
      <c r="D741" s="2" t="s">
        <v>31</v>
      </c>
      <c r="E741" s="2">
        <v>121</v>
      </c>
      <c r="F741" s="2">
        <v>220.33333329999999</v>
      </c>
      <c r="G741" s="2">
        <v>871</v>
      </c>
      <c r="H741" s="2">
        <v>1572</v>
      </c>
      <c r="I741" s="2">
        <v>3134.333333</v>
      </c>
      <c r="J741" s="2">
        <v>2.1800000000000002</v>
      </c>
      <c r="K741" s="2">
        <v>7.72</v>
      </c>
      <c r="L741" s="2">
        <v>11.4</v>
      </c>
      <c r="M741" s="2">
        <v>15.97</v>
      </c>
      <c r="N741" s="2">
        <v>4.4153313030000003</v>
      </c>
      <c r="O741" s="2">
        <v>4.4217991019999996</v>
      </c>
      <c r="P741" s="2">
        <v>3.0383700280000001</v>
      </c>
      <c r="Q741" s="2">
        <v>3.0302368359999998</v>
      </c>
      <c r="R741" s="2">
        <v>3.0029618930000002</v>
      </c>
      <c r="S741" s="2">
        <v>3.015757169</v>
      </c>
      <c r="T741" s="2">
        <v>0.462506533</v>
      </c>
      <c r="U741" s="2">
        <v>0.295878319</v>
      </c>
      <c r="V741" s="2">
        <v>4.5415713760000003</v>
      </c>
      <c r="W741" s="2">
        <v>6.1584906000000002E-2</v>
      </c>
      <c r="X741">
        <f t="shared" si="33"/>
        <v>1</v>
      </c>
      <c r="Y741">
        <f t="shared" si="34"/>
        <v>1</v>
      </c>
      <c r="Z741">
        <f t="shared" si="35"/>
        <v>1</v>
      </c>
    </row>
    <row r="742" spans="1:26" ht="15.75" customHeight="1" x14ac:dyDescent="0.2">
      <c r="A742" s="2" t="s">
        <v>23</v>
      </c>
      <c r="B742" s="2" t="s">
        <v>24</v>
      </c>
      <c r="C742" s="2" t="s">
        <v>27</v>
      </c>
      <c r="D742" s="2" t="s">
        <v>27</v>
      </c>
      <c r="E742" s="2">
        <v>209</v>
      </c>
      <c r="F742" s="2">
        <v>214.66666670000001</v>
      </c>
      <c r="G742" s="2">
        <v>415.66666670000001</v>
      </c>
      <c r="H742" s="2">
        <v>2412</v>
      </c>
      <c r="I742" s="2">
        <v>3185.333333</v>
      </c>
      <c r="J742" s="2">
        <v>2.12</v>
      </c>
      <c r="K742" s="2">
        <v>4.16</v>
      </c>
      <c r="L742" s="2">
        <v>14.26</v>
      </c>
      <c r="M742" s="2">
        <v>16.07</v>
      </c>
      <c r="N742" s="2">
        <v>0.15187848300000001</v>
      </c>
      <c r="O742" s="2">
        <v>0.148502358</v>
      </c>
      <c r="P742" s="2">
        <v>2.4593067890000002</v>
      </c>
      <c r="Q742" s="2">
        <v>2.61923467</v>
      </c>
      <c r="R742" s="2">
        <v>0.55463679700000001</v>
      </c>
      <c r="S742" s="2">
        <v>0.54184152100000005</v>
      </c>
      <c r="T742" s="2">
        <v>2.3959482269999999</v>
      </c>
      <c r="U742" s="2">
        <v>2.5625764420000001</v>
      </c>
      <c r="V742" s="2">
        <v>0.98397268599999999</v>
      </c>
      <c r="W742" s="2">
        <v>4.3559869000000001E-2</v>
      </c>
      <c r="X742">
        <f t="shared" si="33"/>
        <v>1</v>
      </c>
      <c r="Y742">
        <f t="shared" si="34"/>
        <v>1</v>
      </c>
      <c r="Z742">
        <f t="shared" si="35"/>
        <v>0</v>
      </c>
    </row>
    <row r="743" spans="1:26" ht="15.75" customHeight="1" x14ac:dyDescent="0.2">
      <c r="A743" s="2" t="s">
        <v>23</v>
      </c>
      <c r="B743" s="2" t="s">
        <v>24</v>
      </c>
      <c r="C743" s="2" t="s">
        <v>30</v>
      </c>
      <c r="D743" s="2" t="s">
        <v>31</v>
      </c>
      <c r="E743" s="2">
        <v>166</v>
      </c>
      <c r="F743" s="2">
        <v>219.66666670000001</v>
      </c>
      <c r="G743" s="2">
        <v>844.33333330000005</v>
      </c>
      <c r="H743" s="2">
        <v>1622.333333</v>
      </c>
      <c r="I743" s="2">
        <v>2947.333333</v>
      </c>
      <c r="J743" s="2">
        <v>2.17</v>
      </c>
      <c r="K743" s="2">
        <v>7.54</v>
      </c>
      <c r="L743" s="2">
        <v>11.61</v>
      </c>
      <c r="M743" s="2">
        <v>15.57</v>
      </c>
      <c r="N743" s="2">
        <v>4.1475525749999997</v>
      </c>
      <c r="O743" s="2">
        <v>4.1530778719999999</v>
      </c>
      <c r="P743" s="2">
        <v>2.837801427</v>
      </c>
      <c r="Q743" s="2">
        <v>2.8405819299999999</v>
      </c>
      <c r="R743" s="2">
        <v>2.826458884</v>
      </c>
      <c r="S743" s="2">
        <v>2.8392541590000002</v>
      </c>
      <c r="T743" s="2">
        <v>0.25347014699999998</v>
      </c>
      <c r="U743" s="2">
        <v>8.6841931999999997E-2</v>
      </c>
      <c r="V743" s="2">
        <v>4.3650683670000001</v>
      </c>
      <c r="W743" s="2">
        <v>4.9330733000000002E-2</v>
      </c>
      <c r="X743">
        <f t="shared" si="33"/>
        <v>1</v>
      </c>
      <c r="Y743">
        <f t="shared" si="34"/>
        <v>1</v>
      </c>
      <c r="Z743">
        <f t="shared" si="35"/>
        <v>1</v>
      </c>
    </row>
    <row r="744" spans="1:26" ht="15.75" customHeight="1" x14ac:dyDescent="0.2">
      <c r="A744" s="2" t="s">
        <v>23</v>
      </c>
      <c r="B744" s="2" t="s">
        <v>24</v>
      </c>
      <c r="C744" s="2" t="s">
        <v>27</v>
      </c>
      <c r="D744" s="2" t="s">
        <v>27</v>
      </c>
      <c r="E744" s="2">
        <v>220</v>
      </c>
      <c r="F744" s="2">
        <v>214.66666670000001</v>
      </c>
      <c r="G744" s="2">
        <v>421</v>
      </c>
      <c r="H744" s="2">
        <v>2338.666667</v>
      </c>
      <c r="I744" s="2">
        <v>3162.666667</v>
      </c>
      <c r="J744" s="2">
        <v>2.12</v>
      </c>
      <c r="K744" s="2">
        <v>4.21</v>
      </c>
      <c r="L744" s="2">
        <v>14.06</v>
      </c>
      <c r="M744" s="2">
        <v>16.02</v>
      </c>
      <c r="N744" s="2">
        <v>9.8598722999999999E-2</v>
      </c>
      <c r="O744" s="2">
        <v>0.17373404200000001</v>
      </c>
      <c r="P744" s="2">
        <v>2.2483754299999998</v>
      </c>
      <c r="Q744" s="2">
        <v>2.4083872550000001</v>
      </c>
      <c r="R744" s="2">
        <v>0.50509101199999995</v>
      </c>
      <c r="S744" s="2">
        <v>0.49229573599999998</v>
      </c>
      <c r="T744" s="2">
        <v>2.190907379</v>
      </c>
      <c r="U744" s="2">
        <v>2.3575355939999998</v>
      </c>
      <c r="V744" s="2">
        <v>1.033518471</v>
      </c>
      <c r="W744" s="2">
        <v>6.9825859000000004E-2</v>
      </c>
      <c r="X744">
        <f t="shared" si="33"/>
        <v>1</v>
      </c>
      <c r="Y744">
        <f t="shared" si="34"/>
        <v>1</v>
      </c>
      <c r="Z744">
        <f t="shared" si="35"/>
        <v>0</v>
      </c>
    </row>
    <row r="745" spans="1:26" ht="15.75" customHeight="1" x14ac:dyDescent="0.2">
      <c r="A745" s="2" t="s">
        <v>23</v>
      </c>
      <c r="B745" s="2" t="s">
        <v>24</v>
      </c>
      <c r="C745" s="2" t="s">
        <v>26</v>
      </c>
      <c r="D745" s="2" t="s">
        <v>26</v>
      </c>
      <c r="E745" s="2">
        <v>148</v>
      </c>
      <c r="F745" s="2">
        <v>219</v>
      </c>
      <c r="G745" s="2">
        <v>413</v>
      </c>
      <c r="H745" s="2">
        <v>1192.666667</v>
      </c>
      <c r="I745" s="2">
        <v>2535.333333</v>
      </c>
      <c r="J745" s="2">
        <v>2.16</v>
      </c>
      <c r="K745" s="2">
        <v>4.1399999999999997</v>
      </c>
      <c r="L745" s="2">
        <v>9.61</v>
      </c>
      <c r="M745" s="2">
        <v>14.59</v>
      </c>
      <c r="N745" s="2">
        <v>0.91534439899999998</v>
      </c>
      <c r="O745" s="2">
        <v>1.368829917</v>
      </c>
      <c r="P745" s="2">
        <v>2.3259425290000002</v>
      </c>
      <c r="Q745" s="2">
        <v>2.1615769990000002</v>
      </c>
      <c r="R745" s="2">
        <v>0.57949320500000001</v>
      </c>
      <c r="S745" s="2">
        <v>0.56669793000000002</v>
      </c>
      <c r="T745" s="2">
        <v>2.2525976719999998</v>
      </c>
      <c r="U745" s="2">
        <v>2.0859694580000001</v>
      </c>
      <c r="V745" s="2">
        <v>0.95911627799999999</v>
      </c>
      <c r="W745" s="2">
        <v>4.4463583000000001E-2</v>
      </c>
      <c r="X745">
        <f t="shared" si="33"/>
        <v>1</v>
      </c>
      <c r="Y745">
        <f t="shared" si="34"/>
        <v>1</v>
      </c>
      <c r="Z745">
        <f t="shared" si="35"/>
        <v>0</v>
      </c>
    </row>
    <row r="746" spans="1:26" ht="15.75" customHeight="1" x14ac:dyDescent="0.2">
      <c r="A746" s="2" t="s">
        <v>23</v>
      </c>
      <c r="B746" s="2" t="s">
        <v>24</v>
      </c>
      <c r="C746" s="2" t="s">
        <v>27</v>
      </c>
      <c r="D746" s="2" t="s">
        <v>27</v>
      </c>
      <c r="E746" s="2">
        <v>226</v>
      </c>
      <c r="F746" s="2">
        <v>226.66666670000001</v>
      </c>
      <c r="G746" s="2">
        <v>428.33333329999999</v>
      </c>
      <c r="H746" s="2">
        <v>2435.333333</v>
      </c>
      <c r="I746" s="2">
        <v>3279.333333</v>
      </c>
      <c r="J746" s="2">
        <v>2.25</v>
      </c>
      <c r="K746" s="2">
        <v>4.28</v>
      </c>
      <c r="L746" s="2">
        <v>14.32</v>
      </c>
      <c r="M746" s="2">
        <v>16.25</v>
      </c>
      <c r="N746" s="2">
        <v>0.18300451400000001</v>
      </c>
      <c r="O746" s="2">
        <v>0.120936741</v>
      </c>
      <c r="P746" s="2">
        <v>2.498328018</v>
      </c>
      <c r="Q746" s="2">
        <v>2.6604715470000002</v>
      </c>
      <c r="R746" s="2">
        <v>0.43732686500000001</v>
      </c>
      <c r="S746" s="2">
        <v>0.42453158899999999</v>
      </c>
      <c r="T746" s="2">
        <v>2.4597536660000001</v>
      </c>
      <c r="U746" s="2">
        <v>2.6263818809999999</v>
      </c>
      <c r="V746" s="2">
        <v>1.1012826179999999</v>
      </c>
      <c r="W746" s="2">
        <v>5.8838279E-2</v>
      </c>
      <c r="X746">
        <f t="shared" si="33"/>
        <v>1</v>
      </c>
      <c r="Y746">
        <f t="shared" si="34"/>
        <v>1</v>
      </c>
      <c r="Z746">
        <f t="shared" si="35"/>
        <v>0</v>
      </c>
    </row>
    <row r="747" spans="1:26" ht="15.75" customHeight="1" x14ac:dyDescent="0.2">
      <c r="A747" s="2" t="s">
        <v>23</v>
      </c>
      <c r="B747" s="2" t="s">
        <v>24</v>
      </c>
      <c r="C747" s="2" t="s">
        <v>30</v>
      </c>
      <c r="D747" s="2" t="s">
        <v>31</v>
      </c>
      <c r="E747" s="2">
        <v>134</v>
      </c>
      <c r="F747" s="2">
        <v>217</v>
      </c>
      <c r="G747" s="2">
        <v>641.66666669999995</v>
      </c>
      <c r="H747" s="2">
        <v>1432</v>
      </c>
      <c r="I747" s="2">
        <v>2273</v>
      </c>
      <c r="J747" s="2">
        <v>2.14</v>
      </c>
      <c r="K747" s="2">
        <v>6.08</v>
      </c>
      <c r="L747" s="2">
        <v>10.79</v>
      </c>
      <c r="M747" s="2">
        <v>13.87</v>
      </c>
      <c r="N747" s="2">
        <v>3.8192225710000001</v>
      </c>
      <c r="O747" s="2">
        <v>3.854618962</v>
      </c>
      <c r="P747" s="2">
        <v>1.7398548119999999</v>
      </c>
      <c r="Q747" s="2">
        <v>1.6526435500000001</v>
      </c>
      <c r="R747" s="2">
        <v>1.366791436</v>
      </c>
      <c r="S747" s="2">
        <v>1.379586711</v>
      </c>
      <c r="T747" s="2">
        <v>1.076557448</v>
      </c>
      <c r="U747" s="2">
        <v>0.90992923299999995</v>
      </c>
      <c r="V747" s="2">
        <v>2.9054009189999999</v>
      </c>
      <c r="W747" s="2">
        <v>4.3507839999999999E-2</v>
      </c>
      <c r="X747">
        <f t="shared" si="33"/>
        <v>1</v>
      </c>
      <c r="Y747">
        <f t="shared" si="34"/>
        <v>1</v>
      </c>
      <c r="Z747">
        <f t="shared" si="35"/>
        <v>1</v>
      </c>
    </row>
    <row r="748" spans="1:26" ht="15.75" customHeight="1" x14ac:dyDescent="0.2">
      <c r="A748" s="2" t="s">
        <v>23</v>
      </c>
      <c r="B748" s="2" t="s">
        <v>24</v>
      </c>
      <c r="C748" s="2" t="s">
        <v>27</v>
      </c>
      <c r="D748" s="2" t="s">
        <v>27</v>
      </c>
      <c r="E748" s="2">
        <v>180</v>
      </c>
      <c r="F748" s="2">
        <v>216.33333329999999</v>
      </c>
      <c r="G748" s="2">
        <v>478</v>
      </c>
      <c r="H748" s="2">
        <v>2373.333333</v>
      </c>
      <c r="I748" s="2">
        <v>3103.666667</v>
      </c>
      <c r="J748" s="2">
        <v>2.13</v>
      </c>
      <c r="K748" s="2">
        <v>4.7300000000000004</v>
      </c>
      <c r="L748" s="2">
        <v>14.15</v>
      </c>
      <c r="M748" s="2">
        <v>15.9</v>
      </c>
      <c r="N748" s="2">
        <v>0.46993196700000001</v>
      </c>
      <c r="O748" s="2">
        <v>0.43087281999999999</v>
      </c>
      <c r="P748" s="2">
        <v>2.2887265929999998</v>
      </c>
      <c r="Q748" s="2">
        <v>2.455443142</v>
      </c>
      <c r="R748" s="2">
        <v>1.0891099E-2</v>
      </c>
      <c r="S748" s="2">
        <v>2.3686374E-2</v>
      </c>
      <c r="T748" s="2">
        <v>2.2887006799999998</v>
      </c>
      <c r="U748" s="2">
        <v>2.455328894</v>
      </c>
      <c r="V748" s="2">
        <v>1.549500581</v>
      </c>
      <c r="W748" s="2">
        <v>4.2485018999999999E-2</v>
      </c>
      <c r="X748">
        <f t="shared" si="33"/>
        <v>1</v>
      </c>
      <c r="Y748">
        <f t="shared" si="34"/>
        <v>1</v>
      </c>
      <c r="Z748">
        <f t="shared" si="35"/>
        <v>0</v>
      </c>
    </row>
    <row r="749" spans="1:26" ht="15.75" customHeight="1" x14ac:dyDescent="0.2">
      <c r="A749" s="2" t="s">
        <v>23</v>
      </c>
      <c r="B749" s="2" t="s">
        <v>24</v>
      </c>
      <c r="C749" s="2" t="s">
        <v>26</v>
      </c>
      <c r="D749" s="2" t="s">
        <v>26</v>
      </c>
      <c r="E749" s="2">
        <v>143</v>
      </c>
      <c r="F749" s="2">
        <v>223.66666670000001</v>
      </c>
      <c r="G749" s="2">
        <v>404.33333329999999</v>
      </c>
      <c r="H749" s="2">
        <v>1279</v>
      </c>
      <c r="I749" s="2">
        <v>2625</v>
      </c>
      <c r="J749" s="2">
        <v>2.2200000000000002</v>
      </c>
      <c r="K749" s="2">
        <v>4.05</v>
      </c>
      <c r="L749" s="2">
        <v>10.06</v>
      </c>
      <c r="M749" s="2">
        <v>14.82</v>
      </c>
      <c r="N749" s="2">
        <v>1.3490023820000001</v>
      </c>
      <c r="O749" s="2">
        <v>1.8013214879999999</v>
      </c>
      <c r="P749" s="2">
        <v>1.925238319</v>
      </c>
      <c r="Q749" s="2">
        <v>1.7649153310000001</v>
      </c>
      <c r="R749" s="2">
        <v>0.66066376400000004</v>
      </c>
      <c r="S749" s="2">
        <v>0.64786848799999996</v>
      </c>
      <c r="T749" s="2">
        <v>1.8083323739999999</v>
      </c>
      <c r="U749" s="2">
        <v>1.6417041590000001</v>
      </c>
      <c r="V749" s="2">
        <v>0.87794571899999996</v>
      </c>
      <c r="W749" s="2">
        <v>6.3094575E-2</v>
      </c>
      <c r="X749">
        <f t="shared" si="33"/>
        <v>1</v>
      </c>
      <c r="Y749">
        <f t="shared" si="34"/>
        <v>1</v>
      </c>
      <c r="Z749">
        <f t="shared" si="35"/>
        <v>0</v>
      </c>
    </row>
    <row r="750" spans="1:26" ht="15.75" customHeight="1" x14ac:dyDescent="0.2">
      <c r="A750" s="2" t="s">
        <v>23</v>
      </c>
      <c r="B750" s="2" t="s">
        <v>24</v>
      </c>
      <c r="C750" s="2" t="s">
        <v>30</v>
      </c>
      <c r="D750" s="2" t="s">
        <v>31</v>
      </c>
      <c r="E750" s="2">
        <v>129</v>
      </c>
      <c r="F750" s="2">
        <v>221.66666670000001</v>
      </c>
      <c r="G750" s="2">
        <v>791</v>
      </c>
      <c r="H750" s="2">
        <v>1685</v>
      </c>
      <c r="I750" s="2">
        <v>2481.333333</v>
      </c>
      <c r="J750" s="2">
        <v>2.19</v>
      </c>
      <c r="K750" s="2">
        <v>7.18</v>
      </c>
      <c r="L750" s="2">
        <v>11.86</v>
      </c>
      <c r="M750" s="2">
        <v>14.45</v>
      </c>
      <c r="N750" s="2">
        <v>3.705935448</v>
      </c>
      <c r="O750" s="2">
        <v>3.7119867219999998</v>
      </c>
      <c r="P750" s="2">
        <v>2.4631876660000001</v>
      </c>
      <c r="Q750" s="2">
        <v>2.481497429</v>
      </c>
      <c r="R750" s="2">
        <v>2.463187333</v>
      </c>
      <c r="S750" s="2">
        <v>2.4759826079999998</v>
      </c>
      <c r="T750" s="2">
        <v>1.281255E-3</v>
      </c>
      <c r="U750" s="2">
        <v>0.16534695899999999</v>
      </c>
      <c r="V750" s="2">
        <v>4.0017968159999997</v>
      </c>
      <c r="W750" s="2">
        <v>5.2933305E-2</v>
      </c>
      <c r="X750">
        <f t="shared" si="33"/>
        <v>1</v>
      </c>
      <c r="Y750">
        <f t="shared" si="34"/>
        <v>1</v>
      </c>
      <c r="Z750">
        <f t="shared" si="35"/>
        <v>1</v>
      </c>
    </row>
    <row r="751" spans="1:26" ht="15.75" customHeight="1" x14ac:dyDescent="0.2">
      <c r="A751" s="2" t="s">
        <v>23</v>
      </c>
      <c r="B751" s="2" t="s">
        <v>24</v>
      </c>
      <c r="C751" s="2" t="s">
        <v>32</v>
      </c>
      <c r="D751" s="2" t="s">
        <v>33</v>
      </c>
      <c r="E751" s="2">
        <v>147</v>
      </c>
      <c r="F751" s="2">
        <v>222.66666670000001</v>
      </c>
      <c r="G751" s="2">
        <v>433</v>
      </c>
      <c r="H751" s="2">
        <v>917.33333330000005</v>
      </c>
      <c r="I751" s="2">
        <v>2555.333333</v>
      </c>
      <c r="J751" s="2">
        <v>2.21</v>
      </c>
      <c r="K751" s="2">
        <v>4.32</v>
      </c>
      <c r="L751" s="2">
        <v>8.02</v>
      </c>
      <c r="M751" s="2">
        <v>14.64</v>
      </c>
      <c r="N751" s="2">
        <v>5.2745923069999998</v>
      </c>
      <c r="O751" s="2">
        <v>5.0354904649999996</v>
      </c>
      <c r="P751" s="2">
        <v>3.8676980369999998</v>
      </c>
      <c r="Q751" s="2">
        <v>3.7006361330000002</v>
      </c>
      <c r="R751" s="2">
        <v>0.39442047000000002</v>
      </c>
      <c r="S751" s="2">
        <v>0.381625194</v>
      </c>
      <c r="T751" s="2">
        <v>3.8475343529999999</v>
      </c>
      <c r="U751" s="2">
        <v>3.6809061380000001</v>
      </c>
      <c r="V751" s="2">
        <v>1.1441890130000001</v>
      </c>
      <c r="W751" s="2">
        <v>5.0531366000000001E-2</v>
      </c>
      <c r="X751">
        <f t="shared" si="33"/>
        <v>1</v>
      </c>
      <c r="Y751">
        <f t="shared" si="34"/>
        <v>1</v>
      </c>
      <c r="Z751">
        <f t="shared" si="35"/>
        <v>1</v>
      </c>
    </row>
    <row r="752" spans="1:26" ht="15.75" customHeight="1" x14ac:dyDescent="0.2">
      <c r="A752" s="2" t="s">
        <v>23</v>
      </c>
      <c r="B752" s="2" t="s">
        <v>24</v>
      </c>
      <c r="C752" s="2" t="s">
        <v>28</v>
      </c>
      <c r="D752" s="2" t="s">
        <v>29</v>
      </c>
      <c r="E752" s="2">
        <v>107</v>
      </c>
      <c r="F752" s="2">
        <v>221</v>
      </c>
      <c r="G752" s="2">
        <v>411.33333329999999</v>
      </c>
      <c r="H752" s="2">
        <v>1019.333333</v>
      </c>
      <c r="I752" s="2">
        <v>2477</v>
      </c>
      <c r="J752" s="2">
        <v>2.19</v>
      </c>
      <c r="K752" s="2">
        <v>4.12</v>
      </c>
      <c r="L752" s="2">
        <v>8.64</v>
      </c>
      <c r="M752" s="2">
        <v>14.44</v>
      </c>
      <c r="N752" s="2">
        <v>0.150005155</v>
      </c>
      <c r="O752" s="2">
        <v>0.43014711300000003</v>
      </c>
      <c r="P752" s="2">
        <v>3.2767821260000001</v>
      </c>
      <c r="Q752" s="2">
        <v>3.1106510919999999</v>
      </c>
      <c r="R752" s="2">
        <v>0.595056849</v>
      </c>
      <c r="S752" s="2">
        <v>0.582261574</v>
      </c>
      <c r="T752" s="2">
        <v>3.2222986279999999</v>
      </c>
      <c r="U752" s="2">
        <v>3.0556704140000002</v>
      </c>
      <c r="V752" s="2">
        <v>0.943552634</v>
      </c>
      <c r="W752" s="2">
        <v>5.6739248999999999E-2</v>
      </c>
      <c r="X752">
        <f t="shared" si="33"/>
        <v>1</v>
      </c>
      <c r="Y752">
        <f t="shared" si="34"/>
        <v>1</v>
      </c>
      <c r="Z752">
        <f t="shared" si="35"/>
        <v>1</v>
      </c>
    </row>
    <row r="753" spans="1:26" ht="15.75" customHeight="1" x14ac:dyDescent="0.2">
      <c r="A753" s="2" t="s">
        <v>23</v>
      </c>
      <c r="B753" s="2" t="s">
        <v>24</v>
      </c>
      <c r="C753" s="2" t="s">
        <v>28</v>
      </c>
      <c r="D753" s="2" t="s">
        <v>29</v>
      </c>
      <c r="E753" s="2">
        <v>141</v>
      </c>
      <c r="F753" s="2">
        <v>215.66666670000001</v>
      </c>
      <c r="G753" s="2">
        <v>410.33333329999999</v>
      </c>
      <c r="H753" s="2">
        <v>1512.666667</v>
      </c>
      <c r="I753" s="2">
        <v>2921.333333</v>
      </c>
      <c r="J753" s="2">
        <v>2.13</v>
      </c>
      <c r="K753" s="2">
        <v>4.1100000000000003</v>
      </c>
      <c r="L753" s="2">
        <v>11.15</v>
      </c>
      <c r="M753" s="2">
        <v>15.51</v>
      </c>
      <c r="N753" s="2">
        <v>2.442081355</v>
      </c>
      <c r="O753" s="2">
        <v>2.8942462340000001</v>
      </c>
      <c r="P753" s="2">
        <v>0.93753285099999994</v>
      </c>
      <c r="Q753" s="2">
        <v>0.80782665300000001</v>
      </c>
      <c r="R753" s="2">
        <v>0.60440554099999999</v>
      </c>
      <c r="S753" s="2">
        <v>0.591610266</v>
      </c>
      <c r="T753" s="2">
        <v>0.71670202299999997</v>
      </c>
      <c r="U753" s="2">
        <v>0.55007380800000005</v>
      </c>
      <c r="V753" s="2">
        <v>0.93420394200000001</v>
      </c>
      <c r="W753" s="2">
        <v>5.3471945E-2</v>
      </c>
      <c r="X753">
        <f t="shared" si="33"/>
        <v>1</v>
      </c>
      <c r="Y753">
        <f t="shared" si="34"/>
        <v>1</v>
      </c>
      <c r="Z753">
        <f t="shared" si="35"/>
        <v>1</v>
      </c>
    </row>
    <row r="754" spans="1:26" ht="15.75" customHeight="1" x14ac:dyDescent="0.2">
      <c r="A754" s="2" t="s">
        <v>23</v>
      </c>
      <c r="B754" s="2" t="s">
        <v>24</v>
      </c>
      <c r="C754" s="2" t="s">
        <v>26</v>
      </c>
      <c r="D754" s="2" t="s">
        <v>26</v>
      </c>
      <c r="E754" s="2">
        <v>167</v>
      </c>
      <c r="F754" s="2">
        <v>218</v>
      </c>
      <c r="G754" s="2">
        <v>415</v>
      </c>
      <c r="H754" s="2">
        <v>959</v>
      </c>
      <c r="I754" s="2">
        <v>2590.666667</v>
      </c>
      <c r="J754" s="2">
        <v>2.15</v>
      </c>
      <c r="K754" s="2">
        <v>4.1500000000000004</v>
      </c>
      <c r="L754" s="2">
        <v>8.2799999999999994</v>
      </c>
      <c r="M754" s="2">
        <v>14.73</v>
      </c>
      <c r="N754" s="2">
        <v>0.46303818600000002</v>
      </c>
      <c r="O754" s="2">
        <v>0.23152346400000001</v>
      </c>
      <c r="P754" s="2">
        <v>3.6304311610000002</v>
      </c>
      <c r="Q754" s="2">
        <v>3.4638513830000002</v>
      </c>
      <c r="R754" s="2">
        <v>0.56084566599999996</v>
      </c>
      <c r="S754" s="2">
        <v>0.54805039099999997</v>
      </c>
      <c r="T754" s="2">
        <v>3.586848555</v>
      </c>
      <c r="U754" s="2">
        <v>3.4202203400000002</v>
      </c>
      <c r="V754" s="2">
        <v>0.97776381700000004</v>
      </c>
      <c r="W754" s="2">
        <v>5.9815766999999999E-2</v>
      </c>
      <c r="X754">
        <f t="shared" si="33"/>
        <v>1</v>
      </c>
      <c r="Y754">
        <f t="shared" si="34"/>
        <v>1</v>
      </c>
      <c r="Z754">
        <f t="shared" si="35"/>
        <v>0</v>
      </c>
    </row>
    <row r="755" spans="1:26" ht="15.75" customHeight="1" x14ac:dyDescent="0.2">
      <c r="A755" s="2" t="s">
        <v>23</v>
      </c>
      <c r="B755" s="2" t="s">
        <v>24</v>
      </c>
      <c r="C755" s="2" t="s">
        <v>25</v>
      </c>
      <c r="D755" s="2" t="s">
        <v>25</v>
      </c>
      <c r="E755" s="2">
        <v>161</v>
      </c>
      <c r="F755" s="2">
        <v>222.33333329999999</v>
      </c>
      <c r="G755" s="2">
        <v>788.66666669999995</v>
      </c>
      <c r="H755" s="2">
        <v>1827.333333</v>
      </c>
      <c r="I755" s="2">
        <v>2839.333333</v>
      </c>
      <c r="J755" s="2">
        <v>2.2000000000000002</v>
      </c>
      <c r="K755" s="2">
        <v>7.16</v>
      </c>
      <c r="L755" s="2">
        <v>12.41</v>
      </c>
      <c r="M755" s="2">
        <v>15.33</v>
      </c>
      <c r="N755" s="2">
        <v>0.218725582</v>
      </c>
      <c r="O755" s="2">
        <v>0.46247665199999999</v>
      </c>
      <c r="P755" s="2">
        <v>2.5059568759999999</v>
      </c>
      <c r="Q755" s="2">
        <v>2.5593934570000001</v>
      </c>
      <c r="R755" s="2">
        <v>2.446972331</v>
      </c>
      <c r="S755" s="2">
        <v>2.4597676060000002</v>
      </c>
      <c r="T755" s="2">
        <v>0.54050557300000002</v>
      </c>
      <c r="U755" s="2">
        <v>0.70713378800000004</v>
      </c>
      <c r="V755" s="2">
        <v>3.9855818140000001</v>
      </c>
      <c r="W755" s="2">
        <v>5.3541891000000001E-2</v>
      </c>
      <c r="X755">
        <f t="shared" si="33"/>
        <v>1</v>
      </c>
      <c r="Y755">
        <f t="shared" si="34"/>
        <v>1</v>
      </c>
      <c r="Z755">
        <f t="shared" si="35"/>
        <v>0</v>
      </c>
    </row>
    <row r="756" spans="1:26" ht="15.75" customHeight="1" x14ac:dyDescent="0.2">
      <c r="A756" s="2" t="s">
        <v>23</v>
      </c>
      <c r="B756" s="2" t="s">
        <v>24</v>
      </c>
      <c r="C756" s="2" t="s">
        <v>30</v>
      </c>
      <c r="D756" s="2" t="s">
        <v>31</v>
      </c>
      <c r="E756" s="2">
        <v>159</v>
      </c>
      <c r="F756" s="2">
        <v>219</v>
      </c>
      <c r="G756" s="2">
        <v>626</v>
      </c>
      <c r="H756" s="2">
        <v>1915.333333</v>
      </c>
      <c r="I756" s="2">
        <v>2465.333333</v>
      </c>
      <c r="J756" s="2">
        <v>2.16</v>
      </c>
      <c r="K756" s="2">
        <v>5.96</v>
      </c>
      <c r="L756" s="2">
        <v>12.72</v>
      </c>
      <c r="M756" s="2">
        <v>14.41</v>
      </c>
      <c r="N756" s="2">
        <v>2.2191876860000002</v>
      </c>
      <c r="O756" s="2">
        <v>2.228242018</v>
      </c>
      <c r="P756" s="2">
        <v>1.5101638209999999</v>
      </c>
      <c r="Q756" s="2">
        <v>1.6203369139999999</v>
      </c>
      <c r="R756" s="2">
        <v>1.244428662</v>
      </c>
      <c r="S756" s="2">
        <v>1.257223937</v>
      </c>
      <c r="T756" s="2">
        <v>0.85556535199999995</v>
      </c>
      <c r="U756" s="2">
        <v>1.0221935660000001</v>
      </c>
      <c r="V756" s="2">
        <v>2.7830381439999998</v>
      </c>
      <c r="W756" s="2">
        <v>6.8174981999999995E-2</v>
      </c>
      <c r="X756">
        <f t="shared" si="33"/>
        <v>1</v>
      </c>
      <c r="Y756">
        <f t="shared" si="34"/>
        <v>1</v>
      </c>
      <c r="Z756">
        <f t="shared" si="35"/>
        <v>1</v>
      </c>
    </row>
    <row r="757" spans="1:26" ht="15.75" customHeight="1" x14ac:dyDescent="0.2">
      <c r="A757" s="2" t="s">
        <v>23</v>
      </c>
      <c r="B757" s="2" t="s">
        <v>24</v>
      </c>
      <c r="C757" s="2" t="s">
        <v>28</v>
      </c>
      <c r="D757" s="2" t="s">
        <v>29</v>
      </c>
      <c r="E757" s="2">
        <v>100</v>
      </c>
      <c r="F757" s="2">
        <v>237</v>
      </c>
      <c r="G757" s="2">
        <v>568.66666669999995</v>
      </c>
      <c r="H757" s="2">
        <v>1825.666667</v>
      </c>
      <c r="I757" s="2">
        <v>3244.333333</v>
      </c>
      <c r="J757" s="2">
        <v>2.36</v>
      </c>
      <c r="K757" s="2">
        <v>5.5</v>
      </c>
      <c r="L757" s="2">
        <v>12.4</v>
      </c>
      <c r="M757" s="2">
        <v>16.18</v>
      </c>
      <c r="N757" s="2">
        <v>3.988165178</v>
      </c>
      <c r="O757" s="2">
        <v>4.4289324749999999</v>
      </c>
      <c r="P757" s="2">
        <v>0.94856459800000004</v>
      </c>
      <c r="Q757" s="2">
        <v>1.0610609010000001</v>
      </c>
      <c r="R757" s="2">
        <v>0.78370557699999999</v>
      </c>
      <c r="S757" s="2">
        <v>0.79650085199999998</v>
      </c>
      <c r="T757" s="2">
        <v>0.53439719799999996</v>
      </c>
      <c r="U757" s="2">
        <v>0.70102541200000001</v>
      </c>
      <c r="V757" s="2">
        <v>2.3223150600000002</v>
      </c>
      <c r="W757" s="2">
        <v>4.1839542E-2</v>
      </c>
      <c r="X757">
        <f t="shared" si="33"/>
        <v>1</v>
      </c>
      <c r="Y757">
        <f t="shared" si="34"/>
        <v>1</v>
      </c>
      <c r="Z757">
        <f t="shared" si="35"/>
        <v>1</v>
      </c>
    </row>
    <row r="758" spans="1:26" ht="15.75" customHeight="1" x14ac:dyDescent="0.2">
      <c r="A758" s="2" t="s">
        <v>23</v>
      </c>
      <c r="B758" s="2" t="s">
        <v>24</v>
      </c>
      <c r="C758" s="2" t="s">
        <v>28</v>
      </c>
      <c r="D758" s="2" t="s">
        <v>29</v>
      </c>
      <c r="E758" s="2">
        <v>105</v>
      </c>
      <c r="F758" s="2">
        <v>222.33333329999999</v>
      </c>
      <c r="G758" s="2">
        <v>317.33333329999999</v>
      </c>
      <c r="H758" s="2">
        <v>1009.666667</v>
      </c>
      <c r="I758" s="2">
        <v>2555.666667</v>
      </c>
      <c r="J758" s="2">
        <v>2.2000000000000002</v>
      </c>
      <c r="K758" s="2">
        <v>3.21</v>
      </c>
      <c r="L758" s="2">
        <v>8.59</v>
      </c>
      <c r="M758" s="2">
        <v>14.64</v>
      </c>
      <c r="N758" s="2">
        <v>0.79012320700000005</v>
      </c>
      <c r="O758" s="2">
        <v>0.78825177999999996</v>
      </c>
      <c r="P758" s="2">
        <v>3.6105066990000001</v>
      </c>
      <c r="Q758" s="2">
        <v>3.454282568</v>
      </c>
      <c r="R758" s="2">
        <v>1.509720731</v>
      </c>
      <c r="S758" s="2">
        <v>1.496925455</v>
      </c>
      <c r="T758" s="2">
        <v>3.279710648</v>
      </c>
      <c r="U758" s="2">
        <v>3.1130824339999998</v>
      </c>
      <c r="V758" s="2">
        <v>2.8888752E-2</v>
      </c>
      <c r="W758" s="2">
        <v>4.8014065000000002E-2</v>
      </c>
      <c r="X758">
        <f t="shared" si="33"/>
        <v>1</v>
      </c>
      <c r="Y758">
        <f t="shared" si="34"/>
        <v>1</v>
      </c>
      <c r="Z758">
        <f t="shared" si="35"/>
        <v>1</v>
      </c>
    </row>
    <row r="759" spans="1:26" ht="15.75" customHeight="1" x14ac:dyDescent="0.2">
      <c r="A759" s="2" t="s">
        <v>23</v>
      </c>
      <c r="B759" s="2" t="s">
        <v>24</v>
      </c>
      <c r="C759" s="2" t="s">
        <v>32</v>
      </c>
      <c r="D759" s="2" t="s">
        <v>33</v>
      </c>
      <c r="E759" s="2">
        <v>152</v>
      </c>
      <c r="F759" s="2">
        <v>227.66666670000001</v>
      </c>
      <c r="G759" s="2">
        <v>411.33333329999999</v>
      </c>
      <c r="H759" s="2">
        <v>1130.666667</v>
      </c>
      <c r="I759" s="2">
        <v>2561.333333</v>
      </c>
      <c r="J759" s="2">
        <v>2.2599999999999998</v>
      </c>
      <c r="K759" s="2">
        <v>4.12</v>
      </c>
      <c r="L759" s="2">
        <v>9.2799999999999994</v>
      </c>
      <c r="M759" s="2">
        <v>14.66</v>
      </c>
      <c r="N759" s="2">
        <v>4.4512177660000001</v>
      </c>
      <c r="O759" s="2">
        <v>4.2619039489999997</v>
      </c>
      <c r="P759" s="2">
        <v>2.654513664</v>
      </c>
      <c r="Q759" s="2">
        <v>2.4893821229999999</v>
      </c>
      <c r="R759" s="2">
        <v>0.595056849</v>
      </c>
      <c r="S759" s="2">
        <v>0.582261574</v>
      </c>
      <c r="T759" s="2">
        <v>2.5869577000000001</v>
      </c>
      <c r="U759" s="2">
        <v>2.4203294849999999</v>
      </c>
      <c r="V759" s="2">
        <v>0.943552634</v>
      </c>
      <c r="W759" s="2">
        <v>5.2825380999999998E-2</v>
      </c>
      <c r="X759">
        <f t="shared" si="33"/>
        <v>1</v>
      </c>
      <c r="Y759">
        <f t="shared" si="34"/>
        <v>1</v>
      </c>
      <c r="Z759">
        <f t="shared" si="35"/>
        <v>1</v>
      </c>
    </row>
    <row r="760" spans="1:26" ht="15.75" customHeight="1" x14ac:dyDescent="0.2">
      <c r="A760" s="2" t="s">
        <v>23</v>
      </c>
      <c r="B760" s="2" t="s">
        <v>24</v>
      </c>
      <c r="C760" s="2" t="s">
        <v>25</v>
      </c>
      <c r="D760" s="2" t="s">
        <v>25</v>
      </c>
      <c r="E760" s="2">
        <v>111</v>
      </c>
      <c r="F760" s="2">
        <v>224.33333329999999</v>
      </c>
      <c r="G760" s="2">
        <v>853.33333330000005</v>
      </c>
      <c r="H760" s="2">
        <v>1772.333333</v>
      </c>
      <c r="I760" s="2">
        <v>2704.333333</v>
      </c>
      <c r="J760" s="2">
        <v>2.2200000000000002</v>
      </c>
      <c r="K760" s="2">
        <v>7.6</v>
      </c>
      <c r="L760" s="2">
        <v>12.2</v>
      </c>
      <c r="M760" s="2">
        <v>15.01</v>
      </c>
      <c r="N760" s="2">
        <v>0.26658128399999997</v>
      </c>
      <c r="O760" s="2">
        <v>0.28443581899999998</v>
      </c>
      <c r="P760" s="2">
        <v>2.905899078</v>
      </c>
      <c r="Q760" s="2">
        <v>2.9424535970000001</v>
      </c>
      <c r="R760" s="2">
        <v>2.8864027249999999</v>
      </c>
      <c r="S760" s="2">
        <v>2.8991980009999998</v>
      </c>
      <c r="T760" s="2">
        <v>0.33604874400000001</v>
      </c>
      <c r="U760" s="2">
        <v>0.50267695899999998</v>
      </c>
      <c r="V760" s="2">
        <v>4.4250122080000001</v>
      </c>
      <c r="W760" s="2">
        <v>4.4737514999999999E-2</v>
      </c>
      <c r="X760">
        <f t="shared" si="33"/>
        <v>1</v>
      </c>
      <c r="Y760">
        <f t="shared" si="34"/>
        <v>1</v>
      </c>
      <c r="Z760">
        <f t="shared" si="35"/>
        <v>0</v>
      </c>
    </row>
    <row r="761" spans="1:26" ht="15.75" customHeight="1" x14ac:dyDescent="0.2">
      <c r="A761" s="2" t="s">
        <v>23</v>
      </c>
      <c r="B761" s="2" t="s">
        <v>24</v>
      </c>
      <c r="C761" s="2" t="s">
        <v>27</v>
      </c>
      <c r="D761" s="2" t="s">
        <v>27</v>
      </c>
      <c r="E761" s="2">
        <v>92</v>
      </c>
      <c r="F761" s="2">
        <v>218</v>
      </c>
      <c r="G761" s="2">
        <v>415.33333329999999</v>
      </c>
      <c r="H761" s="2">
        <v>2314.666667</v>
      </c>
      <c r="I761" s="2">
        <v>2972.333333</v>
      </c>
      <c r="J761" s="2">
        <v>2.15</v>
      </c>
      <c r="K761" s="2">
        <v>4.16</v>
      </c>
      <c r="L761" s="2">
        <v>13.99</v>
      </c>
      <c r="M761" s="2">
        <v>15.63</v>
      </c>
      <c r="N761" s="2">
        <v>0.184457068</v>
      </c>
      <c r="O761" s="2">
        <v>0.25980794600000001</v>
      </c>
      <c r="P761" s="2">
        <v>2.1943396750000002</v>
      </c>
      <c r="Q761" s="2">
        <v>2.3528799880000002</v>
      </c>
      <c r="R761" s="2">
        <v>0.55774079600000004</v>
      </c>
      <c r="S761" s="2">
        <v>0.54494551999999996</v>
      </c>
      <c r="T761" s="2">
        <v>2.1222751510000002</v>
      </c>
      <c r="U761" s="2">
        <v>2.2889033649999999</v>
      </c>
      <c r="V761" s="2">
        <v>0.98086868699999996</v>
      </c>
      <c r="W761" s="2">
        <v>5.3559520999999999E-2</v>
      </c>
      <c r="X761">
        <f t="shared" si="33"/>
        <v>1</v>
      </c>
      <c r="Y761">
        <f t="shared" si="34"/>
        <v>1</v>
      </c>
      <c r="Z761">
        <f t="shared" si="35"/>
        <v>0</v>
      </c>
    </row>
    <row r="762" spans="1:26" ht="15.75" customHeight="1" x14ac:dyDescent="0.2">
      <c r="A762" s="2" t="s">
        <v>23</v>
      </c>
      <c r="B762" s="2" t="s">
        <v>24</v>
      </c>
      <c r="C762" s="2" t="s">
        <v>32</v>
      </c>
      <c r="D762" s="2" t="s">
        <v>33</v>
      </c>
      <c r="E762" s="2">
        <v>120</v>
      </c>
      <c r="F762" s="2">
        <v>226.33333329999999</v>
      </c>
      <c r="G762" s="2">
        <v>342</v>
      </c>
      <c r="H762" s="2">
        <v>925.33333330000005</v>
      </c>
      <c r="I762" s="2">
        <v>2505</v>
      </c>
      <c r="J762" s="2">
        <v>2.25</v>
      </c>
      <c r="K762" s="2">
        <v>3.45</v>
      </c>
      <c r="L762" s="2">
        <v>8.07</v>
      </c>
      <c r="M762" s="2">
        <v>14.51</v>
      </c>
      <c r="N762" s="2">
        <v>5.781607707</v>
      </c>
      <c r="O762" s="2">
        <v>5.5718160990000003</v>
      </c>
      <c r="P762" s="2">
        <v>4.0012846480000004</v>
      </c>
      <c r="Q762" s="2">
        <v>3.8393435930000002</v>
      </c>
      <c r="R762" s="2">
        <v>1.2624735039999999</v>
      </c>
      <c r="S762" s="2">
        <v>1.2496782289999999</v>
      </c>
      <c r="T762" s="2">
        <v>3.7968986660000001</v>
      </c>
      <c r="U762" s="2">
        <v>3.630270452</v>
      </c>
      <c r="V762" s="2">
        <v>0.276135978</v>
      </c>
      <c r="W762" s="2">
        <v>3.2133651999999999E-2</v>
      </c>
      <c r="X762">
        <f t="shared" si="33"/>
        <v>1</v>
      </c>
      <c r="Y762">
        <f t="shared" si="34"/>
        <v>1</v>
      </c>
      <c r="Z762">
        <f t="shared" si="35"/>
        <v>1</v>
      </c>
    </row>
    <row r="763" spans="1:26" ht="15.75" customHeight="1" x14ac:dyDescent="0.2">
      <c r="A763" s="2" t="s">
        <v>23</v>
      </c>
      <c r="B763" s="2" t="s">
        <v>24</v>
      </c>
      <c r="C763" s="2" t="s">
        <v>28</v>
      </c>
      <c r="D763" s="2" t="s">
        <v>29</v>
      </c>
      <c r="E763" s="2">
        <v>101</v>
      </c>
      <c r="F763" s="2">
        <v>215</v>
      </c>
      <c r="G763" s="2">
        <v>470.66666670000001</v>
      </c>
      <c r="H763" s="2">
        <v>1324.333333</v>
      </c>
      <c r="I763" s="2">
        <v>2471.333333</v>
      </c>
      <c r="J763" s="2">
        <v>2.12</v>
      </c>
      <c r="K763" s="2">
        <v>4.66</v>
      </c>
      <c r="L763" s="2">
        <v>10.28</v>
      </c>
      <c r="M763" s="2">
        <v>14.42</v>
      </c>
      <c r="N763" s="2">
        <v>1.7101458089999999</v>
      </c>
      <c r="O763" s="2">
        <v>2.1508825520000001</v>
      </c>
      <c r="P763" s="2">
        <v>1.585326928</v>
      </c>
      <c r="Q763" s="2">
        <v>1.4183767169999999</v>
      </c>
      <c r="R763" s="2">
        <v>5.4136124000000001E-2</v>
      </c>
      <c r="S763" s="2">
        <v>4.1340848999999999E-2</v>
      </c>
      <c r="T763" s="2">
        <v>1.5844023309999999</v>
      </c>
      <c r="U763" s="2">
        <v>1.417774117</v>
      </c>
      <c r="V763" s="2">
        <v>1.4844733590000001</v>
      </c>
      <c r="W763" s="2">
        <v>5.6117988000000001E-2</v>
      </c>
      <c r="X763">
        <f t="shared" si="33"/>
        <v>1</v>
      </c>
      <c r="Y763">
        <f t="shared" si="34"/>
        <v>1</v>
      </c>
      <c r="Z763">
        <f t="shared" si="35"/>
        <v>1</v>
      </c>
    </row>
    <row r="764" spans="1:26" ht="15.75" customHeight="1" x14ac:dyDescent="0.2">
      <c r="A764" s="2" t="s">
        <v>23</v>
      </c>
      <c r="B764" s="2" t="s">
        <v>24</v>
      </c>
      <c r="C764" s="2" t="s">
        <v>27</v>
      </c>
      <c r="D764" s="2" t="s">
        <v>27</v>
      </c>
      <c r="E764" s="2">
        <v>133</v>
      </c>
      <c r="F764" s="2">
        <v>238.33333329999999</v>
      </c>
      <c r="G764" s="2">
        <v>451</v>
      </c>
      <c r="H764" s="2">
        <v>2388.333333</v>
      </c>
      <c r="I764" s="2">
        <v>3242.333333</v>
      </c>
      <c r="J764" s="2">
        <v>2.38</v>
      </c>
      <c r="K764" s="2">
        <v>4.49</v>
      </c>
      <c r="L764" s="2">
        <v>14.2</v>
      </c>
      <c r="M764" s="2">
        <v>16.18</v>
      </c>
      <c r="N764" s="2">
        <v>0.234395505</v>
      </c>
      <c r="O764" s="2">
        <v>0.18663860099999999</v>
      </c>
      <c r="P764" s="2">
        <v>2.3419008300000002</v>
      </c>
      <c r="Q764" s="2">
        <v>2.5066301599999998</v>
      </c>
      <c r="R764" s="2">
        <v>0.23048026199999999</v>
      </c>
      <c r="S764" s="2">
        <v>0.217684986</v>
      </c>
      <c r="T764" s="2">
        <v>2.3305317730000001</v>
      </c>
      <c r="U764" s="2">
        <v>2.4971599879999999</v>
      </c>
      <c r="V764" s="2">
        <v>1.308129221</v>
      </c>
      <c r="W764" s="2">
        <v>4.9350368999999998E-2</v>
      </c>
      <c r="X764">
        <f t="shared" si="33"/>
        <v>1</v>
      </c>
      <c r="Y764">
        <f t="shared" si="34"/>
        <v>1</v>
      </c>
      <c r="Z764">
        <f t="shared" si="35"/>
        <v>0</v>
      </c>
    </row>
    <row r="765" spans="1:26" ht="15.75" customHeight="1" x14ac:dyDescent="0.2">
      <c r="A765" s="2" t="s">
        <v>23</v>
      </c>
      <c r="B765" s="2" t="s">
        <v>24</v>
      </c>
      <c r="C765" s="2" t="s">
        <v>26</v>
      </c>
      <c r="D765" s="2" t="s">
        <v>26</v>
      </c>
      <c r="E765" s="2">
        <v>132</v>
      </c>
      <c r="F765" s="2">
        <v>213.33333329999999</v>
      </c>
      <c r="G765" s="2">
        <v>371.66666670000001</v>
      </c>
      <c r="H765" s="2">
        <v>809.66666669999995</v>
      </c>
      <c r="I765" s="2">
        <v>2634.666667</v>
      </c>
      <c r="J765" s="2">
        <v>2.1</v>
      </c>
      <c r="K765" s="2">
        <v>3.74</v>
      </c>
      <c r="L765" s="2">
        <v>7.31</v>
      </c>
      <c r="M765" s="2">
        <v>14.84</v>
      </c>
      <c r="N765" s="2">
        <v>1.4227253259999999</v>
      </c>
      <c r="O765" s="2">
        <v>0.96950837999999995</v>
      </c>
      <c r="P765" s="2">
        <v>4.6599735039999999</v>
      </c>
      <c r="Q765" s="2">
        <v>4.4943967269999998</v>
      </c>
      <c r="R765" s="2">
        <v>0.97203790099999998</v>
      </c>
      <c r="S765" s="2">
        <v>0.95924262599999999</v>
      </c>
      <c r="T765" s="2">
        <v>4.5574658939999999</v>
      </c>
      <c r="U765" s="2">
        <v>4.3908376789999997</v>
      </c>
      <c r="V765" s="2">
        <v>0.56657158200000002</v>
      </c>
      <c r="W765" s="2">
        <v>6.5012141999999995E-2</v>
      </c>
      <c r="X765">
        <f t="shared" si="33"/>
        <v>1</v>
      </c>
      <c r="Y765">
        <f t="shared" si="34"/>
        <v>1</v>
      </c>
      <c r="Z765">
        <f t="shared" si="35"/>
        <v>0</v>
      </c>
    </row>
    <row r="766" spans="1:26" ht="15.75" customHeight="1" x14ac:dyDescent="0.2">
      <c r="A766" s="2" t="s">
        <v>23</v>
      </c>
      <c r="B766" s="2" t="s">
        <v>24</v>
      </c>
      <c r="C766" s="2" t="s">
        <v>27</v>
      </c>
      <c r="D766" s="2" t="s">
        <v>27</v>
      </c>
      <c r="E766" s="2">
        <v>189</v>
      </c>
      <c r="F766" s="2">
        <v>214</v>
      </c>
      <c r="G766" s="2">
        <v>417.66666670000001</v>
      </c>
      <c r="H766" s="2">
        <v>2292.666667</v>
      </c>
      <c r="I766" s="2">
        <v>3105.333333</v>
      </c>
      <c r="J766" s="2">
        <v>2.11</v>
      </c>
      <c r="K766" s="2">
        <v>4.18</v>
      </c>
      <c r="L766" s="2">
        <v>13.92</v>
      </c>
      <c r="M766" s="2">
        <v>15.91</v>
      </c>
      <c r="N766" s="2">
        <v>0.23250531299999999</v>
      </c>
      <c r="O766" s="2">
        <v>0.30604169799999997</v>
      </c>
      <c r="P766" s="2">
        <v>2.1273222409999999</v>
      </c>
      <c r="Q766" s="2">
        <v>2.2859965440000001</v>
      </c>
      <c r="R766" s="2">
        <v>0.53603107999999999</v>
      </c>
      <c r="S766" s="2">
        <v>0.523235805</v>
      </c>
      <c r="T766" s="2">
        <v>2.058681762</v>
      </c>
      <c r="U766" s="2">
        <v>2.2253099770000002</v>
      </c>
      <c r="V766" s="2">
        <v>1.002578403</v>
      </c>
      <c r="W766" s="2">
        <v>5.8065340999999999E-2</v>
      </c>
      <c r="X766">
        <f t="shared" si="33"/>
        <v>1</v>
      </c>
      <c r="Y766">
        <f t="shared" si="34"/>
        <v>1</v>
      </c>
      <c r="Z766">
        <f t="shared" si="35"/>
        <v>0</v>
      </c>
    </row>
    <row r="767" spans="1:26" ht="15.75" customHeight="1" x14ac:dyDescent="0.2">
      <c r="A767" s="2" t="s">
        <v>23</v>
      </c>
      <c r="B767" s="2" t="s">
        <v>24</v>
      </c>
      <c r="C767" s="2" t="s">
        <v>27</v>
      </c>
      <c r="D767" s="2" t="s">
        <v>27</v>
      </c>
      <c r="E767" s="2">
        <v>182</v>
      </c>
      <c r="F767" s="2">
        <v>220.66666670000001</v>
      </c>
      <c r="G767" s="2">
        <v>389.66666670000001</v>
      </c>
      <c r="H767" s="2">
        <v>2430</v>
      </c>
      <c r="I767" s="2">
        <v>2887.666667</v>
      </c>
      <c r="J767" s="2">
        <v>2.1800000000000002</v>
      </c>
      <c r="K767" s="2">
        <v>3.92</v>
      </c>
      <c r="L767" s="2">
        <v>14.31</v>
      </c>
      <c r="M767" s="2">
        <v>15.44</v>
      </c>
      <c r="N767" s="2">
        <v>0.37931367700000002</v>
      </c>
      <c r="O767" s="2">
        <v>0.396604558</v>
      </c>
      <c r="P767" s="2">
        <v>2.5725816799999999</v>
      </c>
      <c r="Q767" s="2">
        <v>2.7277347139999999</v>
      </c>
      <c r="R767" s="2">
        <v>0.79939343100000004</v>
      </c>
      <c r="S767" s="2">
        <v>0.78659815600000005</v>
      </c>
      <c r="T767" s="2">
        <v>2.4452293639999998</v>
      </c>
      <c r="U767" s="2">
        <v>2.611857579</v>
      </c>
      <c r="V767" s="2">
        <v>0.73921605099999999</v>
      </c>
      <c r="W767" s="2">
        <v>5.9099829999999999E-2</v>
      </c>
      <c r="X767">
        <f t="shared" si="33"/>
        <v>1</v>
      </c>
      <c r="Y767">
        <f t="shared" si="34"/>
        <v>1</v>
      </c>
      <c r="Z767">
        <f t="shared" si="35"/>
        <v>0</v>
      </c>
    </row>
    <row r="768" spans="1:26" ht="15.75" customHeight="1" x14ac:dyDescent="0.2">
      <c r="A768" s="2" t="s">
        <v>23</v>
      </c>
      <c r="B768" s="2" t="s">
        <v>24</v>
      </c>
      <c r="C768" s="2" t="s">
        <v>32</v>
      </c>
      <c r="D768" s="2" t="s">
        <v>33</v>
      </c>
      <c r="E768" s="2">
        <v>118</v>
      </c>
      <c r="F768" s="2">
        <v>224.33333329999999</v>
      </c>
      <c r="G768" s="2">
        <v>323.66666670000001</v>
      </c>
      <c r="H768" s="2">
        <v>934.66666669999995</v>
      </c>
      <c r="I768" s="2">
        <v>2331.333333</v>
      </c>
      <c r="J768" s="2">
        <v>2.2200000000000002</v>
      </c>
      <c r="K768" s="2">
        <v>3.27</v>
      </c>
      <c r="L768" s="2">
        <v>8.1300000000000008</v>
      </c>
      <c r="M768" s="2">
        <v>14.03</v>
      </c>
      <c r="N768" s="2">
        <v>5.8649940530000002</v>
      </c>
      <c r="O768" s="2">
        <v>5.6625540360000004</v>
      </c>
      <c r="P768" s="2">
        <v>4.0080047460000001</v>
      </c>
      <c r="Q768" s="2">
        <v>3.848280404</v>
      </c>
      <c r="R768" s="2">
        <v>1.445728696</v>
      </c>
      <c r="S768" s="2">
        <v>1.432933421</v>
      </c>
      <c r="T768" s="2">
        <v>3.7381774409999999</v>
      </c>
      <c r="U768" s="2">
        <v>3.5715492260000001</v>
      </c>
      <c r="V768" s="2">
        <v>9.2880786000000007E-2</v>
      </c>
      <c r="W768" s="2">
        <v>8.1449258999999996E-2</v>
      </c>
      <c r="X768">
        <f t="shared" si="33"/>
        <v>1</v>
      </c>
      <c r="Y768">
        <f t="shared" si="34"/>
        <v>1</v>
      </c>
      <c r="Z768">
        <f t="shared" si="35"/>
        <v>1</v>
      </c>
    </row>
    <row r="769" spans="1:26" ht="15.75" customHeight="1" x14ac:dyDescent="0.2">
      <c r="A769" s="2" t="s">
        <v>23</v>
      </c>
      <c r="B769" s="2" t="s">
        <v>24</v>
      </c>
      <c r="C769" s="2" t="s">
        <v>28</v>
      </c>
      <c r="D769" s="2" t="s">
        <v>29</v>
      </c>
      <c r="E769" s="2">
        <v>146</v>
      </c>
      <c r="F769" s="2">
        <v>220.33333329999999</v>
      </c>
      <c r="G769" s="2">
        <v>410</v>
      </c>
      <c r="H769" s="2">
        <v>1220</v>
      </c>
      <c r="I769" s="2">
        <v>2557.333333</v>
      </c>
      <c r="J769" s="2">
        <v>2.1800000000000002</v>
      </c>
      <c r="K769" s="2">
        <v>4.1100000000000003</v>
      </c>
      <c r="L769" s="2">
        <v>9.76</v>
      </c>
      <c r="M769" s="2">
        <v>14.65</v>
      </c>
      <c r="N769" s="2">
        <v>1.0533251189999999</v>
      </c>
      <c r="O769" s="2">
        <v>1.5068451060000001</v>
      </c>
      <c r="P769" s="2">
        <v>2.1950783299999999</v>
      </c>
      <c r="Q769" s="2">
        <v>2.031699299</v>
      </c>
      <c r="R769" s="2">
        <v>0.60752352499999995</v>
      </c>
      <c r="S769" s="2">
        <v>0.59472824999999996</v>
      </c>
      <c r="T769" s="2">
        <v>2.1093326050000001</v>
      </c>
      <c r="U769" s="2">
        <v>1.9427043909999999</v>
      </c>
      <c r="V769" s="2">
        <v>0.93108595800000005</v>
      </c>
      <c r="W769" s="2">
        <v>5.5808255000000001E-2</v>
      </c>
      <c r="X769">
        <f t="shared" si="33"/>
        <v>1</v>
      </c>
      <c r="Y769">
        <f t="shared" si="34"/>
        <v>1</v>
      </c>
      <c r="Z769">
        <f t="shared" si="35"/>
        <v>1</v>
      </c>
    </row>
    <row r="770" spans="1:26" ht="15.75" customHeight="1" x14ac:dyDescent="0.2">
      <c r="A770" s="2" t="s">
        <v>23</v>
      </c>
      <c r="B770" s="2" t="s">
        <v>24</v>
      </c>
      <c r="C770" s="2" t="s">
        <v>26</v>
      </c>
      <c r="D770" s="2" t="s">
        <v>26</v>
      </c>
      <c r="E770" s="2">
        <v>153</v>
      </c>
      <c r="F770" s="2">
        <v>219</v>
      </c>
      <c r="G770" s="2">
        <v>390.66666670000001</v>
      </c>
      <c r="H770" s="2">
        <v>1124.666667</v>
      </c>
      <c r="I770" s="2">
        <v>2527</v>
      </c>
      <c r="J770" s="2">
        <v>2.16</v>
      </c>
      <c r="K770" s="2">
        <v>3.93</v>
      </c>
      <c r="L770" s="2">
        <v>9.24</v>
      </c>
      <c r="M770" s="2">
        <v>14.57</v>
      </c>
      <c r="N770" s="2">
        <v>0.53895672500000003</v>
      </c>
      <c r="O770" s="2">
        <v>0.98485716000000001</v>
      </c>
      <c r="P770" s="2">
        <v>2.7365048380000001</v>
      </c>
      <c r="Q770" s="2">
        <v>2.5735253330000001</v>
      </c>
      <c r="R770" s="2">
        <v>0.78987959699999999</v>
      </c>
      <c r="S770" s="2">
        <v>0.77708432199999999</v>
      </c>
      <c r="T770" s="2">
        <v>2.6200284250000001</v>
      </c>
      <c r="U770" s="2">
        <v>2.4534002109999999</v>
      </c>
      <c r="V770" s="2">
        <v>0.74872988600000001</v>
      </c>
      <c r="W770" s="2">
        <v>4.9243093000000002E-2</v>
      </c>
      <c r="X770">
        <f t="shared" si="33"/>
        <v>1</v>
      </c>
      <c r="Y770">
        <f t="shared" si="34"/>
        <v>1</v>
      </c>
      <c r="Z770">
        <f t="shared" si="35"/>
        <v>0</v>
      </c>
    </row>
    <row r="771" spans="1:26" ht="15.75" customHeight="1" x14ac:dyDescent="0.2">
      <c r="A771" s="2" t="s">
        <v>23</v>
      </c>
      <c r="B771" s="2" t="s">
        <v>24</v>
      </c>
      <c r="C771" s="2" t="s">
        <v>30</v>
      </c>
      <c r="D771" s="2" t="s">
        <v>31</v>
      </c>
      <c r="E771" s="2">
        <v>118</v>
      </c>
      <c r="F771" s="2">
        <v>227.66666670000001</v>
      </c>
      <c r="G771" s="2">
        <v>857.33333330000005</v>
      </c>
      <c r="H771" s="2">
        <v>1574.333333</v>
      </c>
      <c r="I771" s="2">
        <v>2756.333333</v>
      </c>
      <c r="J771" s="2">
        <v>2.2599999999999998</v>
      </c>
      <c r="K771" s="2">
        <v>7.63</v>
      </c>
      <c r="L771" s="2">
        <v>11.41</v>
      </c>
      <c r="M771" s="2">
        <v>15.14</v>
      </c>
      <c r="N771" s="2">
        <v>4.3389054690000002</v>
      </c>
      <c r="O771" s="2">
        <v>4.3462173320000002</v>
      </c>
      <c r="P771" s="2">
        <v>2.9478865170000002</v>
      </c>
      <c r="Q771" s="2">
        <v>2.9396678120000002</v>
      </c>
      <c r="R771" s="2">
        <v>2.9129214999999999</v>
      </c>
      <c r="S771" s="2">
        <v>2.9257167750000002</v>
      </c>
      <c r="T771" s="2">
        <v>0.45268449900000002</v>
      </c>
      <c r="U771" s="2">
        <v>0.28605628399999999</v>
      </c>
      <c r="V771" s="2">
        <v>4.4515309829999996</v>
      </c>
      <c r="W771" s="2">
        <v>5.9129915999999998E-2</v>
      </c>
      <c r="X771">
        <f t="shared" ref="X771:X834" si="36">IF(B771="normal",1,0)</f>
        <v>1</v>
      </c>
      <c r="Y771">
        <f t="shared" ref="Y771:Y834" si="37">IF(A771="lecture",1,0)</f>
        <v>1</v>
      </c>
      <c r="Z771">
        <f t="shared" ref="Z771:Z834" si="38">IF(ISNUMBER(FIND("~",D771)),1,0)</f>
        <v>1</v>
      </c>
    </row>
    <row r="772" spans="1:26" ht="15.75" customHeight="1" x14ac:dyDescent="0.2">
      <c r="A772" s="2" t="s">
        <v>23</v>
      </c>
      <c r="B772" s="2" t="s">
        <v>24</v>
      </c>
      <c r="C772" s="2" t="s">
        <v>27</v>
      </c>
      <c r="D772" s="2" t="s">
        <v>27</v>
      </c>
      <c r="E772" s="2">
        <v>163</v>
      </c>
      <c r="F772" s="2">
        <v>221.33333329999999</v>
      </c>
      <c r="G772" s="2">
        <v>417.66666670000001</v>
      </c>
      <c r="H772" s="2">
        <v>2351</v>
      </c>
      <c r="I772" s="2">
        <v>3225.333333</v>
      </c>
      <c r="J772" s="2">
        <v>2.19</v>
      </c>
      <c r="K772" s="2">
        <v>4.18</v>
      </c>
      <c r="L772" s="2">
        <v>14.09</v>
      </c>
      <c r="M772" s="2">
        <v>16.149999999999999</v>
      </c>
      <c r="N772" s="2">
        <v>9.3089145999999998E-2</v>
      </c>
      <c r="O772" s="2">
        <v>0.165398665</v>
      </c>
      <c r="P772" s="2">
        <v>2.28951277</v>
      </c>
      <c r="Q772" s="2">
        <v>2.4490546580000001</v>
      </c>
      <c r="R772" s="2">
        <v>0.53603107999999999</v>
      </c>
      <c r="S772" s="2">
        <v>0.523235805</v>
      </c>
      <c r="T772" s="2">
        <v>2.2258794669999999</v>
      </c>
      <c r="U772" s="2">
        <v>2.3925076820000002</v>
      </c>
      <c r="V772" s="2">
        <v>1.002578403</v>
      </c>
      <c r="W772" s="2">
        <v>5.5626956999999998E-2</v>
      </c>
      <c r="X772">
        <f t="shared" si="36"/>
        <v>1</v>
      </c>
      <c r="Y772">
        <f t="shared" si="37"/>
        <v>1</v>
      </c>
      <c r="Z772">
        <f t="shared" si="38"/>
        <v>0</v>
      </c>
    </row>
    <row r="773" spans="1:26" ht="15.75" customHeight="1" x14ac:dyDescent="0.2">
      <c r="A773" s="2" t="s">
        <v>23</v>
      </c>
      <c r="B773" s="2" t="s">
        <v>24</v>
      </c>
      <c r="C773" s="2" t="s">
        <v>30</v>
      </c>
      <c r="D773" s="2" t="s">
        <v>31</v>
      </c>
      <c r="E773" s="2">
        <v>138</v>
      </c>
      <c r="F773" s="2">
        <v>223</v>
      </c>
      <c r="G773" s="2">
        <v>847</v>
      </c>
      <c r="H773" s="2">
        <v>1619.666667</v>
      </c>
      <c r="I773" s="2">
        <v>2780</v>
      </c>
      <c r="J773" s="2">
        <v>2.21</v>
      </c>
      <c r="K773" s="2">
        <v>7.56</v>
      </c>
      <c r="L773" s="2">
        <v>11.6</v>
      </c>
      <c r="M773" s="2">
        <v>15.19</v>
      </c>
      <c r="N773" s="2">
        <v>4.1683235219999997</v>
      </c>
      <c r="O773" s="2">
        <v>4.173805615</v>
      </c>
      <c r="P773" s="2">
        <v>2.8565226250000002</v>
      </c>
      <c r="Q773" s="2">
        <v>2.8587277270000002</v>
      </c>
      <c r="R773" s="2">
        <v>2.8442600960000002</v>
      </c>
      <c r="S773" s="2">
        <v>2.857055371</v>
      </c>
      <c r="T773" s="2">
        <v>0.26439745100000001</v>
      </c>
      <c r="U773" s="2">
        <v>9.7769236999999995E-2</v>
      </c>
      <c r="V773" s="2">
        <v>4.3828695790000003</v>
      </c>
      <c r="W773" s="2">
        <v>4.8900319999999997E-2</v>
      </c>
      <c r="X773">
        <f t="shared" si="36"/>
        <v>1</v>
      </c>
      <c r="Y773">
        <f t="shared" si="37"/>
        <v>1</v>
      </c>
      <c r="Z773">
        <f t="shared" si="38"/>
        <v>1</v>
      </c>
    </row>
    <row r="774" spans="1:26" ht="15.75" customHeight="1" x14ac:dyDescent="0.2">
      <c r="A774" s="2" t="s">
        <v>23</v>
      </c>
      <c r="B774" s="2" t="s">
        <v>24</v>
      </c>
      <c r="C774" s="2" t="s">
        <v>26</v>
      </c>
      <c r="D774" s="2" t="s">
        <v>26</v>
      </c>
      <c r="E774" s="2">
        <v>112</v>
      </c>
      <c r="F774" s="2">
        <v>231</v>
      </c>
      <c r="G774" s="2">
        <v>419</v>
      </c>
      <c r="H774" s="2">
        <v>996.33333330000005</v>
      </c>
      <c r="I774" s="2">
        <v>2592.333333</v>
      </c>
      <c r="J774" s="2">
        <v>2.2999999999999998</v>
      </c>
      <c r="K774" s="2">
        <v>4.1900000000000004</v>
      </c>
      <c r="L774" s="2">
        <v>8.51</v>
      </c>
      <c r="M774" s="2">
        <v>14.74</v>
      </c>
      <c r="N774" s="2">
        <v>0.28970301500000001</v>
      </c>
      <c r="O774" s="2">
        <v>0.36337418799999999</v>
      </c>
      <c r="P774" s="2">
        <v>3.4000808259999999</v>
      </c>
      <c r="Q774" s="2">
        <v>3.2334962090000001</v>
      </c>
      <c r="R774" s="2">
        <v>0.52364464799999999</v>
      </c>
      <c r="S774" s="2">
        <v>0.510849373</v>
      </c>
      <c r="T774" s="2">
        <v>3.3595157250000001</v>
      </c>
      <c r="U774" s="2">
        <v>3.1928875099999998</v>
      </c>
      <c r="V774" s="2">
        <v>1.014964835</v>
      </c>
      <c r="W774" s="2">
        <v>7.4680442999999999E-2</v>
      </c>
      <c r="X774">
        <f t="shared" si="36"/>
        <v>1</v>
      </c>
      <c r="Y774">
        <f t="shared" si="37"/>
        <v>1</v>
      </c>
      <c r="Z774">
        <f t="shared" si="38"/>
        <v>0</v>
      </c>
    </row>
    <row r="775" spans="1:26" ht="15.75" customHeight="1" x14ac:dyDescent="0.2">
      <c r="A775" s="2" t="s">
        <v>23</v>
      </c>
      <c r="B775" s="2" t="s">
        <v>24</v>
      </c>
      <c r="C775" s="2" t="s">
        <v>26</v>
      </c>
      <c r="D775" s="2" t="s">
        <v>26</v>
      </c>
      <c r="E775" s="2">
        <v>98</v>
      </c>
      <c r="F775" s="2">
        <v>215.33333329999999</v>
      </c>
      <c r="G775" s="2">
        <v>395.66666670000001</v>
      </c>
      <c r="H775" s="2">
        <v>1126.333333</v>
      </c>
      <c r="I775" s="2">
        <v>2597.333333</v>
      </c>
      <c r="J775" s="2">
        <v>2.12</v>
      </c>
      <c r="K775" s="2">
        <v>3.97</v>
      </c>
      <c r="L775" s="2">
        <v>9.25</v>
      </c>
      <c r="M775" s="2">
        <v>14.75</v>
      </c>
      <c r="N775" s="2">
        <v>0.54490842299999998</v>
      </c>
      <c r="O775" s="2">
        <v>0.99527324699999997</v>
      </c>
      <c r="P775" s="2">
        <v>2.7143385659999999</v>
      </c>
      <c r="Q775" s="2">
        <v>2.5507817770000001</v>
      </c>
      <c r="R775" s="2">
        <v>0.742431587</v>
      </c>
      <c r="S775" s="2">
        <v>0.72963631200000001</v>
      </c>
      <c r="T775" s="2">
        <v>2.6108292149999999</v>
      </c>
      <c r="U775" s="2">
        <v>2.4442010000000001</v>
      </c>
      <c r="V775" s="2">
        <v>0.796177896</v>
      </c>
      <c r="W775" s="2">
        <v>5.9636176999999999E-2</v>
      </c>
      <c r="X775">
        <f t="shared" si="36"/>
        <v>1</v>
      </c>
      <c r="Y775">
        <f t="shared" si="37"/>
        <v>1</v>
      </c>
      <c r="Z775">
        <f t="shared" si="38"/>
        <v>0</v>
      </c>
    </row>
    <row r="776" spans="1:26" ht="15.75" customHeight="1" x14ac:dyDescent="0.2">
      <c r="A776" s="2" t="s">
        <v>23</v>
      </c>
      <c r="B776" s="2" t="s">
        <v>24</v>
      </c>
      <c r="C776" s="2" t="s">
        <v>26</v>
      </c>
      <c r="D776" s="2" t="s">
        <v>26</v>
      </c>
      <c r="E776" s="2">
        <v>119</v>
      </c>
      <c r="F776" s="2">
        <v>221.33333329999999</v>
      </c>
      <c r="G776" s="2">
        <v>404.66666670000001</v>
      </c>
      <c r="H776" s="2">
        <v>737.33333330000005</v>
      </c>
      <c r="I776" s="2">
        <v>2648.666667</v>
      </c>
      <c r="J776" s="2">
        <v>2.19</v>
      </c>
      <c r="K776" s="2">
        <v>4.0599999999999996</v>
      </c>
      <c r="L776" s="2">
        <v>6.8</v>
      </c>
      <c r="M776" s="2">
        <v>14.88</v>
      </c>
      <c r="N776" s="2">
        <v>1.912014493</v>
      </c>
      <c r="O776" s="2">
        <v>1.4675040429999999</v>
      </c>
      <c r="P776" s="2">
        <v>5.1087361309999997</v>
      </c>
      <c r="Q776" s="2">
        <v>4.941854738</v>
      </c>
      <c r="R776" s="2">
        <v>0.65753081700000005</v>
      </c>
      <c r="S776" s="2">
        <v>0.64473554200000005</v>
      </c>
      <c r="T776" s="2">
        <v>5.0662449680000003</v>
      </c>
      <c r="U776" s="2">
        <v>4.8996167540000002</v>
      </c>
      <c r="V776" s="2">
        <v>0.88107866599999995</v>
      </c>
      <c r="W776" s="2">
        <v>5.4481203999999998E-2</v>
      </c>
      <c r="X776">
        <f t="shared" si="36"/>
        <v>1</v>
      </c>
      <c r="Y776">
        <f t="shared" si="37"/>
        <v>1</v>
      </c>
      <c r="Z776">
        <f t="shared" si="38"/>
        <v>0</v>
      </c>
    </row>
    <row r="777" spans="1:26" ht="15.75" customHeight="1" x14ac:dyDescent="0.2">
      <c r="A777" s="2" t="s">
        <v>23</v>
      </c>
      <c r="B777" s="2" t="s">
        <v>24</v>
      </c>
      <c r="C777" s="2" t="s">
        <v>25</v>
      </c>
      <c r="D777" s="2" t="s">
        <v>25</v>
      </c>
      <c r="E777" s="2">
        <v>151</v>
      </c>
      <c r="F777" s="2">
        <v>208.66666670000001</v>
      </c>
      <c r="G777" s="2">
        <v>824.33333330000005</v>
      </c>
      <c r="H777" s="2">
        <v>1654</v>
      </c>
      <c r="I777" s="2">
        <v>2720</v>
      </c>
      <c r="J777" s="2">
        <v>2.0499999999999998</v>
      </c>
      <c r="K777" s="2">
        <v>7.41</v>
      </c>
      <c r="L777" s="2">
        <v>11.74</v>
      </c>
      <c r="M777" s="2">
        <v>15.05</v>
      </c>
      <c r="N777" s="2">
        <v>0.586051345</v>
      </c>
      <c r="O777" s="2">
        <v>0.26600824499999998</v>
      </c>
      <c r="P777" s="2">
        <v>2.6947608989999998</v>
      </c>
      <c r="Q777" s="2">
        <v>2.7049794440000001</v>
      </c>
      <c r="R777" s="2">
        <v>2.6918629250000001</v>
      </c>
      <c r="S777" s="2">
        <v>2.704658201</v>
      </c>
      <c r="T777" s="2">
        <v>0.124941158</v>
      </c>
      <c r="U777" s="2">
        <v>4.1687057E-2</v>
      </c>
      <c r="V777" s="2">
        <v>4.2304724079999998</v>
      </c>
      <c r="W777" s="2">
        <v>6.6699359999999999E-2</v>
      </c>
      <c r="X777">
        <f t="shared" si="36"/>
        <v>1</v>
      </c>
      <c r="Y777">
        <f t="shared" si="37"/>
        <v>1</v>
      </c>
      <c r="Z777">
        <f t="shared" si="38"/>
        <v>0</v>
      </c>
    </row>
    <row r="778" spans="1:26" ht="15.75" customHeight="1" x14ac:dyDescent="0.2">
      <c r="A778" s="2" t="s">
        <v>23</v>
      </c>
      <c r="B778" s="2" t="s">
        <v>24</v>
      </c>
      <c r="C778" s="2" t="s">
        <v>25</v>
      </c>
      <c r="D778" s="2" t="s">
        <v>25</v>
      </c>
      <c r="E778" s="2">
        <v>163</v>
      </c>
      <c r="F778" s="2">
        <v>200.33333329999999</v>
      </c>
      <c r="G778" s="2">
        <v>684</v>
      </c>
      <c r="H778" s="2">
        <v>1813.333333</v>
      </c>
      <c r="I778" s="2">
        <v>2835.666667</v>
      </c>
      <c r="J778" s="2">
        <v>1.96</v>
      </c>
      <c r="K778" s="2">
        <v>6.41</v>
      </c>
      <c r="L778" s="2">
        <v>12.35</v>
      </c>
      <c r="M778" s="2">
        <v>15.32</v>
      </c>
      <c r="N778" s="2">
        <v>0.96046710499999999</v>
      </c>
      <c r="O778" s="2">
        <v>1.0489004019999999</v>
      </c>
      <c r="P778" s="2">
        <v>1.759502847</v>
      </c>
      <c r="Q778" s="2">
        <v>1.824829609</v>
      </c>
      <c r="R778" s="2">
        <v>1.6901782059999999</v>
      </c>
      <c r="S778" s="2">
        <v>1.7029734809999999</v>
      </c>
      <c r="T778" s="2">
        <v>0.489027508</v>
      </c>
      <c r="U778" s="2">
        <v>0.655655722</v>
      </c>
      <c r="V778" s="2">
        <v>3.2287876880000002</v>
      </c>
      <c r="W778" s="2">
        <v>5.5169797E-2</v>
      </c>
      <c r="X778">
        <f t="shared" si="36"/>
        <v>1</v>
      </c>
      <c r="Y778">
        <f t="shared" si="37"/>
        <v>1</v>
      </c>
      <c r="Z778">
        <f t="shared" si="38"/>
        <v>0</v>
      </c>
    </row>
    <row r="779" spans="1:26" ht="15.75" customHeight="1" x14ac:dyDescent="0.2">
      <c r="A779" s="2" t="s">
        <v>23</v>
      </c>
      <c r="B779" s="2" t="s">
        <v>24</v>
      </c>
      <c r="C779" s="2" t="s">
        <v>25</v>
      </c>
      <c r="D779" s="2" t="s">
        <v>25</v>
      </c>
      <c r="E779" s="2">
        <v>155</v>
      </c>
      <c r="F779" s="2">
        <v>212</v>
      </c>
      <c r="G779" s="2">
        <v>921.66666669999995</v>
      </c>
      <c r="H779" s="2">
        <v>1878</v>
      </c>
      <c r="I779" s="2">
        <v>2782.333333</v>
      </c>
      <c r="J779" s="2">
        <v>2.09</v>
      </c>
      <c r="K779" s="2">
        <v>8.0399999999999991</v>
      </c>
      <c r="L779" s="2">
        <v>12.59</v>
      </c>
      <c r="M779" s="2">
        <v>15.2</v>
      </c>
      <c r="N779" s="2">
        <v>0.72864621600000001</v>
      </c>
      <c r="O779" s="2">
        <v>0.87287599999999999</v>
      </c>
      <c r="P779" s="2">
        <v>3.407059324</v>
      </c>
      <c r="Q779" s="2">
        <v>3.4586627550000002</v>
      </c>
      <c r="R779" s="2">
        <v>3.3293178970000001</v>
      </c>
      <c r="S779" s="2">
        <v>3.3421131719999999</v>
      </c>
      <c r="T779" s="2">
        <v>0.72366813900000004</v>
      </c>
      <c r="U779" s="2">
        <v>0.89029635299999998</v>
      </c>
      <c r="V779" s="2">
        <v>4.8679273800000002</v>
      </c>
      <c r="W779" s="2">
        <v>5.1972751999999997E-2</v>
      </c>
      <c r="X779">
        <f t="shared" si="36"/>
        <v>1</v>
      </c>
      <c r="Y779">
        <f t="shared" si="37"/>
        <v>1</v>
      </c>
      <c r="Z779">
        <f t="shared" si="38"/>
        <v>0</v>
      </c>
    </row>
    <row r="780" spans="1:26" ht="15.75" customHeight="1" x14ac:dyDescent="0.2">
      <c r="A780" s="2" t="s">
        <v>23</v>
      </c>
      <c r="B780" s="2" t="s">
        <v>24</v>
      </c>
      <c r="C780" s="2" t="s">
        <v>28</v>
      </c>
      <c r="D780" s="2" t="s">
        <v>29</v>
      </c>
      <c r="E780" s="2">
        <v>110</v>
      </c>
      <c r="F780" s="2">
        <v>217.66666670000001</v>
      </c>
      <c r="G780" s="2">
        <v>326.33333329999999</v>
      </c>
      <c r="H780" s="2">
        <v>1010.666667</v>
      </c>
      <c r="I780" s="2">
        <v>2371.666667</v>
      </c>
      <c r="J780" s="2">
        <v>2.15</v>
      </c>
      <c r="K780" s="2">
        <v>3.3</v>
      </c>
      <c r="L780" s="2">
        <v>8.59</v>
      </c>
      <c r="M780" s="2">
        <v>14.15</v>
      </c>
      <c r="N780" s="2">
        <v>0.69953560000000004</v>
      </c>
      <c r="O780" s="2">
        <v>0.70926606400000003</v>
      </c>
      <c r="P780" s="2">
        <v>3.5680130550000002</v>
      </c>
      <c r="Q780" s="2">
        <v>3.4104744579999999</v>
      </c>
      <c r="R780" s="2">
        <v>1.4188907449999999</v>
      </c>
      <c r="S780" s="2">
        <v>1.4060954699999999</v>
      </c>
      <c r="T780" s="2">
        <v>3.273754147</v>
      </c>
      <c r="U780" s="2">
        <v>3.1071259320000002</v>
      </c>
      <c r="V780" s="2">
        <v>0.11971873800000001</v>
      </c>
      <c r="W780" s="2">
        <v>5.2335873999999998E-2</v>
      </c>
      <c r="X780">
        <f t="shared" si="36"/>
        <v>1</v>
      </c>
      <c r="Y780">
        <f t="shared" si="37"/>
        <v>1</v>
      </c>
      <c r="Z780">
        <f t="shared" si="38"/>
        <v>1</v>
      </c>
    </row>
    <row r="781" spans="1:26" ht="15.75" customHeight="1" x14ac:dyDescent="0.2">
      <c r="A781" s="2" t="s">
        <v>23</v>
      </c>
      <c r="B781" s="2" t="s">
        <v>24</v>
      </c>
      <c r="C781" s="2" t="s">
        <v>30</v>
      </c>
      <c r="D781" s="2" t="s">
        <v>31</v>
      </c>
      <c r="E781" s="2">
        <v>138</v>
      </c>
      <c r="F781" s="2">
        <v>213.33333329999999</v>
      </c>
      <c r="G781" s="2">
        <v>737</v>
      </c>
      <c r="H781" s="2">
        <v>1412.333333</v>
      </c>
      <c r="I781" s="2">
        <v>2310.666667</v>
      </c>
      <c r="J781" s="2">
        <v>2.1</v>
      </c>
      <c r="K781" s="2">
        <v>6.8</v>
      </c>
      <c r="L781" s="2">
        <v>10.7</v>
      </c>
      <c r="M781" s="2">
        <v>13.98</v>
      </c>
      <c r="N781" s="2">
        <v>4.2798817830000004</v>
      </c>
      <c r="O781" s="2">
        <v>4.3058380840000003</v>
      </c>
      <c r="P781" s="2">
        <v>2.3856077290000002</v>
      </c>
      <c r="Q781" s="2">
        <v>2.3202204320000002</v>
      </c>
      <c r="R781" s="2">
        <v>2.0807369429999998</v>
      </c>
      <c r="S781" s="2">
        <v>2.093532218</v>
      </c>
      <c r="T781" s="2">
        <v>1.1669010289999999</v>
      </c>
      <c r="U781" s="2">
        <v>1.000272815</v>
      </c>
      <c r="V781" s="2">
        <v>3.6193464249999998</v>
      </c>
      <c r="W781" s="2">
        <v>5.8854227000000002E-2</v>
      </c>
      <c r="X781">
        <f t="shared" si="36"/>
        <v>1</v>
      </c>
      <c r="Y781">
        <f t="shared" si="37"/>
        <v>1</v>
      </c>
      <c r="Z781">
        <f t="shared" si="38"/>
        <v>1</v>
      </c>
    </row>
    <row r="782" spans="1:26" ht="15.75" customHeight="1" x14ac:dyDescent="0.2">
      <c r="A782" s="2" t="s">
        <v>23</v>
      </c>
      <c r="B782" s="2" t="s">
        <v>24</v>
      </c>
      <c r="C782" s="2" t="s">
        <v>32</v>
      </c>
      <c r="D782" s="2" t="s">
        <v>33</v>
      </c>
      <c r="E782" s="2">
        <v>171</v>
      </c>
      <c r="F782" s="2">
        <v>219.33333329999999</v>
      </c>
      <c r="G782" s="2">
        <v>520</v>
      </c>
      <c r="H782" s="2">
        <v>1472.666667</v>
      </c>
      <c r="I782" s="2">
        <v>3024.333333</v>
      </c>
      <c r="J782" s="2">
        <v>2.17</v>
      </c>
      <c r="K782" s="2">
        <v>5.09</v>
      </c>
      <c r="L782" s="2">
        <v>10.97</v>
      </c>
      <c r="M782" s="2">
        <v>15.74</v>
      </c>
      <c r="N782" s="2">
        <v>2.6461378390000001</v>
      </c>
      <c r="O782" s="2">
        <v>2.5250074370000002</v>
      </c>
      <c r="P782" s="2">
        <v>0.96892186700000005</v>
      </c>
      <c r="Q782" s="2">
        <v>0.82386313700000002</v>
      </c>
      <c r="R782" s="2">
        <v>0.37591121</v>
      </c>
      <c r="S782" s="2">
        <v>0.38870648600000002</v>
      </c>
      <c r="T782" s="2">
        <v>0.89302874899999996</v>
      </c>
      <c r="U782" s="2">
        <v>0.72640053500000001</v>
      </c>
      <c r="V782" s="2">
        <v>1.9145206930000001</v>
      </c>
      <c r="W782" s="2">
        <v>5.4597649999999998E-2</v>
      </c>
      <c r="X782">
        <f t="shared" si="36"/>
        <v>1</v>
      </c>
      <c r="Y782">
        <f t="shared" si="37"/>
        <v>1</v>
      </c>
      <c r="Z782">
        <f t="shared" si="38"/>
        <v>1</v>
      </c>
    </row>
    <row r="783" spans="1:26" ht="15.75" customHeight="1" x14ac:dyDescent="0.2">
      <c r="A783" s="2" t="s">
        <v>23</v>
      </c>
      <c r="B783" s="2" t="s">
        <v>24</v>
      </c>
      <c r="C783" s="2" t="s">
        <v>26</v>
      </c>
      <c r="D783" s="2" t="s">
        <v>26</v>
      </c>
      <c r="E783" s="2">
        <v>74</v>
      </c>
      <c r="F783" s="2">
        <v>213.33333329999999</v>
      </c>
      <c r="G783" s="2">
        <v>362.66666670000001</v>
      </c>
      <c r="H783" s="2">
        <v>1263</v>
      </c>
      <c r="I783" s="2">
        <v>2813.333333</v>
      </c>
      <c r="J783" s="2">
        <v>2.1</v>
      </c>
      <c r="K783" s="2">
        <v>3.66</v>
      </c>
      <c r="L783" s="2">
        <v>9.98</v>
      </c>
      <c r="M783" s="2">
        <v>15.27</v>
      </c>
      <c r="N783" s="2">
        <v>1.3089798180000001</v>
      </c>
      <c r="O783" s="2">
        <v>1.7367683709999999</v>
      </c>
      <c r="P783" s="2">
        <v>2.1656599590000001</v>
      </c>
      <c r="Q783" s="2">
        <v>2.0152974459999999</v>
      </c>
      <c r="R783" s="2">
        <v>1.0593635939999999</v>
      </c>
      <c r="S783" s="2">
        <v>1.0465683189999999</v>
      </c>
      <c r="T783" s="2">
        <v>1.8888705180000001</v>
      </c>
      <c r="U783" s="2">
        <v>1.722242303</v>
      </c>
      <c r="V783" s="2">
        <v>0.47924588800000001</v>
      </c>
      <c r="W783" s="2">
        <v>5.7917984999999998E-2</v>
      </c>
      <c r="X783">
        <f t="shared" si="36"/>
        <v>1</v>
      </c>
      <c r="Y783">
        <f t="shared" si="37"/>
        <v>1</v>
      </c>
      <c r="Z783">
        <f t="shared" si="38"/>
        <v>0</v>
      </c>
    </row>
    <row r="784" spans="1:26" ht="15.75" customHeight="1" x14ac:dyDescent="0.2">
      <c r="A784" s="2" t="s">
        <v>23</v>
      </c>
      <c r="B784" s="2" t="s">
        <v>24</v>
      </c>
      <c r="C784" s="2" t="s">
        <v>32</v>
      </c>
      <c r="D784" s="2" t="s">
        <v>33</v>
      </c>
      <c r="E784" s="2">
        <v>110</v>
      </c>
      <c r="F784" s="2">
        <v>227.66666670000001</v>
      </c>
      <c r="G784" s="2">
        <v>560.66666669999995</v>
      </c>
      <c r="H784" s="2">
        <v>983.66666669999995</v>
      </c>
      <c r="I784" s="2">
        <v>2574</v>
      </c>
      <c r="J784" s="2">
        <v>2.2599999999999998</v>
      </c>
      <c r="K784" s="2">
        <v>5.43</v>
      </c>
      <c r="L784" s="2">
        <v>8.43</v>
      </c>
      <c r="M784" s="2">
        <v>14.69</v>
      </c>
      <c r="N784" s="2">
        <v>4.3485913629999997</v>
      </c>
      <c r="O784" s="2">
        <v>4.0794794769999996</v>
      </c>
      <c r="P784" s="2">
        <v>3.510166055</v>
      </c>
      <c r="Q784" s="2">
        <v>3.349998947</v>
      </c>
      <c r="R784" s="2">
        <v>0.71775237700000005</v>
      </c>
      <c r="S784" s="2">
        <v>0.73054765200000005</v>
      </c>
      <c r="T784" s="2">
        <v>3.436000183</v>
      </c>
      <c r="U784" s="2">
        <v>3.2693719689999998</v>
      </c>
      <c r="V784" s="2">
        <v>2.2563618600000002</v>
      </c>
      <c r="W784" s="2">
        <v>5.2570983000000002E-2</v>
      </c>
      <c r="X784">
        <f t="shared" si="36"/>
        <v>1</v>
      </c>
      <c r="Y784">
        <f t="shared" si="37"/>
        <v>1</v>
      </c>
      <c r="Z784">
        <f t="shared" si="38"/>
        <v>1</v>
      </c>
    </row>
    <row r="785" spans="1:26" ht="15.75" customHeight="1" x14ac:dyDescent="0.2">
      <c r="A785" s="2" t="s">
        <v>23</v>
      </c>
      <c r="B785" s="2" t="s">
        <v>24</v>
      </c>
      <c r="C785" s="2" t="s">
        <v>28</v>
      </c>
      <c r="D785" s="2" t="s">
        <v>29</v>
      </c>
      <c r="E785" s="2">
        <v>115</v>
      </c>
      <c r="F785" s="2">
        <v>229</v>
      </c>
      <c r="G785" s="2">
        <v>317.66666670000001</v>
      </c>
      <c r="H785" s="2">
        <v>1035</v>
      </c>
      <c r="I785" s="2">
        <v>2505</v>
      </c>
      <c r="J785" s="2">
        <v>2.27</v>
      </c>
      <c r="K785" s="2">
        <v>3.21</v>
      </c>
      <c r="L785" s="2">
        <v>8.73</v>
      </c>
      <c r="M785" s="2">
        <v>14.51</v>
      </c>
      <c r="N785" s="2">
        <v>0.77735487299999995</v>
      </c>
      <c r="O785" s="2">
        <v>0.858046117</v>
      </c>
      <c r="P785" s="2">
        <v>3.47364556</v>
      </c>
      <c r="Q785" s="2">
        <v>3.3185069679999999</v>
      </c>
      <c r="R785" s="2">
        <v>1.506343856</v>
      </c>
      <c r="S785" s="2">
        <v>1.493548581</v>
      </c>
      <c r="T785" s="2">
        <v>3.1300386040000001</v>
      </c>
      <c r="U785" s="2">
        <v>2.9634103889999999</v>
      </c>
      <c r="V785" s="2">
        <v>3.2265625999999999E-2</v>
      </c>
      <c r="W785" s="2">
        <v>4.9313897000000002E-2</v>
      </c>
      <c r="X785">
        <f t="shared" si="36"/>
        <v>1</v>
      </c>
      <c r="Y785">
        <f t="shared" si="37"/>
        <v>1</v>
      </c>
      <c r="Z785">
        <f t="shared" si="38"/>
        <v>1</v>
      </c>
    </row>
    <row r="786" spans="1:26" ht="15.75" customHeight="1" x14ac:dyDescent="0.2">
      <c r="A786" s="2" t="s">
        <v>23</v>
      </c>
      <c r="B786" s="2" t="s">
        <v>24</v>
      </c>
      <c r="C786" s="2" t="s">
        <v>32</v>
      </c>
      <c r="D786" s="2" t="s">
        <v>33</v>
      </c>
      <c r="E786" s="2">
        <v>148</v>
      </c>
      <c r="F786" s="2">
        <v>219.33333329999999</v>
      </c>
      <c r="G786" s="2">
        <v>600</v>
      </c>
      <c r="H786" s="2">
        <v>1142.666667</v>
      </c>
      <c r="I786" s="2">
        <v>2491.666667</v>
      </c>
      <c r="J786" s="2">
        <v>2.17</v>
      </c>
      <c r="K786" s="2">
        <v>5.75</v>
      </c>
      <c r="L786" s="2">
        <v>9.34</v>
      </c>
      <c r="M786" s="2">
        <v>14.48</v>
      </c>
      <c r="N786" s="2">
        <v>3.3888539479999999</v>
      </c>
      <c r="O786" s="2">
        <v>3.1274220760000002</v>
      </c>
      <c r="P786" s="2">
        <v>2.726537</v>
      </c>
      <c r="Q786" s="2">
        <v>2.5784280009999998</v>
      </c>
      <c r="R786" s="2">
        <v>1.038053347</v>
      </c>
      <c r="S786" s="2">
        <v>1.050848623</v>
      </c>
      <c r="T786" s="2">
        <v>2.5211999650000001</v>
      </c>
      <c r="U786" s="2">
        <v>2.3545717499999999</v>
      </c>
      <c r="V786" s="2">
        <v>2.5766628300000001</v>
      </c>
      <c r="W786" s="2">
        <v>3.9262141E-2</v>
      </c>
      <c r="X786">
        <f t="shared" si="36"/>
        <v>1</v>
      </c>
      <c r="Y786">
        <f t="shared" si="37"/>
        <v>1</v>
      </c>
      <c r="Z786">
        <f t="shared" si="38"/>
        <v>1</v>
      </c>
    </row>
    <row r="787" spans="1:26" ht="15.75" customHeight="1" x14ac:dyDescent="0.2">
      <c r="A787" s="2" t="s">
        <v>23</v>
      </c>
      <c r="B787" s="2" t="s">
        <v>24</v>
      </c>
      <c r="C787" s="2" t="s">
        <v>25</v>
      </c>
      <c r="D787" s="2" t="s">
        <v>25</v>
      </c>
      <c r="E787" s="2">
        <v>183</v>
      </c>
      <c r="F787" s="2">
        <v>223</v>
      </c>
      <c r="G787" s="2">
        <v>838.66666669999995</v>
      </c>
      <c r="H787" s="2">
        <v>1772.333333</v>
      </c>
      <c r="I787" s="2">
        <v>2719.666667</v>
      </c>
      <c r="J787" s="2">
        <v>2.21</v>
      </c>
      <c r="K787" s="2">
        <v>7.5</v>
      </c>
      <c r="L787" s="2">
        <v>12.2</v>
      </c>
      <c r="M787" s="2">
        <v>15.05</v>
      </c>
      <c r="N787" s="2">
        <v>0.18548577699999999</v>
      </c>
      <c r="O787" s="2">
        <v>0.22359773299999999</v>
      </c>
      <c r="P787" s="2">
        <v>2.808694563</v>
      </c>
      <c r="Q787" s="2">
        <v>2.8460576180000001</v>
      </c>
      <c r="R787" s="2">
        <v>2.788518673</v>
      </c>
      <c r="S787" s="2">
        <v>2.8013139480000002</v>
      </c>
      <c r="T787" s="2">
        <v>0.33604874400000001</v>
      </c>
      <c r="U787" s="2">
        <v>0.50267695899999998</v>
      </c>
      <c r="V787" s="2">
        <v>4.3271281559999997</v>
      </c>
      <c r="W787" s="2">
        <v>5.3218078000000002E-2</v>
      </c>
      <c r="X787">
        <f t="shared" si="36"/>
        <v>1</v>
      </c>
      <c r="Y787">
        <f t="shared" si="37"/>
        <v>1</v>
      </c>
      <c r="Z787">
        <f t="shared" si="38"/>
        <v>0</v>
      </c>
    </row>
    <row r="788" spans="1:26" ht="15.75" customHeight="1" x14ac:dyDescent="0.2">
      <c r="A788" s="2" t="s">
        <v>23</v>
      </c>
      <c r="B788" s="2" t="s">
        <v>24</v>
      </c>
      <c r="C788" s="2" t="s">
        <v>27</v>
      </c>
      <c r="D788" s="2" t="s">
        <v>27</v>
      </c>
      <c r="E788" s="2">
        <v>205</v>
      </c>
      <c r="F788" s="2">
        <v>218.33333329999999</v>
      </c>
      <c r="G788" s="2">
        <v>424.66666670000001</v>
      </c>
      <c r="H788" s="2">
        <v>2337.333333</v>
      </c>
      <c r="I788" s="2">
        <v>3130.666667</v>
      </c>
      <c r="J788" s="2">
        <v>2.16</v>
      </c>
      <c r="K788" s="2">
        <v>4.24</v>
      </c>
      <c r="L788" s="2">
        <v>14.05</v>
      </c>
      <c r="M788" s="2">
        <v>15.96</v>
      </c>
      <c r="N788" s="2">
        <v>9.1732785999999997E-2</v>
      </c>
      <c r="O788" s="2">
        <v>0.162775378</v>
      </c>
      <c r="P788" s="2">
        <v>2.2372883130000001</v>
      </c>
      <c r="Q788" s="2">
        <v>2.3979575710000001</v>
      </c>
      <c r="R788" s="2">
        <v>0.47115684099999999</v>
      </c>
      <c r="S788" s="2">
        <v>0.458361566</v>
      </c>
      <c r="T788" s="2">
        <v>2.1871145890000001</v>
      </c>
      <c r="U788" s="2">
        <v>2.3537428039999999</v>
      </c>
      <c r="V788" s="2">
        <v>1.0674526419999999</v>
      </c>
      <c r="W788" s="2">
        <v>5.2360088999999999E-2</v>
      </c>
      <c r="X788">
        <f t="shared" si="36"/>
        <v>1</v>
      </c>
      <c r="Y788">
        <f t="shared" si="37"/>
        <v>1</v>
      </c>
      <c r="Z788">
        <f t="shared" si="38"/>
        <v>0</v>
      </c>
    </row>
    <row r="789" spans="1:26" ht="15.75" customHeight="1" x14ac:dyDescent="0.2">
      <c r="A789" s="2" t="s">
        <v>23</v>
      </c>
      <c r="B789" s="2" t="s">
        <v>24</v>
      </c>
      <c r="C789" s="2" t="s">
        <v>30</v>
      </c>
      <c r="D789" s="2" t="s">
        <v>31</v>
      </c>
      <c r="E789" s="2">
        <v>123</v>
      </c>
      <c r="F789" s="2">
        <v>213.66666670000001</v>
      </c>
      <c r="G789" s="2">
        <v>780.33333330000005</v>
      </c>
      <c r="H789" s="2">
        <v>1775.333333</v>
      </c>
      <c r="I789" s="2">
        <v>2844</v>
      </c>
      <c r="J789" s="2">
        <v>2.11</v>
      </c>
      <c r="K789" s="2">
        <v>7.1</v>
      </c>
      <c r="L789" s="2">
        <v>12.21</v>
      </c>
      <c r="M789" s="2">
        <v>15.34</v>
      </c>
      <c r="N789" s="2">
        <v>3.4405239430000001</v>
      </c>
      <c r="O789" s="2">
        <v>3.4416194230000001</v>
      </c>
      <c r="P789" s="2">
        <v>2.4139583010000001</v>
      </c>
      <c r="Q789" s="2">
        <v>2.4560158140000001</v>
      </c>
      <c r="R789" s="2">
        <v>2.388836194</v>
      </c>
      <c r="S789" s="2">
        <v>2.4016314689999998</v>
      </c>
      <c r="T789" s="2">
        <v>0.34735618600000001</v>
      </c>
      <c r="U789" s="2">
        <v>0.51398440000000001</v>
      </c>
      <c r="V789" s="2">
        <v>3.9274456770000001</v>
      </c>
      <c r="W789" s="2">
        <v>4.3597376E-2</v>
      </c>
      <c r="X789">
        <f t="shared" si="36"/>
        <v>1</v>
      </c>
      <c r="Y789">
        <f t="shared" si="37"/>
        <v>1</v>
      </c>
      <c r="Z789">
        <f t="shared" si="38"/>
        <v>1</v>
      </c>
    </row>
    <row r="790" spans="1:26" ht="15.75" customHeight="1" x14ac:dyDescent="0.2">
      <c r="A790" s="2" t="s">
        <v>23</v>
      </c>
      <c r="B790" s="2" t="s">
        <v>24</v>
      </c>
      <c r="C790" s="2" t="s">
        <v>25</v>
      </c>
      <c r="D790" s="2" t="s">
        <v>25</v>
      </c>
      <c r="E790" s="2">
        <v>157</v>
      </c>
      <c r="F790" s="2">
        <v>217.33333329999999</v>
      </c>
      <c r="G790" s="2">
        <v>808.33333330000005</v>
      </c>
      <c r="H790" s="2">
        <v>1934.666667</v>
      </c>
      <c r="I790" s="2">
        <v>2855.333333</v>
      </c>
      <c r="J790" s="2">
        <v>2.15</v>
      </c>
      <c r="K790" s="2">
        <v>7.3</v>
      </c>
      <c r="L790" s="2">
        <v>12.79</v>
      </c>
      <c r="M790" s="2">
        <v>15.37</v>
      </c>
      <c r="N790" s="2">
        <v>0.46812723499999997</v>
      </c>
      <c r="O790" s="2">
        <v>0.78805919000000002</v>
      </c>
      <c r="P790" s="2">
        <v>2.7427143759999999</v>
      </c>
      <c r="Q790" s="2">
        <v>2.814970679</v>
      </c>
      <c r="R790" s="2">
        <v>2.5827859069999999</v>
      </c>
      <c r="S790" s="2">
        <v>2.5955811820000001</v>
      </c>
      <c r="T790" s="2">
        <v>0.92287545699999995</v>
      </c>
      <c r="U790" s="2">
        <v>1.0895036709999999</v>
      </c>
      <c r="V790" s="2">
        <v>4.12139539</v>
      </c>
      <c r="W790" s="2">
        <v>6.1902675999999997E-2</v>
      </c>
      <c r="X790">
        <f t="shared" si="36"/>
        <v>1</v>
      </c>
      <c r="Y790">
        <f t="shared" si="37"/>
        <v>1</v>
      </c>
      <c r="Z790">
        <f t="shared" si="38"/>
        <v>0</v>
      </c>
    </row>
    <row r="791" spans="1:26" ht="15.75" customHeight="1" x14ac:dyDescent="0.2">
      <c r="A791" s="2" t="s">
        <v>23</v>
      </c>
      <c r="B791" s="2" t="s">
        <v>24</v>
      </c>
      <c r="C791" s="2" t="s">
        <v>30</v>
      </c>
      <c r="D791" s="2" t="s">
        <v>31</v>
      </c>
      <c r="E791" s="2">
        <v>137</v>
      </c>
      <c r="F791" s="2">
        <v>226</v>
      </c>
      <c r="G791" s="2">
        <v>914</v>
      </c>
      <c r="H791" s="2">
        <v>1660.333333</v>
      </c>
      <c r="I791" s="2">
        <v>2753</v>
      </c>
      <c r="J791" s="2">
        <v>2.2400000000000002</v>
      </c>
      <c r="K791" s="2">
        <v>8</v>
      </c>
      <c r="L791" s="2">
        <v>11.77</v>
      </c>
      <c r="M791" s="2">
        <v>15.13</v>
      </c>
      <c r="N791" s="2">
        <v>4.4313904930000003</v>
      </c>
      <c r="O791" s="2">
        <v>4.4300801740000004</v>
      </c>
      <c r="P791" s="2">
        <v>3.2821826170000001</v>
      </c>
      <c r="Q791" s="2">
        <v>3.294153143</v>
      </c>
      <c r="R791" s="2">
        <v>3.2806739330000001</v>
      </c>
      <c r="S791" s="2">
        <v>3.2934692079999999</v>
      </c>
      <c r="T791" s="2">
        <v>9.9505175000000001E-2</v>
      </c>
      <c r="U791" s="2">
        <v>6.7123039999999995E-2</v>
      </c>
      <c r="V791" s="2">
        <v>4.8192834160000002</v>
      </c>
      <c r="W791" s="2">
        <v>7.2536240000000002E-2</v>
      </c>
      <c r="X791">
        <f t="shared" si="36"/>
        <v>1</v>
      </c>
      <c r="Y791">
        <f t="shared" si="37"/>
        <v>1</v>
      </c>
      <c r="Z791">
        <f t="shared" si="38"/>
        <v>1</v>
      </c>
    </row>
    <row r="792" spans="1:26" ht="15.75" customHeight="1" x14ac:dyDescent="0.2">
      <c r="A792" s="2" t="s">
        <v>23</v>
      </c>
      <c r="B792" s="2" t="s">
        <v>24</v>
      </c>
      <c r="C792" s="2" t="s">
        <v>25</v>
      </c>
      <c r="D792" s="2" t="s">
        <v>25</v>
      </c>
      <c r="E792" s="2">
        <v>93</v>
      </c>
      <c r="F792" s="2">
        <v>146.66666670000001</v>
      </c>
      <c r="G792" s="2">
        <v>565.66666669999995</v>
      </c>
      <c r="H792" s="2">
        <v>1587.666667</v>
      </c>
      <c r="I792" s="2">
        <v>2591</v>
      </c>
      <c r="J792" s="2">
        <v>1.34</v>
      </c>
      <c r="K792" s="2">
        <v>5.47</v>
      </c>
      <c r="L792" s="2">
        <v>11.47</v>
      </c>
      <c r="M792" s="2">
        <v>14.73</v>
      </c>
      <c r="N792" s="2">
        <v>0.120726446</v>
      </c>
      <c r="O792" s="2">
        <v>0.143665825</v>
      </c>
      <c r="P792" s="2">
        <v>1.351718843</v>
      </c>
      <c r="Q792" s="2">
        <v>1.341663271</v>
      </c>
      <c r="R792" s="2">
        <v>1.306018562</v>
      </c>
      <c r="S792" s="2">
        <v>1.2919106950000001</v>
      </c>
      <c r="T792" s="2">
        <v>0.34851018</v>
      </c>
      <c r="U792" s="2">
        <v>0.36197664200000002</v>
      </c>
      <c r="V792" s="2">
        <v>2.1067512160000001</v>
      </c>
      <c r="W792" s="2">
        <v>0.171998279</v>
      </c>
      <c r="X792">
        <f t="shared" si="36"/>
        <v>1</v>
      </c>
      <c r="Y792">
        <f t="shared" si="37"/>
        <v>1</v>
      </c>
      <c r="Z792">
        <f t="shared" si="38"/>
        <v>0</v>
      </c>
    </row>
    <row r="793" spans="1:26" ht="15.75" customHeight="1" x14ac:dyDescent="0.2">
      <c r="A793" s="2" t="s">
        <v>23</v>
      </c>
      <c r="B793" s="2" t="s">
        <v>24</v>
      </c>
      <c r="C793" s="2" t="s">
        <v>26</v>
      </c>
      <c r="D793" s="2" t="s">
        <v>26</v>
      </c>
      <c r="E793" s="2">
        <v>120</v>
      </c>
      <c r="F793" s="2">
        <v>136.66666670000001</v>
      </c>
      <c r="G793" s="2">
        <v>393</v>
      </c>
      <c r="H793" s="2">
        <v>1055</v>
      </c>
      <c r="I793" s="2">
        <v>2689.333333</v>
      </c>
      <c r="J793" s="2">
        <v>1.22</v>
      </c>
      <c r="K793" s="2">
        <v>3.95</v>
      </c>
      <c r="L793" s="2">
        <v>8.85</v>
      </c>
      <c r="M793" s="2">
        <v>14.98</v>
      </c>
      <c r="N793" s="2">
        <v>0.22232639200000001</v>
      </c>
      <c r="O793" s="2">
        <v>9.7180559E-2</v>
      </c>
      <c r="P793" s="2">
        <v>2.2790493540000001</v>
      </c>
      <c r="Q793" s="2">
        <v>2.267064414</v>
      </c>
      <c r="R793" s="2">
        <v>0.220715625</v>
      </c>
      <c r="S793" s="2">
        <v>0.23482349299999999</v>
      </c>
      <c r="T793" s="2">
        <v>2.2683365210000002</v>
      </c>
      <c r="U793" s="2">
        <v>2.2548700589999999</v>
      </c>
      <c r="V793" s="2">
        <v>0.58001702799999999</v>
      </c>
      <c r="W793" s="2">
        <v>0.101831344</v>
      </c>
      <c r="X793">
        <f t="shared" si="36"/>
        <v>1</v>
      </c>
      <c r="Y793">
        <f t="shared" si="37"/>
        <v>1</v>
      </c>
      <c r="Z793">
        <f t="shared" si="38"/>
        <v>0</v>
      </c>
    </row>
    <row r="794" spans="1:26" ht="15.75" customHeight="1" x14ac:dyDescent="0.2">
      <c r="A794" s="2" t="s">
        <v>23</v>
      </c>
      <c r="B794" s="2" t="s">
        <v>24</v>
      </c>
      <c r="C794" s="2" t="s">
        <v>27</v>
      </c>
      <c r="D794" s="2" t="s">
        <v>27</v>
      </c>
      <c r="E794" s="2">
        <v>90</v>
      </c>
      <c r="F794" s="2">
        <v>149.33333329999999</v>
      </c>
      <c r="G794" s="2">
        <v>401.66666670000001</v>
      </c>
      <c r="H794" s="2">
        <v>1868</v>
      </c>
      <c r="I794" s="2">
        <v>2731</v>
      </c>
      <c r="J794" s="2">
        <v>1.37</v>
      </c>
      <c r="K794" s="2">
        <v>4.03</v>
      </c>
      <c r="L794" s="2">
        <v>12.55</v>
      </c>
      <c r="M794" s="2">
        <v>15.08</v>
      </c>
      <c r="N794" s="2">
        <v>3.6622901999999999E-2</v>
      </c>
      <c r="O794" s="2">
        <v>9.4613981E-2</v>
      </c>
      <c r="P794" s="2">
        <v>1.439920058</v>
      </c>
      <c r="Q794" s="2">
        <v>1.4547392210000001</v>
      </c>
      <c r="R794" s="2">
        <v>0.13876270099999999</v>
      </c>
      <c r="S794" s="2">
        <v>0.15287056900000001</v>
      </c>
      <c r="T794" s="2">
        <v>1.433218297</v>
      </c>
      <c r="U794" s="2">
        <v>1.446684758</v>
      </c>
      <c r="V794" s="2">
        <v>0.66196995199999997</v>
      </c>
      <c r="W794" s="2">
        <v>0.14171545799999999</v>
      </c>
      <c r="X794">
        <f t="shared" si="36"/>
        <v>1</v>
      </c>
      <c r="Y794">
        <f t="shared" si="37"/>
        <v>1</v>
      </c>
      <c r="Z794">
        <f t="shared" si="38"/>
        <v>0</v>
      </c>
    </row>
    <row r="795" spans="1:26" ht="15.75" customHeight="1" x14ac:dyDescent="0.2">
      <c r="A795" s="2" t="s">
        <v>23</v>
      </c>
      <c r="B795" s="2" t="s">
        <v>24</v>
      </c>
      <c r="C795" s="2" t="s">
        <v>28</v>
      </c>
      <c r="D795" s="2" t="s">
        <v>29</v>
      </c>
      <c r="E795" s="2">
        <v>84</v>
      </c>
      <c r="F795" s="2">
        <v>146.66666670000001</v>
      </c>
      <c r="G795" s="2">
        <v>459.66666670000001</v>
      </c>
      <c r="H795" s="2">
        <v>1057</v>
      </c>
      <c r="I795" s="2">
        <v>2165.333333</v>
      </c>
      <c r="J795" s="2">
        <v>1.34</v>
      </c>
      <c r="K795" s="2">
        <v>4.5599999999999996</v>
      </c>
      <c r="L795" s="2">
        <v>8.86</v>
      </c>
      <c r="M795" s="2">
        <v>13.54</v>
      </c>
      <c r="N795" s="2">
        <v>0.57341321099999998</v>
      </c>
      <c r="O795" s="2">
        <v>0.53235677800000003</v>
      </c>
      <c r="P795" s="2">
        <v>2.2910177969999999</v>
      </c>
      <c r="Q795" s="2">
        <v>2.275352233</v>
      </c>
      <c r="R795" s="2">
        <v>0.39458046800000002</v>
      </c>
      <c r="S795" s="2">
        <v>0.38047259999999999</v>
      </c>
      <c r="T795" s="2">
        <v>2.2567828429999999</v>
      </c>
      <c r="U795" s="2">
        <v>2.2433163810000001</v>
      </c>
      <c r="V795" s="2">
        <v>1.1953131210000001</v>
      </c>
      <c r="W795" s="2">
        <v>9.4349824999999998E-2</v>
      </c>
      <c r="X795">
        <f t="shared" si="36"/>
        <v>1</v>
      </c>
      <c r="Y795">
        <f t="shared" si="37"/>
        <v>1</v>
      </c>
      <c r="Z795">
        <f t="shared" si="38"/>
        <v>1</v>
      </c>
    </row>
    <row r="796" spans="1:26" ht="15.75" customHeight="1" x14ac:dyDescent="0.2">
      <c r="A796" s="2" t="s">
        <v>23</v>
      </c>
      <c r="B796" s="2" t="s">
        <v>24</v>
      </c>
      <c r="C796" s="2" t="s">
        <v>30</v>
      </c>
      <c r="D796" s="2" t="s">
        <v>31</v>
      </c>
      <c r="E796" s="2">
        <v>199</v>
      </c>
      <c r="F796" s="2">
        <v>134</v>
      </c>
      <c r="G796" s="2">
        <v>654.33333330000005</v>
      </c>
      <c r="H796" s="2">
        <v>1258.333333</v>
      </c>
      <c r="I796" s="2">
        <v>2810.666667</v>
      </c>
      <c r="J796" s="2">
        <v>1.19</v>
      </c>
      <c r="K796" s="2">
        <v>6.18</v>
      </c>
      <c r="L796" s="2">
        <v>9.9499999999999993</v>
      </c>
      <c r="M796" s="2">
        <v>15.27</v>
      </c>
      <c r="N796" s="2">
        <v>3.3384717319999999</v>
      </c>
      <c r="O796" s="2">
        <v>3.4618409469999998</v>
      </c>
      <c r="P796" s="2">
        <v>2.3257405709999999</v>
      </c>
      <c r="Q796" s="2">
        <v>2.3067842330000001</v>
      </c>
      <c r="R796" s="2">
        <v>2.0116473240000001</v>
      </c>
      <c r="S796" s="2">
        <v>1.9975394559999999</v>
      </c>
      <c r="T796" s="2">
        <v>1.167195033</v>
      </c>
      <c r="U796" s="2">
        <v>1.1537285719999999</v>
      </c>
      <c r="V796" s="2">
        <v>2.812379977</v>
      </c>
      <c r="W796" s="2">
        <v>9.0369669E-2</v>
      </c>
      <c r="X796">
        <f t="shared" si="36"/>
        <v>1</v>
      </c>
      <c r="Y796">
        <f t="shared" si="37"/>
        <v>1</v>
      </c>
      <c r="Z796">
        <f t="shared" si="38"/>
        <v>1</v>
      </c>
    </row>
    <row r="797" spans="1:26" ht="15.75" customHeight="1" x14ac:dyDescent="0.2">
      <c r="A797" s="2" t="s">
        <v>23</v>
      </c>
      <c r="B797" s="2" t="s">
        <v>24</v>
      </c>
      <c r="C797" s="2" t="s">
        <v>26</v>
      </c>
      <c r="D797" s="2" t="s">
        <v>26</v>
      </c>
      <c r="E797" s="2">
        <v>118</v>
      </c>
      <c r="F797" s="2">
        <v>139.66666670000001</v>
      </c>
      <c r="G797" s="2">
        <v>403.33333329999999</v>
      </c>
      <c r="H797" s="2">
        <v>856.33333330000005</v>
      </c>
      <c r="I797" s="2">
        <v>2676</v>
      </c>
      <c r="J797" s="2">
        <v>1.25</v>
      </c>
      <c r="K797" s="2">
        <v>4.05</v>
      </c>
      <c r="L797" s="2">
        <v>7.62</v>
      </c>
      <c r="M797" s="2">
        <v>14.95</v>
      </c>
      <c r="N797" s="2">
        <v>1.438223271</v>
      </c>
      <c r="O797" s="2">
        <v>1.2779926159999999</v>
      </c>
      <c r="P797" s="2">
        <v>3.4999387030000002</v>
      </c>
      <c r="Q797" s="2">
        <v>3.4870071070000002</v>
      </c>
      <c r="R797" s="2">
        <v>0.12307143299999999</v>
      </c>
      <c r="S797" s="2">
        <v>0.137179301</v>
      </c>
      <c r="T797" s="2">
        <v>3.4977741990000002</v>
      </c>
      <c r="U797" s="2">
        <v>3.484307737</v>
      </c>
      <c r="V797" s="2">
        <v>0.67766122100000004</v>
      </c>
      <c r="W797" s="2">
        <v>0.17259264499999999</v>
      </c>
      <c r="X797">
        <f t="shared" si="36"/>
        <v>1</v>
      </c>
      <c r="Y797">
        <f t="shared" si="37"/>
        <v>1</v>
      </c>
      <c r="Z797">
        <f t="shared" si="38"/>
        <v>0</v>
      </c>
    </row>
    <row r="798" spans="1:26" ht="15.75" customHeight="1" x14ac:dyDescent="0.2">
      <c r="A798" s="2" t="s">
        <v>23</v>
      </c>
      <c r="B798" s="2" t="s">
        <v>24</v>
      </c>
      <c r="C798" s="2" t="s">
        <v>28</v>
      </c>
      <c r="D798" s="2" t="s">
        <v>29</v>
      </c>
      <c r="E798" s="2">
        <v>169</v>
      </c>
      <c r="F798" s="2">
        <v>143</v>
      </c>
      <c r="G798" s="2">
        <v>485.33333329999999</v>
      </c>
      <c r="H798" s="2">
        <v>1116.333333</v>
      </c>
      <c r="I798" s="2">
        <v>2209.666667</v>
      </c>
      <c r="J798" s="2">
        <v>1.29</v>
      </c>
      <c r="K798" s="2">
        <v>4.79</v>
      </c>
      <c r="L798" s="2">
        <v>9.1999999999999993</v>
      </c>
      <c r="M798" s="2">
        <v>13.68</v>
      </c>
      <c r="N798" s="2">
        <v>0.77890016799999995</v>
      </c>
      <c r="O798" s="2">
        <v>0.81578611899999998</v>
      </c>
      <c r="P798" s="2">
        <v>2.0192152299999999</v>
      </c>
      <c r="Q798" s="2">
        <v>2.002076728</v>
      </c>
      <c r="R798" s="2">
        <v>0.62252477299999998</v>
      </c>
      <c r="S798" s="2">
        <v>0.60841690500000001</v>
      </c>
      <c r="T798" s="2">
        <v>1.920857375</v>
      </c>
      <c r="U798" s="2">
        <v>1.907390913</v>
      </c>
      <c r="V798" s="2">
        <v>1.4232574259999999</v>
      </c>
      <c r="W798" s="2">
        <v>0.10823978200000001</v>
      </c>
      <c r="X798">
        <f t="shared" si="36"/>
        <v>1</v>
      </c>
      <c r="Y798">
        <f t="shared" si="37"/>
        <v>1</v>
      </c>
      <c r="Z798">
        <f t="shared" si="38"/>
        <v>1</v>
      </c>
    </row>
    <row r="799" spans="1:26" ht="15.75" customHeight="1" x14ac:dyDescent="0.2">
      <c r="A799" s="2" t="s">
        <v>23</v>
      </c>
      <c r="B799" s="2" t="s">
        <v>24</v>
      </c>
      <c r="C799" s="2" t="s">
        <v>32</v>
      </c>
      <c r="D799" s="2" t="s">
        <v>33</v>
      </c>
      <c r="E799" s="2">
        <v>150</v>
      </c>
      <c r="F799" s="2">
        <v>146.66666670000001</v>
      </c>
      <c r="G799" s="2">
        <v>566</v>
      </c>
      <c r="H799" s="2">
        <v>1145</v>
      </c>
      <c r="I799" s="2">
        <v>2575.666667</v>
      </c>
      <c r="J799" s="2">
        <v>1.34</v>
      </c>
      <c r="K799" s="2">
        <v>5.48</v>
      </c>
      <c r="L799" s="2">
        <v>9.36</v>
      </c>
      <c r="M799" s="2">
        <v>14.69</v>
      </c>
      <c r="N799" s="2">
        <v>2.0009075749999998</v>
      </c>
      <c r="O799" s="2">
        <v>2.0191650320000001</v>
      </c>
      <c r="P799" s="2">
        <v>2.1958103210000002</v>
      </c>
      <c r="Q799" s="2">
        <v>2.176591063</v>
      </c>
      <c r="R799" s="2">
        <v>1.3087640679999999</v>
      </c>
      <c r="S799" s="2">
        <v>1.2946561999999999</v>
      </c>
      <c r="T799" s="2">
        <v>1.763156143</v>
      </c>
      <c r="U799" s="2">
        <v>1.749689681</v>
      </c>
      <c r="V799" s="2">
        <v>2.1094967210000002</v>
      </c>
      <c r="W799" s="2">
        <v>0.19051510899999999</v>
      </c>
      <c r="X799">
        <f t="shared" si="36"/>
        <v>1</v>
      </c>
      <c r="Y799">
        <f t="shared" si="37"/>
        <v>1</v>
      </c>
      <c r="Z799">
        <f t="shared" si="38"/>
        <v>1</v>
      </c>
    </row>
    <row r="800" spans="1:26" ht="15.75" customHeight="1" x14ac:dyDescent="0.2">
      <c r="A800" s="2" t="s">
        <v>23</v>
      </c>
      <c r="B800" s="2" t="s">
        <v>24</v>
      </c>
      <c r="C800" s="2" t="s">
        <v>32</v>
      </c>
      <c r="D800" s="2" t="s">
        <v>33</v>
      </c>
      <c r="E800" s="2">
        <v>160</v>
      </c>
      <c r="F800" s="2">
        <v>134.66666670000001</v>
      </c>
      <c r="G800" s="2">
        <v>766.33333330000005</v>
      </c>
      <c r="H800" s="2">
        <v>1106.666667</v>
      </c>
      <c r="I800" s="2">
        <v>2773</v>
      </c>
      <c r="J800" s="2">
        <v>1.19</v>
      </c>
      <c r="K800" s="2">
        <v>7.01</v>
      </c>
      <c r="L800" s="2">
        <v>9.14</v>
      </c>
      <c r="M800" s="2">
        <v>15.18</v>
      </c>
      <c r="N800" s="2">
        <v>2.7170170929999999</v>
      </c>
      <c r="O800" s="2">
        <v>2.6440588589999998</v>
      </c>
      <c r="P800" s="2">
        <v>3.4568881349999998</v>
      </c>
      <c r="Q800" s="2">
        <v>3.437617371</v>
      </c>
      <c r="R800" s="2">
        <v>2.8373638830000001</v>
      </c>
      <c r="S800" s="2">
        <v>2.8232560160000002</v>
      </c>
      <c r="T800" s="2">
        <v>1.9747004260000001</v>
      </c>
      <c r="U800" s="2">
        <v>1.9612339640000001</v>
      </c>
      <c r="V800" s="2">
        <v>3.638096537</v>
      </c>
      <c r="W800" s="2">
        <v>0.10851849399999999</v>
      </c>
      <c r="X800">
        <f t="shared" si="36"/>
        <v>1</v>
      </c>
      <c r="Y800">
        <f t="shared" si="37"/>
        <v>1</v>
      </c>
      <c r="Z800">
        <f t="shared" si="38"/>
        <v>1</v>
      </c>
    </row>
    <row r="801" spans="1:26" ht="15.75" customHeight="1" x14ac:dyDescent="0.2">
      <c r="A801" s="2" t="s">
        <v>23</v>
      </c>
      <c r="B801" s="2" t="s">
        <v>24</v>
      </c>
      <c r="C801" s="2" t="s">
        <v>25</v>
      </c>
      <c r="D801" s="2" t="s">
        <v>25</v>
      </c>
      <c r="E801" s="2">
        <v>95</v>
      </c>
      <c r="F801" s="2">
        <v>150.33333329999999</v>
      </c>
      <c r="G801" s="2">
        <v>578</v>
      </c>
      <c r="H801" s="2">
        <v>1543</v>
      </c>
      <c r="I801" s="2">
        <v>2466</v>
      </c>
      <c r="J801" s="2">
        <v>1.38</v>
      </c>
      <c r="K801" s="2">
        <v>5.58</v>
      </c>
      <c r="L801" s="2">
        <v>11.28</v>
      </c>
      <c r="M801" s="2">
        <v>14.41</v>
      </c>
      <c r="N801" s="2">
        <v>0.16680587699999999</v>
      </c>
      <c r="O801" s="2">
        <v>9.3864861999999993E-2</v>
      </c>
      <c r="P801" s="2">
        <v>1.4161491749999999</v>
      </c>
      <c r="Q801" s="2">
        <v>1.403729166</v>
      </c>
      <c r="R801" s="2">
        <v>1.407121949</v>
      </c>
      <c r="S801" s="2">
        <v>1.3930140820000001</v>
      </c>
      <c r="T801" s="2">
        <v>0.15964431000000001</v>
      </c>
      <c r="U801" s="2">
        <v>0.173110771</v>
      </c>
      <c r="V801" s="2">
        <v>2.2078546029999999</v>
      </c>
      <c r="W801" s="2">
        <v>0.194360913</v>
      </c>
      <c r="X801">
        <f t="shared" si="36"/>
        <v>1</v>
      </c>
      <c r="Y801">
        <f t="shared" si="37"/>
        <v>1</v>
      </c>
      <c r="Z801">
        <f t="shared" si="38"/>
        <v>0</v>
      </c>
    </row>
    <row r="802" spans="1:26" ht="15.75" customHeight="1" x14ac:dyDescent="0.2">
      <c r="A802" s="2" t="s">
        <v>23</v>
      </c>
      <c r="B802" s="2" t="s">
        <v>24</v>
      </c>
      <c r="C802" s="2" t="s">
        <v>32</v>
      </c>
      <c r="D802" s="2" t="s">
        <v>33</v>
      </c>
      <c r="E802" s="2">
        <v>138</v>
      </c>
      <c r="F802" s="2">
        <v>143.66666670000001</v>
      </c>
      <c r="G802" s="2">
        <v>740</v>
      </c>
      <c r="H802" s="2">
        <v>1198</v>
      </c>
      <c r="I802" s="2">
        <v>2891</v>
      </c>
      <c r="J802" s="2">
        <v>1.3</v>
      </c>
      <c r="K802" s="2">
        <v>6.82</v>
      </c>
      <c r="L802" s="2">
        <v>9.64</v>
      </c>
      <c r="M802" s="2">
        <v>15.45</v>
      </c>
      <c r="N802" s="2">
        <v>2.208532479</v>
      </c>
      <c r="O802" s="2">
        <v>2.1280148799999998</v>
      </c>
      <c r="P802" s="2">
        <v>3.0343132480000001</v>
      </c>
      <c r="Q802" s="2">
        <v>3.0154345710000001</v>
      </c>
      <c r="R802" s="2">
        <v>2.6493819969999999</v>
      </c>
      <c r="S802" s="2">
        <v>2.6352741289999999</v>
      </c>
      <c r="T802" s="2">
        <v>1.479132152</v>
      </c>
      <c r="U802" s="2">
        <v>1.4656656910000001</v>
      </c>
      <c r="V802" s="2">
        <v>3.4501146500000002</v>
      </c>
      <c r="W802" s="2">
        <v>0.112310777</v>
      </c>
      <c r="X802">
        <f t="shared" si="36"/>
        <v>1</v>
      </c>
      <c r="Y802">
        <f t="shared" si="37"/>
        <v>1</v>
      </c>
      <c r="Z802">
        <f t="shared" si="38"/>
        <v>1</v>
      </c>
    </row>
    <row r="803" spans="1:26" ht="15.75" customHeight="1" x14ac:dyDescent="0.2">
      <c r="A803" s="2" t="s">
        <v>23</v>
      </c>
      <c r="B803" s="2" t="s">
        <v>24</v>
      </c>
      <c r="C803" s="2" t="s">
        <v>32</v>
      </c>
      <c r="D803" s="2" t="s">
        <v>33</v>
      </c>
      <c r="E803" s="2">
        <v>129</v>
      </c>
      <c r="F803" s="2">
        <v>145.33333329999999</v>
      </c>
      <c r="G803" s="2">
        <v>585.33333330000005</v>
      </c>
      <c r="H803" s="2">
        <v>1209.666667</v>
      </c>
      <c r="I803" s="2">
        <v>2844.333333</v>
      </c>
      <c r="J803" s="2">
        <v>1.32</v>
      </c>
      <c r="K803" s="2">
        <v>5.64</v>
      </c>
      <c r="L803" s="2">
        <v>9.6999999999999993</v>
      </c>
      <c r="M803" s="2">
        <v>15.34</v>
      </c>
      <c r="N803" s="2">
        <v>1.667969077</v>
      </c>
      <c r="O803" s="2">
        <v>1.6720184929999999</v>
      </c>
      <c r="P803" s="2">
        <v>2.0400553069999998</v>
      </c>
      <c r="Q803" s="2">
        <v>2.02055243</v>
      </c>
      <c r="R803" s="2">
        <v>1.466772991</v>
      </c>
      <c r="S803" s="2">
        <v>1.4526651230000001</v>
      </c>
      <c r="T803" s="2">
        <v>1.417886684</v>
      </c>
      <c r="U803" s="2">
        <v>1.404420223</v>
      </c>
      <c r="V803" s="2">
        <v>2.2675056439999999</v>
      </c>
      <c r="W803" s="2">
        <v>0.203024118</v>
      </c>
      <c r="X803">
        <f t="shared" si="36"/>
        <v>1</v>
      </c>
      <c r="Y803">
        <f t="shared" si="37"/>
        <v>1</v>
      </c>
      <c r="Z803">
        <f t="shared" si="38"/>
        <v>1</v>
      </c>
    </row>
    <row r="804" spans="1:26" ht="15.75" customHeight="1" x14ac:dyDescent="0.2">
      <c r="A804" s="2" t="s">
        <v>23</v>
      </c>
      <c r="B804" s="2" t="s">
        <v>24</v>
      </c>
      <c r="C804" s="2" t="s">
        <v>25</v>
      </c>
      <c r="D804" s="2" t="s">
        <v>25</v>
      </c>
      <c r="E804" s="2">
        <v>94</v>
      </c>
      <c r="F804" s="2">
        <v>155.66666670000001</v>
      </c>
      <c r="G804" s="2">
        <v>566.66666669999995</v>
      </c>
      <c r="H804" s="2">
        <v>1662.666667</v>
      </c>
      <c r="I804" s="2">
        <v>2733.333333</v>
      </c>
      <c r="J804" s="2">
        <v>1.44</v>
      </c>
      <c r="K804" s="2">
        <v>5.48</v>
      </c>
      <c r="L804" s="2">
        <v>11.77</v>
      </c>
      <c r="M804" s="2">
        <v>15.08</v>
      </c>
      <c r="N804" s="2">
        <v>0.42159947199999998</v>
      </c>
      <c r="O804" s="2">
        <v>0.41397024100000002</v>
      </c>
      <c r="P804" s="2">
        <v>1.468501126</v>
      </c>
      <c r="Q804" s="2">
        <v>1.4619981870000001</v>
      </c>
      <c r="R804" s="2">
        <v>1.3142529039999999</v>
      </c>
      <c r="S804" s="2">
        <v>1.3001450370000001</v>
      </c>
      <c r="T804" s="2">
        <v>0.65516017800000004</v>
      </c>
      <c r="U804" s="2">
        <v>0.66862664000000005</v>
      </c>
      <c r="V804" s="2">
        <v>2.1149855579999999</v>
      </c>
      <c r="W804" s="2">
        <v>0.15221537199999999</v>
      </c>
      <c r="X804">
        <f t="shared" si="36"/>
        <v>1</v>
      </c>
      <c r="Y804">
        <f t="shared" si="37"/>
        <v>1</v>
      </c>
      <c r="Z804">
        <f t="shared" si="38"/>
        <v>0</v>
      </c>
    </row>
    <row r="805" spans="1:26" ht="15.75" customHeight="1" x14ac:dyDescent="0.2">
      <c r="A805" s="2" t="s">
        <v>23</v>
      </c>
      <c r="B805" s="2" t="s">
        <v>24</v>
      </c>
      <c r="C805" s="2" t="s">
        <v>25</v>
      </c>
      <c r="D805" s="2" t="s">
        <v>25</v>
      </c>
      <c r="E805" s="2">
        <v>120</v>
      </c>
      <c r="F805" s="2">
        <v>138.66666670000001</v>
      </c>
      <c r="G805" s="2">
        <v>546.66666669999995</v>
      </c>
      <c r="H805" s="2">
        <v>1660.333333</v>
      </c>
      <c r="I805" s="2">
        <v>2497</v>
      </c>
      <c r="J805" s="2">
        <v>1.24</v>
      </c>
      <c r="K805" s="2">
        <v>5.32</v>
      </c>
      <c r="L805" s="2">
        <v>11.77</v>
      </c>
      <c r="M805" s="2">
        <v>14.49</v>
      </c>
      <c r="N805" s="2">
        <v>0.42349980399999998</v>
      </c>
      <c r="O805" s="2">
        <v>0.47375851099999999</v>
      </c>
      <c r="P805" s="2">
        <v>1.3174620029999999</v>
      </c>
      <c r="Q805" s="2">
        <v>1.311899183</v>
      </c>
      <c r="R805" s="2">
        <v>1.148317773</v>
      </c>
      <c r="S805" s="2">
        <v>1.1342099050000001</v>
      </c>
      <c r="T805" s="2">
        <v>0.64581144499999998</v>
      </c>
      <c r="U805" s="2">
        <v>0.659277907</v>
      </c>
      <c r="V805" s="2">
        <v>1.9490504259999999</v>
      </c>
      <c r="W805" s="2">
        <v>0.178806888</v>
      </c>
      <c r="X805">
        <f t="shared" si="36"/>
        <v>1</v>
      </c>
      <c r="Y805">
        <f t="shared" si="37"/>
        <v>1</v>
      </c>
      <c r="Z805">
        <f t="shared" si="38"/>
        <v>0</v>
      </c>
    </row>
    <row r="806" spans="1:26" ht="15.75" customHeight="1" x14ac:dyDescent="0.2">
      <c r="A806" s="2" t="s">
        <v>23</v>
      </c>
      <c r="B806" s="2" t="s">
        <v>24</v>
      </c>
      <c r="C806" s="2" t="s">
        <v>27</v>
      </c>
      <c r="D806" s="2" t="s">
        <v>27</v>
      </c>
      <c r="E806" s="2">
        <v>110</v>
      </c>
      <c r="F806" s="2">
        <v>148.66666670000001</v>
      </c>
      <c r="G806" s="2">
        <v>385</v>
      </c>
      <c r="H806" s="2">
        <v>1896</v>
      </c>
      <c r="I806" s="2">
        <v>2581.666667</v>
      </c>
      <c r="J806" s="2">
        <v>1.36</v>
      </c>
      <c r="K806" s="2">
        <v>3.87</v>
      </c>
      <c r="L806" s="2">
        <v>12.65</v>
      </c>
      <c r="M806" s="2">
        <v>14.71</v>
      </c>
      <c r="N806" s="2">
        <v>0.21955101699999999</v>
      </c>
      <c r="O806" s="2">
        <v>0.13100304600000001</v>
      </c>
      <c r="P806" s="2">
        <v>1.5613852180000001</v>
      </c>
      <c r="Q806" s="2">
        <v>1.5773290339999999</v>
      </c>
      <c r="R806" s="2">
        <v>0.29690213799999998</v>
      </c>
      <c r="S806" s="2">
        <v>0.31101000600000001</v>
      </c>
      <c r="T806" s="2">
        <v>1.532896904</v>
      </c>
      <c r="U806" s="2">
        <v>1.546363366</v>
      </c>
      <c r="V806" s="2">
        <v>0.50383051499999998</v>
      </c>
      <c r="W806" s="2">
        <v>0.121819099</v>
      </c>
      <c r="X806">
        <f t="shared" si="36"/>
        <v>1</v>
      </c>
      <c r="Y806">
        <f t="shared" si="37"/>
        <v>1</v>
      </c>
      <c r="Z806">
        <f t="shared" si="38"/>
        <v>0</v>
      </c>
    </row>
    <row r="807" spans="1:26" ht="15.75" customHeight="1" x14ac:dyDescent="0.2">
      <c r="A807" s="2" t="s">
        <v>23</v>
      </c>
      <c r="B807" s="2" t="s">
        <v>24</v>
      </c>
      <c r="C807" s="2" t="s">
        <v>30</v>
      </c>
      <c r="D807" s="2" t="s">
        <v>31</v>
      </c>
      <c r="E807" s="2">
        <v>82</v>
      </c>
      <c r="F807" s="2">
        <v>141</v>
      </c>
      <c r="G807" s="2">
        <v>550.66666669999995</v>
      </c>
      <c r="H807" s="2">
        <v>1416.333333</v>
      </c>
      <c r="I807" s="2">
        <v>2684</v>
      </c>
      <c r="J807" s="2">
        <v>1.27</v>
      </c>
      <c r="K807" s="2">
        <v>5.35</v>
      </c>
      <c r="L807" s="2">
        <v>10.72</v>
      </c>
      <c r="M807" s="2">
        <v>14.96</v>
      </c>
      <c r="N807" s="2">
        <v>2.2255078749999999</v>
      </c>
      <c r="O807" s="2">
        <v>2.3515556690000001</v>
      </c>
      <c r="P807" s="2">
        <v>1.2485842</v>
      </c>
      <c r="Q807" s="2">
        <v>1.230911278</v>
      </c>
      <c r="R807" s="2">
        <v>1.1817162939999999</v>
      </c>
      <c r="S807" s="2">
        <v>1.1676084259999999</v>
      </c>
      <c r="T807" s="2">
        <v>0.40312418100000003</v>
      </c>
      <c r="U807" s="2">
        <v>0.38965771999999999</v>
      </c>
      <c r="V807" s="2">
        <v>1.982448947</v>
      </c>
      <c r="W807" s="2">
        <v>0.11879258500000001</v>
      </c>
      <c r="X807">
        <f t="shared" si="36"/>
        <v>1</v>
      </c>
      <c r="Y807">
        <f t="shared" si="37"/>
        <v>1</v>
      </c>
      <c r="Z807">
        <f t="shared" si="38"/>
        <v>1</v>
      </c>
    </row>
    <row r="808" spans="1:26" ht="15.75" customHeight="1" x14ac:dyDescent="0.2">
      <c r="A808" s="2" t="s">
        <v>23</v>
      </c>
      <c r="B808" s="2" t="s">
        <v>24</v>
      </c>
      <c r="C808" s="2" t="s">
        <v>28</v>
      </c>
      <c r="D808" s="2" t="s">
        <v>29</v>
      </c>
      <c r="E808" s="2">
        <v>97</v>
      </c>
      <c r="F808" s="2">
        <v>154.66666670000001</v>
      </c>
      <c r="G808" s="2">
        <v>703</v>
      </c>
      <c r="H808" s="2">
        <v>1213.666667</v>
      </c>
      <c r="I808" s="2">
        <v>2883.666667</v>
      </c>
      <c r="J808" s="2">
        <v>1.43</v>
      </c>
      <c r="K808" s="2">
        <v>6.55</v>
      </c>
      <c r="L808" s="2">
        <v>9.7200000000000006</v>
      </c>
      <c r="M808" s="2">
        <v>15.43</v>
      </c>
      <c r="N808" s="2">
        <v>2.608463086</v>
      </c>
      <c r="O808" s="2">
        <v>2.6466349490000001</v>
      </c>
      <c r="P808" s="2">
        <v>2.7588227939999999</v>
      </c>
      <c r="Q808" s="2">
        <v>2.739841969</v>
      </c>
      <c r="R808" s="2">
        <v>2.3789739079999999</v>
      </c>
      <c r="S808" s="2">
        <v>2.3648660399999999</v>
      </c>
      <c r="T808" s="2">
        <v>1.3969918960000001</v>
      </c>
      <c r="U808" s="2">
        <v>1.3835254340000001</v>
      </c>
      <c r="V808" s="2">
        <v>3.1797065610000002</v>
      </c>
      <c r="W808" s="2">
        <v>0.152216553</v>
      </c>
      <c r="X808">
        <f t="shared" si="36"/>
        <v>1</v>
      </c>
      <c r="Y808">
        <f t="shared" si="37"/>
        <v>1</v>
      </c>
      <c r="Z808">
        <f t="shared" si="38"/>
        <v>1</v>
      </c>
    </row>
    <row r="809" spans="1:26" ht="15.75" customHeight="1" x14ac:dyDescent="0.2">
      <c r="A809" s="2" t="s">
        <v>23</v>
      </c>
      <c r="B809" s="2" t="s">
        <v>24</v>
      </c>
      <c r="C809" s="2" t="s">
        <v>28</v>
      </c>
      <c r="D809" s="2" t="s">
        <v>29</v>
      </c>
      <c r="E809" s="2">
        <v>135</v>
      </c>
      <c r="F809" s="2">
        <v>154</v>
      </c>
      <c r="G809" s="2">
        <v>499</v>
      </c>
      <c r="H809" s="2">
        <v>1108.666667</v>
      </c>
      <c r="I809" s="2">
        <v>2600.666667</v>
      </c>
      <c r="J809" s="2">
        <v>1.42</v>
      </c>
      <c r="K809" s="2">
        <v>4.91</v>
      </c>
      <c r="L809" s="2">
        <v>9.16</v>
      </c>
      <c r="M809" s="2">
        <v>14.76</v>
      </c>
      <c r="N809" s="2">
        <v>0.89106157600000002</v>
      </c>
      <c r="O809" s="2">
        <v>0.91508149500000002</v>
      </c>
      <c r="P809" s="2">
        <v>2.0990377769999999</v>
      </c>
      <c r="Q809" s="2">
        <v>2.081470983</v>
      </c>
      <c r="R809" s="2">
        <v>0.74195627399999997</v>
      </c>
      <c r="S809" s="2">
        <v>0.727848406</v>
      </c>
      <c r="T809" s="2">
        <v>1.9635326529999999</v>
      </c>
      <c r="U809" s="2">
        <v>1.9500661909999999</v>
      </c>
      <c r="V809" s="2">
        <v>1.5426889269999999</v>
      </c>
      <c r="W809" s="2">
        <v>0.20371434899999999</v>
      </c>
      <c r="X809">
        <f t="shared" si="36"/>
        <v>1</v>
      </c>
      <c r="Y809">
        <f t="shared" si="37"/>
        <v>1</v>
      </c>
      <c r="Z809">
        <f t="shared" si="38"/>
        <v>1</v>
      </c>
    </row>
    <row r="810" spans="1:26" ht="15.75" customHeight="1" x14ac:dyDescent="0.2">
      <c r="A810" s="2" t="s">
        <v>23</v>
      </c>
      <c r="B810" s="2" t="s">
        <v>24</v>
      </c>
      <c r="C810" s="2" t="s">
        <v>32</v>
      </c>
      <c r="D810" s="2" t="s">
        <v>33</v>
      </c>
      <c r="E810" s="2">
        <v>110</v>
      </c>
      <c r="F810" s="2">
        <v>140</v>
      </c>
      <c r="G810" s="2">
        <v>676.66666669999995</v>
      </c>
      <c r="H810" s="2">
        <v>1045.333333</v>
      </c>
      <c r="I810" s="2">
        <v>2803.333333</v>
      </c>
      <c r="J810" s="2">
        <v>1.26</v>
      </c>
      <c r="K810" s="2">
        <v>6.35</v>
      </c>
      <c r="L810" s="2">
        <v>8.8000000000000007</v>
      </c>
      <c r="M810" s="2">
        <v>15.25</v>
      </c>
      <c r="N810" s="2">
        <v>2.7225837390000001</v>
      </c>
      <c r="O810" s="2">
        <v>2.6897468390000001</v>
      </c>
      <c r="P810" s="2">
        <v>3.1880242160000001</v>
      </c>
      <c r="Q810" s="2">
        <v>3.1685504770000001</v>
      </c>
      <c r="R810" s="2">
        <v>2.181898549</v>
      </c>
      <c r="S810" s="2">
        <v>2.1677906810000001</v>
      </c>
      <c r="T810" s="2">
        <v>2.3243960779999999</v>
      </c>
      <c r="U810" s="2">
        <v>2.3109296170000002</v>
      </c>
      <c r="V810" s="2">
        <v>2.9826312019999999</v>
      </c>
      <c r="W810" s="2">
        <v>0.118024324</v>
      </c>
      <c r="X810">
        <f t="shared" si="36"/>
        <v>1</v>
      </c>
      <c r="Y810">
        <f t="shared" si="37"/>
        <v>1</v>
      </c>
      <c r="Z810">
        <f t="shared" si="38"/>
        <v>1</v>
      </c>
    </row>
    <row r="811" spans="1:26" ht="15.75" customHeight="1" x14ac:dyDescent="0.2">
      <c r="A811" s="2" t="s">
        <v>23</v>
      </c>
      <c r="B811" s="2" t="s">
        <v>24</v>
      </c>
      <c r="C811" s="2" t="s">
        <v>26</v>
      </c>
      <c r="D811" s="2" t="s">
        <v>26</v>
      </c>
      <c r="E811" s="2">
        <v>86</v>
      </c>
      <c r="F811" s="2">
        <v>150</v>
      </c>
      <c r="G811" s="2">
        <v>398</v>
      </c>
      <c r="H811" s="2">
        <v>1264.333333</v>
      </c>
      <c r="I811" s="2">
        <v>2644.333333</v>
      </c>
      <c r="J811" s="2">
        <v>1.38</v>
      </c>
      <c r="K811" s="2">
        <v>4</v>
      </c>
      <c r="L811" s="2">
        <v>9.98</v>
      </c>
      <c r="M811" s="2">
        <v>14.87</v>
      </c>
      <c r="N811" s="2">
        <v>0.92336002399999995</v>
      </c>
      <c r="O811" s="2">
        <v>1.08366754</v>
      </c>
      <c r="P811" s="2">
        <v>1.149954535</v>
      </c>
      <c r="Q811" s="2">
        <v>1.138880884</v>
      </c>
      <c r="R811" s="2">
        <v>0.17336157099999999</v>
      </c>
      <c r="S811" s="2">
        <v>0.18746943899999999</v>
      </c>
      <c r="T811" s="2">
        <v>1.1368118570000001</v>
      </c>
      <c r="U811" s="2">
        <v>1.1233453950000001</v>
      </c>
      <c r="V811" s="2">
        <v>0.62737108200000002</v>
      </c>
      <c r="W811" s="2">
        <v>0.16453636699999999</v>
      </c>
      <c r="X811">
        <f t="shared" si="36"/>
        <v>1</v>
      </c>
      <c r="Y811">
        <f t="shared" si="37"/>
        <v>1</v>
      </c>
      <c r="Z811">
        <f t="shared" si="38"/>
        <v>0</v>
      </c>
    </row>
    <row r="812" spans="1:26" ht="15.75" customHeight="1" x14ac:dyDescent="0.2">
      <c r="A812" s="2" t="s">
        <v>23</v>
      </c>
      <c r="B812" s="2" t="s">
        <v>24</v>
      </c>
      <c r="C812" s="2" t="s">
        <v>25</v>
      </c>
      <c r="D812" s="2" t="s">
        <v>25</v>
      </c>
      <c r="E812" s="2">
        <v>121</v>
      </c>
      <c r="F812" s="2">
        <v>144.33333329999999</v>
      </c>
      <c r="G812" s="2">
        <v>588.33333330000005</v>
      </c>
      <c r="H812" s="2">
        <v>1408</v>
      </c>
      <c r="I812" s="2">
        <v>2484.333333</v>
      </c>
      <c r="J812" s="2">
        <v>1.31</v>
      </c>
      <c r="K812" s="2">
        <v>5.66</v>
      </c>
      <c r="L812" s="2">
        <v>10.68</v>
      </c>
      <c r="M812" s="2">
        <v>14.46</v>
      </c>
      <c r="N812" s="2">
        <v>0.71721980799999996</v>
      </c>
      <c r="O812" s="2">
        <v>0.69922476499999997</v>
      </c>
      <c r="P812" s="2">
        <v>1.5551042020000001</v>
      </c>
      <c r="Q812" s="2">
        <v>1.5377786499999999</v>
      </c>
      <c r="R812" s="2">
        <v>1.4910767380000001</v>
      </c>
      <c r="S812" s="2">
        <v>1.4769688700000001</v>
      </c>
      <c r="T812" s="2">
        <v>0.441632472</v>
      </c>
      <c r="U812" s="2">
        <v>0.42816600999999999</v>
      </c>
      <c r="V812" s="2">
        <v>2.2918093910000001</v>
      </c>
      <c r="W812" s="2">
        <v>0.19219666899999999</v>
      </c>
      <c r="X812">
        <f t="shared" si="36"/>
        <v>1</v>
      </c>
      <c r="Y812">
        <f t="shared" si="37"/>
        <v>1</v>
      </c>
      <c r="Z812">
        <f t="shared" si="38"/>
        <v>0</v>
      </c>
    </row>
    <row r="813" spans="1:26" ht="15.75" customHeight="1" x14ac:dyDescent="0.2">
      <c r="A813" s="2" t="s">
        <v>23</v>
      </c>
      <c r="B813" s="2" t="s">
        <v>24</v>
      </c>
      <c r="C813" s="2" t="s">
        <v>30</v>
      </c>
      <c r="D813" s="2" t="s">
        <v>31</v>
      </c>
      <c r="E813" s="2">
        <v>99</v>
      </c>
      <c r="F813" s="2">
        <v>143</v>
      </c>
      <c r="G813" s="2">
        <v>693.33333330000005</v>
      </c>
      <c r="H813" s="2">
        <v>1350.333333</v>
      </c>
      <c r="I813" s="2">
        <v>2550</v>
      </c>
      <c r="J813" s="2">
        <v>1.29</v>
      </c>
      <c r="K813" s="2">
        <v>6.48</v>
      </c>
      <c r="L813" s="2">
        <v>10.41</v>
      </c>
      <c r="M813" s="2">
        <v>14.63</v>
      </c>
      <c r="N813" s="2">
        <v>3.219974031</v>
      </c>
      <c r="O813" s="2">
        <v>3.3349986280000001</v>
      </c>
      <c r="P813" s="2">
        <v>2.414872581</v>
      </c>
      <c r="Q813" s="2">
        <v>2.3974318179999998</v>
      </c>
      <c r="R813" s="2">
        <v>2.3070842109999998</v>
      </c>
      <c r="S813" s="2">
        <v>2.2929763439999999</v>
      </c>
      <c r="T813" s="2">
        <v>0.71342275300000002</v>
      </c>
      <c r="U813" s="2">
        <v>0.69995629199999998</v>
      </c>
      <c r="V813" s="2">
        <v>3.1078168650000002</v>
      </c>
      <c r="W813" s="2">
        <v>0.167265414</v>
      </c>
      <c r="X813">
        <f t="shared" si="36"/>
        <v>1</v>
      </c>
      <c r="Y813">
        <f t="shared" si="37"/>
        <v>1</v>
      </c>
      <c r="Z813">
        <f t="shared" si="38"/>
        <v>1</v>
      </c>
    </row>
    <row r="814" spans="1:26" ht="15.75" customHeight="1" x14ac:dyDescent="0.2">
      <c r="A814" s="2" t="s">
        <v>23</v>
      </c>
      <c r="B814" s="2" t="s">
        <v>24</v>
      </c>
      <c r="C814" s="2" t="s">
        <v>27</v>
      </c>
      <c r="D814" s="2" t="s">
        <v>27</v>
      </c>
      <c r="E814" s="2">
        <v>80</v>
      </c>
      <c r="F814" s="2">
        <v>139</v>
      </c>
      <c r="G814" s="2">
        <v>382.66666670000001</v>
      </c>
      <c r="H814" s="2">
        <v>1868</v>
      </c>
      <c r="I814" s="2">
        <v>2672.333333</v>
      </c>
      <c r="J814" s="2">
        <v>1.25</v>
      </c>
      <c r="K814" s="2">
        <v>3.85</v>
      </c>
      <c r="L814" s="2">
        <v>12.55</v>
      </c>
      <c r="M814" s="2">
        <v>14.94</v>
      </c>
      <c r="N814" s="2">
        <v>0.200422029</v>
      </c>
      <c r="O814" s="2">
        <v>0.17778635100000001</v>
      </c>
      <c r="P814" s="2">
        <v>1.468338133</v>
      </c>
      <c r="Q814" s="2">
        <v>1.4845891920000001</v>
      </c>
      <c r="R814" s="2">
        <v>0.31922122000000003</v>
      </c>
      <c r="S814" s="2">
        <v>0.333329088</v>
      </c>
      <c r="T814" s="2">
        <v>1.433218297</v>
      </c>
      <c r="U814" s="2">
        <v>1.446684758</v>
      </c>
      <c r="V814" s="2">
        <v>0.48151143299999999</v>
      </c>
      <c r="W814" s="2">
        <v>0.10239116199999999</v>
      </c>
      <c r="X814">
        <f t="shared" si="36"/>
        <v>1</v>
      </c>
      <c r="Y814">
        <f t="shared" si="37"/>
        <v>1</v>
      </c>
      <c r="Z814">
        <f t="shared" si="38"/>
        <v>0</v>
      </c>
    </row>
    <row r="815" spans="1:26" ht="15.75" customHeight="1" x14ac:dyDescent="0.2">
      <c r="A815" s="2" t="s">
        <v>23</v>
      </c>
      <c r="B815" s="2" t="s">
        <v>24</v>
      </c>
      <c r="C815" s="2" t="s">
        <v>30</v>
      </c>
      <c r="D815" s="2" t="s">
        <v>31</v>
      </c>
      <c r="E815" s="2">
        <v>108</v>
      </c>
      <c r="F815" s="2">
        <v>151</v>
      </c>
      <c r="G815" s="2">
        <v>647.33333330000005</v>
      </c>
      <c r="H815" s="2">
        <v>1397</v>
      </c>
      <c r="I815" s="2">
        <v>2725</v>
      </c>
      <c r="J815" s="2">
        <v>1.39</v>
      </c>
      <c r="K815" s="2">
        <v>6.13</v>
      </c>
      <c r="L815" s="2">
        <v>10.63</v>
      </c>
      <c r="M815" s="2">
        <v>15.06</v>
      </c>
      <c r="N815" s="2">
        <v>2.8122634799999999</v>
      </c>
      <c r="O815" s="2">
        <v>2.92870359</v>
      </c>
      <c r="P815" s="2">
        <v>2.0187466019999998</v>
      </c>
      <c r="Q815" s="2">
        <v>2.0018015249999999</v>
      </c>
      <c r="R815" s="2">
        <v>1.9576846569999999</v>
      </c>
      <c r="S815" s="2">
        <v>1.943576789</v>
      </c>
      <c r="T815" s="2">
        <v>0.492756156</v>
      </c>
      <c r="U815" s="2">
        <v>0.47928969500000002</v>
      </c>
      <c r="V815" s="2">
        <v>2.75841731</v>
      </c>
      <c r="W815" s="2">
        <v>0.15809329999999999</v>
      </c>
      <c r="X815">
        <f t="shared" si="36"/>
        <v>1</v>
      </c>
      <c r="Y815">
        <f t="shared" si="37"/>
        <v>1</v>
      </c>
      <c r="Z815">
        <f t="shared" si="38"/>
        <v>1</v>
      </c>
    </row>
    <row r="816" spans="1:26" ht="15.75" customHeight="1" x14ac:dyDescent="0.2">
      <c r="A816" s="2" t="s">
        <v>23</v>
      </c>
      <c r="B816" s="2" t="s">
        <v>24</v>
      </c>
      <c r="C816" s="2" t="s">
        <v>27</v>
      </c>
      <c r="D816" s="2" t="s">
        <v>27</v>
      </c>
      <c r="E816" s="2">
        <v>84</v>
      </c>
      <c r="F816" s="2">
        <v>143</v>
      </c>
      <c r="G816" s="2">
        <v>419.33333329999999</v>
      </c>
      <c r="H816" s="2">
        <v>1782.666667</v>
      </c>
      <c r="I816" s="2">
        <v>2492.666667</v>
      </c>
      <c r="J816" s="2">
        <v>1.29</v>
      </c>
      <c r="K816" s="2">
        <v>4.1900000000000004</v>
      </c>
      <c r="L816" s="2">
        <v>12.24</v>
      </c>
      <c r="M816" s="2">
        <v>14.48</v>
      </c>
      <c r="N816" s="2">
        <v>0.31728705499999998</v>
      </c>
      <c r="O816" s="2">
        <v>0.447159207</v>
      </c>
      <c r="P816" s="2">
        <v>1.120549029</v>
      </c>
      <c r="Q816" s="2">
        <v>1.133770505</v>
      </c>
      <c r="R816" s="2">
        <v>2.6446264000000001E-2</v>
      </c>
      <c r="S816" s="2">
        <v>1.2338396E-2</v>
      </c>
      <c r="T816" s="2">
        <v>1.1202369050000001</v>
      </c>
      <c r="U816" s="2">
        <v>1.133703366</v>
      </c>
      <c r="V816" s="2">
        <v>0.82717891700000001</v>
      </c>
      <c r="W816" s="2">
        <v>0.159695268</v>
      </c>
      <c r="X816">
        <f t="shared" si="36"/>
        <v>1</v>
      </c>
      <c r="Y816">
        <f t="shared" si="37"/>
        <v>1</v>
      </c>
      <c r="Z816">
        <f t="shared" si="38"/>
        <v>0</v>
      </c>
    </row>
    <row r="817" spans="1:26" ht="15.75" customHeight="1" x14ac:dyDescent="0.2">
      <c r="A817" s="2" t="s">
        <v>23</v>
      </c>
      <c r="B817" s="2" t="s">
        <v>24</v>
      </c>
      <c r="C817" s="2" t="s">
        <v>26</v>
      </c>
      <c r="D817" s="2" t="s">
        <v>26</v>
      </c>
      <c r="E817" s="2">
        <v>105</v>
      </c>
      <c r="F817" s="2">
        <v>148.66666670000001</v>
      </c>
      <c r="G817" s="2">
        <v>407.33333329999999</v>
      </c>
      <c r="H817" s="2">
        <v>1194</v>
      </c>
      <c r="I817" s="2">
        <v>2518</v>
      </c>
      <c r="J817" s="2">
        <v>1.36</v>
      </c>
      <c r="K817" s="2">
        <v>4.08</v>
      </c>
      <c r="L817" s="2">
        <v>9.6199999999999992</v>
      </c>
      <c r="M817" s="2">
        <v>14.55</v>
      </c>
      <c r="N817" s="2">
        <v>0.56250643700000003</v>
      </c>
      <c r="O817" s="2">
        <v>0.72142149600000005</v>
      </c>
      <c r="P817" s="2">
        <v>1.50266944</v>
      </c>
      <c r="Q817" s="2">
        <v>1.4901015500000001</v>
      </c>
      <c r="R817" s="2">
        <v>8.5502533000000006E-2</v>
      </c>
      <c r="S817" s="2">
        <v>9.9610400000000002E-2</v>
      </c>
      <c r="T817" s="2">
        <v>1.500234903</v>
      </c>
      <c r="U817" s="2">
        <v>1.4867684409999999</v>
      </c>
      <c r="V817" s="2">
        <v>0.71523012100000005</v>
      </c>
      <c r="W817" s="2">
        <v>0.15702463799999999</v>
      </c>
      <c r="X817">
        <f t="shared" si="36"/>
        <v>1</v>
      </c>
      <c r="Y817">
        <f t="shared" si="37"/>
        <v>1</v>
      </c>
      <c r="Z817">
        <f t="shared" si="38"/>
        <v>0</v>
      </c>
    </row>
    <row r="818" spans="1:26" ht="15.75" customHeight="1" x14ac:dyDescent="0.2">
      <c r="A818" s="2" t="s">
        <v>23</v>
      </c>
      <c r="B818" s="2" t="s">
        <v>24</v>
      </c>
      <c r="C818" s="2" t="s">
        <v>27</v>
      </c>
      <c r="D818" s="2" t="s">
        <v>27</v>
      </c>
      <c r="E818" s="2">
        <v>101</v>
      </c>
      <c r="F818" s="2">
        <v>151.66666670000001</v>
      </c>
      <c r="G818" s="2">
        <v>388.66666670000001</v>
      </c>
      <c r="H818" s="2">
        <v>1954.333333</v>
      </c>
      <c r="I818" s="2">
        <v>2605</v>
      </c>
      <c r="J818" s="2">
        <v>1.4</v>
      </c>
      <c r="K818" s="2">
        <v>3.91</v>
      </c>
      <c r="L818" s="2">
        <v>12.86</v>
      </c>
      <c r="M818" s="2">
        <v>14.77</v>
      </c>
      <c r="N818" s="2">
        <v>0.36328586800000001</v>
      </c>
      <c r="O818" s="2">
        <v>0.23279970699999999</v>
      </c>
      <c r="P818" s="2">
        <v>1.755628038</v>
      </c>
      <c r="Q818" s="2">
        <v>1.7710887749999999</v>
      </c>
      <c r="R818" s="2">
        <v>0.26191889400000001</v>
      </c>
      <c r="S818" s="2">
        <v>0.27602676199999998</v>
      </c>
      <c r="T818" s="2">
        <v>1.735980501</v>
      </c>
      <c r="U818" s="2">
        <v>1.749446963</v>
      </c>
      <c r="V818" s="2">
        <v>0.53881376000000003</v>
      </c>
      <c r="W818" s="2">
        <v>0.153958708</v>
      </c>
      <c r="X818">
        <f t="shared" si="36"/>
        <v>1</v>
      </c>
      <c r="Y818">
        <f t="shared" si="37"/>
        <v>1</v>
      </c>
      <c r="Z818">
        <f t="shared" si="38"/>
        <v>0</v>
      </c>
    </row>
    <row r="819" spans="1:26" ht="15.75" customHeight="1" x14ac:dyDescent="0.2">
      <c r="A819" s="2" t="s">
        <v>23</v>
      </c>
      <c r="B819" s="2" t="s">
        <v>24</v>
      </c>
      <c r="C819" s="2" t="s">
        <v>30</v>
      </c>
      <c r="D819" s="2" t="s">
        <v>31</v>
      </c>
      <c r="E819" s="2">
        <v>113</v>
      </c>
      <c r="F819" s="2">
        <v>138</v>
      </c>
      <c r="G819" s="2">
        <v>549.33333330000005</v>
      </c>
      <c r="H819" s="2">
        <v>1339.666667</v>
      </c>
      <c r="I819" s="2">
        <v>2760.333333</v>
      </c>
      <c r="J819" s="2">
        <v>1.23</v>
      </c>
      <c r="K819" s="2">
        <v>5.34</v>
      </c>
      <c r="L819" s="2">
        <v>10.35</v>
      </c>
      <c r="M819" s="2">
        <v>15.15</v>
      </c>
      <c r="N819" s="2">
        <v>2.5218156980000002</v>
      </c>
      <c r="O819" s="2">
        <v>2.6503385970000002</v>
      </c>
      <c r="P819" s="2">
        <v>1.3982547460000001</v>
      </c>
      <c r="Q819" s="2">
        <v>1.379083353</v>
      </c>
      <c r="R819" s="2">
        <v>1.170595284</v>
      </c>
      <c r="S819" s="2">
        <v>1.156487416</v>
      </c>
      <c r="T819" s="2">
        <v>0.76473721900000002</v>
      </c>
      <c r="U819" s="2">
        <v>0.75127075799999998</v>
      </c>
      <c r="V819" s="2">
        <v>1.9713279379999999</v>
      </c>
      <c r="W819" s="2">
        <v>8.7247660000000005E-2</v>
      </c>
      <c r="X819">
        <f t="shared" si="36"/>
        <v>1</v>
      </c>
      <c r="Y819">
        <f t="shared" si="37"/>
        <v>1</v>
      </c>
      <c r="Z819">
        <f t="shared" si="38"/>
        <v>1</v>
      </c>
    </row>
    <row r="820" spans="1:26" ht="15.75" customHeight="1" x14ac:dyDescent="0.2">
      <c r="A820" s="2" t="s">
        <v>23</v>
      </c>
      <c r="B820" s="2" t="s">
        <v>24</v>
      </c>
      <c r="C820" s="2" t="s">
        <v>27</v>
      </c>
      <c r="D820" s="2" t="s">
        <v>27</v>
      </c>
      <c r="E820" s="2">
        <v>129</v>
      </c>
      <c r="F820" s="2">
        <v>145</v>
      </c>
      <c r="G820" s="2">
        <v>428</v>
      </c>
      <c r="H820" s="2">
        <v>1881</v>
      </c>
      <c r="I820" s="2">
        <v>2462.666667</v>
      </c>
      <c r="J820" s="2">
        <v>1.32</v>
      </c>
      <c r="K820" s="2">
        <v>4.28</v>
      </c>
      <c r="L820" s="2">
        <v>12.6</v>
      </c>
      <c r="M820" s="2">
        <v>14.4</v>
      </c>
      <c r="N820" s="2">
        <v>0.24121336299999999</v>
      </c>
      <c r="O820" s="2">
        <v>0.27635506599999998</v>
      </c>
      <c r="P820" s="2">
        <v>1.483513176</v>
      </c>
      <c r="Q820" s="2">
        <v>1.4960066949999999</v>
      </c>
      <c r="R820" s="2">
        <v>0.106598449</v>
      </c>
      <c r="S820" s="2">
        <v>9.2490581000000002E-2</v>
      </c>
      <c r="T820" s="2">
        <v>1.4796783819999999</v>
      </c>
      <c r="U820" s="2">
        <v>1.4931448430000001</v>
      </c>
      <c r="V820" s="2">
        <v>0.90733110299999997</v>
      </c>
      <c r="W820" s="2">
        <v>0.14679073300000001</v>
      </c>
      <c r="X820">
        <f t="shared" si="36"/>
        <v>1</v>
      </c>
      <c r="Y820">
        <f t="shared" si="37"/>
        <v>1</v>
      </c>
      <c r="Z820">
        <f t="shared" si="38"/>
        <v>0</v>
      </c>
    </row>
    <row r="821" spans="1:26" ht="15.75" customHeight="1" x14ac:dyDescent="0.2">
      <c r="A821" s="2" t="s">
        <v>23</v>
      </c>
      <c r="B821" s="2" t="s">
        <v>24</v>
      </c>
      <c r="C821" s="2" t="s">
        <v>26</v>
      </c>
      <c r="D821" s="2" t="s">
        <v>26</v>
      </c>
      <c r="E821" s="2">
        <v>80</v>
      </c>
      <c r="F821" s="2">
        <v>140.33333329999999</v>
      </c>
      <c r="G821" s="2">
        <v>402</v>
      </c>
      <c r="H821" s="2">
        <v>1308</v>
      </c>
      <c r="I821" s="2">
        <v>2634.666667</v>
      </c>
      <c r="J821" s="2">
        <v>1.26</v>
      </c>
      <c r="K821" s="2">
        <v>4.03</v>
      </c>
      <c r="L821" s="2">
        <v>10.199999999999999</v>
      </c>
      <c r="M821" s="2">
        <v>14.84</v>
      </c>
      <c r="N821" s="2">
        <v>1.1406813659999999</v>
      </c>
      <c r="O821" s="2">
        <v>1.3008019280000001</v>
      </c>
      <c r="P821" s="2">
        <v>0.92900334299999998</v>
      </c>
      <c r="Q821" s="2">
        <v>0.91787884099999995</v>
      </c>
      <c r="R821" s="2">
        <v>0.135622676</v>
      </c>
      <c r="S821" s="2">
        <v>0.14973054399999999</v>
      </c>
      <c r="T821" s="2">
        <v>0.91905043399999997</v>
      </c>
      <c r="U821" s="2">
        <v>0.90558397199999996</v>
      </c>
      <c r="V821" s="2">
        <v>0.66510997699999996</v>
      </c>
      <c r="W821" s="2">
        <v>0.18156155700000001</v>
      </c>
      <c r="X821">
        <f t="shared" si="36"/>
        <v>1</v>
      </c>
      <c r="Y821">
        <f t="shared" si="37"/>
        <v>1</v>
      </c>
      <c r="Z821">
        <f t="shared" si="38"/>
        <v>0</v>
      </c>
    </row>
    <row r="822" spans="1:26" ht="15.75" customHeight="1" x14ac:dyDescent="0.2">
      <c r="A822" s="2" t="s">
        <v>23</v>
      </c>
      <c r="B822" s="2" t="s">
        <v>24</v>
      </c>
      <c r="C822" s="2" t="s">
        <v>30</v>
      </c>
      <c r="D822" s="2" t="s">
        <v>31</v>
      </c>
      <c r="E822" s="2">
        <v>139</v>
      </c>
      <c r="F822" s="2">
        <v>143.33333329999999</v>
      </c>
      <c r="G822" s="2">
        <v>596</v>
      </c>
      <c r="H822" s="2">
        <v>1548.333333</v>
      </c>
      <c r="I822" s="2">
        <v>2584</v>
      </c>
      <c r="J822" s="2">
        <v>1.3</v>
      </c>
      <c r="K822" s="2">
        <v>5.72</v>
      </c>
      <c r="L822" s="2">
        <v>11.3</v>
      </c>
      <c r="M822" s="2">
        <v>14.72</v>
      </c>
      <c r="N822" s="2">
        <v>2.070795961</v>
      </c>
      <c r="O822" s="2">
        <v>2.1805000040000002</v>
      </c>
      <c r="P822" s="2">
        <v>1.563608012</v>
      </c>
      <c r="Q822" s="2">
        <v>1.551240561</v>
      </c>
      <c r="R822" s="2">
        <v>1.552927119</v>
      </c>
      <c r="S822" s="2">
        <v>1.5388192510000001</v>
      </c>
      <c r="T822" s="2">
        <v>0.18244828799999999</v>
      </c>
      <c r="U822" s="2">
        <v>0.19591475</v>
      </c>
      <c r="V822" s="2">
        <v>2.353659773</v>
      </c>
      <c r="W822" s="2">
        <v>0.152359361</v>
      </c>
      <c r="X822">
        <f t="shared" si="36"/>
        <v>1</v>
      </c>
      <c r="Y822">
        <f t="shared" si="37"/>
        <v>1</v>
      </c>
      <c r="Z822">
        <f t="shared" si="38"/>
        <v>1</v>
      </c>
    </row>
    <row r="823" spans="1:26" ht="15.75" customHeight="1" x14ac:dyDescent="0.2">
      <c r="A823" s="2" t="s">
        <v>23</v>
      </c>
      <c r="B823" s="2" t="s">
        <v>24</v>
      </c>
      <c r="C823" s="2" t="s">
        <v>32</v>
      </c>
      <c r="D823" s="2" t="s">
        <v>33</v>
      </c>
      <c r="E823" s="2">
        <v>110</v>
      </c>
      <c r="F823" s="2">
        <v>138</v>
      </c>
      <c r="G823" s="2">
        <v>748.66666669999995</v>
      </c>
      <c r="H823" s="2">
        <v>928.66666669999995</v>
      </c>
      <c r="I823" s="2">
        <v>2613</v>
      </c>
      <c r="J823" s="2">
        <v>1.23</v>
      </c>
      <c r="K823" s="2">
        <v>6.88</v>
      </c>
      <c r="L823" s="2">
        <v>8.09</v>
      </c>
      <c r="M823" s="2">
        <v>14.79</v>
      </c>
      <c r="N823" s="2">
        <v>3.5758814029999999</v>
      </c>
      <c r="O823" s="2">
        <v>3.5310972189999998</v>
      </c>
      <c r="P823" s="2">
        <v>4.0666197100000003</v>
      </c>
      <c r="Q823" s="2">
        <v>4.0471771570000001</v>
      </c>
      <c r="R823" s="2">
        <v>2.7116529699999998</v>
      </c>
      <c r="S823" s="2">
        <v>2.6975451019999999</v>
      </c>
      <c r="T823" s="2">
        <v>3.0305666200000001</v>
      </c>
      <c r="U823" s="2">
        <v>3.0171001579999999</v>
      </c>
      <c r="V823" s="2">
        <v>3.5123856230000001</v>
      </c>
      <c r="W823" s="2">
        <v>0.165007287</v>
      </c>
      <c r="X823">
        <f t="shared" si="36"/>
        <v>1</v>
      </c>
      <c r="Y823">
        <f t="shared" si="37"/>
        <v>1</v>
      </c>
      <c r="Z823">
        <f t="shared" si="38"/>
        <v>1</v>
      </c>
    </row>
    <row r="824" spans="1:26" ht="15.75" customHeight="1" x14ac:dyDescent="0.2">
      <c r="A824" s="2" t="s">
        <v>23</v>
      </c>
      <c r="B824" s="2" t="s">
        <v>24</v>
      </c>
      <c r="C824" s="2" t="s">
        <v>28</v>
      </c>
      <c r="D824" s="2" t="s">
        <v>29</v>
      </c>
      <c r="E824" s="2">
        <v>119</v>
      </c>
      <c r="F824" s="2">
        <v>137</v>
      </c>
      <c r="G824" s="2">
        <v>601.66666669999995</v>
      </c>
      <c r="H824" s="2">
        <v>1178.333333</v>
      </c>
      <c r="I824" s="2">
        <v>2619.666667</v>
      </c>
      <c r="J824" s="2">
        <v>1.22</v>
      </c>
      <c r="K824" s="2">
        <v>5.77</v>
      </c>
      <c r="L824" s="2">
        <v>9.5399999999999991</v>
      </c>
      <c r="M824" s="2">
        <v>14.81</v>
      </c>
      <c r="N824" s="2">
        <v>1.806235217</v>
      </c>
      <c r="O824" s="2">
        <v>1.8479548539999999</v>
      </c>
      <c r="P824" s="2">
        <v>2.2499044000000001</v>
      </c>
      <c r="Q824" s="2">
        <v>2.2304045129999999</v>
      </c>
      <c r="R824" s="2">
        <v>1.598404672</v>
      </c>
      <c r="S824" s="2">
        <v>1.5842968040000001</v>
      </c>
      <c r="T824" s="2">
        <v>1.583405291</v>
      </c>
      <c r="U824" s="2">
        <v>1.569938829</v>
      </c>
      <c r="V824" s="2">
        <v>2.3991373249999999</v>
      </c>
      <c r="W824" s="2">
        <v>9.7245432000000007E-2</v>
      </c>
      <c r="X824">
        <f t="shared" si="36"/>
        <v>1</v>
      </c>
      <c r="Y824">
        <f t="shared" si="37"/>
        <v>1</v>
      </c>
      <c r="Z824">
        <f t="shared" si="38"/>
        <v>1</v>
      </c>
    </row>
    <row r="825" spans="1:26" ht="15.75" customHeight="1" x14ac:dyDescent="0.2">
      <c r="A825" s="2" t="s">
        <v>23</v>
      </c>
      <c r="B825" s="2" t="s">
        <v>24</v>
      </c>
      <c r="C825" s="2" t="s">
        <v>34</v>
      </c>
      <c r="D825" s="2" t="s">
        <v>29</v>
      </c>
      <c r="E825" s="2">
        <v>91</v>
      </c>
      <c r="F825" s="2">
        <v>158</v>
      </c>
      <c r="G825" s="2">
        <v>536.66666669999995</v>
      </c>
      <c r="H825" s="2">
        <v>1063.333333</v>
      </c>
      <c r="I825" s="2">
        <v>2945</v>
      </c>
      <c r="J825" s="2">
        <v>1.47</v>
      </c>
      <c r="K825" s="2">
        <v>5.23</v>
      </c>
      <c r="L825" s="2">
        <v>8.9</v>
      </c>
      <c r="M825" s="2">
        <v>15.57</v>
      </c>
      <c r="N825" s="2">
        <v>1.2188798219999999</v>
      </c>
      <c r="O825" s="2">
        <v>1.2008471300000001</v>
      </c>
      <c r="P825" s="2">
        <v>2.4622280220000001</v>
      </c>
      <c r="Q825" s="2">
        <v>2.4439960329999999</v>
      </c>
      <c r="R825" s="2">
        <v>1.064353267</v>
      </c>
      <c r="S825" s="2">
        <v>1.050245399</v>
      </c>
      <c r="T825" s="2">
        <v>2.2202970419999999</v>
      </c>
      <c r="U825" s="2">
        <v>2.2068305800000001</v>
      </c>
      <c r="V825" s="2">
        <v>1.8650859200000001</v>
      </c>
      <c r="W825" s="2">
        <v>0.182144792</v>
      </c>
      <c r="X825">
        <f t="shared" si="36"/>
        <v>1</v>
      </c>
      <c r="Y825">
        <f t="shared" si="37"/>
        <v>1</v>
      </c>
      <c r="Z825">
        <f t="shared" si="38"/>
        <v>1</v>
      </c>
    </row>
    <row r="826" spans="1:26" ht="15.75" customHeight="1" x14ac:dyDescent="0.2">
      <c r="A826" s="2" t="s">
        <v>23</v>
      </c>
      <c r="B826" s="2" t="s">
        <v>24</v>
      </c>
      <c r="C826" s="2" t="s">
        <v>26</v>
      </c>
      <c r="D826" s="2" t="s">
        <v>26</v>
      </c>
      <c r="E826" s="2">
        <v>120</v>
      </c>
      <c r="F826" s="2">
        <v>144.33333329999999</v>
      </c>
      <c r="G826" s="2">
        <v>392.33333329999999</v>
      </c>
      <c r="H826" s="2">
        <v>1014</v>
      </c>
      <c r="I826" s="2">
        <v>2618.666667</v>
      </c>
      <c r="J826" s="2">
        <v>1.31</v>
      </c>
      <c r="K826" s="2">
        <v>3.94</v>
      </c>
      <c r="L826" s="2">
        <v>8.61</v>
      </c>
      <c r="M826" s="2">
        <v>14.8</v>
      </c>
      <c r="N826" s="2">
        <v>0.456544485</v>
      </c>
      <c r="O826" s="2">
        <v>0.30262427400000003</v>
      </c>
      <c r="P826" s="2">
        <v>2.5188649660000002</v>
      </c>
      <c r="Q826" s="2">
        <v>2.5067714470000002</v>
      </c>
      <c r="R826" s="2">
        <v>0.22704470900000001</v>
      </c>
      <c r="S826" s="2">
        <v>0.24115257600000001</v>
      </c>
      <c r="T826" s="2">
        <v>2.5086114519999998</v>
      </c>
      <c r="U826" s="2">
        <v>2.49514499</v>
      </c>
      <c r="V826" s="2">
        <v>0.57368794499999998</v>
      </c>
      <c r="W826" s="2">
        <v>0.15035578299999999</v>
      </c>
      <c r="X826">
        <f t="shared" si="36"/>
        <v>1</v>
      </c>
      <c r="Y826">
        <f t="shared" si="37"/>
        <v>1</v>
      </c>
      <c r="Z826">
        <f t="shared" si="38"/>
        <v>0</v>
      </c>
    </row>
    <row r="827" spans="1:26" ht="15.75" customHeight="1" x14ac:dyDescent="0.2">
      <c r="A827" s="2" t="s">
        <v>23</v>
      </c>
      <c r="B827" s="2" t="s">
        <v>24</v>
      </c>
      <c r="C827" s="2" t="s">
        <v>25</v>
      </c>
      <c r="D827" s="2" t="s">
        <v>25</v>
      </c>
      <c r="E827" s="2">
        <v>100</v>
      </c>
      <c r="F827" s="2">
        <v>142</v>
      </c>
      <c r="G827" s="2">
        <v>497</v>
      </c>
      <c r="H827" s="2">
        <v>1642.666667</v>
      </c>
      <c r="I827" s="2">
        <v>2697.666667</v>
      </c>
      <c r="J827" s="2">
        <v>1.28</v>
      </c>
      <c r="K827" s="2">
        <v>4.8899999999999997</v>
      </c>
      <c r="L827" s="2">
        <v>11.69</v>
      </c>
      <c r="M827" s="2">
        <v>15</v>
      </c>
      <c r="N827" s="2">
        <v>0.63242896000000004</v>
      </c>
      <c r="O827" s="2">
        <v>0.76028248799999998</v>
      </c>
      <c r="P827" s="2">
        <v>0.92476753700000003</v>
      </c>
      <c r="Q827" s="2">
        <v>0.92228409200000006</v>
      </c>
      <c r="R827" s="2">
        <v>0.72456148399999998</v>
      </c>
      <c r="S827" s="2">
        <v>0.71045361600000001</v>
      </c>
      <c r="T827" s="2">
        <v>0.57463523500000002</v>
      </c>
      <c r="U827" s="2">
        <v>0.58810169700000003</v>
      </c>
      <c r="V827" s="2">
        <v>1.5252941369999999</v>
      </c>
      <c r="W827" s="2">
        <v>0.14382146000000001</v>
      </c>
      <c r="X827">
        <f t="shared" si="36"/>
        <v>1</v>
      </c>
      <c r="Y827">
        <f t="shared" si="37"/>
        <v>1</v>
      </c>
      <c r="Z827">
        <f t="shared" si="38"/>
        <v>0</v>
      </c>
    </row>
    <row r="828" spans="1:26" ht="15.75" customHeight="1" x14ac:dyDescent="0.2">
      <c r="A828" s="2" t="s">
        <v>23</v>
      </c>
      <c r="B828" s="2" t="s">
        <v>24</v>
      </c>
      <c r="C828" s="2" t="s">
        <v>30</v>
      </c>
      <c r="D828" s="2" t="s">
        <v>31</v>
      </c>
      <c r="E828" s="2">
        <v>110</v>
      </c>
      <c r="F828" s="2">
        <v>140.33333329999999</v>
      </c>
      <c r="G828" s="2">
        <v>523.66666669999995</v>
      </c>
      <c r="H828" s="2">
        <v>1520</v>
      </c>
      <c r="I828" s="2">
        <v>2539.666667</v>
      </c>
      <c r="J828" s="2">
        <v>1.26</v>
      </c>
      <c r="K828" s="2">
        <v>5.12</v>
      </c>
      <c r="L828" s="2">
        <v>11.18</v>
      </c>
      <c r="M828" s="2">
        <v>14.6</v>
      </c>
      <c r="N828" s="2">
        <v>1.7186512199999999</v>
      </c>
      <c r="O828" s="2">
        <v>1.842943274</v>
      </c>
      <c r="P828" s="2">
        <v>0.95610474999999995</v>
      </c>
      <c r="Q828" s="2">
        <v>0.94298622399999998</v>
      </c>
      <c r="R828" s="2">
        <v>0.95418859</v>
      </c>
      <c r="S828" s="2">
        <v>0.94008072200000004</v>
      </c>
      <c r="T828" s="2">
        <v>6.0501473E-2</v>
      </c>
      <c r="U828" s="2">
        <v>7.3967934999999999E-2</v>
      </c>
      <c r="V828" s="2">
        <v>1.7549212430000001</v>
      </c>
      <c r="W828" s="2">
        <v>0.16841440999999999</v>
      </c>
      <c r="X828">
        <f t="shared" si="36"/>
        <v>1</v>
      </c>
      <c r="Y828">
        <f t="shared" si="37"/>
        <v>1</v>
      </c>
      <c r="Z828">
        <f t="shared" si="38"/>
        <v>1</v>
      </c>
    </row>
    <row r="829" spans="1:26" ht="15.75" customHeight="1" x14ac:dyDescent="0.2">
      <c r="A829" s="2" t="s">
        <v>23</v>
      </c>
      <c r="B829" s="2" t="s">
        <v>24</v>
      </c>
      <c r="C829" s="2" t="s">
        <v>28</v>
      </c>
      <c r="D829" s="2" t="s">
        <v>29</v>
      </c>
      <c r="E829" s="2">
        <v>108</v>
      </c>
      <c r="F829" s="2">
        <v>157</v>
      </c>
      <c r="G829" s="2">
        <v>486</v>
      </c>
      <c r="H829" s="2">
        <v>986.33333330000005</v>
      </c>
      <c r="I829" s="2">
        <v>2945</v>
      </c>
      <c r="J829" s="2">
        <v>1.46</v>
      </c>
      <c r="K829" s="2">
        <v>4.8</v>
      </c>
      <c r="L829" s="2">
        <v>8.4499999999999993</v>
      </c>
      <c r="M829" s="2">
        <v>15.57</v>
      </c>
      <c r="N829" s="2">
        <v>0.98713207000000003</v>
      </c>
      <c r="O829" s="2">
        <v>0.889811028</v>
      </c>
      <c r="P829" s="2">
        <v>2.7473546849999999</v>
      </c>
      <c r="Q829" s="2">
        <v>2.7310391919999999</v>
      </c>
      <c r="R829" s="2">
        <v>0.62838166299999998</v>
      </c>
      <c r="S829" s="2">
        <v>0.61427379599999998</v>
      </c>
      <c r="T829" s="2">
        <v>2.674526921</v>
      </c>
      <c r="U829" s="2">
        <v>2.6610604599999998</v>
      </c>
      <c r="V829" s="2">
        <v>1.429114317</v>
      </c>
      <c r="W829" s="2">
        <v>0.128983761</v>
      </c>
      <c r="X829">
        <f t="shared" si="36"/>
        <v>1</v>
      </c>
      <c r="Y829">
        <f t="shared" si="37"/>
        <v>1</v>
      </c>
      <c r="Z829">
        <f t="shared" si="38"/>
        <v>1</v>
      </c>
    </row>
    <row r="830" spans="1:26" ht="15.75" customHeight="1" x14ac:dyDescent="0.2">
      <c r="A830" s="2" t="s">
        <v>23</v>
      </c>
      <c r="B830" s="2" t="s">
        <v>24</v>
      </c>
      <c r="C830" s="2" t="s">
        <v>28</v>
      </c>
      <c r="D830" s="2" t="s">
        <v>29</v>
      </c>
      <c r="E830" s="2">
        <v>83</v>
      </c>
      <c r="F830" s="2">
        <v>153</v>
      </c>
      <c r="G830" s="2">
        <v>553.33333330000005</v>
      </c>
      <c r="H830" s="2">
        <v>1006.333333</v>
      </c>
      <c r="I830" s="2">
        <v>2875</v>
      </c>
      <c r="J830" s="2">
        <v>1.41</v>
      </c>
      <c r="K830" s="2">
        <v>5.37</v>
      </c>
      <c r="L830" s="2">
        <v>8.57</v>
      </c>
      <c r="M830" s="2">
        <v>15.41</v>
      </c>
      <c r="N830" s="2">
        <v>1.4356997119999999</v>
      </c>
      <c r="O830" s="2">
        <v>1.3815055709999999</v>
      </c>
      <c r="P830" s="2">
        <v>2.8237858770000002</v>
      </c>
      <c r="Q830" s="2">
        <v>2.805598566</v>
      </c>
      <c r="R830" s="2">
        <v>1.2039229140000001</v>
      </c>
      <c r="S830" s="2">
        <v>1.1898150460000001</v>
      </c>
      <c r="T830" s="2">
        <v>2.5542780380000001</v>
      </c>
      <c r="U830" s="2">
        <v>2.5408115769999999</v>
      </c>
      <c r="V830" s="2">
        <v>2.004655568</v>
      </c>
      <c r="W830" s="2">
        <v>0.100993108</v>
      </c>
      <c r="X830">
        <f t="shared" si="36"/>
        <v>1</v>
      </c>
      <c r="Y830">
        <f t="shared" si="37"/>
        <v>1</v>
      </c>
      <c r="Z830">
        <f t="shared" si="38"/>
        <v>1</v>
      </c>
    </row>
    <row r="831" spans="1:26" ht="15.75" customHeight="1" x14ac:dyDescent="0.2">
      <c r="A831" s="2" t="s">
        <v>23</v>
      </c>
      <c r="B831" s="2" t="s">
        <v>24</v>
      </c>
      <c r="C831" s="2" t="s">
        <v>32</v>
      </c>
      <c r="D831" s="2" t="s">
        <v>33</v>
      </c>
      <c r="E831" s="2">
        <v>110</v>
      </c>
      <c r="F831" s="2">
        <v>142.33333329999999</v>
      </c>
      <c r="G831" s="2">
        <v>746.66666669999995</v>
      </c>
      <c r="H831" s="2">
        <v>1118</v>
      </c>
      <c r="I831" s="2">
        <v>2935.666667</v>
      </c>
      <c r="J831" s="2">
        <v>1.29</v>
      </c>
      <c r="K831" s="2">
        <v>6.87</v>
      </c>
      <c r="L831" s="2">
        <v>9.2100000000000009</v>
      </c>
      <c r="M831" s="2">
        <v>15.55</v>
      </c>
      <c r="N831" s="2">
        <v>2.58547956</v>
      </c>
      <c r="O831" s="2">
        <v>2.5168864860000002</v>
      </c>
      <c r="P831" s="2">
        <v>3.3060204670000002</v>
      </c>
      <c r="Q831" s="2">
        <v>3.2867247669999999</v>
      </c>
      <c r="R831" s="2">
        <v>2.6973181400000001</v>
      </c>
      <c r="S831" s="2">
        <v>2.6832102720000002</v>
      </c>
      <c r="T831" s="2">
        <v>1.911608271</v>
      </c>
      <c r="U831" s="2">
        <v>1.89814181</v>
      </c>
      <c r="V831" s="2">
        <v>3.498050793</v>
      </c>
      <c r="W831" s="2">
        <v>0.12500571799999999</v>
      </c>
      <c r="X831">
        <f t="shared" si="36"/>
        <v>1</v>
      </c>
      <c r="Y831">
        <f t="shared" si="37"/>
        <v>1</v>
      </c>
      <c r="Z831">
        <f t="shared" si="38"/>
        <v>1</v>
      </c>
    </row>
    <row r="832" spans="1:26" ht="15.75" customHeight="1" x14ac:dyDescent="0.2">
      <c r="A832" s="2" t="s">
        <v>23</v>
      </c>
      <c r="B832" s="2" t="s">
        <v>24</v>
      </c>
      <c r="C832" s="2" t="s">
        <v>25</v>
      </c>
      <c r="D832" s="2" t="s">
        <v>25</v>
      </c>
      <c r="E832" s="2">
        <v>84</v>
      </c>
      <c r="F832" s="2">
        <v>139.66666670000001</v>
      </c>
      <c r="G832" s="2">
        <v>535.33333330000005</v>
      </c>
      <c r="H832" s="2">
        <v>1547.333333</v>
      </c>
      <c r="I832" s="2">
        <v>2707.333333</v>
      </c>
      <c r="J832" s="2">
        <v>1.25</v>
      </c>
      <c r="K832" s="2">
        <v>5.22</v>
      </c>
      <c r="L832" s="2">
        <v>11.3</v>
      </c>
      <c r="M832" s="2">
        <v>15.02</v>
      </c>
      <c r="N832" s="2">
        <v>0.21456605300000001</v>
      </c>
      <c r="O832" s="2">
        <v>0.36822691800000001</v>
      </c>
      <c r="P832" s="2">
        <v>1.068073973</v>
      </c>
      <c r="Q832" s="2">
        <v>1.0565259330000001</v>
      </c>
      <c r="R832" s="2">
        <v>1.053107153</v>
      </c>
      <c r="S832" s="2">
        <v>1.0389992850000001</v>
      </c>
      <c r="T832" s="2">
        <v>0.17817782500000001</v>
      </c>
      <c r="U832" s="2">
        <v>0.191644287</v>
      </c>
      <c r="V832" s="2">
        <v>1.8538398060000001</v>
      </c>
      <c r="W832" s="2">
        <v>0.125189671</v>
      </c>
      <c r="X832">
        <f t="shared" si="36"/>
        <v>1</v>
      </c>
      <c r="Y832">
        <f t="shared" si="37"/>
        <v>1</v>
      </c>
      <c r="Z832">
        <f t="shared" si="38"/>
        <v>0</v>
      </c>
    </row>
    <row r="833" spans="1:26" ht="15.75" customHeight="1" x14ac:dyDescent="0.2">
      <c r="A833" s="2" t="s">
        <v>23</v>
      </c>
      <c r="B833" s="2" t="s">
        <v>24</v>
      </c>
      <c r="C833" s="2" t="s">
        <v>27</v>
      </c>
      <c r="D833" s="2" t="s">
        <v>27</v>
      </c>
      <c r="E833" s="2">
        <v>100</v>
      </c>
      <c r="F833" s="2">
        <v>136.33333329999999</v>
      </c>
      <c r="G833" s="2">
        <v>407.33333329999999</v>
      </c>
      <c r="H833" s="2">
        <v>1829.333333</v>
      </c>
      <c r="I833" s="2">
        <v>2617</v>
      </c>
      <c r="J833" s="2">
        <v>1.21</v>
      </c>
      <c r="K833" s="2">
        <v>4.08</v>
      </c>
      <c r="L833" s="2">
        <v>12.41</v>
      </c>
      <c r="M833" s="2">
        <v>14.8</v>
      </c>
      <c r="N833" s="2">
        <v>0.113643882</v>
      </c>
      <c r="O833" s="2">
        <v>0.244333247</v>
      </c>
      <c r="P833" s="2">
        <v>1.295968775</v>
      </c>
      <c r="Q833" s="2">
        <v>1.3104030440000001</v>
      </c>
      <c r="R833" s="2">
        <v>8.5502533000000006E-2</v>
      </c>
      <c r="S833" s="2">
        <v>9.9610400000000002E-2</v>
      </c>
      <c r="T833" s="2">
        <v>1.293145151</v>
      </c>
      <c r="U833" s="2">
        <v>1.3066116130000001</v>
      </c>
      <c r="V833" s="2">
        <v>0.71523012100000005</v>
      </c>
      <c r="W833" s="2">
        <v>0.12652277200000001</v>
      </c>
      <c r="X833">
        <f t="shared" si="36"/>
        <v>1</v>
      </c>
      <c r="Y833">
        <f t="shared" si="37"/>
        <v>1</v>
      </c>
      <c r="Z833">
        <f t="shared" si="38"/>
        <v>0</v>
      </c>
    </row>
    <row r="834" spans="1:26" ht="15.75" customHeight="1" x14ac:dyDescent="0.2">
      <c r="A834" s="2" t="s">
        <v>23</v>
      </c>
      <c r="B834" s="2" t="s">
        <v>24</v>
      </c>
      <c r="C834" s="2" t="s">
        <v>32</v>
      </c>
      <c r="D834" s="2" t="s">
        <v>33</v>
      </c>
      <c r="E834" s="2">
        <v>104</v>
      </c>
      <c r="F834" s="2">
        <v>156.33333329999999</v>
      </c>
      <c r="G834" s="2">
        <v>607.66666669999995</v>
      </c>
      <c r="H834" s="2">
        <v>987.66666669999995</v>
      </c>
      <c r="I834" s="2">
        <v>2708</v>
      </c>
      <c r="J834" s="2">
        <v>1.45</v>
      </c>
      <c r="K834" s="2">
        <v>5.81</v>
      </c>
      <c r="L834" s="2">
        <v>8.4499999999999993</v>
      </c>
      <c r="M834" s="2">
        <v>15.02</v>
      </c>
      <c r="N834" s="2">
        <v>2.9292692379999998</v>
      </c>
      <c r="O834" s="2">
        <v>2.9290073429999999</v>
      </c>
      <c r="P834" s="2">
        <v>3.133757701</v>
      </c>
      <c r="Q834" s="2">
        <v>3.1148915719999999</v>
      </c>
      <c r="R834" s="2">
        <v>1.646338584</v>
      </c>
      <c r="S834" s="2">
        <v>1.632230716</v>
      </c>
      <c r="T834" s="2">
        <v>2.666459562</v>
      </c>
      <c r="U834" s="2">
        <v>2.6529931009999999</v>
      </c>
      <c r="V834" s="2">
        <v>2.4470712369999998</v>
      </c>
      <c r="W834" s="2">
        <v>0.10209525999999999</v>
      </c>
      <c r="X834">
        <f t="shared" si="36"/>
        <v>1</v>
      </c>
      <c r="Y834">
        <f t="shared" si="37"/>
        <v>1</v>
      </c>
      <c r="Z834">
        <f t="shared" si="38"/>
        <v>1</v>
      </c>
    </row>
    <row r="835" spans="1:26" ht="15.75" customHeight="1" x14ac:dyDescent="0.2">
      <c r="A835" s="2" t="s">
        <v>23</v>
      </c>
      <c r="B835" s="2" t="s">
        <v>24</v>
      </c>
      <c r="C835" s="2" t="s">
        <v>28</v>
      </c>
      <c r="D835" s="2" t="s">
        <v>29</v>
      </c>
      <c r="E835" s="2">
        <v>112</v>
      </c>
      <c r="F835" s="2">
        <v>143</v>
      </c>
      <c r="G835" s="2">
        <v>424.66666670000001</v>
      </c>
      <c r="H835" s="2">
        <v>886.66666669999995</v>
      </c>
      <c r="I835" s="2">
        <v>1904.333333</v>
      </c>
      <c r="J835" s="2">
        <v>1.29</v>
      </c>
      <c r="K835" s="2">
        <v>4.24</v>
      </c>
      <c r="L835" s="2">
        <v>7.82</v>
      </c>
      <c r="M835" s="2">
        <v>12.68</v>
      </c>
      <c r="N835" s="2">
        <v>1.258586939</v>
      </c>
      <c r="O835" s="2">
        <v>1.0997974850000001</v>
      </c>
      <c r="P835" s="2">
        <v>3.2998293539999999</v>
      </c>
      <c r="Q835" s="2">
        <v>3.286071164</v>
      </c>
      <c r="R835" s="2">
        <v>7.5839632000000004E-2</v>
      </c>
      <c r="S835" s="2">
        <v>6.1731765000000001E-2</v>
      </c>
      <c r="T835" s="2">
        <v>3.2989577319999999</v>
      </c>
      <c r="U835" s="2">
        <v>3.2854912700000001</v>
      </c>
      <c r="V835" s="2">
        <v>0.87657228600000003</v>
      </c>
      <c r="W835" s="2">
        <v>7.7613025000000002E-2</v>
      </c>
      <c r="X835">
        <f t="shared" ref="X835:X898" si="39">IF(B835="normal",1,0)</f>
        <v>1</v>
      </c>
      <c r="Y835">
        <f t="shared" ref="Y835:Y898" si="40">IF(A835="lecture",1,0)</f>
        <v>1</v>
      </c>
      <c r="Z835">
        <f t="shared" ref="Z835:Z898" si="41">IF(ISNUMBER(FIND("~",D835)),1,0)</f>
        <v>1</v>
      </c>
    </row>
    <row r="836" spans="1:26" ht="15.75" customHeight="1" x14ac:dyDescent="0.2">
      <c r="A836" s="2" t="s">
        <v>23</v>
      </c>
      <c r="B836" s="2" t="s">
        <v>24</v>
      </c>
      <c r="C836" s="2" t="s">
        <v>27</v>
      </c>
      <c r="D836" s="2" t="s">
        <v>27</v>
      </c>
      <c r="E836" s="2">
        <v>86</v>
      </c>
      <c r="F836" s="2">
        <v>153</v>
      </c>
      <c r="G836" s="2">
        <v>391.66666670000001</v>
      </c>
      <c r="H836" s="2">
        <v>1835</v>
      </c>
      <c r="I836" s="2">
        <v>2631.666667</v>
      </c>
      <c r="J836" s="2">
        <v>1.41</v>
      </c>
      <c r="K836" s="2">
        <v>3.94</v>
      </c>
      <c r="L836" s="2">
        <v>12.43</v>
      </c>
      <c r="M836" s="2">
        <v>14.84</v>
      </c>
      <c r="N836" s="2">
        <v>0.141864345</v>
      </c>
      <c r="O836" s="2">
        <v>0.22039146000000001</v>
      </c>
      <c r="P836" s="2">
        <v>1.3344178769999999</v>
      </c>
      <c r="Q836" s="2">
        <v>1.3501934040000001</v>
      </c>
      <c r="R836" s="2">
        <v>0.23337738099999999</v>
      </c>
      <c r="S836" s="2">
        <v>0.24748524899999999</v>
      </c>
      <c r="T836" s="2">
        <v>1.313851616</v>
      </c>
      <c r="U836" s="2">
        <v>1.327318078</v>
      </c>
      <c r="V836" s="2">
        <v>0.56735527299999999</v>
      </c>
      <c r="W836" s="2">
        <v>0.10194715</v>
      </c>
      <c r="X836">
        <f t="shared" si="39"/>
        <v>1</v>
      </c>
      <c r="Y836">
        <f t="shared" si="40"/>
        <v>1</v>
      </c>
      <c r="Z836">
        <f t="shared" si="41"/>
        <v>0</v>
      </c>
    </row>
    <row r="837" spans="1:26" ht="15.75" customHeight="1" x14ac:dyDescent="0.2">
      <c r="A837" s="2" t="s">
        <v>23</v>
      </c>
      <c r="B837" s="2" t="s">
        <v>24</v>
      </c>
      <c r="C837" s="2" t="s">
        <v>26</v>
      </c>
      <c r="D837" s="2" t="s">
        <v>26</v>
      </c>
      <c r="E837" s="2">
        <v>110</v>
      </c>
      <c r="F837" s="2">
        <v>140.33333329999999</v>
      </c>
      <c r="G837" s="2">
        <v>406</v>
      </c>
      <c r="H837" s="2">
        <v>930</v>
      </c>
      <c r="I837" s="2">
        <v>2570.666667</v>
      </c>
      <c r="J837" s="2">
        <v>1.26</v>
      </c>
      <c r="K837" s="2">
        <v>4.07</v>
      </c>
      <c r="L837" s="2">
        <v>8.1</v>
      </c>
      <c r="M837" s="2">
        <v>14.68</v>
      </c>
      <c r="N837" s="2">
        <v>0.96356559799999997</v>
      </c>
      <c r="O837" s="2">
        <v>0.80324430300000005</v>
      </c>
      <c r="P837" s="2">
        <v>3.0237628970000001</v>
      </c>
      <c r="Q837" s="2">
        <v>3.0107958940000001</v>
      </c>
      <c r="R837" s="2">
        <v>9.8011385000000006E-2</v>
      </c>
      <c r="S837" s="2">
        <v>0.112119253</v>
      </c>
      <c r="T837" s="2">
        <v>3.0221740229999998</v>
      </c>
      <c r="U837" s="2">
        <v>3.008707561</v>
      </c>
      <c r="V837" s="2">
        <v>0.70272126899999998</v>
      </c>
      <c r="W837" s="2">
        <v>0.12822908499999999</v>
      </c>
      <c r="X837">
        <f t="shared" si="39"/>
        <v>1</v>
      </c>
      <c r="Y837">
        <f t="shared" si="40"/>
        <v>1</v>
      </c>
      <c r="Z837">
        <f t="shared" si="41"/>
        <v>0</v>
      </c>
    </row>
    <row r="838" spans="1:26" ht="15.75" customHeight="1" x14ac:dyDescent="0.2">
      <c r="A838" s="2" t="s">
        <v>23</v>
      </c>
      <c r="B838" s="2" t="s">
        <v>24</v>
      </c>
      <c r="C838" s="2" t="s">
        <v>27</v>
      </c>
      <c r="D838" s="2" t="s">
        <v>27</v>
      </c>
      <c r="E838" s="2">
        <v>109</v>
      </c>
      <c r="F838" s="2">
        <v>148</v>
      </c>
      <c r="G838" s="2">
        <v>418.33333329999999</v>
      </c>
      <c r="H838" s="2">
        <v>1859</v>
      </c>
      <c r="I838" s="2">
        <v>2594.666667</v>
      </c>
      <c r="J838" s="2">
        <v>1.35</v>
      </c>
      <c r="K838" s="2">
        <v>4.1900000000000004</v>
      </c>
      <c r="L838" s="2">
        <v>12.52</v>
      </c>
      <c r="M838" s="2">
        <v>14.74</v>
      </c>
      <c r="N838" s="2">
        <v>0.13857151600000001</v>
      </c>
      <c r="O838" s="2">
        <v>0.22074935100000001</v>
      </c>
      <c r="P838" s="2">
        <v>1.4009734330000001</v>
      </c>
      <c r="Q838" s="2">
        <v>1.414338088</v>
      </c>
      <c r="R838" s="2">
        <v>1.7160345E-2</v>
      </c>
      <c r="S838" s="2">
        <v>3.052478E-3</v>
      </c>
      <c r="T838" s="2">
        <v>1.4008683319999999</v>
      </c>
      <c r="U838" s="2">
        <v>1.414334794</v>
      </c>
      <c r="V838" s="2">
        <v>0.81789299900000001</v>
      </c>
      <c r="W838" s="2">
        <v>0.176465283</v>
      </c>
      <c r="X838">
        <f t="shared" si="39"/>
        <v>1</v>
      </c>
      <c r="Y838">
        <f t="shared" si="40"/>
        <v>1</v>
      </c>
      <c r="Z838">
        <f t="shared" si="41"/>
        <v>0</v>
      </c>
    </row>
    <row r="839" spans="1:26" ht="15.75" customHeight="1" x14ac:dyDescent="0.2">
      <c r="A839" s="2" t="s">
        <v>23</v>
      </c>
      <c r="B839" s="2" t="s">
        <v>24</v>
      </c>
      <c r="C839" s="2" t="s">
        <v>27</v>
      </c>
      <c r="D839" s="2" t="s">
        <v>27</v>
      </c>
      <c r="E839" s="2">
        <v>138</v>
      </c>
      <c r="F839" s="2">
        <v>141.66666670000001</v>
      </c>
      <c r="G839" s="2">
        <v>423.66666670000001</v>
      </c>
      <c r="H839" s="2">
        <v>1788</v>
      </c>
      <c r="I839" s="2">
        <v>2565</v>
      </c>
      <c r="J839" s="2">
        <v>1.28</v>
      </c>
      <c r="K839" s="2">
        <v>4.24</v>
      </c>
      <c r="L839" s="2">
        <v>12.26</v>
      </c>
      <c r="M839" s="2">
        <v>14.67</v>
      </c>
      <c r="N839" s="2">
        <v>0.321461469</v>
      </c>
      <c r="O839" s="2">
        <v>0.44867479399999999</v>
      </c>
      <c r="P839" s="2">
        <v>1.1421588899999999</v>
      </c>
      <c r="Q839" s="2">
        <v>1.154875586</v>
      </c>
      <c r="R839" s="2">
        <v>6.6595212000000001E-2</v>
      </c>
      <c r="S839" s="2">
        <v>5.2487343999999998E-2</v>
      </c>
      <c r="T839" s="2">
        <v>1.140215773</v>
      </c>
      <c r="U839" s="2">
        <v>1.1536822339999999</v>
      </c>
      <c r="V839" s="2">
        <v>0.867327866</v>
      </c>
      <c r="W839" s="2">
        <v>0.162709992</v>
      </c>
      <c r="X839">
        <f t="shared" si="39"/>
        <v>1</v>
      </c>
      <c r="Y839">
        <f t="shared" si="40"/>
        <v>1</v>
      </c>
      <c r="Z839">
        <f t="shared" si="41"/>
        <v>0</v>
      </c>
    </row>
    <row r="840" spans="1:26" ht="15.75" customHeight="1" x14ac:dyDescent="0.2">
      <c r="A840" s="2" t="s">
        <v>23</v>
      </c>
      <c r="B840" s="2" t="s">
        <v>24</v>
      </c>
      <c r="C840" s="2" t="s">
        <v>32</v>
      </c>
      <c r="D840" s="2" t="s">
        <v>33</v>
      </c>
      <c r="E840" s="2">
        <v>163</v>
      </c>
      <c r="F840" s="2">
        <v>140.66666670000001</v>
      </c>
      <c r="G840" s="2">
        <v>731.66666669999995</v>
      </c>
      <c r="H840" s="2">
        <v>1102.333333</v>
      </c>
      <c r="I840" s="2">
        <v>2628.333333</v>
      </c>
      <c r="J840" s="2">
        <v>1.27</v>
      </c>
      <c r="K840" s="2">
        <v>6.76</v>
      </c>
      <c r="L840" s="2">
        <v>9.1199999999999992</v>
      </c>
      <c r="M840" s="2">
        <v>14.83</v>
      </c>
      <c r="N840" s="2">
        <v>2.6015846480000002</v>
      </c>
      <c r="O840" s="2">
        <v>2.5405584509999999</v>
      </c>
      <c r="P840" s="2">
        <v>3.2709896999999999</v>
      </c>
      <c r="Q840" s="2">
        <v>3.2515938179999999</v>
      </c>
      <c r="R840" s="2">
        <v>2.589127897</v>
      </c>
      <c r="S840" s="2">
        <v>2.5750200300000001</v>
      </c>
      <c r="T840" s="2">
        <v>1.998947311</v>
      </c>
      <c r="U840" s="2">
        <v>1.985480849</v>
      </c>
      <c r="V840" s="2">
        <v>3.3898605509999999</v>
      </c>
      <c r="W840" s="2">
        <v>0.14220202300000001</v>
      </c>
      <c r="X840">
        <f t="shared" si="39"/>
        <v>1</v>
      </c>
      <c r="Y840">
        <f t="shared" si="40"/>
        <v>1</v>
      </c>
      <c r="Z840">
        <f t="shared" si="41"/>
        <v>1</v>
      </c>
    </row>
    <row r="841" spans="1:26" ht="15.75" customHeight="1" x14ac:dyDescent="0.2">
      <c r="A841" s="2" t="s">
        <v>23</v>
      </c>
      <c r="B841" s="2" t="s">
        <v>24</v>
      </c>
      <c r="C841" s="2" t="s">
        <v>28</v>
      </c>
      <c r="D841" s="2" t="s">
        <v>29</v>
      </c>
      <c r="E841" s="2">
        <v>120</v>
      </c>
      <c r="F841" s="2">
        <v>154.66666670000001</v>
      </c>
      <c r="G841" s="2">
        <v>615</v>
      </c>
      <c r="H841" s="2">
        <v>1097.666667</v>
      </c>
      <c r="I841" s="2">
        <v>2945</v>
      </c>
      <c r="J841" s="2">
        <v>1.43</v>
      </c>
      <c r="K841" s="2">
        <v>5.87</v>
      </c>
      <c r="L841" s="2">
        <v>9.09</v>
      </c>
      <c r="M841" s="2">
        <v>15.57</v>
      </c>
      <c r="N841" s="2">
        <v>1.848844768</v>
      </c>
      <c r="O841" s="2">
        <v>1.8513828189999999</v>
      </c>
      <c r="P841" s="2">
        <v>2.6470568160000001</v>
      </c>
      <c r="Q841" s="2">
        <v>2.6276701060000001</v>
      </c>
      <c r="R841" s="2">
        <v>1.704621119</v>
      </c>
      <c r="S841" s="2">
        <v>1.6905132510000001</v>
      </c>
      <c r="T841" s="2">
        <v>2.0251361989999999</v>
      </c>
      <c r="U841" s="2">
        <v>2.0116697380000002</v>
      </c>
      <c r="V841" s="2">
        <v>2.505353773</v>
      </c>
      <c r="W841" s="2">
        <v>0.14802156599999999</v>
      </c>
      <c r="X841">
        <f t="shared" si="39"/>
        <v>1</v>
      </c>
      <c r="Y841">
        <f t="shared" si="40"/>
        <v>1</v>
      </c>
      <c r="Z841">
        <f t="shared" si="41"/>
        <v>1</v>
      </c>
    </row>
    <row r="842" spans="1:26" ht="15.75" customHeight="1" x14ac:dyDescent="0.2">
      <c r="A842" s="2" t="s">
        <v>23</v>
      </c>
      <c r="B842" s="2" t="s">
        <v>24</v>
      </c>
      <c r="C842" s="2" t="s">
        <v>26</v>
      </c>
      <c r="D842" s="2" t="s">
        <v>26</v>
      </c>
      <c r="E842" s="2">
        <v>98</v>
      </c>
      <c r="F842" s="2">
        <v>143.66666670000001</v>
      </c>
      <c r="G842" s="2">
        <v>397</v>
      </c>
      <c r="H842" s="2">
        <v>1292.333333</v>
      </c>
      <c r="I842" s="2">
        <v>2695.666667</v>
      </c>
      <c r="J842" s="2">
        <v>1.3</v>
      </c>
      <c r="K842" s="2">
        <v>3.99</v>
      </c>
      <c r="L842" s="2">
        <v>10.119999999999999</v>
      </c>
      <c r="M842" s="2">
        <v>14.99</v>
      </c>
      <c r="N842" s="2">
        <v>1.063907779</v>
      </c>
      <c r="O842" s="2">
        <v>1.2242228100000001</v>
      </c>
      <c r="P842" s="2">
        <v>1.013136676</v>
      </c>
      <c r="Q842" s="2">
        <v>1.0025695889999999</v>
      </c>
      <c r="R842" s="2">
        <v>0.18281630900000001</v>
      </c>
      <c r="S842" s="2">
        <v>0.19692417700000001</v>
      </c>
      <c r="T842" s="2">
        <v>0.996505957</v>
      </c>
      <c r="U842" s="2">
        <v>0.98303949499999999</v>
      </c>
      <c r="V842" s="2">
        <v>0.61791634399999995</v>
      </c>
      <c r="W842" s="2">
        <v>0.17104475299999999</v>
      </c>
      <c r="X842">
        <f t="shared" si="39"/>
        <v>1</v>
      </c>
      <c r="Y842">
        <f t="shared" si="40"/>
        <v>1</v>
      </c>
      <c r="Z842">
        <f t="shared" si="41"/>
        <v>0</v>
      </c>
    </row>
    <row r="843" spans="1:26" ht="15.75" customHeight="1" x14ac:dyDescent="0.2">
      <c r="A843" s="2" t="s">
        <v>23</v>
      </c>
      <c r="B843" s="2" t="s">
        <v>24</v>
      </c>
      <c r="C843" s="2" t="s">
        <v>30</v>
      </c>
      <c r="D843" s="2" t="s">
        <v>31</v>
      </c>
      <c r="E843" s="2">
        <v>94</v>
      </c>
      <c r="F843" s="2">
        <v>149.33333329999999</v>
      </c>
      <c r="G843" s="2">
        <v>662.66666669999995</v>
      </c>
      <c r="H843" s="2">
        <v>1562.666667</v>
      </c>
      <c r="I843" s="2">
        <v>2770</v>
      </c>
      <c r="J843" s="2">
        <v>1.37</v>
      </c>
      <c r="K843" s="2">
        <v>6.24</v>
      </c>
      <c r="L843" s="2">
        <v>11.36</v>
      </c>
      <c r="M843" s="2">
        <v>15.17</v>
      </c>
      <c r="N843" s="2">
        <v>2.483234881</v>
      </c>
      <c r="O843" s="2">
        <v>2.581608739</v>
      </c>
      <c r="P843" s="2">
        <v>2.0897353509999999</v>
      </c>
      <c r="Q843" s="2">
        <v>2.077346226</v>
      </c>
      <c r="R843" s="2">
        <v>2.0755130099999999</v>
      </c>
      <c r="S843" s="2">
        <v>2.0614051419999999</v>
      </c>
      <c r="T843" s="2">
        <v>0.24339183</v>
      </c>
      <c r="U843" s="2">
        <v>0.25685829100000002</v>
      </c>
      <c r="V843" s="2">
        <v>2.8762456639999998</v>
      </c>
      <c r="W843" s="2">
        <v>0.11272554899999999</v>
      </c>
      <c r="X843">
        <f t="shared" si="39"/>
        <v>1</v>
      </c>
      <c r="Y843">
        <f t="shared" si="40"/>
        <v>1</v>
      </c>
      <c r="Z843">
        <f t="shared" si="41"/>
        <v>1</v>
      </c>
    </row>
    <row r="844" spans="1:26" ht="15.75" customHeight="1" x14ac:dyDescent="0.2">
      <c r="A844" s="2" t="s">
        <v>23</v>
      </c>
      <c r="B844" s="2" t="s">
        <v>24</v>
      </c>
      <c r="C844" s="2" t="s">
        <v>27</v>
      </c>
      <c r="D844" s="2" t="s">
        <v>27</v>
      </c>
      <c r="E844" s="2">
        <v>137</v>
      </c>
      <c r="F844" s="2">
        <v>141.33333329999999</v>
      </c>
      <c r="G844" s="2">
        <v>388.66666670000001</v>
      </c>
      <c r="H844" s="2">
        <v>1886</v>
      </c>
      <c r="I844" s="2">
        <v>2621.333333</v>
      </c>
      <c r="J844" s="2">
        <v>1.27</v>
      </c>
      <c r="K844" s="2">
        <v>3.91</v>
      </c>
      <c r="L844" s="2">
        <v>12.62</v>
      </c>
      <c r="M844" s="2">
        <v>14.81</v>
      </c>
      <c r="N844" s="2">
        <v>0.17045276700000001</v>
      </c>
      <c r="O844" s="2">
        <v>9.9248149999999993E-2</v>
      </c>
      <c r="P844" s="2">
        <v>1.520197349</v>
      </c>
      <c r="Q844" s="2">
        <v>1.5359367420000001</v>
      </c>
      <c r="R844" s="2">
        <v>0.26191889400000001</v>
      </c>
      <c r="S844" s="2">
        <v>0.27602676199999998</v>
      </c>
      <c r="T844" s="2">
        <v>1.497464014</v>
      </c>
      <c r="U844" s="2">
        <v>1.5109304750000001</v>
      </c>
      <c r="V844" s="2">
        <v>0.53881376000000003</v>
      </c>
      <c r="W844" s="2">
        <v>9.6767721000000001E-2</v>
      </c>
      <c r="X844">
        <f t="shared" si="39"/>
        <v>1</v>
      </c>
      <c r="Y844">
        <f t="shared" si="40"/>
        <v>1</v>
      </c>
      <c r="Z844">
        <f t="shared" si="41"/>
        <v>0</v>
      </c>
    </row>
    <row r="845" spans="1:26" ht="15.75" customHeight="1" x14ac:dyDescent="0.2">
      <c r="A845" s="2" t="s">
        <v>23</v>
      </c>
      <c r="B845" s="2" t="s">
        <v>24</v>
      </c>
      <c r="C845" s="2" t="s">
        <v>30</v>
      </c>
      <c r="D845" s="2" t="s">
        <v>31</v>
      </c>
      <c r="E845" s="2">
        <v>106</v>
      </c>
      <c r="F845" s="2">
        <v>149.33333329999999</v>
      </c>
      <c r="G845" s="2">
        <v>595.66666669999995</v>
      </c>
      <c r="H845" s="2">
        <v>1485.333333</v>
      </c>
      <c r="I845" s="2">
        <v>2681.666667</v>
      </c>
      <c r="J845" s="2">
        <v>1.37</v>
      </c>
      <c r="K845" s="2">
        <v>5.72</v>
      </c>
      <c r="L845" s="2">
        <v>11.03</v>
      </c>
      <c r="M845" s="2">
        <v>14.96</v>
      </c>
      <c r="N845" s="2">
        <v>2.2409131449999999</v>
      </c>
      <c r="O845" s="2">
        <v>2.3569254960000001</v>
      </c>
      <c r="P845" s="2">
        <v>1.552939654</v>
      </c>
      <c r="Q845" s="2">
        <v>1.538115108</v>
      </c>
      <c r="R845" s="2">
        <v>1.550245689</v>
      </c>
      <c r="S845" s="2">
        <v>1.5361378210000001</v>
      </c>
      <c r="T845" s="2">
        <v>9.1432355000000007E-2</v>
      </c>
      <c r="U845" s="2">
        <v>7.7965892999999994E-2</v>
      </c>
      <c r="V845" s="2">
        <v>2.3509783419999999</v>
      </c>
      <c r="W845" s="2">
        <v>0.13919783599999999</v>
      </c>
      <c r="X845">
        <f t="shared" si="39"/>
        <v>1</v>
      </c>
      <c r="Y845">
        <f t="shared" si="40"/>
        <v>1</v>
      </c>
      <c r="Z845">
        <f t="shared" si="41"/>
        <v>1</v>
      </c>
    </row>
    <row r="846" spans="1:26" ht="15.75" customHeight="1" x14ac:dyDescent="0.2">
      <c r="A846" s="2" t="s">
        <v>23</v>
      </c>
      <c r="B846" s="2" t="s">
        <v>24</v>
      </c>
      <c r="C846" s="2" t="s">
        <v>26</v>
      </c>
      <c r="D846" s="2" t="s">
        <v>26</v>
      </c>
      <c r="E846" s="2">
        <v>101</v>
      </c>
      <c r="F846" s="2">
        <v>140</v>
      </c>
      <c r="G846" s="2">
        <v>403.66666670000001</v>
      </c>
      <c r="H846" s="2">
        <v>1229.333333</v>
      </c>
      <c r="I846" s="2">
        <v>2397</v>
      </c>
      <c r="J846" s="2">
        <v>1.26</v>
      </c>
      <c r="K846" s="2">
        <v>4.05</v>
      </c>
      <c r="L846" s="2">
        <v>9.8000000000000007</v>
      </c>
      <c r="M846" s="2">
        <v>14.22</v>
      </c>
      <c r="N846" s="2">
        <v>0.74442897900000005</v>
      </c>
      <c r="O846" s="2">
        <v>0.90434504500000001</v>
      </c>
      <c r="P846" s="2">
        <v>1.3211140029999999</v>
      </c>
      <c r="Q846" s="2">
        <v>1.3090730049999999</v>
      </c>
      <c r="R846" s="2">
        <v>0.119935835</v>
      </c>
      <c r="S846" s="2">
        <v>0.13404370199999999</v>
      </c>
      <c r="T846" s="2">
        <v>1.31565862</v>
      </c>
      <c r="U846" s="2">
        <v>1.302192158</v>
      </c>
      <c r="V846" s="2">
        <v>0.680796819</v>
      </c>
      <c r="W846" s="2">
        <v>0.15138975499999999</v>
      </c>
      <c r="X846">
        <f t="shared" si="39"/>
        <v>1</v>
      </c>
      <c r="Y846">
        <f t="shared" si="40"/>
        <v>1</v>
      </c>
      <c r="Z846">
        <f t="shared" si="41"/>
        <v>0</v>
      </c>
    </row>
    <row r="847" spans="1:26" ht="15.75" customHeight="1" x14ac:dyDescent="0.2">
      <c r="A847" s="2" t="s">
        <v>23</v>
      </c>
      <c r="B847" s="2" t="s">
        <v>24</v>
      </c>
      <c r="C847" s="2" t="s">
        <v>26</v>
      </c>
      <c r="D847" s="2" t="s">
        <v>26</v>
      </c>
      <c r="E847" s="2">
        <v>173</v>
      </c>
      <c r="F847" s="2">
        <v>145</v>
      </c>
      <c r="G847" s="2">
        <v>416</v>
      </c>
      <c r="H847" s="2">
        <v>1167</v>
      </c>
      <c r="I847" s="2">
        <v>2656</v>
      </c>
      <c r="J847" s="2">
        <v>1.32</v>
      </c>
      <c r="K847" s="2">
        <v>4.16</v>
      </c>
      <c r="L847" s="2">
        <v>9.48</v>
      </c>
      <c r="M847" s="2">
        <v>14.9</v>
      </c>
      <c r="N847" s="2">
        <v>0.438354615</v>
      </c>
      <c r="O847" s="2">
        <v>0.59068926399999999</v>
      </c>
      <c r="P847" s="2">
        <v>1.6440968650000001</v>
      </c>
      <c r="Q847" s="2">
        <v>1.6307307360000001</v>
      </c>
      <c r="R847" s="2">
        <v>4.5371949999999999E-3</v>
      </c>
      <c r="S847" s="2">
        <v>1.8645063E-2</v>
      </c>
      <c r="T847" s="2">
        <v>1.6440906040000001</v>
      </c>
      <c r="U847" s="2">
        <v>1.6306241420000001</v>
      </c>
      <c r="V847" s="2">
        <v>0.79619545800000002</v>
      </c>
      <c r="W847" s="2">
        <v>0.12763177000000001</v>
      </c>
      <c r="X847">
        <f t="shared" si="39"/>
        <v>1</v>
      </c>
      <c r="Y847">
        <f t="shared" si="40"/>
        <v>1</v>
      </c>
      <c r="Z847">
        <f t="shared" si="41"/>
        <v>0</v>
      </c>
    </row>
    <row r="848" spans="1:26" ht="15.75" customHeight="1" x14ac:dyDescent="0.2">
      <c r="A848" s="2" t="s">
        <v>23</v>
      </c>
      <c r="B848" s="2" t="s">
        <v>24</v>
      </c>
      <c r="C848" s="2" t="s">
        <v>26</v>
      </c>
      <c r="D848" s="2" t="s">
        <v>26</v>
      </c>
      <c r="E848" s="2">
        <v>111</v>
      </c>
      <c r="F848" s="2">
        <v>138</v>
      </c>
      <c r="G848" s="2">
        <v>396.33333329999999</v>
      </c>
      <c r="H848" s="2">
        <v>891</v>
      </c>
      <c r="I848" s="2">
        <v>2684.666667</v>
      </c>
      <c r="J848" s="2">
        <v>1.23</v>
      </c>
      <c r="K848" s="2">
        <v>3.98</v>
      </c>
      <c r="L848" s="2">
        <v>7.85</v>
      </c>
      <c r="M848" s="2">
        <v>14.97</v>
      </c>
      <c r="N848" s="2">
        <v>1.212042949</v>
      </c>
      <c r="O848" s="2">
        <v>1.0523655409999999</v>
      </c>
      <c r="P848" s="2">
        <v>3.2763637609999998</v>
      </c>
      <c r="Q848" s="2">
        <v>3.2637679479999999</v>
      </c>
      <c r="R848" s="2">
        <v>0.189123926</v>
      </c>
      <c r="S848" s="2">
        <v>0.20323179399999999</v>
      </c>
      <c r="T848" s="2">
        <v>3.2709007369999998</v>
      </c>
      <c r="U848" s="2">
        <v>3.257434275</v>
      </c>
      <c r="V848" s="2">
        <v>0.61160872700000002</v>
      </c>
      <c r="W848" s="2">
        <v>0.104834658</v>
      </c>
      <c r="X848">
        <f t="shared" si="39"/>
        <v>1</v>
      </c>
      <c r="Y848">
        <f t="shared" si="40"/>
        <v>1</v>
      </c>
      <c r="Z848">
        <f t="shared" si="41"/>
        <v>0</v>
      </c>
    </row>
    <row r="849" spans="1:26" ht="15.75" customHeight="1" x14ac:dyDescent="0.2">
      <c r="A849" s="2" t="s">
        <v>23</v>
      </c>
      <c r="B849" s="2" t="s">
        <v>24</v>
      </c>
      <c r="C849" s="2" t="s">
        <v>25</v>
      </c>
      <c r="D849" s="2" t="s">
        <v>25</v>
      </c>
      <c r="E849" s="2">
        <v>156</v>
      </c>
      <c r="F849" s="2">
        <v>138.33333329999999</v>
      </c>
      <c r="G849" s="2">
        <v>575.33333330000005</v>
      </c>
      <c r="H849" s="2">
        <v>1403</v>
      </c>
      <c r="I849" s="2">
        <v>2522.333333</v>
      </c>
      <c r="J849" s="2">
        <v>1.24</v>
      </c>
      <c r="K849" s="2">
        <v>5.55</v>
      </c>
      <c r="L849" s="2">
        <v>10.65</v>
      </c>
      <c r="M849" s="2">
        <v>14.56</v>
      </c>
      <c r="N849" s="2">
        <v>0.71317843299999994</v>
      </c>
      <c r="O849" s="2">
        <v>0.71867027500000003</v>
      </c>
      <c r="P849" s="2">
        <v>1.461248476</v>
      </c>
      <c r="Q849" s="2">
        <v>1.4436134350000001</v>
      </c>
      <c r="R849" s="2">
        <v>1.3853451059999999</v>
      </c>
      <c r="S849" s="2">
        <v>1.371237238</v>
      </c>
      <c r="T849" s="2">
        <v>0.46482905099999999</v>
      </c>
      <c r="U849" s="2">
        <v>0.45136258899999998</v>
      </c>
      <c r="V849" s="2">
        <v>2.1860777589999998</v>
      </c>
      <c r="W849" s="2">
        <v>0.130171865</v>
      </c>
      <c r="X849">
        <f t="shared" si="39"/>
        <v>1</v>
      </c>
      <c r="Y849">
        <f t="shared" si="40"/>
        <v>1</v>
      </c>
      <c r="Z849">
        <f t="shared" si="41"/>
        <v>0</v>
      </c>
    </row>
    <row r="850" spans="1:26" ht="15.75" customHeight="1" x14ac:dyDescent="0.2">
      <c r="A850" s="2" t="s">
        <v>23</v>
      </c>
      <c r="B850" s="2" t="s">
        <v>24</v>
      </c>
      <c r="C850" s="2" t="s">
        <v>25</v>
      </c>
      <c r="D850" s="2" t="s">
        <v>25</v>
      </c>
      <c r="E850" s="2">
        <v>114</v>
      </c>
      <c r="F850" s="2">
        <v>132.33333329999999</v>
      </c>
      <c r="G850" s="2">
        <v>551.33333330000005</v>
      </c>
      <c r="H850" s="2">
        <v>1639</v>
      </c>
      <c r="I850" s="2">
        <v>2561.666667</v>
      </c>
      <c r="J850" s="2">
        <v>1.17</v>
      </c>
      <c r="K850" s="2">
        <v>5.36</v>
      </c>
      <c r="L850" s="2">
        <v>11.68</v>
      </c>
      <c r="M850" s="2">
        <v>14.66</v>
      </c>
      <c r="N850" s="2">
        <v>0.33059929700000001</v>
      </c>
      <c r="O850" s="2">
        <v>0.38099428099999999</v>
      </c>
      <c r="P850" s="2">
        <v>1.312617237</v>
      </c>
      <c r="Q850" s="2">
        <v>1.3057262380000001</v>
      </c>
      <c r="R850" s="2">
        <v>1.1872723700000001</v>
      </c>
      <c r="S850" s="2">
        <v>1.1731645020000001</v>
      </c>
      <c r="T850" s="2">
        <v>0.55977524999999995</v>
      </c>
      <c r="U850" s="2">
        <v>0.57324171099999999</v>
      </c>
      <c r="V850" s="2">
        <v>1.988005024</v>
      </c>
      <c r="W850" s="2">
        <v>0.148555927</v>
      </c>
      <c r="X850">
        <f t="shared" si="39"/>
        <v>1</v>
      </c>
      <c r="Y850">
        <f t="shared" si="40"/>
        <v>1</v>
      </c>
      <c r="Z850">
        <f t="shared" si="41"/>
        <v>0</v>
      </c>
    </row>
    <row r="851" spans="1:26" ht="15.75" customHeight="1" x14ac:dyDescent="0.2">
      <c r="A851" s="2" t="s">
        <v>23</v>
      </c>
      <c r="B851" s="2" t="s">
        <v>24</v>
      </c>
      <c r="C851" s="2" t="s">
        <v>25</v>
      </c>
      <c r="D851" s="2" t="s">
        <v>25</v>
      </c>
      <c r="E851" s="2">
        <v>168</v>
      </c>
      <c r="F851" s="2">
        <v>132.33333329999999</v>
      </c>
      <c r="G851" s="2">
        <v>601.66666669999995</v>
      </c>
      <c r="H851" s="2">
        <v>1539</v>
      </c>
      <c r="I851" s="2">
        <v>2418.333333</v>
      </c>
      <c r="J851" s="2">
        <v>1.17</v>
      </c>
      <c r="K851" s="2">
        <v>5.77</v>
      </c>
      <c r="L851" s="2">
        <v>11.26</v>
      </c>
      <c r="M851" s="2">
        <v>14.28</v>
      </c>
      <c r="N851" s="2">
        <v>0.35195740800000003</v>
      </c>
      <c r="O851" s="2">
        <v>0.21547602499999999</v>
      </c>
      <c r="P851" s="2">
        <v>1.604743756</v>
      </c>
      <c r="Q851" s="2">
        <v>1.591954949</v>
      </c>
      <c r="R851" s="2">
        <v>1.598404672</v>
      </c>
      <c r="S851" s="2">
        <v>1.5842968040000001</v>
      </c>
      <c r="T851" s="2">
        <v>0.142495705</v>
      </c>
      <c r="U851" s="2">
        <v>0.15596216600000001</v>
      </c>
      <c r="V851" s="2">
        <v>2.3991373249999999</v>
      </c>
      <c r="W851" s="2">
        <v>0.129617916</v>
      </c>
      <c r="X851">
        <f t="shared" si="39"/>
        <v>1</v>
      </c>
      <c r="Y851">
        <f t="shared" si="40"/>
        <v>1</v>
      </c>
      <c r="Z851">
        <f t="shared" si="41"/>
        <v>0</v>
      </c>
    </row>
    <row r="852" spans="1:26" ht="15.75" customHeight="1" x14ac:dyDescent="0.2">
      <c r="A852" s="2" t="s">
        <v>23</v>
      </c>
      <c r="B852" s="2" t="s">
        <v>24</v>
      </c>
      <c r="C852" s="2" t="s">
        <v>28</v>
      </c>
      <c r="D852" s="2" t="s">
        <v>29</v>
      </c>
      <c r="E852" s="2">
        <v>96</v>
      </c>
      <c r="F852" s="2">
        <v>140.33333329999999</v>
      </c>
      <c r="G852" s="2">
        <v>522.66666669999995</v>
      </c>
      <c r="H852" s="2">
        <v>1148.666667</v>
      </c>
      <c r="I852" s="2">
        <v>2879</v>
      </c>
      <c r="J852" s="2">
        <v>1.26</v>
      </c>
      <c r="K852" s="2">
        <v>5.1100000000000003</v>
      </c>
      <c r="L852" s="2">
        <v>9.3800000000000008</v>
      </c>
      <c r="M852" s="2">
        <v>15.42</v>
      </c>
      <c r="N852" s="2">
        <v>1.134607022</v>
      </c>
      <c r="O852" s="2">
        <v>1.1824860180000001</v>
      </c>
      <c r="P852" s="2">
        <v>1.983182698</v>
      </c>
      <c r="Q852" s="2">
        <v>1.9646276949999999</v>
      </c>
      <c r="R852" s="2">
        <v>0.945666597</v>
      </c>
      <c r="S852" s="2">
        <v>0.93155872900000003</v>
      </c>
      <c r="T852" s="2">
        <v>1.743194855</v>
      </c>
      <c r="U852" s="2">
        <v>1.729728393</v>
      </c>
      <c r="V852" s="2">
        <v>1.7463992500000001</v>
      </c>
      <c r="W852" s="2">
        <v>0.114851445</v>
      </c>
      <c r="X852">
        <f t="shared" si="39"/>
        <v>1</v>
      </c>
      <c r="Y852">
        <f t="shared" si="40"/>
        <v>1</v>
      </c>
      <c r="Z852">
        <f t="shared" si="41"/>
        <v>1</v>
      </c>
    </row>
    <row r="853" spans="1:26" ht="15.75" customHeight="1" x14ac:dyDescent="0.2">
      <c r="A853" s="2" t="s">
        <v>23</v>
      </c>
      <c r="B853" s="2" t="s">
        <v>24</v>
      </c>
      <c r="C853" s="2" t="s">
        <v>30</v>
      </c>
      <c r="D853" s="2" t="s">
        <v>31</v>
      </c>
      <c r="E853" s="2">
        <v>158</v>
      </c>
      <c r="F853" s="2">
        <v>140</v>
      </c>
      <c r="G853" s="2">
        <v>852.33333330000005</v>
      </c>
      <c r="H853" s="2">
        <v>1183.666667</v>
      </c>
      <c r="I853" s="2">
        <v>2545</v>
      </c>
      <c r="J853" s="2">
        <v>1.26</v>
      </c>
      <c r="K853" s="2">
        <v>7.6</v>
      </c>
      <c r="L853" s="2">
        <v>9.56</v>
      </c>
      <c r="M853" s="2">
        <v>14.62</v>
      </c>
      <c r="N853" s="2">
        <v>4.6181419789999998</v>
      </c>
      <c r="O853" s="2">
        <v>4.731621101</v>
      </c>
      <c r="P853" s="2">
        <v>3.7630692309999998</v>
      </c>
      <c r="Q853" s="2">
        <v>3.744663037</v>
      </c>
      <c r="R853" s="2">
        <v>3.4267577180000002</v>
      </c>
      <c r="S853" s="2">
        <v>3.4126498500000002</v>
      </c>
      <c r="T853" s="2">
        <v>1.5549989</v>
      </c>
      <c r="U853" s="2">
        <v>1.541532439</v>
      </c>
      <c r="V853" s="2">
        <v>4.2274903720000001</v>
      </c>
      <c r="W853" s="2">
        <v>0.11050368100000001</v>
      </c>
      <c r="X853">
        <f t="shared" si="39"/>
        <v>1</v>
      </c>
      <c r="Y853">
        <f t="shared" si="40"/>
        <v>1</v>
      </c>
      <c r="Z853">
        <f t="shared" si="41"/>
        <v>1</v>
      </c>
    </row>
    <row r="854" spans="1:26" ht="15.75" customHeight="1" x14ac:dyDescent="0.2">
      <c r="A854" s="2" t="s">
        <v>23</v>
      </c>
      <c r="B854" s="2" t="s">
        <v>24</v>
      </c>
      <c r="C854" s="2" t="s">
        <v>32</v>
      </c>
      <c r="D854" s="2" t="s">
        <v>33</v>
      </c>
      <c r="E854" s="2">
        <v>67</v>
      </c>
      <c r="F854" s="2">
        <v>133</v>
      </c>
      <c r="G854" s="2">
        <v>503</v>
      </c>
      <c r="H854" s="2">
        <v>823.66666669999995</v>
      </c>
      <c r="I854" s="2">
        <v>2529</v>
      </c>
      <c r="J854" s="2">
        <v>1.17</v>
      </c>
      <c r="K854" s="2">
        <v>4.95</v>
      </c>
      <c r="L854" s="2">
        <v>7.4</v>
      </c>
      <c r="M854" s="2">
        <v>14.57</v>
      </c>
      <c r="N854" s="2">
        <v>3.9832345920000001</v>
      </c>
      <c r="O854" s="2">
        <v>4.0207844670000004</v>
      </c>
      <c r="P854" s="2">
        <v>3.7970099070000001</v>
      </c>
      <c r="Q854" s="2">
        <v>3.780958628</v>
      </c>
      <c r="R854" s="2">
        <v>0.77666110499999996</v>
      </c>
      <c r="S854" s="2">
        <v>0.76255323699999999</v>
      </c>
      <c r="T854" s="2">
        <v>3.7167299819999999</v>
      </c>
      <c r="U854" s="2">
        <v>3.7032635209999998</v>
      </c>
      <c r="V854" s="2">
        <v>1.577393759</v>
      </c>
      <c r="W854" s="2">
        <v>0.145674205</v>
      </c>
      <c r="X854">
        <f t="shared" si="39"/>
        <v>1</v>
      </c>
      <c r="Y854">
        <f t="shared" si="40"/>
        <v>1</v>
      </c>
      <c r="Z854">
        <f t="shared" si="41"/>
        <v>1</v>
      </c>
    </row>
    <row r="855" spans="1:26" ht="15.75" customHeight="1" x14ac:dyDescent="0.2">
      <c r="A855" s="2" t="s">
        <v>23</v>
      </c>
      <c r="B855" s="2" t="s">
        <v>24</v>
      </c>
      <c r="C855" s="2" t="s">
        <v>26</v>
      </c>
      <c r="D855" s="2" t="s">
        <v>26</v>
      </c>
      <c r="E855" s="2">
        <v>151</v>
      </c>
      <c r="F855" s="2">
        <v>139.33333329999999</v>
      </c>
      <c r="G855" s="2">
        <v>398.66666670000001</v>
      </c>
      <c r="H855" s="2">
        <v>992.66666669999995</v>
      </c>
      <c r="I855" s="2">
        <v>2662.666667</v>
      </c>
      <c r="J855" s="2">
        <v>1.25</v>
      </c>
      <c r="K855" s="2">
        <v>4</v>
      </c>
      <c r="L855" s="2">
        <v>8.48</v>
      </c>
      <c r="M855" s="2">
        <v>14.91</v>
      </c>
      <c r="N855" s="2">
        <v>0.57703515299999997</v>
      </c>
      <c r="O855" s="2">
        <v>0.417540307</v>
      </c>
      <c r="P855" s="2">
        <v>2.641560014</v>
      </c>
      <c r="Q855" s="2">
        <v>2.629055149</v>
      </c>
      <c r="R855" s="2">
        <v>0.167062867</v>
      </c>
      <c r="S855" s="2">
        <v>0.181170734</v>
      </c>
      <c r="T855" s="2">
        <v>2.6362718570000001</v>
      </c>
      <c r="U855" s="2">
        <v>2.622805396</v>
      </c>
      <c r="V855" s="2">
        <v>0.63366978699999998</v>
      </c>
      <c r="W855" s="2">
        <v>0.116165481</v>
      </c>
      <c r="X855">
        <f t="shared" si="39"/>
        <v>1</v>
      </c>
      <c r="Y855">
        <f t="shared" si="40"/>
        <v>1</v>
      </c>
      <c r="Z855">
        <f t="shared" si="41"/>
        <v>0</v>
      </c>
    </row>
    <row r="856" spans="1:26" ht="15.75" customHeight="1" x14ac:dyDescent="0.2">
      <c r="A856" s="2" t="s">
        <v>23</v>
      </c>
      <c r="B856" s="2" t="s">
        <v>24</v>
      </c>
      <c r="C856" s="2" t="s">
        <v>32</v>
      </c>
      <c r="D856" s="2" t="s">
        <v>33</v>
      </c>
      <c r="E856" s="2">
        <v>127</v>
      </c>
      <c r="F856" s="2">
        <v>134</v>
      </c>
      <c r="G856" s="2">
        <v>763</v>
      </c>
      <c r="H856" s="2">
        <v>1129.666667</v>
      </c>
      <c r="I856" s="2">
        <v>2699</v>
      </c>
      <c r="J856" s="2">
        <v>1.19</v>
      </c>
      <c r="K856" s="2">
        <v>6.98</v>
      </c>
      <c r="L856" s="2">
        <v>9.27</v>
      </c>
      <c r="M856" s="2">
        <v>15</v>
      </c>
      <c r="N856" s="2">
        <v>2.6000535380000001</v>
      </c>
      <c r="O856" s="2">
        <v>2.52434169</v>
      </c>
      <c r="P856" s="2">
        <v>3.3658937390000001</v>
      </c>
      <c r="Q856" s="2">
        <v>3.3467117399999999</v>
      </c>
      <c r="R856" s="2">
        <v>2.813769695</v>
      </c>
      <c r="S856" s="2">
        <v>2.7996618280000001</v>
      </c>
      <c r="T856" s="2">
        <v>1.847143947</v>
      </c>
      <c r="U856" s="2">
        <v>1.833677486</v>
      </c>
      <c r="V856" s="2">
        <v>3.6145023489999999</v>
      </c>
      <c r="W856" s="2">
        <v>8.1713574999999997E-2</v>
      </c>
      <c r="X856">
        <f t="shared" si="39"/>
        <v>1</v>
      </c>
      <c r="Y856">
        <f t="shared" si="40"/>
        <v>1</v>
      </c>
      <c r="Z856">
        <f t="shared" si="41"/>
        <v>1</v>
      </c>
    </row>
    <row r="857" spans="1:26" ht="15.75" customHeight="1" x14ac:dyDescent="0.2">
      <c r="A857" s="2" t="s">
        <v>23</v>
      </c>
      <c r="B857" s="2" t="s">
        <v>24</v>
      </c>
      <c r="C857" s="2" t="s">
        <v>28</v>
      </c>
      <c r="D857" s="2" t="s">
        <v>29</v>
      </c>
      <c r="E857" s="2">
        <v>86</v>
      </c>
      <c r="F857" s="2">
        <v>147.33333329999999</v>
      </c>
      <c r="G857" s="2">
        <v>416</v>
      </c>
      <c r="H857" s="2">
        <v>988</v>
      </c>
      <c r="I857" s="2">
        <v>2865.333333</v>
      </c>
      <c r="J857" s="2">
        <v>1.34</v>
      </c>
      <c r="K857" s="2">
        <v>4.16</v>
      </c>
      <c r="L857" s="2">
        <v>8.4600000000000009</v>
      </c>
      <c r="M857" s="2">
        <v>15.39</v>
      </c>
      <c r="N857" s="2">
        <v>0.62059257099999998</v>
      </c>
      <c r="O857" s="2">
        <v>0.46376114800000001</v>
      </c>
      <c r="P857" s="2">
        <v>2.6644477260000001</v>
      </c>
      <c r="Q857" s="2">
        <v>2.6510429680000001</v>
      </c>
      <c r="R857" s="2">
        <v>4.5371949999999999E-3</v>
      </c>
      <c r="S857" s="2">
        <v>1.8645063E-2</v>
      </c>
      <c r="T857" s="2">
        <v>2.6644438629999998</v>
      </c>
      <c r="U857" s="2">
        <v>2.650977401</v>
      </c>
      <c r="V857" s="2">
        <v>0.79619545800000002</v>
      </c>
      <c r="W857" s="2">
        <v>7.6214788000000006E-2</v>
      </c>
      <c r="X857">
        <f t="shared" si="39"/>
        <v>1</v>
      </c>
      <c r="Y857">
        <f t="shared" si="40"/>
        <v>1</v>
      </c>
      <c r="Z857">
        <f t="shared" si="41"/>
        <v>1</v>
      </c>
    </row>
    <row r="858" spans="1:26" ht="15.75" customHeight="1" x14ac:dyDescent="0.2">
      <c r="A858" s="2" t="s">
        <v>23</v>
      </c>
      <c r="B858" s="2" t="s">
        <v>24</v>
      </c>
      <c r="C858" s="2" t="s">
        <v>32</v>
      </c>
      <c r="D858" s="2" t="s">
        <v>33</v>
      </c>
      <c r="E858" s="2">
        <v>100</v>
      </c>
      <c r="F858" s="2">
        <v>149</v>
      </c>
      <c r="G858" s="2">
        <v>557.33333330000005</v>
      </c>
      <c r="H858" s="2">
        <v>1148.666667</v>
      </c>
      <c r="I858" s="2">
        <v>2883</v>
      </c>
      <c r="J858" s="2">
        <v>1.36</v>
      </c>
      <c r="K858" s="2">
        <v>5.41</v>
      </c>
      <c r="L858" s="2">
        <v>9.3800000000000008</v>
      </c>
      <c r="M858" s="2">
        <v>15.43</v>
      </c>
      <c r="N858" s="2">
        <v>1.9804627539999999</v>
      </c>
      <c r="O858" s="2">
        <v>2.0042627579999999</v>
      </c>
      <c r="P858" s="2">
        <v>2.1375816099999998</v>
      </c>
      <c r="Q858" s="2">
        <v>2.1184379240000002</v>
      </c>
      <c r="R858" s="2">
        <v>1.23714463</v>
      </c>
      <c r="S858" s="2">
        <v>1.223036762</v>
      </c>
      <c r="T858" s="2">
        <v>1.743194855</v>
      </c>
      <c r="U858" s="2">
        <v>1.729728393</v>
      </c>
      <c r="V858" s="2">
        <v>2.0378772829999998</v>
      </c>
      <c r="W858" s="2">
        <v>0.11057679099999999</v>
      </c>
      <c r="X858">
        <f t="shared" si="39"/>
        <v>1</v>
      </c>
      <c r="Y858">
        <f t="shared" si="40"/>
        <v>1</v>
      </c>
      <c r="Z858">
        <f t="shared" si="41"/>
        <v>1</v>
      </c>
    </row>
    <row r="859" spans="1:26" ht="15.75" customHeight="1" x14ac:dyDescent="0.2">
      <c r="A859" s="2" t="s">
        <v>23</v>
      </c>
      <c r="B859" s="2" t="s">
        <v>24</v>
      </c>
      <c r="C859" s="2" t="s">
        <v>25</v>
      </c>
      <c r="D859" s="2" t="s">
        <v>25</v>
      </c>
      <c r="E859" s="2">
        <v>120</v>
      </c>
      <c r="F859" s="2">
        <v>145.66666670000001</v>
      </c>
      <c r="G859" s="2">
        <v>533</v>
      </c>
      <c r="H859" s="2">
        <v>1503.666667</v>
      </c>
      <c r="I859" s="2">
        <v>2517.666667</v>
      </c>
      <c r="J859" s="2">
        <v>1.32</v>
      </c>
      <c r="K859" s="2">
        <v>5.2</v>
      </c>
      <c r="L859" s="2">
        <v>11.11</v>
      </c>
      <c r="M859" s="2">
        <v>14.54</v>
      </c>
      <c r="N859" s="2">
        <v>0.33542586400000002</v>
      </c>
      <c r="O859" s="2">
        <v>0.46285955200000001</v>
      </c>
      <c r="P859" s="2">
        <v>1.0334529400000001</v>
      </c>
      <c r="Q859" s="2">
        <v>1.0192933829999999</v>
      </c>
      <c r="R859" s="2">
        <v>1.0333975070000001</v>
      </c>
      <c r="S859" s="2">
        <v>1.0192896389999999</v>
      </c>
      <c r="T859" s="2">
        <v>1.0703836E-2</v>
      </c>
      <c r="U859" s="2">
        <v>2.7626259999999998E-3</v>
      </c>
      <c r="V859" s="2">
        <v>1.83413016</v>
      </c>
      <c r="W859" s="2">
        <v>0.165432776</v>
      </c>
      <c r="X859">
        <f t="shared" si="39"/>
        <v>1</v>
      </c>
      <c r="Y859">
        <f t="shared" si="40"/>
        <v>1</v>
      </c>
      <c r="Z859">
        <f t="shared" si="41"/>
        <v>0</v>
      </c>
    </row>
    <row r="860" spans="1:26" ht="15.75" customHeight="1" x14ac:dyDescent="0.2">
      <c r="A860" s="2" t="s">
        <v>23</v>
      </c>
      <c r="B860" s="2" t="s">
        <v>24</v>
      </c>
      <c r="C860" s="2" t="s">
        <v>27</v>
      </c>
      <c r="D860" s="2" t="s">
        <v>27</v>
      </c>
      <c r="E860" s="2">
        <v>73</v>
      </c>
      <c r="F860" s="2">
        <v>148.66666670000001</v>
      </c>
      <c r="G860" s="2">
        <v>408.33333329999999</v>
      </c>
      <c r="H860" s="2">
        <v>1867.333333</v>
      </c>
      <c r="I860" s="2">
        <v>2553.333333</v>
      </c>
      <c r="J860" s="2">
        <v>1.36</v>
      </c>
      <c r="K860" s="2">
        <v>4.09</v>
      </c>
      <c r="L860" s="2">
        <v>12.55</v>
      </c>
      <c r="M860" s="2">
        <v>14.64</v>
      </c>
      <c r="N860" s="2">
        <v>5.4240340999999997E-2</v>
      </c>
      <c r="O860" s="2">
        <v>0.12943162699999999</v>
      </c>
      <c r="P860" s="2">
        <v>1.43285112</v>
      </c>
      <c r="Q860" s="2">
        <v>1.447109926</v>
      </c>
      <c r="R860" s="2">
        <v>7.6130136000000001E-2</v>
      </c>
      <c r="S860" s="2">
        <v>9.0238003999999997E-2</v>
      </c>
      <c r="T860" s="2">
        <v>1.4308272200000001</v>
      </c>
      <c r="U860" s="2">
        <v>1.4442936820000001</v>
      </c>
      <c r="V860" s="2">
        <v>0.724602517</v>
      </c>
      <c r="W860" s="2">
        <v>0.11648940200000001</v>
      </c>
      <c r="X860">
        <f t="shared" si="39"/>
        <v>1</v>
      </c>
      <c r="Y860">
        <f t="shared" si="40"/>
        <v>1</v>
      </c>
      <c r="Z860">
        <f t="shared" si="41"/>
        <v>0</v>
      </c>
    </row>
    <row r="861" spans="1:26" ht="15.75" customHeight="1" x14ac:dyDescent="0.2">
      <c r="A861" s="2" t="s">
        <v>23</v>
      </c>
      <c r="B861" s="2" t="s">
        <v>24</v>
      </c>
      <c r="C861" s="2" t="s">
        <v>30</v>
      </c>
      <c r="D861" s="2" t="s">
        <v>31</v>
      </c>
      <c r="E861" s="2">
        <v>167</v>
      </c>
      <c r="F861" s="2">
        <v>153.33333329999999</v>
      </c>
      <c r="G861" s="2">
        <v>669.33333330000005</v>
      </c>
      <c r="H861" s="2">
        <v>1291.333333</v>
      </c>
      <c r="I861" s="2">
        <v>2790.333333</v>
      </c>
      <c r="J861" s="2">
        <v>1.42</v>
      </c>
      <c r="K861" s="2">
        <v>6.29</v>
      </c>
      <c r="L861" s="2">
        <v>10.119999999999999</v>
      </c>
      <c r="M861" s="2">
        <v>15.22</v>
      </c>
      <c r="N861" s="2">
        <v>3.2899842659999998</v>
      </c>
      <c r="O861" s="2">
        <v>3.4106484020000001</v>
      </c>
      <c r="P861" s="2">
        <v>2.3503540790000002</v>
      </c>
      <c r="Q861" s="2">
        <v>2.3318611659999999</v>
      </c>
      <c r="R861" s="2">
        <v>2.126314083</v>
      </c>
      <c r="S861" s="2">
        <v>2.1122062150000001</v>
      </c>
      <c r="T861" s="2">
        <v>1.00147527</v>
      </c>
      <c r="U861" s="2">
        <v>0.98800880800000002</v>
      </c>
      <c r="V861" s="2">
        <v>2.9270467359999999</v>
      </c>
      <c r="W861" s="2">
        <v>0.13843994700000001</v>
      </c>
      <c r="X861">
        <f t="shared" si="39"/>
        <v>1</v>
      </c>
      <c r="Y861">
        <f t="shared" si="40"/>
        <v>1</v>
      </c>
      <c r="Z861">
        <f t="shared" si="41"/>
        <v>1</v>
      </c>
    </row>
    <row r="862" spans="1:26" ht="15.75" customHeight="1" x14ac:dyDescent="0.2">
      <c r="A862" s="2" t="s">
        <v>23</v>
      </c>
      <c r="B862" s="2" t="s">
        <v>24</v>
      </c>
      <c r="C862" s="2" t="s">
        <v>25</v>
      </c>
      <c r="D862" s="2" t="s">
        <v>25</v>
      </c>
      <c r="E862" s="2">
        <v>165</v>
      </c>
      <c r="F862" s="2">
        <v>134.66666670000001</v>
      </c>
      <c r="G862" s="2">
        <v>585</v>
      </c>
      <c r="H862" s="2">
        <v>1624</v>
      </c>
      <c r="I862" s="2">
        <v>2584</v>
      </c>
      <c r="J862" s="2">
        <v>1.19</v>
      </c>
      <c r="K862" s="2">
        <v>5.63</v>
      </c>
      <c r="L862" s="2">
        <v>11.62</v>
      </c>
      <c r="M862" s="2">
        <v>14.72</v>
      </c>
      <c r="N862" s="2">
        <v>0.33208405800000002</v>
      </c>
      <c r="O862" s="2">
        <v>0.25051974300000002</v>
      </c>
      <c r="P862" s="2">
        <v>1.546663409</v>
      </c>
      <c r="Q862" s="2">
        <v>1.537747988</v>
      </c>
      <c r="R862" s="2">
        <v>1.464069037</v>
      </c>
      <c r="S862" s="2">
        <v>1.449961169</v>
      </c>
      <c r="T862" s="2">
        <v>0.49866778099999998</v>
      </c>
      <c r="U862" s="2">
        <v>0.51213424200000002</v>
      </c>
      <c r="V862" s="2">
        <v>2.2648016910000002</v>
      </c>
      <c r="W862" s="2">
        <v>0.155606725</v>
      </c>
      <c r="X862">
        <f t="shared" si="39"/>
        <v>1</v>
      </c>
      <c r="Y862">
        <f t="shared" si="40"/>
        <v>1</v>
      </c>
      <c r="Z862">
        <f t="shared" si="41"/>
        <v>0</v>
      </c>
    </row>
    <row r="863" spans="1:26" ht="15.75" customHeight="1" x14ac:dyDescent="0.2">
      <c r="A863" s="2" t="s">
        <v>23</v>
      </c>
      <c r="B863" s="2" t="s">
        <v>24</v>
      </c>
      <c r="C863" s="2" t="s">
        <v>30</v>
      </c>
      <c r="D863" s="2" t="s">
        <v>31</v>
      </c>
      <c r="E863" s="2">
        <v>102</v>
      </c>
      <c r="F863" s="2">
        <v>133.33333329999999</v>
      </c>
      <c r="G863" s="2">
        <v>516.33333330000005</v>
      </c>
      <c r="H863" s="2">
        <v>1393</v>
      </c>
      <c r="I863" s="2">
        <v>2761.666667</v>
      </c>
      <c r="J863" s="2">
        <v>1.18</v>
      </c>
      <c r="K863" s="2">
        <v>5.0599999999999996</v>
      </c>
      <c r="L863" s="2">
        <v>10.61</v>
      </c>
      <c r="M863" s="2">
        <v>15.15</v>
      </c>
      <c r="N863" s="2">
        <v>2.1640976520000001</v>
      </c>
      <c r="O863" s="2">
        <v>2.293652485</v>
      </c>
      <c r="P863" s="2">
        <v>1.0278100610000001</v>
      </c>
      <c r="Q863" s="2">
        <v>1.008882703</v>
      </c>
      <c r="R863" s="2">
        <v>0.891534143</v>
      </c>
      <c r="S863" s="2">
        <v>0.87742627500000003</v>
      </c>
      <c r="T863" s="2">
        <v>0.51142975300000004</v>
      </c>
      <c r="U863" s="2">
        <v>0.497963292</v>
      </c>
      <c r="V863" s="2">
        <v>1.692266797</v>
      </c>
      <c r="W863" s="2">
        <v>0.12445743400000001</v>
      </c>
      <c r="X863">
        <f t="shared" si="39"/>
        <v>1</v>
      </c>
      <c r="Y863">
        <f t="shared" si="40"/>
        <v>1</v>
      </c>
      <c r="Z863">
        <f t="shared" si="41"/>
        <v>1</v>
      </c>
    </row>
    <row r="864" spans="1:26" ht="15.75" customHeight="1" x14ac:dyDescent="0.2">
      <c r="A864" s="2" t="s">
        <v>23</v>
      </c>
      <c r="B864" s="2" t="s">
        <v>24</v>
      </c>
      <c r="C864" s="2" t="s">
        <v>25</v>
      </c>
      <c r="D864" s="2" t="s">
        <v>25</v>
      </c>
      <c r="E864" s="2">
        <v>149</v>
      </c>
      <c r="F864" s="2">
        <v>153.66666670000001</v>
      </c>
      <c r="G864" s="2">
        <v>621.66666669999995</v>
      </c>
      <c r="H864" s="2">
        <v>1334.666667</v>
      </c>
      <c r="I864" s="2">
        <v>2317.666667</v>
      </c>
      <c r="J864" s="2">
        <v>1.42</v>
      </c>
      <c r="K864" s="2">
        <v>5.93</v>
      </c>
      <c r="L864" s="2">
        <v>10.33</v>
      </c>
      <c r="M864" s="2">
        <v>14</v>
      </c>
      <c r="N864" s="2">
        <v>0.26593267999999998</v>
      </c>
      <c r="O864" s="2">
        <v>0.16638469</v>
      </c>
      <c r="P864" s="2">
        <v>1.5246027660000001</v>
      </c>
      <c r="Q864" s="2">
        <v>1.615028951</v>
      </c>
      <c r="R864" s="2">
        <v>1.4820232390000001</v>
      </c>
      <c r="S864" s="2">
        <v>1.542880797</v>
      </c>
      <c r="T864" s="2">
        <v>0.35779982300000002</v>
      </c>
      <c r="U864" s="2">
        <v>0.47732311700000002</v>
      </c>
      <c r="V864" s="2">
        <v>2.4775401119999998</v>
      </c>
      <c r="W864" s="2">
        <v>8.9209337E-2</v>
      </c>
      <c r="X864">
        <f t="shared" si="39"/>
        <v>1</v>
      </c>
      <c r="Y864">
        <f t="shared" si="40"/>
        <v>1</v>
      </c>
      <c r="Z864">
        <f t="shared" si="41"/>
        <v>0</v>
      </c>
    </row>
    <row r="865" spans="1:26" ht="15.75" customHeight="1" x14ac:dyDescent="0.2">
      <c r="A865" s="2" t="s">
        <v>23</v>
      </c>
      <c r="B865" s="2" t="s">
        <v>24</v>
      </c>
      <c r="C865" s="2" t="s">
        <v>26</v>
      </c>
      <c r="D865" s="2" t="s">
        <v>26</v>
      </c>
      <c r="E865" s="2">
        <v>180</v>
      </c>
      <c r="F865" s="2">
        <v>153</v>
      </c>
      <c r="G865" s="2">
        <v>502</v>
      </c>
      <c r="H865" s="2">
        <v>1139</v>
      </c>
      <c r="I865" s="2">
        <v>2441</v>
      </c>
      <c r="J865" s="2">
        <v>1.41</v>
      </c>
      <c r="K865" s="2">
        <v>4.9400000000000004</v>
      </c>
      <c r="L865" s="2">
        <v>9.32</v>
      </c>
      <c r="M865" s="2">
        <v>14.34</v>
      </c>
      <c r="N865" s="2">
        <v>0.47176647799999999</v>
      </c>
      <c r="O865" s="2">
        <v>0.98926498500000004</v>
      </c>
      <c r="P865" s="2">
        <v>1.4510266080000001</v>
      </c>
      <c r="Q865" s="2">
        <v>1.584200601</v>
      </c>
      <c r="R865" s="2">
        <v>0.49270079100000003</v>
      </c>
      <c r="S865" s="2">
        <v>0.55355834999999998</v>
      </c>
      <c r="T865" s="2">
        <v>1.3648165249999999</v>
      </c>
      <c r="U865" s="2">
        <v>1.4843398189999999</v>
      </c>
      <c r="V865" s="2">
        <v>1.488217664</v>
      </c>
      <c r="W865" s="2">
        <v>7.9802841999999999E-2</v>
      </c>
      <c r="X865">
        <f t="shared" si="39"/>
        <v>1</v>
      </c>
      <c r="Y865">
        <f t="shared" si="40"/>
        <v>1</v>
      </c>
      <c r="Z865">
        <f t="shared" si="41"/>
        <v>0</v>
      </c>
    </row>
    <row r="866" spans="1:26" ht="15.75" customHeight="1" x14ac:dyDescent="0.2">
      <c r="A866" s="2" t="s">
        <v>23</v>
      </c>
      <c r="B866" s="2" t="s">
        <v>24</v>
      </c>
      <c r="C866" s="2" t="s">
        <v>27</v>
      </c>
      <c r="D866" s="2" t="s">
        <v>27</v>
      </c>
      <c r="E866" s="2">
        <v>160</v>
      </c>
      <c r="F866" s="2">
        <v>160.66666670000001</v>
      </c>
      <c r="G866" s="2">
        <v>415.66666670000001</v>
      </c>
      <c r="H866" s="2">
        <v>1659.333333</v>
      </c>
      <c r="I866" s="2">
        <v>2507</v>
      </c>
      <c r="J866" s="2">
        <v>1.5</v>
      </c>
      <c r="K866" s="2">
        <v>4.16</v>
      </c>
      <c r="L866" s="2">
        <v>11.76</v>
      </c>
      <c r="M866" s="2">
        <v>14.52</v>
      </c>
      <c r="N866" s="2">
        <v>0.23299266900000001</v>
      </c>
      <c r="O866" s="2">
        <v>0.39196366799999999</v>
      </c>
      <c r="P866" s="2">
        <v>1.10958585</v>
      </c>
      <c r="Q866" s="2">
        <v>0.97890658100000005</v>
      </c>
      <c r="R866" s="2">
        <v>0.28293500199999999</v>
      </c>
      <c r="S866" s="2">
        <v>0.22207744300000001</v>
      </c>
      <c r="T866" s="2">
        <v>1.0729065870000001</v>
      </c>
      <c r="U866" s="2">
        <v>0.95338329300000002</v>
      </c>
      <c r="V866" s="2">
        <v>0.71258187100000003</v>
      </c>
      <c r="W866" s="2">
        <v>5.2180827999999999E-2</v>
      </c>
      <c r="X866">
        <f t="shared" si="39"/>
        <v>1</v>
      </c>
      <c r="Y866">
        <f t="shared" si="40"/>
        <v>1</v>
      </c>
      <c r="Z866">
        <f t="shared" si="41"/>
        <v>0</v>
      </c>
    </row>
    <row r="867" spans="1:26" ht="15.75" customHeight="1" x14ac:dyDescent="0.2">
      <c r="A867" s="2" t="s">
        <v>23</v>
      </c>
      <c r="B867" s="2" t="s">
        <v>24</v>
      </c>
      <c r="C867" s="2" t="s">
        <v>28</v>
      </c>
      <c r="D867" s="2" t="s">
        <v>29</v>
      </c>
      <c r="E867" s="2">
        <v>174</v>
      </c>
      <c r="F867" s="2">
        <v>137.33333329999999</v>
      </c>
      <c r="G867" s="2">
        <v>576.66666669999995</v>
      </c>
      <c r="H867" s="2">
        <v>1485</v>
      </c>
      <c r="I867" s="2">
        <v>2200</v>
      </c>
      <c r="J867" s="2">
        <v>1.23</v>
      </c>
      <c r="K867" s="2">
        <v>5.56</v>
      </c>
      <c r="L867" s="2">
        <v>11.03</v>
      </c>
      <c r="M867" s="2">
        <v>13.65</v>
      </c>
      <c r="N867" s="2">
        <v>2.2862359680000002</v>
      </c>
      <c r="O867" s="2">
        <v>2.804430467</v>
      </c>
      <c r="P867" s="2">
        <v>1.1708518990000001</v>
      </c>
      <c r="Q867" s="2">
        <v>1.2018629759999999</v>
      </c>
      <c r="R867" s="2">
        <v>1.1209445730000001</v>
      </c>
      <c r="S867" s="2">
        <v>1.181802131</v>
      </c>
      <c r="T867" s="2">
        <v>0.33819733200000002</v>
      </c>
      <c r="U867" s="2">
        <v>0.21867403799999999</v>
      </c>
      <c r="V867" s="2">
        <v>2.1164614450000001</v>
      </c>
      <c r="W867" s="2">
        <v>4.3959063E-2</v>
      </c>
      <c r="X867">
        <f t="shared" si="39"/>
        <v>1</v>
      </c>
      <c r="Y867">
        <f t="shared" si="40"/>
        <v>1</v>
      </c>
      <c r="Z867">
        <f t="shared" si="41"/>
        <v>1</v>
      </c>
    </row>
    <row r="868" spans="1:26" ht="15.75" customHeight="1" x14ac:dyDescent="0.2">
      <c r="A868" s="2" t="s">
        <v>23</v>
      </c>
      <c r="B868" s="2" t="s">
        <v>24</v>
      </c>
      <c r="C868" s="2" t="s">
        <v>30</v>
      </c>
      <c r="D868" s="2" t="s">
        <v>31</v>
      </c>
      <c r="E868" s="2">
        <v>139</v>
      </c>
      <c r="F868" s="2">
        <v>130.33333329999999</v>
      </c>
      <c r="G868" s="2">
        <v>600.66666669999995</v>
      </c>
      <c r="H868" s="2">
        <v>1258.333333</v>
      </c>
      <c r="I868" s="2">
        <v>2201.666667</v>
      </c>
      <c r="J868" s="2">
        <v>1.1399999999999999</v>
      </c>
      <c r="K868" s="2">
        <v>5.76</v>
      </c>
      <c r="L868" s="2">
        <v>9.9499999999999993</v>
      </c>
      <c r="M868" s="2">
        <v>13.65</v>
      </c>
      <c r="N868" s="2">
        <v>2.5111809869999999</v>
      </c>
      <c r="O868" s="2">
        <v>2.7445874429999999</v>
      </c>
      <c r="P868" s="2">
        <v>1.5070878299999999</v>
      </c>
      <c r="Q868" s="2">
        <v>1.620287118</v>
      </c>
      <c r="R868" s="2">
        <v>1.315099169</v>
      </c>
      <c r="S868" s="2">
        <v>1.375956728</v>
      </c>
      <c r="T868" s="2">
        <v>0.73608960199999995</v>
      </c>
      <c r="U868" s="2">
        <v>0.85561289600000001</v>
      </c>
      <c r="V868" s="2">
        <v>2.3106160419999999</v>
      </c>
      <c r="W868" s="2">
        <v>4.3622137999999998E-2</v>
      </c>
      <c r="X868">
        <f t="shared" si="39"/>
        <v>1</v>
      </c>
      <c r="Y868">
        <f t="shared" si="40"/>
        <v>1</v>
      </c>
      <c r="Z868">
        <f t="shared" si="41"/>
        <v>1</v>
      </c>
    </row>
    <row r="869" spans="1:26" ht="15.75" customHeight="1" x14ac:dyDescent="0.2">
      <c r="A869" s="2" t="s">
        <v>23</v>
      </c>
      <c r="B869" s="2" t="s">
        <v>24</v>
      </c>
      <c r="C869" s="2" t="s">
        <v>26</v>
      </c>
      <c r="D869" s="2" t="s">
        <v>26</v>
      </c>
      <c r="E869" s="2">
        <v>170</v>
      </c>
      <c r="F869" s="2">
        <v>143.33333329999999</v>
      </c>
      <c r="G869" s="2">
        <v>477.66666670000001</v>
      </c>
      <c r="H869" s="2">
        <v>1090.333333</v>
      </c>
      <c r="I869" s="2">
        <v>2278.666667</v>
      </c>
      <c r="J869" s="2">
        <v>1.3</v>
      </c>
      <c r="K869" s="2">
        <v>4.72</v>
      </c>
      <c r="L869" s="2">
        <v>9.0500000000000007</v>
      </c>
      <c r="M869" s="2">
        <v>13.88</v>
      </c>
      <c r="N869" s="2">
        <v>0.16259573299999999</v>
      </c>
      <c r="O869" s="2">
        <v>0.66861742000000002</v>
      </c>
      <c r="P869" s="2">
        <v>1.659084169</v>
      </c>
      <c r="Q869" s="2">
        <v>1.787599191</v>
      </c>
      <c r="R869" s="2">
        <v>0.27964559900000002</v>
      </c>
      <c r="S869" s="2">
        <v>0.340503157</v>
      </c>
      <c r="T869" s="2">
        <v>1.6353466350000001</v>
      </c>
      <c r="U869" s="2">
        <v>1.7548699290000001</v>
      </c>
      <c r="V869" s="2">
        <v>1.2751624720000001</v>
      </c>
      <c r="W869" s="2">
        <v>7.5508687000000005E-2</v>
      </c>
      <c r="X869">
        <f t="shared" si="39"/>
        <v>1</v>
      </c>
      <c r="Y869">
        <f t="shared" si="40"/>
        <v>1</v>
      </c>
      <c r="Z869">
        <f t="shared" si="41"/>
        <v>0</v>
      </c>
    </row>
    <row r="870" spans="1:26" ht="15.75" customHeight="1" x14ac:dyDescent="0.2">
      <c r="A870" s="2" t="s">
        <v>23</v>
      </c>
      <c r="B870" s="2" t="s">
        <v>24</v>
      </c>
      <c r="C870" s="2" t="s">
        <v>28</v>
      </c>
      <c r="D870" s="2" t="s">
        <v>29</v>
      </c>
      <c r="E870" s="2">
        <v>132</v>
      </c>
      <c r="F870" s="2">
        <v>144.66666670000001</v>
      </c>
      <c r="G870" s="2">
        <v>561.66666669999995</v>
      </c>
      <c r="H870" s="2">
        <v>1323.333333</v>
      </c>
      <c r="I870" s="2">
        <v>2235</v>
      </c>
      <c r="J870" s="2">
        <v>1.31</v>
      </c>
      <c r="K870" s="2">
        <v>5.44</v>
      </c>
      <c r="L870" s="2">
        <v>10.28</v>
      </c>
      <c r="M870" s="2">
        <v>13.75</v>
      </c>
      <c r="N870" s="2">
        <v>1.548544838</v>
      </c>
      <c r="O870" s="2">
        <v>2.0629184249999999</v>
      </c>
      <c r="P870" s="2">
        <v>1.079766357</v>
      </c>
      <c r="Q870" s="2">
        <v>1.184910862</v>
      </c>
      <c r="R870" s="2">
        <v>0.997721207</v>
      </c>
      <c r="S870" s="2">
        <v>1.0585787659999999</v>
      </c>
      <c r="T870" s="2">
        <v>0.41285321600000002</v>
      </c>
      <c r="U870" s="2">
        <v>0.53237650999999997</v>
      </c>
      <c r="V870" s="2">
        <v>1.99323808</v>
      </c>
      <c r="W870" s="2">
        <v>4.5099686999999999E-2</v>
      </c>
      <c r="X870">
        <f t="shared" si="39"/>
        <v>1</v>
      </c>
      <c r="Y870">
        <f t="shared" si="40"/>
        <v>1</v>
      </c>
      <c r="Z870">
        <f t="shared" si="41"/>
        <v>1</v>
      </c>
    </row>
    <row r="871" spans="1:26" ht="15.75" customHeight="1" x14ac:dyDescent="0.2">
      <c r="A871" s="2" t="s">
        <v>23</v>
      </c>
      <c r="B871" s="2" t="s">
        <v>24</v>
      </c>
      <c r="C871" s="2" t="s">
        <v>32</v>
      </c>
      <c r="D871" s="2" t="s">
        <v>33</v>
      </c>
      <c r="E871" s="2">
        <v>171</v>
      </c>
      <c r="F871" s="2">
        <v>153</v>
      </c>
      <c r="G871" s="2">
        <v>691</v>
      </c>
      <c r="H871" s="2">
        <v>973.33333330000005</v>
      </c>
      <c r="I871" s="2">
        <v>2170.666667</v>
      </c>
      <c r="J871" s="2">
        <v>1.41</v>
      </c>
      <c r="K871" s="2">
        <v>6.46</v>
      </c>
      <c r="L871" s="2">
        <v>8.3699999999999992</v>
      </c>
      <c r="M871" s="2">
        <v>13.56</v>
      </c>
      <c r="N871" s="2">
        <v>2.244745617</v>
      </c>
      <c r="O871" s="2">
        <v>2.1921109109999999</v>
      </c>
      <c r="P871" s="2">
        <v>3.0743246110000002</v>
      </c>
      <c r="Q871" s="2">
        <v>3.2046553449999999</v>
      </c>
      <c r="R871" s="2">
        <v>2.014358299</v>
      </c>
      <c r="S871" s="2">
        <v>2.075215858</v>
      </c>
      <c r="T871" s="2">
        <v>2.3224625840000002</v>
      </c>
      <c r="U871" s="2">
        <v>2.441985877</v>
      </c>
      <c r="V871" s="2">
        <v>3.0098751720000001</v>
      </c>
      <c r="W871" s="2">
        <v>4.7874194000000002E-2</v>
      </c>
      <c r="X871">
        <f t="shared" si="39"/>
        <v>1</v>
      </c>
      <c r="Y871">
        <f t="shared" si="40"/>
        <v>1</v>
      </c>
      <c r="Z871">
        <f t="shared" si="41"/>
        <v>1</v>
      </c>
    </row>
    <row r="872" spans="1:26" ht="15.75" customHeight="1" x14ac:dyDescent="0.2">
      <c r="A872" s="2" t="s">
        <v>23</v>
      </c>
      <c r="B872" s="2" t="s">
        <v>24</v>
      </c>
      <c r="C872" s="2" t="s">
        <v>32</v>
      </c>
      <c r="D872" s="2" t="s">
        <v>33</v>
      </c>
      <c r="E872" s="2">
        <v>168</v>
      </c>
      <c r="F872" s="2">
        <v>142.66666670000001</v>
      </c>
      <c r="G872" s="2">
        <v>662</v>
      </c>
      <c r="H872" s="2">
        <v>1055.333333</v>
      </c>
      <c r="I872" s="2">
        <v>2126.333333</v>
      </c>
      <c r="J872" s="2">
        <v>1.29</v>
      </c>
      <c r="K872" s="2">
        <v>6.24</v>
      </c>
      <c r="L872" s="2">
        <v>8.85</v>
      </c>
      <c r="M872" s="2">
        <v>13.42</v>
      </c>
      <c r="N872" s="2">
        <v>1.7128534529999999</v>
      </c>
      <c r="O872" s="2">
        <v>1.663997707</v>
      </c>
      <c r="P872" s="2">
        <v>2.567257782</v>
      </c>
      <c r="Q872" s="2">
        <v>2.6955554099999999</v>
      </c>
      <c r="R872" s="2">
        <v>1.7951240159999999</v>
      </c>
      <c r="S872" s="2">
        <v>1.8559815749999999</v>
      </c>
      <c r="T872" s="2">
        <v>1.835304413</v>
      </c>
      <c r="U872" s="2">
        <v>1.9548277060000001</v>
      </c>
      <c r="V872" s="2">
        <v>2.7906408890000001</v>
      </c>
      <c r="W872" s="2">
        <v>6.2327404000000003E-2</v>
      </c>
      <c r="X872">
        <f t="shared" si="39"/>
        <v>1</v>
      </c>
      <c r="Y872">
        <f t="shared" si="40"/>
        <v>1</v>
      </c>
      <c r="Z872">
        <f t="shared" si="41"/>
        <v>1</v>
      </c>
    </row>
    <row r="873" spans="1:26" ht="15.75" customHeight="1" x14ac:dyDescent="0.2">
      <c r="A873" s="2" t="s">
        <v>23</v>
      </c>
      <c r="B873" s="2" t="s">
        <v>24</v>
      </c>
      <c r="C873" s="2" t="s">
        <v>25</v>
      </c>
      <c r="D873" s="2" t="s">
        <v>25</v>
      </c>
      <c r="E873" s="2">
        <v>129</v>
      </c>
      <c r="F873" s="2">
        <v>160.33333329999999</v>
      </c>
      <c r="G873" s="2">
        <v>575</v>
      </c>
      <c r="H873" s="2">
        <v>1425.333333</v>
      </c>
      <c r="I873" s="2">
        <v>2283.666667</v>
      </c>
      <c r="J873" s="2">
        <v>1.5</v>
      </c>
      <c r="K873" s="2">
        <v>5.55</v>
      </c>
      <c r="L873" s="2">
        <v>10.76</v>
      </c>
      <c r="M873" s="2">
        <v>13.9</v>
      </c>
      <c r="N873" s="2">
        <v>0.31732317199999999</v>
      </c>
      <c r="O873" s="2">
        <v>0.40293758000000002</v>
      </c>
      <c r="P873" s="2">
        <v>1.1094950690000001</v>
      </c>
      <c r="Q873" s="2">
        <v>1.169259319</v>
      </c>
      <c r="R873" s="2">
        <v>1.107325101</v>
      </c>
      <c r="S873" s="2">
        <v>1.168182659</v>
      </c>
      <c r="T873" s="2">
        <v>6.9357263000000002E-2</v>
      </c>
      <c r="U873" s="2">
        <v>5.0166031E-2</v>
      </c>
      <c r="V873" s="2">
        <v>2.1028419729999999</v>
      </c>
      <c r="W873" s="2">
        <v>6.8883379999999994E-2</v>
      </c>
      <c r="X873">
        <f t="shared" si="39"/>
        <v>1</v>
      </c>
      <c r="Y873">
        <f t="shared" si="40"/>
        <v>1</v>
      </c>
      <c r="Z873">
        <f t="shared" si="41"/>
        <v>0</v>
      </c>
    </row>
    <row r="874" spans="1:26" ht="15.75" customHeight="1" x14ac:dyDescent="0.2">
      <c r="A874" s="2" t="s">
        <v>23</v>
      </c>
      <c r="B874" s="2" t="s">
        <v>24</v>
      </c>
      <c r="C874" s="2" t="s">
        <v>32</v>
      </c>
      <c r="D874" s="2" t="s">
        <v>33</v>
      </c>
      <c r="E874" s="2">
        <v>120</v>
      </c>
      <c r="F874" s="2">
        <v>149.33333329999999</v>
      </c>
      <c r="G874" s="2">
        <v>634</v>
      </c>
      <c r="H874" s="2">
        <v>1125.666667</v>
      </c>
      <c r="I874" s="2">
        <v>2222.333333</v>
      </c>
      <c r="J874" s="2">
        <v>1.37</v>
      </c>
      <c r="K874" s="2">
        <v>6.02</v>
      </c>
      <c r="L874" s="2">
        <v>9.25</v>
      </c>
      <c r="M874" s="2">
        <v>13.72</v>
      </c>
      <c r="N874" s="2">
        <v>1.2707331049999999</v>
      </c>
      <c r="O874" s="2">
        <v>1.2307973160000001</v>
      </c>
      <c r="P874" s="2">
        <v>2.135578202</v>
      </c>
      <c r="Q874" s="2">
        <v>2.2615518560000001</v>
      </c>
      <c r="R874" s="2">
        <v>1.5787982469999999</v>
      </c>
      <c r="S874" s="2">
        <v>1.6396558050000001</v>
      </c>
      <c r="T874" s="2">
        <v>1.4380856550000001</v>
      </c>
      <c r="U874" s="2">
        <v>1.557608949</v>
      </c>
      <c r="V874" s="2">
        <v>2.5743151200000001</v>
      </c>
      <c r="W874" s="2">
        <v>6.4389759000000005E-2</v>
      </c>
      <c r="X874">
        <f t="shared" si="39"/>
        <v>1</v>
      </c>
      <c r="Y874">
        <f t="shared" si="40"/>
        <v>1</v>
      </c>
      <c r="Z874">
        <f t="shared" si="41"/>
        <v>1</v>
      </c>
    </row>
    <row r="875" spans="1:26" ht="15.75" customHeight="1" x14ac:dyDescent="0.2">
      <c r="A875" s="2" t="s">
        <v>23</v>
      </c>
      <c r="B875" s="2" t="s">
        <v>24</v>
      </c>
      <c r="C875" s="2" t="s">
        <v>32</v>
      </c>
      <c r="D875" s="2" t="s">
        <v>33</v>
      </c>
      <c r="E875" s="2">
        <v>166</v>
      </c>
      <c r="F875" s="2">
        <v>153</v>
      </c>
      <c r="G875" s="2">
        <v>732</v>
      </c>
      <c r="H875" s="2">
        <v>1015.333333</v>
      </c>
      <c r="I875" s="2">
        <v>2228.666667</v>
      </c>
      <c r="J875" s="2">
        <v>1.41</v>
      </c>
      <c r="K875" s="2">
        <v>6.76</v>
      </c>
      <c r="L875" s="2">
        <v>8.6199999999999992</v>
      </c>
      <c r="M875" s="2">
        <v>13.73</v>
      </c>
      <c r="N875" s="2">
        <v>2.139624714</v>
      </c>
      <c r="O875" s="2">
        <v>2.0684440359999998</v>
      </c>
      <c r="P875" s="2">
        <v>3.106156983</v>
      </c>
      <c r="Q875" s="2">
        <v>3.2315400849999998</v>
      </c>
      <c r="R875" s="2">
        <v>2.316250546</v>
      </c>
      <c r="S875" s="2">
        <v>2.3771081039999999</v>
      </c>
      <c r="T875" s="2">
        <v>2.0695880299999998</v>
      </c>
      <c r="U875" s="2">
        <v>2.1891113230000001</v>
      </c>
      <c r="V875" s="2">
        <v>3.3117674180000001</v>
      </c>
      <c r="W875" s="2">
        <v>6.6076477999999994E-2</v>
      </c>
      <c r="X875">
        <f t="shared" si="39"/>
        <v>1</v>
      </c>
      <c r="Y875">
        <f t="shared" si="40"/>
        <v>1</v>
      </c>
      <c r="Z875">
        <f t="shared" si="41"/>
        <v>1</v>
      </c>
    </row>
    <row r="876" spans="1:26" ht="15.75" customHeight="1" x14ac:dyDescent="0.2">
      <c r="A876" s="2" t="s">
        <v>23</v>
      </c>
      <c r="B876" s="2" t="s">
        <v>24</v>
      </c>
      <c r="C876" s="2" t="s">
        <v>25</v>
      </c>
      <c r="D876" s="2" t="s">
        <v>25</v>
      </c>
      <c r="E876" s="2">
        <v>120</v>
      </c>
      <c r="F876" s="2">
        <v>148.66666670000001</v>
      </c>
      <c r="G876" s="2">
        <v>603.66666669999995</v>
      </c>
      <c r="H876" s="2">
        <v>1381.666667</v>
      </c>
      <c r="I876" s="2">
        <v>2431</v>
      </c>
      <c r="J876" s="2">
        <v>1.36</v>
      </c>
      <c r="K876" s="2">
        <v>5.78</v>
      </c>
      <c r="L876" s="2">
        <v>10.56</v>
      </c>
      <c r="M876" s="2">
        <v>14.31</v>
      </c>
      <c r="N876" s="2">
        <v>0.10616178699999999</v>
      </c>
      <c r="O876" s="2">
        <v>0.100275136</v>
      </c>
      <c r="P876" s="2">
        <v>1.3457485220000001</v>
      </c>
      <c r="Q876" s="2">
        <v>1.4226474330000001</v>
      </c>
      <c r="R876" s="2">
        <v>1.3391128940000001</v>
      </c>
      <c r="S876" s="2">
        <v>1.3999704529999999</v>
      </c>
      <c r="T876" s="2">
        <v>0.13347561999999999</v>
      </c>
      <c r="U876" s="2">
        <v>0.25299891299999999</v>
      </c>
      <c r="V876" s="2">
        <v>2.334629767</v>
      </c>
      <c r="W876" s="2">
        <v>7.2433985000000006E-2</v>
      </c>
      <c r="X876">
        <f t="shared" si="39"/>
        <v>1</v>
      </c>
      <c r="Y876">
        <f t="shared" si="40"/>
        <v>1</v>
      </c>
      <c r="Z876">
        <f t="shared" si="41"/>
        <v>0</v>
      </c>
    </row>
    <row r="877" spans="1:26" ht="15.75" customHeight="1" x14ac:dyDescent="0.2">
      <c r="A877" s="2" t="s">
        <v>23</v>
      </c>
      <c r="B877" s="2" t="s">
        <v>24</v>
      </c>
      <c r="C877" s="2" t="s">
        <v>25</v>
      </c>
      <c r="D877" s="2" t="s">
        <v>25</v>
      </c>
      <c r="E877" s="2">
        <v>142</v>
      </c>
      <c r="F877" s="2">
        <v>160.33333329999999</v>
      </c>
      <c r="G877" s="2">
        <v>652.33333330000005</v>
      </c>
      <c r="H877" s="2">
        <v>1456.666667</v>
      </c>
      <c r="I877" s="2">
        <v>2423</v>
      </c>
      <c r="J877" s="2">
        <v>1.5</v>
      </c>
      <c r="K877" s="2">
        <v>6.16</v>
      </c>
      <c r="L877" s="2">
        <v>10.9</v>
      </c>
      <c r="M877" s="2">
        <v>14.29</v>
      </c>
      <c r="N877" s="2">
        <v>0.62085598399999997</v>
      </c>
      <c r="O877" s="2">
        <v>0.54913052299999998</v>
      </c>
      <c r="P877" s="2">
        <v>1.7339370329999999</v>
      </c>
      <c r="Q877" s="2">
        <v>1.784204787</v>
      </c>
      <c r="R877" s="2">
        <v>1.7209642510000001</v>
      </c>
      <c r="S877" s="2">
        <v>1.781821809</v>
      </c>
      <c r="T877" s="2">
        <v>0.211706596</v>
      </c>
      <c r="U877" s="2">
        <v>9.2183301999999995E-2</v>
      </c>
      <c r="V877" s="2">
        <v>2.716481124</v>
      </c>
      <c r="W877" s="2">
        <v>0.107018603</v>
      </c>
      <c r="X877">
        <f t="shared" si="39"/>
        <v>1</v>
      </c>
      <c r="Y877">
        <f t="shared" si="40"/>
        <v>1</v>
      </c>
      <c r="Z877">
        <f t="shared" si="41"/>
        <v>0</v>
      </c>
    </row>
    <row r="878" spans="1:26" ht="15.75" customHeight="1" x14ac:dyDescent="0.2">
      <c r="A878" s="2" t="s">
        <v>23</v>
      </c>
      <c r="B878" s="2" t="s">
        <v>24</v>
      </c>
      <c r="C878" s="2" t="s">
        <v>27</v>
      </c>
      <c r="D878" s="2" t="s">
        <v>27</v>
      </c>
      <c r="E878" s="2">
        <v>167</v>
      </c>
      <c r="F878" s="2">
        <v>153</v>
      </c>
      <c r="G878" s="2">
        <v>416.66666670000001</v>
      </c>
      <c r="H878" s="2">
        <v>1739.333333</v>
      </c>
      <c r="I878" s="2">
        <v>2502.666667</v>
      </c>
      <c r="J878" s="2">
        <v>1.41</v>
      </c>
      <c r="K878" s="2">
        <v>4.17</v>
      </c>
      <c r="L878" s="2">
        <v>12.08</v>
      </c>
      <c r="M878" s="2">
        <v>14.51</v>
      </c>
      <c r="N878" s="2">
        <v>0.14099458000000001</v>
      </c>
      <c r="O878" s="2">
        <v>9.2987977999999999E-2</v>
      </c>
      <c r="P878" s="2">
        <v>1.413613961</v>
      </c>
      <c r="Q878" s="2">
        <v>1.285091679</v>
      </c>
      <c r="R878" s="2">
        <v>0.273628229</v>
      </c>
      <c r="S878" s="2">
        <v>0.21277067</v>
      </c>
      <c r="T878" s="2">
        <v>1.3868785180000001</v>
      </c>
      <c r="U878" s="2">
        <v>1.2673552239999999</v>
      </c>
      <c r="V878" s="2">
        <v>0.72188864399999997</v>
      </c>
      <c r="W878" s="2">
        <v>4.5694496000000001E-2</v>
      </c>
      <c r="X878">
        <f t="shared" si="39"/>
        <v>1</v>
      </c>
      <c r="Y878">
        <f t="shared" si="40"/>
        <v>1</v>
      </c>
      <c r="Z878">
        <f t="shared" si="41"/>
        <v>0</v>
      </c>
    </row>
    <row r="879" spans="1:26" ht="15.75" customHeight="1" x14ac:dyDescent="0.2">
      <c r="A879" s="2" t="s">
        <v>23</v>
      </c>
      <c r="B879" s="2" t="s">
        <v>24</v>
      </c>
      <c r="C879" s="2" t="s">
        <v>30</v>
      </c>
      <c r="D879" s="2" t="s">
        <v>31</v>
      </c>
      <c r="E879" s="2">
        <v>161</v>
      </c>
      <c r="F879" s="2">
        <v>145</v>
      </c>
      <c r="G879" s="2">
        <v>675.33333330000005</v>
      </c>
      <c r="H879" s="2">
        <v>1208.333333</v>
      </c>
      <c r="I879" s="2">
        <v>2213</v>
      </c>
      <c r="J879" s="2">
        <v>1.32</v>
      </c>
      <c r="K879" s="2">
        <v>6.34</v>
      </c>
      <c r="L879" s="2">
        <v>9.69</v>
      </c>
      <c r="M879" s="2">
        <v>13.69</v>
      </c>
      <c r="N879" s="2">
        <v>3.0803437699999998</v>
      </c>
      <c r="O879" s="2">
        <v>3.3137356269999998</v>
      </c>
      <c r="P879" s="2">
        <v>2.141108408</v>
      </c>
      <c r="Q879" s="2">
        <v>2.2518268890000002</v>
      </c>
      <c r="R879" s="2">
        <v>1.8965206130000001</v>
      </c>
      <c r="S879" s="2">
        <v>1.9573781720000001</v>
      </c>
      <c r="T879" s="2">
        <v>0.993757907</v>
      </c>
      <c r="U879" s="2">
        <v>1.1132812009999999</v>
      </c>
      <c r="V879" s="2">
        <v>2.892037486</v>
      </c>
      <c r="W879" s="2">
        <v>6.1608292000000002E-2</v>
      </c>
      <c r="X879">
        <f t="shared" si="39"/>
        <v>1</v>
      </c>
      <c r="Y879">
        <f t="shared" si="40"/>
        <v>1</v>
      </c>
      <c r="Z879">
        <f t="shared" si="41"/>
        <v>1</v>
      </c>
    </row>
    <row r="880" spans="1:26" ht="15.75" customHeight="1" x14ac:dyDescent="0.2">
      <c r="A880" s="2" t="s">
        <v>23</v>
      </c>
      <c r="B880" s="2" t="s">
        <v>24</v>
      </c>
      <c r="C880" s="2" t="s">
        <v>28</v>
      </c>
      <c r="D880" s="2" t="s">
        <v>29</v>
      </c>
      <c r="E880" s="2">
        <v>158</v>
      </c>
      <c r="F880" s="2">
        <v>153.33333329999999</v>
      </c>
      <c r="G880" s="2">
        <v>582.33333330000005</v>
      </c>
      <c r="H880" s="2">
        <v>1533.333333</v>
      </c>
      <c r="I880" s="2">
        <v>2237</v>
      </c>
      <c r="J880" s="2">
        <v>1.42</v>
      </c>
      <c r="K880" s="2">
        <v>5.61</v>
      </c>
      <c r="L880" s="2">
        <v>11.24</v>
      </c>
      <c r="M880" s="2">
        <v>13.76</v>
      </c>
      <c r="N880" s="2">
        <v>2.5000266710000001</v>
      </c>
      <c r="O880" s="2">
        <v>3.0184563199999999</v>
      </c>
      <c r="P880" s="2">
        <v>1.289894264</v>
      </c>
      <c r="Q880" s="2">
        <v>1.30099136</v>
      </c>
      <c r="R880" s="2">
        <v>1.167117207</v>
      </c>
      <c r="S880" s="2">
        <v>1.227974766</v>
      </c>
      <c r="T880" s="2">
        <v>0.54924005300000001</v>
      </c>
      <c r="U880" s="2">
        <v>0.42971675999999998</v>
      </c>
      <c r="V880" s="2">
        <v>2.1626340800000001</v>
      </c>
      <c r="W880" s="2">
        <v>5.0996448999999999E-2</v>
      </c>
      <c r="X880">
        <f t="shared" si="39"/>
        <v>1</v>
      </c>
      <c r="Y880">
        <f t="shared" si="40"/>
        <v>1</v>
      </c>
      <c r="Z880">
        <f t="shared" si="41"/>
        <v>1</v>
      </c>
    </row>
    <row r="881" spans="1:26" ht="15.75" customHeight="1" x14ac:dyDescent="0.2">
      <c r="A881" s="2" t="s">
        <v>23</v>
      </c>
      <c r="B881" s="2" t="s">
        <v>24</v>
      </c>
      <c r="C881" s="2" t="s">
        <v>28</v>
      </c>
      <c r="D881" s="2" t="s">
        <v>29</v>
      </c>
      <c r="E881" s="2">
        <v>192</v>
      </c>
      <c r="F881" s="2">
        <v>160.33333329999999</v>
      </c>
      <c r="G881" s="2">
        <v>519.66666669999995</v>
      </c>
      <c r="H881" s="2">
        <v>1399.666667</v>
      </c>
      <c r="I881" s="2">
        <v>2177.666667</v>
      </c>
      <c r="J881" s="2">
        <v>1.5</v>
      </c>
      <c r="K881" s="2">
        <v>5.09</v>
      </c>
      <c r="L881" s="2">
        <v>10.64</v>
      </c>
      <c r="M881" s="2">
        <v>13.58</v>
      </c>
      <c r="N881" s="2">
        <v>1.780433433</v>
      </c>
      <c r="O881" s="2">
        <v>2.2961498159999998</v>
      </c>
      <c r="P881" s="2">
        <v>0.64664113099999998</v>
      </c>
      <c r="Q881" s="2">
        <v>0.72551996399999996</v>
      </c>
      <c r="R881" s="2">
        <v>0.644764699</v>
      </c>
      <c r="S881" s="2">
        <v>0.705622258</v>
      </c>
      <c r="T881" s="2">
        <v>4.9226364000000002E-2</v>
      </c>
      <c r="U881" s="2">
        <v>0.168749657</v>
      </c>
      <c r="V881" s="2">
        <v>1.6402815719999999</v>
      </c>
      <c r="W881" s="2">
        <v>6.6872420000000002E-2</v>
      </c>
      <c r="X881">
        <f t="shared" si="39"/>
        <v>1</v>
      </c>
      <c r="Y881">
        <f t="shared" si="40"/>
        <v>1</v>
      </c>
      <c r="Z881">
        <f t="shared" si="41"/>
        <v>1</v>
      </c>
    </row>
    <row r="882" spans="1:26" ht="15.75" customHeight="1" x14ac:dyDescent="0.2">
      <c r="A882" s="2" t="s">
        <v>23</v>
      </c>
      <c r="B882" s="2" t="s">
        <v>24</v>
      </c>
      <c r="C882" s="2" t="s">
        <v>32</v>
      </c>
      <c r="D882" s="2" t="s">
        <v>33</v>
      </c>
      <c r="E882" s="2">
        <v>197</v>
      </c>
      <c r="F882" s="2">
        <v>147</v>
      </c>
      <c r="G882" s="2">
        <v>769</v>
      </c>
      <c r="H882" s="2">
        <v>1238.333333</v>
      </c>
      <c r="I882" s="2">
        <v>2260.333333</v>
      </c>
      <c r="J882" s="2">
        <v>1.34</v>
      </c>
      <c r="K882" s="2">
        <v>7.02</v>
      </c>
      <c r="L882" s="2">
        <v>9.85</v>
      </c>
      <c r="M882" s="2">
        <v>13.83</v>
      </c>
      <c r="N882" s="2">
        <v>1.4613245479999999</v>
      </c>
      <c r="O882" s="2">
        <v>1.345036098</v>
      </c>
      <c r="P882" s="2">
        <v>2.7135997010000001</v>
      </c>
      <c r="Q882" s="2">
        <v>2.8100025290000001</v>
      </c>
      <c r="R882" s="2">
        <v>2.5809030559999999</v>
      </c>
      <c r="S882" s="2">
        <v>2.6417606149999999</v>
      </c>
      <c r="T882" s="2">
        <v>0.83819016499999999</v>
      </c>
      <c r="U882" s="2">
        <v>0.95771345799999996</v>
      </c>
      <c r="V882" s="2">
        <v>3.5764199290000001</v>
      </c>
      <c r="W882" s="2">
        <v>5.8431689000000002E-2</v>
      </c>
      <c r="X882">
        <f t="shared" si="39"/>
        <v>1</v>
      </c>
      <c r="Y882">
        <f t="shared" si="40"/>
        <v>1</v>
      </c>
      <c r="Z882">
        <f t="shared" si="41"/>
        <v>1</v>
      </c>
    </row>
    <row r="883" spans="1:26" ht="15.75" customHeight="1" x14ac:dyDescent="0.2">
      <c r="A883" s="2" t="s">
        <v>23</v>
      </c>
      <c r="B883" s="2" t="s">
        <v>24</v>
      </c>
      <c r="C883" s="2" t="s">
        <v>26</v>
      </c>
      <c r="D883" s="2" t="s">
        <v>26</v>
      </c>
      <c r="E883" s="2">
        <v>160</v>
      </c>
      <c r="F883" s="2">
        <v>152</v>
      </c>
      <c r="G883" s="2">
        <v>517.66666669999995</v>
      </c>
      <c r="H883" s="2">
        <v>1640.333333</v>
      </c>
      <c r="I883" s="2">
        <v>2695</v>
      </c>
      <c r="J883" s="2">
        <v>1.4</v>
      </c>
      <c r="K883" s="2">
        <v>5.07</v>
      </c>
      <c r="L883" s="2">
        <v>11.68</v>
      </c>
      <c r="M883" s="2">
        <v>14.99</v>
      </c>
      <c r="N883" s="2">
        <v>2.8115763220000001</v>
      </c>
      <c r="O883" s="2">
        <v>3.321555837</v>
      </c>
      <c r="P883" s="2">
        <v>1.1775164279999999</v>
      </c>
      <c r="Q883" s="2">
        <v>1.1147962849999999</v>
      </c>
      <c r="R883" s="2">
        <v>0.62765876899999995</v>
      </c>
      <c r="S883" s="2">
        <v>0.68851632799999996</v>
      </c>
      <c r="T883" s="2">
        <v>0.99628781399999999</v>
      </c>
      <c r="U883" s="2">
        <v>0.87676452000000005</v>
      </c>
      <c r="V883" s="2">
        <v>1.6231756420000001</v>
      </c>
      <c r="W883" s="2">
        <v>5.7368152999999998E-2</v>
      </c>
      <c r="X883">
        <f t="shared" si="39"/>
        <v>1</v>
      </c>
      <c r="Y883">
        <f t="shared" si="40"/>
        <v>1</v>
      </c>
      <c r="Z883">
        <f t="shared" si="41"/>
        <v>0</v>
      </c>
    </row>
    <row r="884" spans="1:26" ht="15.75" customHeight="1" x14ac:dyDescent="0.2">
      <c r="A884" s="2" t="s">
        <v>23</v>
      </c>
      <c r="B884" s="2" t="s">
        <v>24</v>
      </c>
      <c r="C884" s="2" t="s">
        <v>25</v>
      </c>
      <c r="D884" s="2" t="s">
        <v>25</v>
      </c>
      <c r="E884" s="2">
        <v>117</v>
      </c>
      <c r="F884" s="2">
        <v>142.33333329999999</v>
      </c>
      <c r="G884" s="2">
        <v>590.66666669999995</v>
      </c>
      <c r="H884" s="2">
        <v>1306</v>
      </c>
      <c r="I884" s="2">
        <v>2385</v>
      </c>
      <c r="J884" s="2">
        <v>1.29</v>
      </c>
      <c r="K884" s="2">
        <v>5.68</v>
      </c>
      <c r="L884" s="2">
        <v>10.19</v>
      </c>
      <c r="M884" s="2">
        <v>14.19</v>
      </c>
      <c r="N884" s="2">
        <v>0.29188082199999998</v>
      </c>
      <c r="O884" s="2">
        <v>0.31353992800000002</v>
      </c>
      <c r="P884" s="2">
        <v>1.331219677</v>
      </c>
      <c r="Q884" s="2">
        <v>1.4350629530000001</v>
      </c>
      <c r="R884" s="2">
        <v>1.2346454490000001</v>
      </c>
      <c r="S884" s="2">
        <v>1.295503007</v>
      </c>
      <c r="T884" s="2">
        <v>0.49779156600000002</v>
      </c>
      <c r="U884" s="2">
        <v>0.61731485900000005</v>
      </c>
      <c r="V884" s="2">
        <v>2.230162322</v>
      </c>
      <c r="W884" s="2">
        <v>7.9485806000000006E-2</v>
      </c>
      <c r="X884">
        <f t="shared" si="39"/>
        <v>1</v>
      </c>
      <c r="Y884">
        <f t="shared" si="40"/>
        <v>1</v>
      </c>
      <c r="Z884">
        <f t="shared" si="41"/>
        <v>0</v>
      </c>
    </row>
    <row r="885" spans="1:26" ht="15.75" customHeight="1" x14ac:dyDescent="0.2">
      <c r="A885" s="2" t="s">
        <v>23</v>
      </c>
      <c r="B885" s="2" t="s">
        <v>24</v>
      </c>
      <c r="C885" s="2" t="s">
        <v>30</v>
      </c>
      <c r="D885" s="2" t="s">
        <v>31</v>
      </c>
      <c r="E885" s="2">
        <v>190</v>
      </c>
      <c r="F885" s="2">
        <v>153.66666670000001</v>
      </c>
      <c r="G885" s="2">
        <v>712.33333330000005</v>
      </c>
      <c r="H885" s="2">
        <v>1237.666667</v>
      </c>
      <c r="I885" s="2">
        <v>2229</v>
      </c>
      <c r="J885" s="2">
        <v>1.42</v>
      </c>
      <c r="K885" s="2">
        <v>6.62</v>
      </c>
      <c r="L885" s="2">
        <v>9.85</v>
      </c>
      <c r="M885" s="2">
        <v>13.74</v>
      </c>
      <c r="N885" s="2">
        <v>3.1688869639999999</v>
      </c>
      <c r="O885" s="2">
        <v>3.4001751499999999</v>
      </c>
      <c r="P885" s="2">
        <v>2.3299124629999999</v>
      </c>
      <c r="Q885" s="2">
        <v>2.431481995</v>
      </c>
      <c r="R885" s="2">
        <v>2.1725964680000001</v>
      </c>
      <c r="S885" s="2">
        <v>2.2334540270000001</v>
      </c>
      <c r="T885" s="2">
        <v>0.84161551300000004</v>
      </c>
      <c r="U885" s="2">
        <v>0.96113880600000001</v>
      </c>
      <c r="V885" s="2">
        <v>3.1681133410000002</v>
      </c>
      <c r="W885" s="2">
        <v>7.4529948999999998E-2</v>
      </c>
      <c r="X885">
        <f t="shared" si="39"/>
        <v>1</v>
      </c>
      <c r="Y885">
        <f t="shared" si="40"/>
        <v>1</v>
      </c>
      <c r="Z885">
        <f t="shared" si="41"/>
        <v>1</v>
      </c>
    </row>
    <row r="886" spans="1:26" ht="15.75" customHeight="1" x14ac:dyDescent="0.2">
      <c r="A886" s="2" t="s">
        <v>23</v>
      </c>
      <c r="B886" s="2" t="s">
        <v>24</v>
      </c>
      <c r="C886" s="2" t="s">
        <v>27</v>
      </c>
      <c r="D886" s="2" t="s">
        <v>27</v>
      </c>
      <c r="E886" s="2">
        <v>167</v>
      </c>
      <c r="F886" s="2">
        <v>152.66666670000001</v>
      </c>
      <c r="G886" s="2">
        <v>422.66666670000001</v>
      </c>
      <c r="H886" s="2">
        <v>1693</v>
      </c>
      <c r="I886" s="2">
        <v>2473.666667</v>
      </c>
      <c r="J886" s="2">
        <v>1.41</v>
      </c>
      <c r="K886" s="2">
        <v>4.2300000000000004</v>
      </c>
      <c r="L886" s="2">
        <v>11.9</v>
      </c>
      <c r="M886" s="2">
        <v>14.43</v>
      </c>
      <c r="N886" s="2">
        <v>8.4252235999999994E-2</v>
      </c>
      <c r="O886" s="2">
        <v>0.278266495</v>
      </c>
      <c r="P886" s="2">
        <v>1.2262371560000001</v>
      </c>
      <c r="Q886" s="2">
        <v>1.098480109</v>
      </c>
      <c r="R886" s="2">
        <v>0.217951646</v>
      </c>
      <c r="S886" s="2">
        <v>0.15709408799999999</v>
      </c>
      <c r="T886" s="2">
        <v>1.2067123280000001</v>
      </c>
      <c r="U886" s="2">
        <v>1.087189035</v>
      </c>
      <c r="V886" s="2">
        <v>0.77756522699999997</v>
      </c>
      <c r="W886" s="2">
        <v>6.7745853999999994E-2</v>
      </c>
      <c r="X886">
        <f t="shared" si="39"/>
        <v>1</v>
      </c>
      <c r="Y886">
        <f t="shared" si="40"/>
        <v>1</v>
      </c>
      <c r="Z886">
        <f t="shared" si="41"/>
        <v>0</v>
      </c>
    </row>
    <row r="887" spans="1:26" ht="15.75" customHeight="1" x14ac:dyDescent="0.2">
      <c r="A887" s="2" t="s">
        <v>23</v>
      </c>
      <c r="B887" s="2" t="s">
        <v>24</v>
      </c>
      <c r="C887" s="2" t="s">
        <v>30</v>
      </c>
      <c r="D887" s="2" t="s">
        <v>31</v>
      </c>
      <c r="E887" s="2">
        <v>149</v>
      </c>
      <c r="F887" s="2">
        <v>161.33333329999999</v>
      </c>
      <c r="G887" s="2">
        <v>570.33333330000005</v>
      </c>
      <c r="H887" s="2">
        <v>1266.666667</v>
      </c>
      <c r="I887" s="2">
        <v>2173</v>
      </c>
      <c r="J887" s="2">
        <v>1.51</v>
      </c>
      <c r="K887" s="2">
        <v>5.51</v>
      </c>
      <c r="L887" s="2">
        <v>9.99</v>
      </c>
      <c r="M887" s="2">
        <v>13.57</v>
      </c>
      <c r="N887" s="2">
        <v>2.33724475</v>
      </c>
      <c r="O887" s="2">
        <v>2.5692804169999999</v>
      </c>
      <c r="P887" s="2">
        <v>1.2745552609999999</v>
      </c>
      <c r="Q887" s="2">
        <v>1.3922949120000001</v>
      </c>
      <c r="R887" s="2">
        <v>1.06909513</v>
      </c>
      <c r="S887" s="2">
        <v>1.1299526879999999</v>
      </c>
      <c r="T887" s="2">
        <v>0.69392126200000004</v>
      </c>
      <c r="U887" s="2">
        <v>0.81344455500000001</v>
      </c>
      <c r="V887" s="2">
        <v>2.0646120030000001</v>
      </c>
      <c r="W887" s="2">
        <v>7.150687E-2</v>
      </c>
      <c r="X887">
        <f t="shared" si="39"/>
        <v>1</v>
      </c>
      <c r="Y887">
        <f t="shared" si="40"/>
        <v>1</v>
      </c>
      <c r="Z887">
        <f t="shared" si="41"/>
        <v>1</v>
      </c>
    </row>
    <row r="888" spans="1:26" ht="15.75" customHeight="1" x14ac:dyDescent="0.2">
      <c r="A888" s="2" t="s">
        <v>23</v>
      </c>
      <c r="B888" s="2" t="s">
        <v>24</v>
      </c>
      <c r="C888" s="2" t="s">
        <v>27</v>
      </c>
      <c r="D888" s="2" t="s">
        <v>27</v>
      </c>
      <c r="E888" s="2">
        <v>159</v>
      </c>
      <c r="F888" s="2">
        <v>144</v>
      </c>
      <c r="G888" s="2">
        <v>418.66666670000001</v>
      </c>
      <c r="H888" s="2">
        <v>1730.666667</v>
      </c>
      <c r="I888" s="2">
        <v>2485</v>
      </c>
      <c r="J888" s="2">
        <v>1.3</v>
      </c>
      <c r="K888" s="2">
        <v>4.1900000000000004</v>
      </c>
      <c r="L888" s="2">
        <v>12.04</v>
      </c>
      <c r="M888" s="2">
        <v>14.46</v>
      </c>
      <c r="N888" s="2">
        <v>0.10407377800000001</v>
      </c>
      <c r="O888" s="2">
        <v>0.13098944900000001</v>
      </c>
      <c r="P888" s="2">
        <v>1.37734059</v>
      </c>
      <c r="Q888" s="2">
        <v>1.2491836030000001</v>
      </c>
      <c r="R888" s="2">
        <v>0.25503815899999999</v>
      </c>
      <c r="S888" s="2">
        <v>0.19418060100000001</v>
      </c>
      <c r="T888" s="2">
        <v>1.3535223080000001</v>
      </c>
      <c r="U888" s="2">
        <v>1.233999015</v>
      </c>
      <c r="V888" s="2">
        <v>0.74047871399999998</v>
      </c>
      <c r="W888" s="2">
        <v>6.1997409000000003E-2</v>
      </c>
      <c r="X888">
        <f t="shared" si="39"/>
        <v>1</v>
      </c>
      <c r="Y888">
        <f t="shared" si="40"/>
        <v>1</v>
      </c>
      <c r="Z888">
        <f t="shared" si="41"/>
        <v>0</v>
      </c>
    </row>
    <row r="889" spans="1:26" ht="15.75" customHeight="1" x14ac:dyDescent="0.2">
      <c r="A889" s="2" t="s">
        <v>23</v>
      </c>
      <c r="B889" s="2" t="s">
        <v>24</v>
      </c>
      <c r="C889" s="2" t="s">
        <v>26</v>
      </c>
      <c r="D889" s="2" t="s">
        <v>26</v>
      </c>
      <c r="E889" s="2">
        <v>181</v>
      </c>
      <c r="F889" s="2">
        <v>144.33333329999999</v>
      </c>
      <c r="G889" s="2">
        <v>427.66666670000001</v>
      </c>
      <c r="H889" s="2">
        <v>990.66666669999995</v>
      </c>
      <c r="I889" s="2">
        <v>2265.333333</v>
      </c>
      <c r="J889" s="2">
        <v>1.31</v>
      </c>
      <c r="K889" s="2">
        <v>4.2699999999999996</v>
      </c>
      <c r="L889" s="2">
        <v>8.4700000000000006</v>
      </c>
      <c r="M889" s="2">
        <v>13.84</v>
      </c>
      <c r="N889" s="2">
        <v>0.63379432599999996</v>
      </c>
      <c r="O889" s="2">
        <v>0.32086453999999998</v>
      </c>
      <c r="P889" s="2">
        <v>2.223872702</v>
      </c>
      <c r="Q889" s="2">
        <v>2.3393831550000002</v>
      </c>
      <c r="R889" s="2">
        <v>0.17176824600000001</v>
      </c>
      <c r="S889" s="2">
        <v>0.11091068699999999</v>
      </c>
      <c r="T889" s="2">
        <v>2.2172292310000001</v>
      </c>
      <c r="U889" s="2">
        <v>2.3367525250000001</v>
      </c>
      <c r="V889" s="2">
        <v>0.82374862699999996</v>
      </c>
      <c r="W889" s="2">
        <v>4.6346862000000003E-2</v>
      </c>
      <c r="X889">
        <f t="shared" si="39"/>
        <v>1</v>
      </c>
      <c r="Y889">
        <f t="shared" si="40"/>
        <v>1</v>
      </c>
      <c r="Z889">
        <f t="shared" si="41"/>
        <v>0</v>
      </c>
    </row>
    <row r="890" spans="1:26" ht="15.75" customHeight="1" x14ac:dyDescent="0.2">
      <c r="A890" s="2" t="s">
        <v>23</v>
      </c>
      <c r="B890" s="2" t="s">
        <v>24</v>
      </c>
      <c r="C890" s="2" t="s">
        <v>27</v>
      </c>
      <c r="D890" s="2" t="s">
        <v>27</v>
      </c>
      <c r="E890" s="2">
        <v>170</v>
      </c>
      <c r="F890" s="2">
        <v>159</v>
      </c>
      <c r="G890" s="2">
        <v>414</v>
      </c>
      <c r="H890" s="2">
        <v>1727.666667</v>
      </c>
      <c r="I890" s="2">
        <v>2461.666667</v>
      </c>
      <c r="J890" s="2">
        <v>1.48</v>
      </c>
      <c r="K890" s="2">
        <v>4.1500000000000004</v>
      </c>
      <c r="L890" s="2">
        <v>12.03</v>
      </c>
      <c r="M890" s="2">
        <v>14.4</v>
      </c>
      <c r="N890" s="2">
        <v>0.13317446999999999</v>
      </c>
      <c r="O890" s="2">
        <v>0.12391246</v>
      </c>
      <c r="P890" s="2">
        <v>1.374729769</v>
      </c>
      <c r="Q890" s="2">
        <v>1.24529427</v>
      </c>
      <c r="R890" s="2">
        <v>0.29846371300000002</v>
      </c>
      <c r="S890" s="2">
        <v>0.23760615400000001</v>
      </c>
      <c r="T890" s="2">
        <v>1.3419393989999999</v>
      </c>
      <c r="U890" s="2">
        <v>1.222416105</v>
      </c>
      <c r="V890" s="2">
        <v>0.69705315999999995</v>
      </c>
      <c r="W890" s="2">
        <v>3.8573495999999999E-2</v>
      </c>
      <c r="X890">
        <f t="shared" si="39"/>
        <v>1</v>
      </c>
      <c r="Y890">
        <f t="shared" si="40"/>
        <v>1</v>
      </c>
      <c r="Z890">
        <f t="shared" si="41"/>
        <v>0</v>
      </c>
    </row>
    <row r="891" spans="1:26" ht="15.75" customHeight="1" x14ac:dyDescent="0.2">
      <c r="A891" s="2" t="s">
        <v>23</v>
      </c>
      <c r="B891" s="2" t="s">
        <v>24</v>
      </c>
      <c r="C891" s="2" t="s">
        <v>30</v>
      </c>
      <c r="D891" s="2" t="s">
        <v>31</v>
      </c>
      <c r="E891" s="2">
        <v>159</v>
      </c>
      <c r="F891" s="2">
        <v>143.66666670000001</v>
      </c>
      <c r="G891" s="2">
        <v>634.66666669999995</v>
      </c>
      <c r="H891" s="2">
        <v>1123.333333</v>
      </c>
      <c r="I891" s="2">
        <v>2089.333333</v>
      </c>
      <c r="J891" s="2">
        <v>1.3</v>
      </c>
      <c r="K891" s="2">
        <v>6.03</v>
      </c>
      <c r="L891" s="2">
        <v>9.24</v>
      </c>
      <c r="M891" s="2">
        <v>13.3</v>
      </c>
      <c r="N891" s="2">
        <v>3.2524370519999999</v>
      </c>
      <c r="O891" s="2">
        <v>3.4846762080000002</v>
      </c>
      <c r="P891" s="2">
        <v>2.1481127180000001</v>
      </c>
      <c r="Q891" s="2">
        <v>2.2742086430000001</v>
      </c>
      <c r="R891" s="2">
        <v>1.5840031189999999</v>
      </c>
      <c r="S891" s="2">
        <v>1.6448606779999999</v>
      </c>
      <c r="T891" s="2">
        <v>1.450972903</v>
      </c>
      <c r="U891" s="2">
        <v>1.570496197</v>
      </c>
      <c r="V891" s="2">
        <v>2.5795199919999998</v>
      </c>
      <c r="W891" s="2">
        <v>4.2750607000000003E-2</v>
      </c>
      <c r="X891">
        <f t="shared" si="39"/>
        <v>1</v>
      </c>
      <c r="Y891">
        <f t="shared" si="40"/>
        <v>1</v>
      </c>
      <c r="Z891">
        <f t="shared" si="41"/>
        <v>1</v>
      </c>
    </row>
    <row r="892" spans="1:26" ht="15.75" customHeight="1" x14ac:dyDescent="0.2">
      <c r="A892" s="2" t="s">
        <v>23</v>
      </c>
      <c r="B892" s="2" t="s">
        <v>24</v>
      </c>
      <c r="C892" s="2" t="s">
        <v>27</v>
      </c>
      <c r="D892" s="2" t="s">
        <v>27</v>
      </c>
      <c r="E892" s="2">
        <v>110</v>
      </c>
      <c r="F892" s="2">
        <v>142.33333329999999</v>
      </c>
      <c r="G892" s="2">
        <v>438.66666670000001</v>
      </c>
      <c r="H892" s="2">
        <v>1645</v>
      </c>
      <c r="I892" s="2">
        <v>2389.666667</v>
      </c>
      <c r="J892" s="2">
        <v>1.29</v>
      </c>
      <c r="K892" s="2">
        <v>4.37</v>
      </c>
      <c r="L892" s="2">
        <v>11.7</v>
      </c>
      <c r="M892" s="2">
        <v>14.2</v>
      </c>
      <c r="N892" s="2">
        <v>0.28793448500000002</v>
      </c>
      <c r="O892" s="2">
        <v>0.51579860300000002</v>
      </c>
      <c r="P892" s="2">
        <v>1.0176500850000001</v>
      </c>
      <c r="Q892" s="2">
        <v>0.895713643</v>
      </c>
      <c r="R892" s="2">
        <v>7.0842499000000003E-2</v>
      </c>
      <c r="S892" s="2">
        <v>9.9849399999999994E-3</v>
      </c>
      <c r="T892" s="2">
        <v>1.0151812819999999</v>
      </c>
      <c r="U892" s="2">
        <v>0.89565798799999996</v>
      </c>
      <c r="V892" s="2">
        <v>0.92467437399999997</v>
      </c>
      <c r="W892" s="2">
        <v>5.8372305999999999E-2</v>
      </c>
      <c r="X892">
        <f t="shared" si="39"/>
        <v>1</v>
      </c>
      <c r="Y892">
        <f t="shared" si="40"/>
        <v>1</v>
      </c>
      <c r="Z892">
        <f t="shared" si="41"/>
        <v>0</v>
      </c>
    </row>
    <row r="893" spans="1:26" ht="15.75" customHeight="1" x14ac:dyDescent="0.2">
      <c r="A893" s="2" t="s">
        <v>23</v>
      </c>
      <c r="B893" s="2" t="s">
        <v>24</v>
      </c>
      <c r="C893" s="2" t="s">
        <v>26</v>
      </c>
      <c r="D893" s="2" t="s">
        <v>26</v>
      </c>
      <c r="E893" s="2">
        <v>167</v>
      </c>
      <c r="F893" s="2">
        <v>143.66666670000001</v>
      </c>
      <c r="G893" s="2">
        <v>445.66666670000001</v>
      </c>
      <c r="H893" s="2">
        <v>1022.666667</v>
      </c>
      <c r="I893" s="2">
        <v>2225.333333</v>
      </c>
      <c r="J893" s="2">
        <v>1.3</v>
      </c>
      <c r="K893" s="2">
        <v>4.4400000000000004</v>
      </c>
      <c r="L893" s="2">
        <v>8.66</v>
      </c>
      <c r="M893" s="2">
        <v>13.72</v>
      </c>
      <c r="N893" s="2">
        <v>0.38525859600000001</v>
      </c>
      <c r="O893" s="2">
        <v>0.30197691700000001</v>
      </c>
      <c r="P893" s="2">
        <v>2.0261780470000001</v>
      </c>
      <c r="Q893" s="2">
        <v>2.1463622779999998</v>
      </c>
      <c r="R893" s="2">
        <v>7.0975789999999997E-3</v>
      </c>
      <c r="S893" s="2">
        <v>5.3759978999999999E-2</v>
      </c>
      <c r="T893" s="2">
        <v>2.0261656160000001</v>
      </c>
      <c r="U893" s="2">
        <v>2.145688909</v>
      </c>
      <c r="V893" s="2">
        <v>0.98841929299999998</v>
      </c>
      <c r="W893" s="2">
        <v>8.5313185999999999E-2</v>
      </c>
      <c r="X893">
        <f t="shared" si="39"/>
        <v>1</v>
      </c>
      <c r="Y893">
        <f t="shared" si="40"/>
        <v>1</v>
      </c>
      <c r="Z893">
        <f t="shared" si="41"/>
        <v>0</v>
      </c>
    </row>
    <row r="894" spans="1:26" ht="15.75" customHeight="1" x14ac:dyDescent="0.2">
      <c r="A894" s="2" t="s">
        <v>23</v>
      </c>
      <c r="B894" s="2" t="s">
        <v>24</v>
      </c>
      <c r="C894" s="2" t="s">
        <v>30</v>
      </c>
      <c r="D894" s="2" t="s">
        <v>31</v>
      </c>
      <c r="E894" s="2">
        <v>150</v>
      </c>
      <c r="F894" s="2">
        <v>146</v>
      </c>
      <c r="G894" s="2">
        <v>587.66666669999995</v>
      </c>
      <c r="H894" s="2">
        <v>1185.666667</v>
      </c>
      <c r="I894" s="2">
        <v>2142.333333</v>
      </c>
      <c r="J894" s="2">
        <v>1.33</v>
      </c>
      <c r="K894" s="2">
        <v>5.65</v>
      </c>
      <c r="L894" s="2">
        <v>9.58</v>
      </c>
      <c r="M894" s="2">
        <v>13.47</v>
      </c>
      <c r="N894" s="2">
        <v>2.7691850499999999</v>
      </c>
      <c r="O894" s="2">
        <v>3.0000329109999999</v>
      </c>
      <c r="P894" s="2">
        <v>1.644504687</v>
      </c>
      <c r="Q894" s="2">
        <v>1.770827444</v>
      </c>
      <c r="R894" s="2">
        <v>1.2103861730000001</v>
      </c>
      <c r="S894" s="2">
        <v>1.2712437320000001</v>
      </c>
      <c r="T894" s="2">
        <v>1.1132659069999999</v>
      </c>
      <c r="U894" s="2">
        <v>1.2327892</v>
      </c>
      <c r="V894" s="2">
        <v>2.205903046</v>
      </c>
      <c r="W894" s="2">
        <v>4.9345102000000002E-2</v>
      </c>
      <c r="X894">
        <f t="shared" si="39"/>
        <v>1</v>
      </c>
      <c r="Y894">
        <f t="shared" si="40"/>
        <v>1</v>
      </c>
      <c r="Z894">
        <f t="shared" si="41"/>
        <v>1</v>
      </c>
    </row>
    <row r="895" spans="1:26" ht="15.75" customHeight="1" x14ac:dyDescent="0.2">
      <c r="A895" s="2" t="s">
        <v>23</v>
      </c>
      <c r="B895" s="2" t="s">
        <v>24</v>
      </c>
      <c r="C895" s="2" t="s">
        <v>32</v>
      </c>
      <c r="D895" s="2" t="s">
        <v>33</v>
      </c>
      <c r="E895" s="2">
        <v>151</v>
      </c>
      <c r="F895" s="2">
        <v>150.33333329999999</v>
      </c>
      <c r="G895" s="2">
        <v>657</v>
      </c>
      <c r="H895" s="2">
        <v>942.33333330000005</v>
      </c>
      <c r="I895" s="2">
        <v>2126.333333</v>
      </c>
      <c r="J895" s="2">
        <v>1.38</v>
      </c>
      <c r="K895" s="2">
        <v>6.2</v>
      </c>
      <c r="L895" s="2">
        <v>8.17</v>
      </c>
      <c r="M895" s="2">
        <v>13.42</v>
      </c>
      <c r="N895" s="2">
        <v>2.3588476420000002</v>
      </c>
      <c r="O895" s="2">
        <v>2.3211375630000002</v>
      </c>
      <c r="P895" s="2">
        <v>3.0668663280000001</v>
      </c>
      <c r="Q895" s="2">
        <v>3.1997511969999999</v>
      </c>
      <c r="R895" s="2">
        <v>1.7568339180000001</v>
      </c>
      <c r="S895" s="2">
        <v>1.8176914770000001</v>
      </c>
      <c r="T895" s="2">
        <v>2.5138026290000002</v>
      </c>
      <c r="U895" s="2">
        <v>2.6333259230000001</v>
      </c>
      <c r="V895" s="2">
        <v>2.752350791</v>
      </c>
      <c r="W895" s="2">
        <v>7.4395518999999993E-2</v>
      </c>
      <c r="X895">
        <f t="shared" si="39"/>
        <v>1</v>
      </c>
      <c r="Y895">
        <f t="shared" si="40"/>
        <v>1</v>
      </c>
      <c r="Z895">
        <f t="shared" si="41"/>
        <v>1</v>
      </c>
    </row>
    <row r="896" spans="1:26" ht="15.75" customHeight="1" x14ac:dyDescent="0.2">
      <c r="A896" s="2" t="s">
        <v>23</v>
      </c>
      <c r="B896" s="2" t="s">
        <v>24</v>
      </c>
      <c r="C896" s="2" t="s">
        <v>28</v>
      </c>
      <c r="D896" s="2" t="s">
        <v>29</v>
      </c>
      <c r="E896" s="2">
        <v>166</v>
      </c>
      <c r="F896" s="2">
        <v>148.66666670000001</v>
      </c>
      <c r="G896" s="2">
        <v>547</v>
      </c>
      <c r="H896" s="2">
        <v>1285</v>
      </c>
      <c r="I896" s="2">
        <v>2216</v>
      </c>
      <c r="J896" s="2">
        <v>1.36</v>
      </c>
      <c r="K896" s="2">
        <v>5.32</v>
      </c>
      <c r="L896" s="2">
        <v>10.09</v>
      </c>
      <c r="M896" s="2">
        <v>13.7</v>
      </c>
      <c r="N896" s="2">
        <v>1.3250879090000001</v>
      </c>
      <c r="O896" s="2">
        <v>1.8405864750000001</v>
      </c>
      <c r="P896" s="2">
        <v>1.0627057010000001</v>
      </c>
      <c r="Q896" s="2">
        <v>1.1822933410000001</v>
      </c>
      <c r="R896" s="2">
        <v>0.87581037500000003</v>
      </c>
      <c r="S896" s="2">
        <v>0.93666793400000004</v>
      </c>
      <c r="T896" s="2">
        <v>0.60191327699999997</v>
      </c>
      <c r="U896" s="2">
        <v>0.72143657100000003</v>
      </c>
      <c r="V896" s="2">
        <v>1.8713272480000001</v>
      </c>
      <c r="W896" s="2">
        <v>6.1946670000000002E-2</v>
      </c>
      <c r="X896">
        <f t="shared" si="39"/>
        <v>1</v>
      </c>
      <c r="Y896">
        <f t="shared" si="40"/>
        <v>1</v>
      </c>
      <c r="Z896">
        <f t="shared" si="41"/>
        <v>1</v>
      </c>
    </row>
    <row r="897" spans="1:26" ht="15.75" customHeight="1" x14ac:dyDescent="0.2">
      <c r="A897" s="2" t="s">
        <v>23</v>
      </c>
      <c r="B897" s="2" t="s">
        <v>24</v>
      </c>
      <c r="C897" s="2" t="s">
        <v>28</v>
      </c>
      <c r="D897" s="2" t="s">
        <v>29</v>
      </c>
      <c r="E897" s="2">
        <v>155</v>
      </c>
      <c r="F897" s="2">
        <v>161</v>
      </c>
      <c r="G897" s="2">
        <v>506.66666670000001</v>
      </c>
      <c r="H897" s="2">
        <v>1355.666667</v>
      </c>
      <c r="I897" s="2">
        <v>2369.666667</v>
      </c>
      <c r="J897" s="2">
        <v>1.51</v>
      </c>
      <c r="K897" s="2">
        <v>4.9800000000000004</v>
      </c>
      <c r="L897" s="2">
        <v>10.43</v>
      </c>
      <c r="M897" s="2">
        <v>14.14</v>
      </c>
      <c r="N897" s="2">
        <v>1.556821577</v>
      </c>
      <c r="O897" s="2">
        <v>2.0701140709999999</v>
      </c>
      <c r="P897" s="2">
        <v>0.59170312700000005</v>
      </c>
      <c r="Q897" s="2">
        <v>0.70311400099999999</v>
      </c>
      <c r="R897" s="2">
        <v>0.53308031099999997</v>
      </c>
      <c r="S897" s="2">
        <v>0.59393786999999998</v>
      </c>
      <c r="T897" s="2">
        <v>0.25678390099999998</v>
      </c>
      <c r="U897" s="2">
        <v>0.37630719400000001</v>
      </c>
      <c r="V897" s="2">
        <v>1.5285971840000001</v>
      </c>
      <c r="W897" s="2">
        <v>6.1164193999999998E-2</v>
      </c>
      <c r="X897">
        <f t="shared" si="39"/>
        <v>1</v>
      </c>
      <c r="Y897">
        <f t="shared" si="40"/>
        <v>1</v>
      </c>
      <c r="Z897">
        <f t="shared" si="41"/>
        <v>1</v>
      </c>
    </row>
    <row r="898" spans="1:26" ht="15.75" customHeight="1" x14ac:dyDescent="0.2">
      <c r="A898" s="2" t="s">
        <v>23</v>
      </c>
      <c r="B898" s="2" t="s">
        <v>24</v>
      </c>
      <c r="C898" s="2" t="s">
        <v>26</v>
      </c>
      <c r="D898" s="2" t="s">
        <v>26</v>
      </c>
      <c r="E898" s="2">
        <v>181</v>
      </c>
      <c r="F898" s="2">
        <v>170.33333329999999</v>
      </c>
      <c r="G898" s="2">
        <v>454.33333329999999</v>
      </c>
      <c r="H898" s="2">
        <v>875</v>
      </c>
      <c r="I898" s="2">
        <v>2133.333333</v>
      </c>
      <c r="J898" s="2">
        <v>1.61</v>
      </c>
      <c r="K898" s="2">
        <v>4.5199999999999996</v>
      </c>
      <c r="L898" s="2">
        <v>7.74</v>
      </c>
      <c r="M898" s="2">
        <v>13.44</v>
      </c>
      <c r="N898" s="2">
        <v>1.170422316</v>
      </c>
      <c r="O898" s="2">
        <v>0.65809890500000001</v>
      </c>
      <c r="P898" s="2">
        <v>2.9446803109999999</v>
      </c>
      <c r="Q898" s="2">
        <v>3.066189939</v>
      </c>
      <c r="R898" s="2">
        <v>7.1312573000000004E-2</v>
      </c>
      <c r="S898" s="2">
        <v>0.132170131</v>
      </c>
      <c r="T898" s="2">
        <v>2.9438166809999999</v>
      </c>
      <c r="U898" s="2">
        <v>3.0633399739999998</v>
      </c>
      <c r="V898" s="2">
        <v>1.0668294460000001</v>
      </c>
      <c r="W898" s="2">
        <v>6.6468192999999995E-2</v>
      </c>
      <c r="X898">
        <f t="shared" si="39"/>
        <v>1</v>
      </c>
      <c r="Y898">
        <f t="shared" si="40"/>
        <v>1</v>
      </c>
      <c r="Z898">
        <f t="shared" si="41"/>
        <v>0</v>
      </c>
    </row>
    <row r="899" spans="1:26" ht="15.75" customHeight="1" x14ac:dyDescent="0.2">
      <c r="A899" s="2" t="s">
        <v>23</v>
      </c>
      <c r="B899" s="2" t="s">
        <v>24</v>
      </c>
      <c r="C899" s="2" t="s">
        <v>25</v>
      </c>
      <c r="D899" s="2" t="s">
        <v>25</v>
      </c>
      <c r="E899" s="2">
        <v>177</v>
      </c>
      <c r="F899" s="2">
        <v>149</v>
      </c>
      <c r="G899" s="2">
        <v>573.33333330000005</v>
      </c>
      <c r="H899" s="2">
        <v>1341.666667</v>
      </c>
      <c r="I899" s="2">
        <v>2352</v>
      </c>
      <c r="J899" s="2">
        <v>1.36</v>
      </c>
      <c r="K899" s="2">
        <v>5.54</v>
      </c>
      <c r="L899" s="2">
        <v>10.36</v>
      </c>
      <c r="M899" s="2">
        <v>14.09</v>
      </c>
      <c r="N899" s="2">
        <v>0.20547298999999999</v>
      </c>
      <c r="O899" s="2">
        <v>0.30841972299999998</v>
      </c>
      <c r="P899" s="2">
        <v>1.1406660900000001</v>
      </c>
      <c r="Q899" s="2">
        <v>1.236800082</v>
      </c>
      <c r="R899" s="2">
        <v>1.093687708</v>
      </c>
      <c r="S899" s="2">
        <v>1.154545267</v>
      </c>
      <c r="T899" s="2">
        <v>0.32398506999999999</v>
      </c>
      <c r="U899" s="2">
        <v>0.44350836399999999</v>
      </c>
      <c r="V899" s="2">
        <v>2.0892045810000002</v>
      </c>
      <c r="W899" s="2">
        <v>5.6007433000000002E-2</v>
      </c>
      <c r="X899">
        <f t="shared" ref="X899:X962" si="42">IF(B899="normal",1,0)</f>
        <v>1</v>
      </c>
      <c r="Y899">
        <f t="shared" ref="Y899:Y962" si="43">IF(A899="lecture",1,0)</f>
        <v>1</v>
      </c>
      <c r="Z899">
        <f t="shared" ref="Z899:Z962" si="44">IF(ISNUMBER(FIND("~",D899)),1,0)</f>
        <v>0</v>
      </c>
    </row>
    <row r="900" spans="1:26" ht="15.75" customHeight="1" x14ac:dyDescent="0.2">
      <c r="A900" s="2" t="s">
        <v>23</v>
      </c>
      <c r="B900" s="2" t="s">
        <v>24</v>
      </c>
      <c r="C900" s="2" t="s">
        <v>30</v>
      </c>
      <c r="D900" s="2" t="s">
        <v>31</v>
      </c>
      <c r="E900" s="2">
        <v>162</v>
      </c>
      <c r="F900" s="2">
        <v>148.33333329999999</v>
      </c>
      <c r="G900" s="2">
        <v>473.33333329999999</v>
      </c>
      <c r="H900" s="2">
        <v>1248</v>
      </c>
      <c r="I900" s="2">
        <v>2039.666667</v>
      </c>
      <c r="J900" s="2">
        <v>1.36</v>
      </c>
      <c r="K900" s="2">
        <v>4.6900000000000004</v>
      </c>
      <c r="L900" s="2">
        <v>9.9</v>
      </c>
      <c r="M900" s="2">
        <v>13.14</v>
      </c>
      <c r="N900" s="2">
        <v>2.1127964910000001</v>
      </c>
      <c r="O900" s="2">
        <v>2.3218289360000002</v>
      </c>
      <c r="P900" s="2">
        <v>0.82475773600000002</v>
      </c>
      <c r="Q900" s="2">
        <v>0.95713704700000002</v>
      </c>
      <c r="R900" s="2">
        <v>0.24125728299999999</v>
      </c>
      <c r="S900" s="2">
        <v>0.30211484100000002</v>
      </c>
      <c r="T900" s="2">
        <v>0.78868260199999995</v>
      </c>
      <c r="U900" s="2">
        <v>0.90820589600000001</v>
      </c>
      <c r="V900" s="2">
        <v>1.2367741560000001</v>
      </c>
      <c r="W900" s="2">
        <v>5.8758985999999999E-2</v>
      </c>
      <c r="X900">
        <f t="shared" si="42"/>
        <v>1</v>
      </c>
      <c r="Y900">
        <f t="shared" si="43"/>
        <v>1</v>
      </c>
      <c r="Z900">
        <f t="shared" si="44"/>
        <v>1</v>
      </c>
    </row>
    <row r="901" spans="1:26" ht="15.75" customHeight="1" x14ac:dyDescent="0.2">
      <c r="A901" s="2" t="s">
        <v>23</v>
      </c>
      <c r="B901" s="2" t="s">
        <v>24</v>
      </c>
      <c r="C901" s="2" t="s">
        <v>28</v>
      </c>
      <c r="D901" s="2" t="s">
        <v>29</v>
      </c>
      <c r="E901" s="2">
        <v>169</v>
      </c>
      <c r="F901" s="2">
        <v>167</v>
      </c>
      <c r="G901" s="2">
        <v>575</v>
      </c>
      <c r="H901" s="2">
        <v>1708.333333</v>
      </c>
      <c r="I901" s="2">
        <v>2263.666667</v>
      </c>
      <c r="J901" s="2">
        <v>1.57</v>
      </c>
      <c r="K901" s="2">
        <v>5.55</v>
      </c>
      <c r="L901" s="2">
        <v>11.96</v>
      </c>
      <c r="M901" s="2">
        <v>13.84</v>
      </c>
      <c r="N901" s="2">
        <v>3.1672780610000002</v>
      </c>
      <c r="O901" s="2">
        <v>3.6852272149999998</v>
      </c>
      <c r="P901" s="2">
        <v>1.682572814</v>
      </c>
      <c r="Q901" s="2">
        <v>1.637371452</v>
      </c>
      <c r="R901" s="2">
        <v>1.107325101</v>
      </c>
      <c r="S901" s="2">
        <v>1.168182659</v>
      </c>
      <c r="T901" s="2">
        <v>1.266839531</v>
      </c>
      <c r="U901" s="2">
        <v>1.1473162370000001</v>
      </c>
      <c r="V901" s="2">
        <v>2.1028419729999999</v>
      </c>
      <c r="W901" s="2">
        <v>5.0535324E-2</v>
      </c>
      <c r="X901">
        <f t="shared" si="42"/>
        <v>1</v>
      </c>
      <c r="Y901">
        <f t="shared" si="43"/>
        <v>1</v>
      </c>
      <c r="Z901">
        <f t="shared" si="44"/>
        <v>1</v>
      </c>
    </row>
    <row r="902" spans="1:26" ht="15.75" customHeight="1" x14ac:dyDescent="0.2">
      <c r="A902" s="2" t="s">
        <v>23</v>
      </c>
      <c r="B902" s="2" t="s">
        <v>24</v>
      </c>
      <c r="C902" s="2" t="s">
        <v>28</v>
      </c>
      <c r="D902" s="2" t="s">
        <v>29</v>
      </c>
      <c r="E902" s="2">
        <v>189</v>
      </c>
      <c r="F902" s="2">
        <v>155.66666670000001</v>
      </c>
      <c r="G902" s="2">
        <v>530.66666669999995</v>
      </c>
      <c r="H902" s="2">
        <v>1650.666667</v>
      </c>
      <c r="I902" s="2">
        <v>2364.333333</v>
      </c>
      <c r="J902" s="2">
        <v>1.44</v>
      </c>
      <c r="K902" s="2">
        <v>5.18</v>
      </c>
      <c r="L902" s="2">
        <v>11.73</v>
      </c>
      <c r="M902" s="2">
        <v>14.13</v>
      </c>
      <c r="N902" s="2">
        <v>2.8678090790000001</v>
      </c>
      <c r="O902" s="2">
        <v>3.3806788659999998</v>
      </c>
      <c r="P902" s="2">
        <v>1.2738656639999999</v>
      </c>
      <c r="Q902" s="2">
        <v>1.217558278</v>
      </c>
      <c r="R902" s="2">
        <v>0.73835625299999996</v>
      </c>
      <c r="S902" s="2">
        <v>0.79921381199999997</v>
      </c>
      <c r="T902" s="2">
        <v>1.0380576930000001</v>
      </c>
      <c r="U902" s="2">
        <v>0.918534399</v>
      </c>
      <c r="V902" s="2">
        <v>1.733873126</v>
      </c>
      <c r="W902" s="2">
        <v>4.6584002999999999E-2</v>
      </c>
      <c r="X902">
        <f t="shared" si="42"/>
        <v>1</v>
      </c>
      <c r="Y902">
        <f t="shared" si="43"/>
        <v>1</v>
      </c>
      <c r="Z902">
        <f t="shared" si="44"/>
        <v>1</v>
      </c>
    </row>
    <row r="903" spans="1:26" ht="15.75" customHeight="1" x14ac:dyDescent="0.2">
      <c r="A903" s="2" t="s">
        <v>23</v>
      </c>
      <c r="B903" s="2" t="s">
        <v>24</v>
      </c>
      <c r="C903" s="2" t="s">
        <v>32</v>
      </c>
      <c r="D903" s="2" t="s">
        <v>33</v>
      </c>
      <c r="E903" s="2">
        <v>146</v>
      </c>
      <c r="F903" s="2">
        <v>152.66666670000001</v>
      </c>
      <c r="G903" s="2">
        <v>621.66666669999995</v>
      </c>
      <c r="H903" s="2">
        <v>1045</v>
      </c>
      <c r="I903" s="2">
        <v>2200.666667</v>
      </c>
      <c r="J903" s="2">
        <v>1.41</v>
      </c>
      <c r="K903" s="2">
        <v>5.93</v>
      </c>
      <c r="L903" s="2">
        <v>8.7899999999999991</v>
      </c>
      <c r="M903" s="2">
        <v>13.65</v>
      </c>
      <c r="N903" s="2">
        <v>1.7021359140000001</v>
      </c>
      <c r="O903" s="2">
        <v>1.6753985170000001</v>
      </c>
      <c r="P903" s="2">
        <v>2.4058865869999999</v>
      </c>
      <c r="Q903" s="2">
        <v>2.5376588949999999</v>
      </c>
      <c r="R903" s="2">
        <v>1.4820232390000001</v>
      </c>
      <c r="S903" s="2">
        <v>1.542880797</v>
      </c>
      <c r="T903" s="2">
        <v>1.8952301680000001</v>
      </c>
      <c r="U903" s="2">
        <v>2.0147534619999998</v>
      </c>
      <c r="V903" s="2">
        <v>2.4775401119999998</v>
      </c>
      <c r="W903" s="2">
        <v>6.5504502000000006E-2</v>
      </c>
      <c r="X903">
        <f t="shared" si="42"/>
        <v>1</v>
      </c>
      <c r="Y903">
        <f t="shared" si="43"/>
        <v>1</v>
      </c>
      <c r="Z903">
        <f t="shared" si="44"/>
        <v>1</v>
      </c>
    </row>
    <row r="904" spans="1:26" ht="15.75" customHeight="1" x14ac:dyDescent="0.2">
      <c r="A904" s="2" t="s">
        <v>23</v>
      </c>
      <c r="B904" s="2" t="s">
        <v>24</v>
      </c>
      <c r="C904" s="2" t="s">
        <v>25</v>
      </c>
      <c r="D904" s="2" t="s">
        <v>25</v>
      </c>
      <c r="E904" s="2">
        <v>120</v>
      </c>
      <c r="F904" s="2">
        <v>141</v>
      </c>
      <c r="G904" s="2">
        <v>591.66666669999995</v>
      </c>
      <c r="H904" s="2">
        <v>1373.333333</v>
      </c>
      <c r="I904" s="2">
        <v>2380</v>
      </c>
      <c r="J904" s="2">
        <v>1.27</v>
      </c>
      <c r="K904" s="2">
        <v>5.69</v>
      </c>
      <c r="L904" s="2">
        <v>10.52</v>
      </c>
      <c r="M904" s="2">
        <v>14.17</v>
      </c>
      <c r="N904" s="2">
        <v>3.9901130999999999E-2</v>
      </c>
      <c r="O904" s="2">
        <v>0.15074667899999999</v>
      </c>
      <c r="P904" s="2">
        <v>1.254673946</v>
      </c>
      <c r="Q904" s="2">
        <v>1.335948455</v>
      </c>
      <c r="R904" s="2">
        <v>1.2427191980000001</v>
      </c>
      <c r="S904" s="2">
        <v>1.303576756</v>
      </c>
      <c r="T904" s="2">
        <v>0.172788039</v>
      </c>
      <c r="U904" s="2">
        <v>0.29231133199999998</v>
      </c>
      <c r="V904" s="2">
        <v>2.2382360710000002</v>
      </c>
      <c r="W904" s="2">
        <v>6.4590879000000004E-2</v>
      </c>
      <c r="X904">
        <f t="shared" si="42"/>
        <v>1</v>
      </c>
      <c r="Y904">
        <f t="shared" si="43"/>
        <v>1</v>
      </c>
      <c r="Z904">
        <f t="shared" si="44"/>
        <v>0</v>
      </c>
    </row>
    <row r="905" spans="1:26" ht="15.75" customHeight="1" x14ac:dyDescent="0.2">
      <c r="A905" s="2" t="s">
        <v>23</v>
      </c>
      <c r="B905" s="2" t="s">
        <v>24</v>
      </c>
      <c r="C905" s="2" t="s">
        <v>27</v>
      </c>
      <c r="D905" s="2" t="s">
        <v>27</v>
      </c>
      <c r="E905" s="2">
        <v>185</v>
      </c>
      <c r="F905" s="2">
        <v>154.33333329999999</v>
      </c>
      <c r="G905" s="2">
        <v>437.33333329999999</v>
      </c>
      <c r="H905" s="2">
        <v>1726</v>
      </c>
      <c r="I905" s="2">
        <v>2325.666667</v>
      </c>
      <c r="J905" s="2">
        <v>1.43</v>
      </c>
      <c r="K905" s="2">
        <v>4.3600000000000003</v>
      </c>
      <c r="L905" s="2">
        <v>12.02</v>
      </c>
      <c r="M905" s="2">
        <v>14.02</v>
      </c>
      <c r="N905" s="2">
        <v>0.110570208</v>
      </c>
      <c r="O905" s="2">
        <v>0.27589182400000001</v>
      </c>
      <c r="P905" s="2">
        <v>1.3380746569999999</v>
      </c>
      <c r="Q905" s="2">
        <v>1.21617508</v>
      </c>
      <c r="R905" s="2">
        <v>8.3026593999999995E-2</v>
      </c>
      <c r="S905" s="2">
        <v>2.2169036E-2</v>
      </c>
      <c r="T905" s="2">
        <v>1.3354963019999999</v>
      </c>
      <c r="U905" s="2">
        <v>1.215973009</v>
      </c>
      <c r="V905" s="2">
        <v>0.91249027900000002</v>
      </c>
      <c r="W905" s="2">
        <v>5.9606289999999999E-2</v>
      </c>
      <c r="X905">
        <f t="shared" si="42"/>
        <v>1</v>
      </c>
      <c r="Y905">
        <f t="shared" si="43"/>
        <v>1</v>
      </c>
      <c r="Z905">
        <f t="shared" si="44"/>
        <v>0</v>
      </c>
    </row>
    <row r="906" spans="1:26" ht="15.75" customHeight="1" x14ac:dyDescent="0.2">
      <c r="A906" s="2" t="s">
        <v>23</v>
      </c>
      <c r="B906" s="2" t="s">
        <v>24</v>
      </c>
      <c r="C906" s="2" t="s">
        <v>32</v>
      </c>
      <c r="D906" s="2" t="s">
        <v>33</v>
      </c>
      <c r="E906" s="2">
        <v>134</v>
      </c>
      <c r="F906" s="2">
        <v>152</v>
      </c>
      <c r="G906" s="2">
        <v>639.33333330000005</v>
      </c>
      <c r="H906" s="2">
        <v>1186</v>
      </c>
      <c r="I906" s="2">
        <v>2122</v>
      </c>
      <c r="J906" s="2">
        <v>1.4</v>
      </c>
      <c r="K906" s="2">
        <v>6.06</v>
      </c>
      <c r="L906" s="2">
        <v>9.58</v>
      </c>
      <c r="M906" s="2">
        <v>13.41</v>
      </c>
      <c r="N906" s="2">
        <v>0.97235659600000002</v>
      </c>
      <c r="O906" s="2">
        <v>0.919489432</v>
      </c>
      <c r="P906" s="2">
        <v>1.964942188</v>
      </c>
      <c r="Q906" s="2">
        <v>2.0837248339999999</v>
      </c>
      <c r="R906" s="2">
        <v>1.6203624700000001</v>
      </c>
      <c r="S906" s="2">
        <v>1.681220028</v>
      </c>
      <c r="T906" s="2">
        <v>1.1114959600000001</v>
      </c>
      <c r="U906" s="2">
        <v>1.2310192529999999</v>
      </c>
      <c r="V906" s="2">
        <v>2.615879343</v>
      </c>
      <c r="W906" s="2">
        <v>5.7585015000000003E-2</v>
      </c>
      <c r="X906">
        <f t="shared" si="42"/>
        <v>1</v>
      </c>
      <c r="Y906">
        <f t="shared" si="43"/>
        <v>1</v>
      </c>
      <c r="Z906">
        <f t="shared" si="44"/>
        <v>1</v>
      </c>
    </row>
    <row r="907" spans="1:26" ht="15.75" customHeight="1" x14ac:dyDescent="0.2">
      <c r="A907" s="2" t="s">
        <v>23</v>
      </c>
      <c r="B907" s="2" t="s">
        <v>24</v>
      </c>
      <c r="C907" s="2" t="s">
        <v>28</v>
      </c>
      <c r="D907" s="2" t="s">
        <v>29</v>
      </c>
      <c r="E907" s="2">
        <v>196</v>
      </c>
      <c r="F907" s="2">
        <v>145.33333329999999</v>
      </c>
      <c r="G907" s="2">
        <v>524.66666669999995</v>
      </c>
      <c r="H907" s="2">
        <v>1376</v>
      </c>
      <c r="I907" s="2">
        <v>2290.333333</v>
      </c>
      <c r="J907" s="2">
        <v>1.32</v>
      </c>
      <c r="K907" s="2">
        <v>5.13</v>
      </c>
      <c r="L907" s="2">
        <v>10.53</v>
      </c>
      <c r="M907" s="2">
        <v>13.92</v>
      </c>
      <c r="N907" s="2">
        <v>1.6809423450000001</v>
      </c>
      <c r="O907" s="2">
        <v>2.1982422869999998</v>
      </c>
      <c r="P907" s="2">
        <v>0.705826446</v>
      </c>
      <c r="Q907" s="2">
        <v>0.79883702199999995</v>
      </c>
      <c r="R907" s="2">
        <v>0.687409045</v>
      </c>
      <c r="S907" s="2">
        <v>0.74826660300000003</v>
      </c>
      <c r="T907" s="2">
        <v>0.16018669599999999</v>
      </c>
      <c r="U907" s="2">
        <v>0.27970998899999999</v>
      </c>
      <c r="V907" s="2">
        <v>1.682925918</v>
      </c>
      <c r="W907" s="2">
        <v>4.6582564999999999E-2</v>
      </c>
      <c r="X907">
        <f t="shared" si="42"/>
        <v>1</v>
      </c>
      <c r="Y907">
        <f t="shared" si="43"/>
        <v>1</v>
      </c>
      <c r="Z907">
        <f t="shared" si="44"/>
        <v>1</v>
      </c>
    </row>
    <row r="908" spans="1:26" ht="15.75" customHeight="1" x14ac:dyDescent="0.2">
      <c r="A908" s="2" t="s">
        <v>23</v>
      </c>
      <c r="B908" s="2" t="s">
        <v>24</v>
      </c>
      <c r="C908" s="2" t="s">
        <v>27</v>
      </c>
      <c r="D908" s="2" t="s">
        <v>27</v>
      </c>
      <c r="E908" s="2">
        <v>155</v>
      </c>
      <c r="F908" s="2">
        <v>151</v>
      </c>
      <c r="G908" s="2">
        <v>423.66666670000001</v>
      </c>
      <c r="H908" s="2">
        <v>1669</v>
      </c>
      <c r="I908" s="2">
        <v>2402.333333</v>
      </c>
      <c r="J908" s="2">
        <v>1.39</v>
      </c>
      <c r="K908" s="2">
        <v>4.24</v>
      </c>
      <c r="L908" s="2">
        <v>11.8</v>
      </c>
      <c r="M908" s="2">
        <v>14.23</v>
      </c>
      <c r="N908" s="2">
        <v>0.17264042800000001</v>
      </c>
      <c r="O908" s="2">
        <v>0.37044273300000002</v>
      </c>
      <c r="P908" s="2">
        <v>1.131002155</v>
      </c>
      <c r="Q908" s="2">
        <v>1.0030124709999999</v>
      </c>
      <c r="R908" s="2">
        <v>0.208699466</v>
      </c>
      <c r="S908" s="2">
        <v>0.14784190799999999</v>
      </c>
      <c r="T908" s="2">
        <v>1.11158014</v>
      </c>
      <c r="U908" s="2">
        <v>0.99205684699999996</v>
      </c>
      <c r="V908" s="2">
        <v>0.78681740700000002</v>
      </c>
      <c r="W908" s="2">
        <v>4.8160274000000003E-2</v>
      </c>
      <c r="X908">
        <f t="shared" si="42"/>
        <v>1</v>
      </c>
      <c r="Y908">
        <f t="shared" si="43"/>
        <v>1</v>
      </c>
      <c r="Z908">
        <f t="shared" si="44"/>
        <v>0</v>
      </c>
    </row>
    <row r="909" spans="1:26" ht="15.75" customHeight="1" x14ac:dyDescent="0.2">
      <c r="A909" s="2" t="s">
        <v>23</v>
      </c>
      <c r="B909" s="2" t="s">
        <v>24</v>
      </c>
      <c r="C909" s="2" t="s">
        <v>26</v>
      </c>
      <c r="D909" s="2" t="s">
        <v>26</v>
      </c>
      <c r="E909" s="2">
        <v>197</v>
      </c>
      <c r="F909" s="2">
        <v>153</v>
      </c>
      <c r="G909" s="2">
        <v>531.33333330000005</v>
      </c>
      <c r="H909" s="2">
        <v>1346</v>
      </c>
      <c r="I909" s="2">
        <v>2757.333333</v>
      </c>
      <c r="J909" s="2">
        <v>1.41</v>
      </c>
      <c r="K909" s="2">
        <v>5.19</v>
      </c>
      <c r="L909" s="2">
        <v>10.39</v>
      </c>
      <c r="M909" s="2">
        <v>15.14</v>
      </c>
      <c r="N909" s="2">
        <v>1.5572614090000001</v>
      </c>
      <c r="O909" s="2">
        <v>2.0758309609999999</v>
      </c>
      <c r="P909" s="2">
        <v>0.80338218100000003</v>
      </c>
      <c r="Q909" s="2">
        <v>0.90908162400000003</v>
      </c>
      <c r="R909" s="2">
        <v>0.74400190600000005</v>
      </c>
      <c r="S909" s="2">
        <v>0.80485946500000005</v>
      </c>
      <c r="T909" s="2">
        <v>0.30312388899999998</v>
      </c>
      <c r="U909" s="2">
        <v>0.42264718200000001</v>
      </c>
      <c r="V909" s="2">
        <v>1.739518779</v>
      </c>
      <c r="W909" s="2">
        <v>7.8426177999999999E-2</v>
      </c>
      <c r="X909">
        <f t="shared" si="42"/>
        <v>1</v>
      </c>
      <c r="Y909">
        <f t="shared" si="43"/>
        <v>1</v>
      </c>
      <c r="Z909">
        <f t="shared" si="44"/>
        <v>0</v>
      </c>
    </row>
    <row r="910" spans="1:26" ht="15.75" customHeight="1" x14ac:dyDescent="0.2">
      <c r="A910" s="2" t="s">
        <v>23</v>
      </c>
      <c r="B910" s="2" t="s">
        <v>24</v>
      </c>
      <c r="C910" s="2" t="s">
        <v>27</v>
      </c>
      <c r="D910" s="2" t="s">
        <v>27</v>
      </c>
      <c r="E910" s="2">
        <v>145</v>
      </c>
      <c r="F910" s="2">
        <v>151.33333329999999</v>
      </c>
      <c r="G910" s="2">
        <v>430.33333329999999</v>
      </c>
      <c r="H910" s="2">
        <v>1681.666667</v>
      </c>
      <c r="I910" s="2">
        <v>2424.666667</v>
      </c>
      <c r="J910" s="2">
        <v>1.39</v>
      </c>
      <c r="K910" s="2">
        <v>4.3</v>
      </c>
      <c r="L910" s="2">
        <v>11.85</v>
      </c>
      <c r="M910" s="2">
        <v>14.3</v>
      </c>
      <c r="N910" s="2">
        <v>0.124131162</v>
      </c>
      <c r="O910" s="2">
        <v>0.35056969700000001</v>
      </c>
      <c r="P910" s="2">
        <v>1.1712339140000001</v>
      </c>
      <c r="Q910" s="2">
        <v>1.0459927899999999</v>
      </c>
      <c r="R910" s="2">
        <v>0.14721609999999999</v>
      </c>
      <c r="S910" s="2">
        <v>8.6358541999999996E-2</v>
      </c>
      <c r="T910" s="2">
        <v>1.161945051</v>
      </c>
      <c r="U910" s="2">
        <v>1.0424217570000001</v>
      </c>
      <c r="V910" s="2">
        <v>0.84830077299999995</v>
      </c>
      <c r="W910" s="2">
        <v>8.0722603000000004E-2</v>
      </c>
      <c r="X910">
        <f t="shared" si="42"/>
        <v>1</v>
      </c>
      <c r="Y910">
        <f t="shared" si="43"/>
        <v>1</v>
      </c>
      <c r="Z910">
        <f t="shared" si="44"/>
        <v>0</v>
      </c>
    </row>
    <row r="911" spans="1:26" ht="15.75" customHeight="1" x14ac:dyDescent="0.2">
      <c r="A911" s="2" t="s">
        <v>23</v>
      </c>
      <c r="B911" s="2" t="s">
        <v>24</v>
      </c>
      <c r="C911" s="2" t="s">
        <v>27</v>
      </c>
      <c r="D911" s="2" t="s">
        <v>27</v>
      </c>
      <c r="E911" s="2">
        <v>115</v>
      </c>
      <c r="F911" s="2">
        <v>147.33333329999999</v>
      </c>
      <c r="G911" s="2">
        <v>449</v>
      </c>
      <c r="H911" s="2">
        <v>1754</v>
      </c>
      <c r="I911" s="2">
        <v>2501.333333</v>
      </c>
      <c r="J911" s="2">
        <v>1.34</v>
      </c>
      <c r="K911" s="2">
        <v>4.47</v>
      </c>
      <c r="L911" s="2">
        <v>12.13</v>
      </c>
      <c r="M911" s="2">
        <v>14.5</v>
      </c>
      <c r="N911" s="2">
        <v>0.25906057100000002</v>
      </c>
      <c r="O911" s="2">
        <v>0.35172685599999998</v>
      </c>
      <c r="P911" s="2">
        <v>1.443158164</v>
      </c>
      <c r="Q911" s="2">
        <v>1.3261116509999999</v>
      </c>
      <c r="R911" s="2">
        <v>2.3126938E-2</v>
      </c>
      <c r="S911" s="2">
        <v>8.3984497000000005E-2</v>
      </c>
      <c r="T911" s="2">
        <v>1.4429728449999999</v>
      </c>
      <c r="U911" s="2">
        <v>1.3234495509999999</v>
      </c>
      <c r="V911" s="2">
        <v>1.018643811</v>
      </c>
      <c r="W911" s="2">
        <v>9.8877883999999999E-2</v>
      </c>
      <c r="X911">
        <f t="shared" si="42"/>
        <v>1</v>
      </c>
      <c r="Y911">
        <f t="shared" si="43"/>
        <v>1</v>
      </c>
      <c r="Z911">
        <f t="shared" si="44"/>
        <v>0</v>
      </c>
    </row>
    <row r="912" spans="1:26" ht="15.75" customHeight="1" x14ac:dyDescent="0.2">
      <c r="A912" s="2" t="s">
        <v>23</v>
      </c>
      <c r="B912" s="2" t="s">
        <v>24</v>
      </c>
      <c r="C912" s="2" t="s">
        <v>32</v>
      </c>
      <c r="D912" s="2" t="s">
        <v>33</v>
      </c>
      <c r="E912" s="2">
        <v>159</v>
      </c>
      <c r="F912" s="2">
        <v>138.66666670000001</v>
      </c>
      <c r="G912" s="2">
        <v>702.33333330000005</v>
      </c>
      <c r="H912" s="2">
        <v>1234</v>
      </c>
      <c r="I912" s="2">
        <v>2217.333333</v>
      </c>
      <c r="J912" s="2">
        <v>1.24</v>
      </c>
      <c r="K912" s="2">
        <v>6.54</v>
      </c>
      <c r="L912" s="2">
        <v>9.83</v>
      </c>
      <c r="M912" s="2">
        <v>13.7</v>
      </c>
      <c r="N912" s="2">
        <v>1.060888474</v>
      </c>
      <c r="O912" s="2">
        <v>0.95722602099999998</v>
      </c>
      <c r="P912" s="2">
        <v>2.2682875029999998</v>
      </c>
      <c r="Q912" s="2">
        <v>2.371552388</v>
      </c>
      <c r="R912" s="2">
        <v>2.09873808</v>
      </c>
      <c r="S912" s="2">
        <v>2.1595956379999999</v>
      </c>
      <c r="T912" s="2">
        <v>0.86048048700000002</v>
      </c>
      <c r="U912" s="2">
        <v>0.98000377999999999</v>
      </c>
      <c r="V912" s="2">
        <v>3.094254952</v>
      </c>
      <c r="W912" s="2">
        <v>8.4030674999999999E-2</v>
      </c>
      <c r="X912">
        <f t="shared" si="42"/>
        <v>1</v>
      </c>
      <c r="Y912">
        <f t="shared" si="43"/>
        <v>1</v>
      </c>
      <c r="Z912">
        <f t="shared" si="44"/>
        <v>1</v>
      </c>
    </row>
    <row r="913" spans="1:26" ht="15.75" customHeight="1" x14ac:dyDescent="0.2">
      <c r="A913" s="2" t="s">
        <v>23</v>
      </c>
      <c r="B913" s="2" t="s">
        <v>24</v>
      </c>
      <c r="C913" s="2" t="s">
        <v>28</v>
      </c>
      <c r="D913" s="2" t="s">
        <v>29</v>
      </c>
      <c r="E913" s="2">
        <v>145</v>
      </c>
      <c r="F913" s="2">
        <v>170.33333329999999</v>
      </c>
      <c r="G913" s="2">
        <v>550</v>
      </c>
      <c r="H913" s="2">
        <v>1520.333333</v>
      </c>
      <c r="I913" s="2">
        <v>2164.333333</v>
      </c>
      <c r="J913" s="2">
        <v>1.61</v>
      </c>
      <c r="K913" s="2">
        <v>5.34</v>
      </c>
      <c r="L913" s="2">
        <v>11.18</v>
      </c>
      <c r="M913" s="2">
        <v>13.54</v>
      </c>
      <c r="N913" s="2">
        <v>2.3664282509999999</v>
      </c>
      <c r="O913" s="2">
        <v>2.8843809149999999</v>
      </c>
      <c r="P913" s="2">
        <v>1.026963863</v>
      </c>
      <c r="Q913" s="2">
        <v>1.03171225</v>
      </c>
      <c r="R913" s="2">
        <v>0.90086258799999996</v>
      </c>
      <c r="S913" s="2">
        <v>0.961720146</v>
      </c>
      <c r="T913" s="2">
        <v>0.49305311499999999</v>
      </c>
      <c r="U913" s="2">
        <v>0.37352982099999998</v>
      </c>
      <c r="V913" s="2">
        <v>1.896379461</v>
      </c>
      <c r="W913" s="2">
        <v>7.0258326999999995E-2</v>
      </c>
      <c r="X913">
        <f t="shared" si="42"/>
        <v>1</v>
      </c>
      <c r="Y913">
        <f t="shared" si="43"/>
        <v>1</v>
      </c>
      <c r="Z913">
        <f t="shared" si="44"/>
        <v>1</v>
      </c>
    </row>
    <row r="914" spans="1:26" ht="15.75" customHeight="1" x14ac:dyDescent="0.2">
      <c r="A914" s="2" t="s">
        <v>23</v>
      </c>
      <c r="B914" s="2" t="s">
        <v>24</v>
      </c>
      <c r="C914" s="2" t="s">
        <v>26</v>
      </c>
      <c r="D914" s="2" t="s">
        <v>26</v>
      </c>
      <c r="E914" s="2">
        <v>189</v>
      </c>
      <c r="F914" s="2">
        <v>155</v>
      </c>
      <c r="G914" s="2">
        <v>465.33333329999999</v>
      </c>
      <c r="H914" s="2">
        <v>1152</v>
      </c>
      <c r="I914" s="2">
        <v>2205.666667</v>
      </c>
      <c r="J914" s="2">
        <v>1.43</v>
      </c>
      <c r="K914" s="2">
        <v>4.6100000000000003</v>
      </c>
      <c r="L914" s="2">
        <v>9.39</v>
      </c>
      <c r="M914" s="2">
        <v>13.67</v>
      </c>
      <c r="N914" s="2">
        <v>0.51947474800000004</v>
      </c>
      <c r="O914" s="2">
        <v>0.99584756699999999</v>
      </c>
      <c r="P914" s="2">
        <v>1.305106315</v>
      </c>
      <c r="Q914" s="2">
        <v>1.432239182</v>
      </c>
      <c r="R914" s="2">
        <v>0.17002615300000001</v>
      </c>
      <c r="S914" s="2">
        <v>0.23088371199999999</v>
      </c>
      <c r="T914" s="2">
        <v>1.2939836170000001</v>
      </c>
      <c r="U914" s="2">
        <v>1.4135069099999999</v>
      </c>
      <c r="V914" s="2">
        <v>1.1655430259999999</v>
      </c>
      <c r="W914" s="2">
        <v>7.0424318E-2</v>
      </c>
      <c r="X914">
        <f t="shared" si="42"/>
        <v>1</v>
      </c>
      <c r="Y914">
        <f t="shared" si="43"/>
        <v>1</v>
      </c>
      <c r="Z914">
        <f t="shared" si="44"/>
        <v>0</v>
      </c>
    </row>
    <row r="915" spans="1:26" ht="15.75" customHeight="1" x14ac:dyDescent="0.2">
      <c r="A915" s="2" t="s">
        <v>23</v>
      </c>
      <c r="B915" s="2" t="s">
        <v>24</v>
      </c>
      <c r="C915" s="2" t="s">
        <v>30</v>
      </c>
      <c r="D915" s="2" t="s">
        <v>31</v>
      </c>
      <c r="E915" s="2">
        <v>151</v>
      </c>
      <c r="F915" s="2">
        <v>147.66666670000001</v>
      </c>
      <c r="G915" s="2">
        <v>626.33333330000005</v>
      </c>
      <c r="H915" s="2">
        <v>1274</v>
      </c>
      <c r="I915" s="2">
        <v>2179</v>
      </c>
      <c r="J915" s="2">
        <v>1.35</v>
      </c>
      <c r="K915" s="2">
        <v>5.96</v>
      </c>
      <c r="L915" s="2">
        <v>10.029999999999999</v>
      </c>
      <c r="M915" s="2">
        <v>13.58</v>
      </c>
      <c r="N915" s="2">
        <v>2.57747269</v>
      </c>
      <c r="O915" s="2">
        <v>2.8110476059999998</v>
      </c>
      <c r="P915" s="2">
        <v>1.654762598</v>
      </c>
      <c r="Q915" s="2">
        <v>1.7601520900000001</v>
      </c>
      <c r="R915" s="2">
        <v>1.518749355</v>
      </c>
      <c r="S915" s="2">
        <v>1.5796069129999999</v>
      </c>
      <c r="T915" s="2">
        <v>0.65699288700000003</v>
      </c>
      <c r="U915" s="2">
        <v>0.77651618099999997</v>
      </c>
      <c r="V915" s="2">
        <v>2.5142662279999999</v>
      </c>
      <c r="W915" s="2">
        <v>4.6161648999999999E-2</v>
      </c>
      <c r="X915">
        <f t="shared" si="42"/>
        <v>1</v>
      </c>
      <c r="Y915">
        <f t="shared" si="43"/>
        <v>1</v>
      </c>
      <c r="Z915">
        <f t="shared" si="44"/>
        <v>1</v>
      </c>
    </row>
    <row r="916" spans="1:26" ht="15.75" customHeight="1" x14ac:dyDescent="0.2">
      <c r="A916" s="2" t="s">
        <v>23</v>
      </c>
      <c r="B916" s="2" t="s">
        <v>24</v>
      </c>
      <c r="C916" s="2" t="s">
        <v>27</v>
      </c>
      <c r="D916" s="2" t="s">
        <v>27</v>
      </c>
      <c r="E916" s="2">
        <v>157</v>
      </c>
      <c r="F916" s="2">
        <v>152.33333329999999</v>
      </c>
      <c r="G916" s="2">
        <v>438</v>
      </c>
      <c r="H916" s="2">
        <v>1729</v>
      </c>
      <c r="I916" s="2">
        <v>2539</v>
      </c>
      <c r="J916" s="2">
        <v>1.4</v>
      </c>
      <c r="K916" s="2">
        <v>4.37</v>
      </c>
      <c r="L916" s="2">
        <v>12.04</v>
      </c>
      <c r="M916" s="2">
        <v>14.6</v>
      </c>
      <c r="N916" s="2">
        <v>0.121741509</v>
      </c>
      <c r="O916" s="2">
        <v>0.27628789599999998</v>
      </c>
      <c r="P916" s="2">
        <v>1.3492847299999999</v>
      </c>
      <c r="Q916" s="2">
        <v>1.2276716409999999</v>
      </c>
      <c r="R916" s="2">
        <v>7.6932852999999995E-2</v>
      </c>
      <c r="S916" s="2">
        <v>1.6075294E-2</v>
      </c>
      <c r="T916" s="2">
        <v>1.347089684</v>
      </c>
      <c r="U916" s="2">
        <v>1.2275663910000001</v>
      </c>
      <c r="V916" s="2">
        <v>0.91858401999999995</v>
      </c>
      <c r="W916" s="2">
        <v>6.5335877000000001E-2</v>
      </c>
      <c r="X916">
        <f t="shared" si="42"/>
        <v>1</v>
      </c>
      <c r="Y916">
        <f t="shared" si="43"/>
        <v>1</v>
      </c>
      <c r="Z916">
        <f t="shared" si="44"/>
        <v>0</v>
      </c>
    </row>
    <row r="917" spans="1:26" ht="15.75" customHeight="1" x14ac:dyDescent="0.2">
      <c r="A917" s="2" t="s">
        <v>23</v>
      </c>
      <c r="B917" s="2" t="s">
        <v>24</v>
      </c>
      <c r="C917" s="2" t="s">
        <v>30</v>
      </c>
      <c r="D917" s="2" t="s">
        <v>31</v>
      </c>
      <c r="E917" s="2">
        <v>161</v>
      </c>
      <c r="F917" s="2">
        <v>157.33333329999999</v>
      </c>
      <c r="G917" s="2">
        <v>572.33333330000005</v>
      </c>
      <c r="H917" s="2">
        <v>1307</v>
      </c>
      <c r="I917" s="2">
        <v>2130.666667</v>
      </c>
      <c r="J917" s="2">
        <v>1.46</v>
      </c>
      <c r="K917" s="2">
        <v>5.53</v>
      </c>
      <c r="L917" s="2">
        <v>10.199999999999999</v>
      </c>
      <c r="M917" s="2">
        <v>13.43</v>
      </c>
      <c r="N917" s="2">
        <v>2.1794330519999998</v>
      </c>
      <c r="O917" s="2">
        <v>2.412613543</v>
      </c>
      <c r="P917" s="2">
        <v>1.1921495929999999</v>
      </c>
      <c r="Q917" s="2">
        <v>1.299672876</v>
      </c>
      <c r="R917" s="2">
        <v>1.0854966559999999</v>
      </c>
      <c r="S917" s="2">
        <v>1.1463542149999999</v>
      </c>
      <c r="T917" s="2">
        <v>0.49286677699999998</v>
      </c>
      <c r="U917" s="2">
        <v>0.61239007099999998</v>
      </c>
      <c r="V917" s="2">
        <v>2.0810135289999998</v>
      </c>
      <c r="W917" s="2">
        <v>6.3482620000000003E-2</v>
      </c>
      <c r="X917">
        <f t="shared" si="42"/>
        <v>1</v>
      </c>
      <c r="Y917">
        <f t="shared" si="43"/>
        <v>1</v>
      </c>
      <c r="Z917">
        <f t="shared" si="44"/>
        <v>1</v>
      </c>
    </row>
    <row r="918" spans="1:26" ht="15.75" customHeight="1" x14ac:dyDescent="0.2">
      <c r="A918" s="2" t="s">
        <v>23</v>
      </c>
      <c r="B918" s="2" t="s">
        <v>24</v>
      </c>
      <c r="C918" s="2" t="s">
        <v>26</v>
      </c>
      <c r="D918" s="2" t="s">
        <v>26</v>
      </c>
      <c r="E918" s="2">
        <v>145</v>
      </c>
      <c r="F918" s="2">
        <v>155.66666670000001</v>
      </c>
      <c r="G918" s="2">
        <v>467</v>
      </c>
      <c r="H918" s="2">
        <v>688.33333330000005</v>
      </c>
      <c r="I918" s="2">
        <v>2133.666667</v>
      </c>
      <c r="J918" s="2">
        <v>1.44</v>
      </c>
      <c r="K918" s="2">
        <v>4.63</v>
      </c>
      <c r="L918" s="2">
        <v>6.44</v>
      </c>
      <c r="M918" s="2">
        <v>13.44</v>
      </c>
      <c r="N918" s="2">
        <v>2.4566886299999999</v>
      </c>
      <c r="O918" s="2">
        <v>1.9613600739999999</v>
      </c>
      <c r="P918" s="2">
        <v>4.2542903189999999</v>
      </c>
      <c r="Q918" s="2">
        <v>4.3766989670000003</v>
      </c>
      <c r="R918" s="2">
        <v>0.18490469700000001</v>
      </c>
      <c r="S918" s="2">
        <v>0.24576225600000001</v>
      </c>
      <c r="T918" s="2">
        <v>4.2502701529999998</v>
      </c>
      <c r="U918" s="2">
        <v>4.3697934470000002</v>
      </c>
      <c r="V918" s="2">
        <v>1.18042157</v>
      </c>
      <c r="W918" s="2">
        <v>7.6546126000000006E-2</v>
      </c>
      <c r="X918">
        <f t="shared" si="42"/>
        <v>1</v>
      </c>
      <c r="Y918">
        <f t="shared" si="43"/>
        <v>1</v>
      </c>
      <c r="Z918">
        <f t="shared" si="44"/>
        <v>0</v>
      </c>
    </row>
    <row r="919" spans="1:26" ht="15.75" customHeight="1" x14ac:dyDescent="0.2">
      <c r="A919" s="2" t="s">
        <v>23</v>
      </c>
      <c r="B919" s="2" t="s">
        <v>24</v>
      </c>
      <c r="C919" s="2" t="s">
        <v>26</v>
      </c>
      <c r="D919" s="2" t="s">
        <v>26</v>
      </c>
      <c r="E919" s="2">
        <v>165</v>
      </c>
      <c r="F919" s="2">
        <v>155.66666670000001</v>
      </c>
      <c r="G919" s="2">
        <v>549</v>
      </c>
      <c r="H919" s="2">
        <v>1093.333333</v>
      </c>
      <c r="I919" s="2">
        <v>2820.666667</v>
      </c>
      <c r="J919" s="2">
        <v>1.44</v>
      </c>
      <c r="K919" s="2">
        <v>5.34</v>
      </c>
      <c r="L919" s="2">
        <v>9.07</v>
      </c>
      <c r="M919" s="2">
        <v>15.29</v>
      </c>
      <c r="N919" s="2">
        <v>0.61662474099999998</v>
      </c>
      <c r="O919" s="2">
        <v>1.007566105</v>
      </c>
      <c r="P919" s="2">
        <v>1.8482085530000001</v>
      </c>
      <c r="Q919" s="2">
        <v>1.982265183</v>
      </c>
      <c r="R919" s="2">
        <v>0.89251850700000002</v>
      </c>
      <c r="S919" s="2">
        <v>0.95337606500000005</v>
      </c>
      <c r="T919" s="2">
        <v>1.6184207020000001</v>
      </c>
      <c r="U919" s="2">
        <v>1.737943996</v>
      </c>
      <c r="V919" s="2">
        <v>1.88803538</v>
      </c>
      <c r="W919" s="2">
        <v>6.4524737999999998E-2</v>
      </c>
      <c r="X919">
        <f t="shared" si="42"/>
        <v>1</v>
      </c>
      <c r="Y919">
        <f t="shared" si="43"/>
        <v>1</v>
      </c>
      <c r="Z919">
        <f t="shared" si="44"/>
        <v>0</v>
      </c>
    </row>
    <row r="920" spans="1:26" ht="15.75" customHeight="1" x14ac:dyDescent="0.2">
      <c r="A920" s="2" t="s">
        <v>23</v>
      </c>
      <c r="B920" s="2" t="s">
        <v>24</v>
      </c>
      <c r="C920" s="2" t="s">
        <v>26</v>
      </c>
      <c r="D920" s="2" t="s">
        <v>26</v>
      </c>
      <c r="E920" s="2">
        <v>197</v>
      </c>
      <c r="F920" s="2">
        <v>154.66666670000001</v>
      </c>
      <c r="G920" s="2">
        <v>497.33333329999999</v>
      </c>
      <c r="H920" s="2">
        <v>890.66666669999995</v>
      </c>
      <c r="I920" s="2">
        <v>2171.666667</v>
      </c>
      <c r="J920" s="2">
        <v>1.43</v>
      </c>
      <c r="K920" s="2">
        <v>4.9000000000000004</v>
      </c>
      <c r="L920" s="2">
        <v>7.85</v>
      </c>
      <c r="M920" s="2">
        <v>13.56</v>
      </c>
      <c r="N920" s="2">
        <v>1.0562805159999999</v>
      </c>
      <c r="O920" s="2">
        <v>0.63420145900000002</v>
      </c>
      <c r="P920" s="2">
        <v>2.8776967359999999</v>
      </c>
      <c r="Q920" s="2">
        <v>3.0055818410000001</v>
      </c>
      <c r="R920" s="2">
        <v>0.45216790400000001</v>
      </c>
      <c r="S920" s="2">
        <v>0.51302546199999999</v>
      </c>
      <c r="T920" s="2">
        <v>2.841950508</v>
      </c>
      <c r="U920" s="2">
        <v>2.961473802</v>
      </c>
      <c r="V920" s="2">
        <v>1.447684776</v>
      </c>
      <c r="W920" s="2">
        <v>7.4170148000000005E-2</v>
      </c>
      <c r="X920">
        <f t="shared" si="42"/>
        <v>1</v>
      </c>
      <c r="Y920">
        <f t="shared" si="43"/>
        <v>1</v>
      </c>
      <c r="Z920">
        <f t="shared" si="44"/>
        <v>0</v>
      </c>
    </row>
    <row r="921" spans="1:26" ht="15.75" customHeight="1" x14ac:dyDescent="0.2">
      <c r="A921" s="2" t="s">
        <v>23</v>
      </c>
      <c r="B921" s="2" t="s">
        <v>24</v>
      </c>
      <c r="C921" s="2" t="s">
        <v>25</v>
      </c>
      <c r="D921" s="2" t="s">
        <v>25</v>
      </c>
      <c r="E921" s="2">
        <v>159</v>
      </c>
      <c r="F921" s="2">
        <v>147.33333329999999</v>
      </c>
      <c r="G921" s="2">
        <v>568</v>
      </c>
      <c r="H921" s="2">
        <v>1316.333333</v>
      </c>
      <c r="I921" s="2">
        <v>2405</v>
      </c>
      <c r="J921" s="2">
        <v>1.34</v>
      </c>
      <c r="K921" s="2">
        <v>5.49</v>
      </c>
      <c r="L921" s="2">
        <v>10.24</v>
      </c>
      <c r="M921" s="2">
        <v>14.24</v>
      </c>
      <c r="N921" s="2">
        <v>0.32063191800000002</v>
      </c>
      <c r="O921" s="2">
        <v>0.40326017199999997</v>
      </c>
      <c r="P921" s="2">
        <v>1.141139004</v>
      </c>
      <c r="Q921" s="2">
        <v>1.24693415</v>
      </c>
      <c r="R921" s="2">
        <v>1.0499272150000001</v>
      </c>
      <c r="S921" s="2">
        <v>1.1107847740000001</v>
      </c>
      <c r="T921" s="2">
        <v>0.447047056</v>
      </c>
      <c r="U921" s="2">
        <v>0.56657034900000003</v>
      </c>
      <c r="V921" s="2">
        <v>2.045444088</v>
      </c>
      <c r="W921" s="2">
        <v>7.9463598999999996E-2</v>
      </c>
      <c r="X921">
        <f t="shared" si="42"/>
        <v>1</v>
      </c>
      <c r="Y921">
        <f t="shared" si="43"/>
        <v>1</v>
      </c>
      <c r="Z921">
        <f t="shared" si="44"/>
        <v>0</v>
      </c>
    </row>
    <row r="922" spans="1:26" ht="15.75" customHeight="1" x14ac:dyDescent="0.2">
      <c r="A922" s="2" t="s">
        <v>23</v>
      </c>
      <c r="B922" s="2" t="s">
        <v>24</v>
      </c>
      <c r="C922" s="2" t="s">
        <v>25</v>
      </c>
      <c r="D922" s="2" t="s">
        <v>25</v>
      </c>
      <c r="E922" s="2">
        <v>181</v>
      </c>
      <c r="F922" s="2">
        <v>146</v>
      </c>
      <c r="G922" s="2">
        <v>586.66666669999995</v>
      </c>
      <c r="H922" s="2">
        <v>1327.666667</v>
      </c>
      <c r="I922" s="2">
        <v>2489</v>
      </c>
      <c r="J922" s="2">
        <v>1.33</v>
      </c>
      <c r="K922" s="2">
        <v>5.65</v>
      </c>
      <c r="L922" s="2">
        <v>10.3</v>
      </c>
      <c r="M922" s="2">
        <v>14.47</v>
      </c>
      <c r="N922" s="2">
        <v>0.19415637799999999</v>
      </c>
      <c r="O922" s="2">
        <v>0.24895246400000001</v>
      </c>
      <c r="P922" s="2">
        <v>1.2645034289999999</v>
      </c>
      <c r="Q922" s="2">
        <v>1.3626971189999999</v>
      </c>
      <c r="R922" s="2">
        <v>1.202287047</v>
      </c>
      <c r="S922" s="2">
        <v>1.2631446049999999</v>
      </c>
      <c r="T922" s="2">
        <v>0.391758571</v>
      </c>
      <c r="U922" s="2">
        <v>0.51128186399999997</v>
      </c>
      <c r="V922" s="2">
        <v>2.1978039200000001</v>
      </c>
      <c r="W922" s="2">
        <v>6.7916832999999996E-2</v>
      </c>
      <c r="X922">
        <f t="shared" si="42"/>
        <v>1</v>
      </c>
      <c r="Y922">
        <f t="shared" si="43"/>
        <v>1</v>
      </c>
      <c r="Z922">
        <f t="shared" si="44"/>
        <v>0</v>
      </c>
    </row>
    <row r="923" spans="1:26" ht="15.75" customHeight="1" x14ac:dyDescent="0.2">
      <c r="A923" s="2" t="s">
        <v>23</v>
      </c>
      <c r="B923" s="2" t="s">
        <v>24</v>
      </c>
      <c r="C923" s="2" t="s">
        <v>25</v>
      </c>
      <c r="D923" s="2" t="s">
        <v>25</v>
      </c>
      <c r="E923" s="2">
        <v>143</v>
      </c>
      <c r="F923" s="2">
        <v>149</v>
      </c>
      <c r="G923" s="2">
        <v>638.66666669999995</v>
      </c>
      <c r="H923" s="2">
        <v>1457.333333</v>
      </c>
      <c r="I923" s="2">
        <v>2406.333333</v>
      </c>
      <c r="J923" s="2">
        <v>1.36</v>
      </c>
      <c r="K923" s="2">
        <v>6.06</v>
      </c>
      <c r="L923" s="2">
        <v>10.9</v>
      </c>
      <c r="M923" s="2">
        <v>14.25</v>
      </c>
      <c r="N923" s="2">
        <v>0.54976236599999995</v>
      </c>
      <c r="O923" s="2">
        <v>0.494231953</v>
      </c>
      <c r="P923" s="2">
        <v>1.6293843809999999</v>
      </c>
      <c r="Q923" s="2">
        <v>1.6787344420000001</v>
      </c>
      <c r="R923" s="2">
        <v>1.615176272</v>
      </c>
      <c r="S923" s="2">
        <v>1.6760338299999999</v>
      </c>
      <c r="T923" s="2">
        <v>0.21470694400000001</v>
      </c>
      <c r="U923" s="2">
        <v>9.5183649999999995E-2</v>
      </c>
      <c r="V923" s="2">
        <v>2.6106931449999999</v>
      </c>
      <c r="W923" s="2">
        <v>8.7438677000000006E-2</v>
      </c>
      <c r="X923">
        <f t="shared" si="42"/>
        <v>1</v>
      </c>
      <c r="Y923">
        <f t="shared" si="43"/>
        <v>1</v>
      </c>
      <c r="Z923">
        <f t="shared" si="44"/>
        <v>0</v>
      </c>
    </row>
    <row r="924" spans="1:26" ht="15.75" customHeight="1" x14ac:dyDescent="0.2">
      <c r="A924" s="2" t="s">
        <v>23</v>
      </c>
      <c r="B924" s="2" t="s">
        <v>24</v>
      </c>
      <c r="C924" s="2" t="s">
        <v>28</v>
      </c>
      <c r="D924" s="2" t="s">
        <v>29</v>
      </c>
      <c r="E924" s="2">
        <v>195</v>
      </c>
      <c r="F924" s="2">
        <v>157.33333329999999</v>
      </c>
      <c r="G924" s="2">
        <v>556.66666669999995</v>
      </c>
      <c r="H924" s="2">
        <v>1767.666667</v>
      </c>
      <c r="I924" s="2">
        <v>2334</v>
      </c>
      <c r="J924" s="2">
        <v>1.46</v>
      </c>
      <c r="K924" s="2">
        <v>5.4</v>
      </c>
      <c r="L924" s="2">
        <v>12.18</v>
      </c>
      <c r="M924" s="2">
        <v>14.04</v>
      </c>
      <c r="N924" s="2">
        <v>3.3556112009999999</v>
      </c>
      <c r="O924" s="2">
        <v>3.8711108310000002</v>
      </c>
      <c r="P924" s="2">
        <v>1.7745734550000001</v>
      </c>
      <c r="Q924" s="2">
        <v>1.710602639</v>
      </c>
      <c r="R924" s="2">
        <v>0.95632033299999997</v>
      </c>
      <c r="S924" s="2">
        <v>1.017177891</v>
      </c>
      <c r="T924" s="2">
        <v>1.494845266</v>
      </c>
      <c r="U924" s="2">
        <v>1.3753219720000001</v>
      </c>
      <c r="V924" s="2">
        <v>1.951837206</v>
      </c>
      <c r="W924" s="2">
        <v>6.7961285999999996E-2</v>
      </c>
      <c r="X924">
        <f t="shared" si="42"/>
        <v>1</v>
      </c>
      <c r="Y924">
        <f t="shared" si="43"/>
        <v>1</v>
      </c>
      <c r="Z924">
        <f t="shared" si="44"/>
        <v>1</v>
      </c>
    </row>
    <row r="925" spans="1:26" ht="15.75" customHeight="1" x14ac:dyDescent="0.2">
      <c r="A925" s="2" t="s">
        <v>23</v>
      </c>
      <c r="B925" s="2" t="s">
        <v>24</v>
      </c>
      <c r="C925" s="2" t="s">
        <v>30</v>
      </c>
      <c r="D925" s="2" t="s">
        <v>31</v>
      </c>
      <c r="E925" s="2">
        <v>155</v>
      </c>
      <c r="F925" s="2">
        <v>141.33333329999999</v>
      </c>
      <c r="G925" s="2">
        <v>682</v>
      </c>
      <c r="H925" s="2">
        <v>1183.666667</v>
      </c>
      <c r="I925" s="2">
        <v>2108.666667</v>
      </c>
      <c r="J925" s="2">
        <v>1.27</v>
      </c>
      <c r="K925" s="2">
        <v>6.39</v>
      </c>
      <c r="L925" s="2">
        <v>9.56</v>
      </c>
      <c r="M925" s="2">
        <v>13.36</v>
      </c>
      <c r="N925" s="2">
        <v>3.2107881539999998</v>
      </c>
      <c r="O925" s="2">
        <v>3.4443287210000002</v>
      </c>
      <c r="P925" s="2">
        <v>2.247955412</v>
      </c>
      <c r="Q925" s="2">
        <v>2.3615493129999998</v>
      </c>
      <c r="R925" s="2">
        <v>1.9468351239999999</v>
      </c>
      <c r="S925" s="2">
        <v>2.0076926830000001</v>
      </c>
      <c r="T925" s="2">
        <v>1.1238934700000001</v>
      </c>
      <c r="U925" s="2">
        <v>1.2434167629999999</v>
      </c>
      <c r="V925" s="2">
        <v>2.9423519969999998</v>
      </c>
      <c r="W925" s="2">
        <v>6.4924383000000002E-2</v>
      </c>
      <c r="X925">
        <f t="shared" si="42"/>
        <v>1</v>
      </c>
      <c r="Y925">
        <f t="shared" si="43"/>
        <v>1</v>
      </c>
      <c r="Z925">
        <f t="shared" si="44"/>
        <v>1</v>
      </c>
    </row>
    <row r="926" spans="1:26" ht="15.75" customHeight="1" x14ac:dyDescent="0.2">
      <c r="A926" s="2" t="s">
        <v>23</v>
      </c>
      <c r="B926" s="2" t="s">
        <v>24</v>
      </c>
      <c r="C926" s="2" t="s">
        <v>32</v>
      </c>
      <c r="D926" s="2" t="s">
        <v>33</v>
      </c>
      <c r="E926" s="2">
        <v>170</v>
      </c>
      <c r="F926" s="2">
        <v>156</v>
      </c>
      <c r="G926" s="2">
        <v>671.66666669999995</v>
      </c>
      <c r="H926" s="2">
        <v>1434</v>
      </c>
      <c r="I926" s="2">
        <v>2227.333333</v>
      </c>
      <c r="J926" s="2">
        <v>1.45</v>
      </c>
      <c r="K926" s="2">
        <v>6.31</v>
      </c>
      <c r="L926" s="2">
        <v>10.8</v>
      </c>
      <c r="M926" s="2">
        <v>13.73</v>
      </c>
      <c r="N926" s="2">
        <v>0.68351468100000001</v>
      </c>
      <c r="O926" s="2">
        <v>0.58651831300000001</v>
      </c>
      <c r="P926" s="2">
        <v>1.8719147730000001</v>
      </c>
      <c r="Q926" s="2">
        <v>1.9296252620000001</v>
      </c>
      <c r="R926" s="2">
        <v>1.8687389729999999</v>
      </c>
      <c r="S926" s="2">
        <v>1.9295965319999999</v>
      </c>
      <c r="T926" s="2">
        <v>0.108993435</v>
      </c>
      <c r="U926" s="2">
        <v>1.0529859000000001E-2</v>
      </c>
      <c r="V926" s="2">
        <v>2.8642558459999998</v>
      </c>
      <c r="W926" s="2">
        <v>6.5394944999999996E-2</v>
      </c>
      <c r="X926">
        <f t="shared" si="42"/>
        <v>1</v>
      </c>
      <c r="Y926">
        <f t="shared" si="43"/>
        <v>1</v>
      </c>
      <c r="Z926">
        <f t="shared" si="44"/>
        <v>1</v>
      </c>
    </row>
    <row r="927" spans="1:26" ht="15.75" customHeight="1" x14ac:dyDescent="0.2">
      <c r="A927" s="2" t="s">
        <v>23</v>
      </c>
      <c r="B927" s="2" t="s">
        <v>24</v>
      </c>
      <c r="C927" s="2" t="s">
        <v>26</v>
      </c>
      <c r="D927" s="2" t="s">
        <v>26</v>
      </c>
      <c r="E927" s="2">
        <v>161</v>
      </c>
      <c r="F927" s="2">
        <v>142.33333329999999</v>
      </c>
      <c r="G927" s="2">
        <v>434.33333329999999</v>
      </c>
      <c r="H927" s="2">
        <v>1017.333333</v>
      </c>
      <c r="I927" s="2">
        <v>2308.333333</v>
      </c>
      <c r="J927" s="2">
        <v>1.29</v>
      </c>
      <c r="K927" s="2">
        <v>4.33</v>
      </c>
      <c r="L927" s="2">
        <v>8.6300000000000008</v>
      </c>
      <c r="M927" s="2">
        <v>13.97</v>
      </c>
      <c r="N927" s="2">
        <v>0.48842388799999997</v>
      </c>
      <c r="O927" s="2">
        <v>0.34184706300000001</v>
      </c>
      <c r="P927" s="2">
        <v>2.0606886210000002</v>
      </c>
      <c r="Q927" s="2">
        <v>2.177813279</v>
      </c>
      <c r="R927" s="2">
        <v>0.110490424</v>
      </c>
      <c r="S927" s="2">
        <v>4.9632865999999998E-2</v>
      </c>
      <c r="T927" s="2">
        <v>2.057724339</v>
      </c>
      <c r="U927" s="2">
        <v>2.1772476329999999</v>
      </c>
      <c r="V927" s="2">
        <v>0.88502644900000005</v>
      </c>
      <c r="W927" s="2">
        <v>6.2184970999999999E-2</v>
      </c>
      <c r="X927">
        <f t="shared" si="42"/>
        <v>1</v>
      </c>
      <c r="Y927">
        <f t="shared" si="43"/>
        <v>1</v>
      </c>
      <c r="Z927">
        <f t="shared" si="44"/>
        <v>0</v>
      </c>
    </row>
    <row r="928" spans="1:26" ht="15.75" customHeight="1" x14ac:dyDescent="0.2">
      <c r="A928" s="2" t="s">
        <v>23</v>
      </c>
      <c r="B928" s="2" t="s">
        <v>24</v>
      </c>
      <c r="C928" s="2" t="s">
        <v>32</v>
      </c>
      <c r="D928" s="2" t="s">
        <v>33</v>
      </c>
      <c r="E928" s="2">
        <v>110</v>
      </c>
      <c r="F928" s="2">
        <v>153.33333329999999</v>
      </c>
      <c r="G928" s="2">
        <v>674</v>
      </c>
      <c r="H928" s="2">
        <v>1228</v>
      </c>
      <c r="I928" s="2">
        <v>2239</v>
      </c>
      <c r="J928" s="2">
        <v>1.42</v>
      </c>
      <c r="K928" s="2">
        <v>6.33</v>
      </c>
      <c r="L928" s="2">
        <v>9.8000000000000007</v>
      </c>
      <c r="M928" s="2">
        <v>13.77</v>
      </c>
      <c r="N928" s="2">
        <v>0.92574855300000003</v>
      </c>
      <c r="O928" s="2">
        <v>0.83590642699999995</v>
      </c>
      <c r="P928" s="2">
        <v>2.0864515030000002</v>
      </c>
      <c r="Q928" s="2">
        <v>2.1940767299999999</v>
      </c>
      <c r="R928" s="2">
        <v>1.8864271480000001</v>
      </c>
      <c r="S928" s="2">
        <v>1.9472847069999999</v>
      </c>
      <c r="T928" s="2">
        <v>0.89144404899999996</v>
      </c>
      <c r="U928" s="2">
        <v>1.010967342</v>
      </c>
      <c r="V928" s="2">
        <v>2.8819440209999998</v>
      </c>
      <c r="W928" s="2">
        <v>5.8320496999999999E-2</v>
      </c>
      <c r="X928">
        <f t="shared" si="42"/>
        <v>1</v>
      </c>
      <c r="Y928">
        <f t="shared" si="43"/>
        <v>1</v>
      </c>
      <c r="Z928">
        <f t="shared" si="44"/>
        <v>1</v>
      </c>
    </row>
    <row r="929" spans="1:26" ht="15.75" customHeight="1" x14ac:dyDescent="0.2">
      <c r="A929" s="2" t="s">
        <v>23</v>
      </c>
      <c r="B929" s="2" t="s">
        <v>24</v>
      </c>
      <c r="C929" s="2" t="s">
        <v>28</v>
      </c>
      <c r="D929" s="2" t="s">
        <v>29</v>
      </c>
      <c r="E929" s="2">
        <v>173</v>
      </c>
      <c r="F929" s="2">
        <v>158.66666670000001</v>
      </c>
      <c r="G929" s="2">
        <v>510.66666670000001</v>
      </c>
      <c r="H929" s="2">
        <v>1599.333333</v>
      </c>
      <c r="I929" s="2">
        <v>2301</v>
      </c>
      <c r="J929" s="2">
        <v>1.48</v>
      </c>
      <c r="K929" s="2">
        <v>5.01</v>
      </c>
      <c r="L929" s="2">
        <v>11.52</v>
      </c>
      <c r="M929" s="2">
        <v>13.95</v>
      </c>
      <c r="N929" s="2">
        <v>2.6379341410000001</v>
      </c>
      <c r="O929" s="2">
        <v>3.1466350030000001</v>
      </c>
      <c r="P929" s="2">
        <v>1.003988895</v>
      </c>
      <c r="Q929" s="2">
        <v>0.94715092000000001</v>
      </c>
      <c r="R929" s="2">
        <v>0.56756991899999998</v>
      </c>
      <c r="S929" s="2">
        <v>0.62842747799999998</v>
      </c>
      <c r="T929" s="2">
        <v>0.828165496</v>
      </c>
      <c r="U929" s="2">
        <v>0.70864220200000005</v>
      </c>
      <c r="V929" s="2">
        <v>1.563086792</v>
      </c>
      <c r="W929" s="2">
        <v>4.2319580000000002E-2</v>
      </c>
      <c r="X929">
        <f t="shared" si="42"/>
        <v>1</v>
      </c>
      <c r="Y929">
        <f t="shared" si="43"/>
        <v>1</v>
      </c>
      <c r="Z929">
        <f t="shared" si="44"/>
        <v>1</v>
      </c>
    </row>
    <row r="930" spans="1:26" ht="15.75" customHeight="1" x14ac:dyDescent="0.2">
      <c r="A930" s="2" t="s">
        <v>23</v>
      </c>
      <c r="B930" s="2" t="s">
        <v>24</v>
      </c>
      <c r="C930" s="2" t="s">
        <v>32</v>
      </c>
      <c r="D930" s="2" t="s">
        <v>33</v>
      </c>
      <c r="E930" s="2">
        <v>169</v>
      </c>
      <c r="F930" s="2">
        <v>147</v>
      </c>
      <c r="G930" s="2">
        <v>682</v>
      </c>
      <c r="H930" s="2">
        <v>1048.333333</v>
      </c>
      <c r="I930" s="2">
        <v>2126.666667</v>
      </c>
      <c r="J930" s="2">
        <v>1.34</v>
      </c>
      <c r="K930" s="2">
        <v>6.39</v>
      </c>
      <c r="L930" s="2">
        <v>8.81</v>
      </c>
      <c r="M930" s="2">
        <v>13.42</v>
      </c>
      <c r="N930" s="2">
        <v>1.8033527920000001</v>
      </c>
      <c r="O930" s="2">
        <v>1.746075963</v>
      </c>
      <c r="P930" s="2">
        <v>2.703515554</v>
      </c>
      <c r="Q930" s="2">
        <v>2.8306115319999998</v>
      </c>
      <c r="R930" s="2">
        <v>1.9468351239999999</v>
      </c>
      <c r="S930" s="2">
        <v>2.0076926830000001</v>
      </c>
      <c r="T930" s="2">
        <v>1.875854299</v>
      </c>
      <c r="U930" s="2">
        <v>1.9953775920000001</v>
      </c>
      <c r="V930" s="2">
        <v>2.9423519969999998</v>
      </c>
      <c r="W930" s="2">
        <v>4.2435535000000003E-2</v>
      </c>
      <c r="X930">
        <f t="shared" si="42"/>
        <v>1</v>
      </c>
      <c r="Y930">
        <f t="shared" si="43"/>
        <v>1</v>
      </c>
      <c r="Z930">
        <f t="shared" si="44"/>
        <v>1</v>
      </c>
    </row>
    <row r="931" spans="1:26" ht="15.75" customHeight="1" x14ac:dyDescent="0.2">
      <c r="A931" s="2" t="s">
        <v>23</v>
      </c>
      <c r="B931" s="2" t="s">
        <v>24</v>
      </c>
      <c r="C931" s="2" t="s">
        <v>25</v>
      </c>
      <c r="D931" s="2" t="s">
        <v>25</v>
      </c>
      <c r="E931" s="2">
        <v>183</v>
      </c>
      <c r="F931" s="2">
        <v>159</v>
      </c>
      <c r="G931" s="2">
        <v>541.33333330000005</v>
      </c>
      <c r="H931" s="2">
        <v>1369.333333</v>
      </c>
      <c r="I931" s="2">
        <v>2383.333333</v>
      </c>
      <c r="J931" s="2">
        <v>1.48</v>
      </c>
      <c r="K931" s="2">
        <v>5.27</v>
      </c>
      <c r="L931" s="2">
        <v>10.5</v>
      </c>
      <c r="M931" s="2">
        <v>14.18</v>
      </c>
      <c r="N931" s="2">
        <v>0.43474665400000001</v>
      </c>
      <c r="O931" s="2">
        <v>0.55751502900000005</v>
      </c>
      <c r="P931" s="2">
        <v>0.85022517099999995</v>
      </c>
      <c r="Q931" s="2">
        <v>0.94208489299999998</v>
      </c>
      <c r="R931" s="2">
        <v>0.82832557200000001</v>
      </c>
      <c r="S931" s="2">
        <v>0.88918313000000004</v>
      </c>
      <c r="T931" s="2">
        <v>0.19172790200000001</v>
      </c>
      <c r="U931" s="2">
        <v>0.31125119600000001</v>
      </c>
      <c r="V931" s="2">
        <v>1.8238424440000001</v>
      </c>
      <c r="W931" s="2">
        <v>6.2923735999999994E-2</v>
      </c>
      <c r="X931">
        <f t="shared" si="42"/>
        <v>1</v>
      </c>
      <c r="Y931">
        <f t="shared" si="43"/>
        <v>1</v>
      </c>
      <c r="Z931">
        <f t="shared" si="44"/>
        <v>0</v>
      </c>
    </row>
    <row r="932" spans="1:26" ht="15.75" customHeight="1" x14ac:dyDescent="0.2">
      <c r="A932" s="2" t="s">
        <v>23</v>
      </c>
      <c r="B932" s="2" t="s">
        <v>24</v>
      </c>
      <c r="C932" s="2" t="s">
        <v>27</v>
      </c>
      <c r="D932" s="2" t="s">
        <v>27</v>
      </c>
      <c r="E932" s="2">
        <v>167</v>
      </c>
      <c r="F932" s="2">
        <v>141.66666670000001</v>
      </c>
      <c r="G932" s="2">
        <v>417.66666670000001</v>
      </c>
      <c r="H932" s="2">
        <v>1797</v>
      </c>
      <c r="I932" s="2">
        <v>2479</v>
      </c>
      <c r="J932" s="2">
        <v>1.28</v>
      </c>
      <c r="K932" s="2">
        <v>4.18</v>
      </c>
      <c r="L932" s="2">
        <v>12.29</v>
      </c>
      <c r="M932" s="2">
        <v>14.44</v>
      </c>
      <c r="N932" s="2">
        <v>0.33405384799999999</v>
      </c>
      <c r="O932" s="2">
        <v>0.15623789499999999</v>
      </c>
      <c r="P932" s="2">
        <v>1.6265288790000001</v>
      </c>
      <c r="Q932" s="2">
        <v>1.4992549019999999</v>
      </c>
      <c r="R932" s="2">
        <v>0.26432928500000002</v>
      </c>
      <c r="S932" s="2">
        <v>0.20347172599999999</v>
      </c>
      <c r="T932" s="2">
        <v>1.6049069199999999</v>
      </c>
      <c r="U932" s="2">
        <v>1.485383627</v>
      </c>
      <c r="V932" s="2">
        <v>0.73118758800000005</v>
      </c>
      <c r="W932" s="2">
        <v>5.4856975000000002E-2</v>
      </c>
      <c r="X932">
        <f t="shared" si="42"/>
        <v>1</v>
      </c>
      <c r="Y932">
        <f t="shared" si="43"/>
        <v>1</v>
      </c>
      <c r="Z932">
        <f t="shared" si="44"/>
        <v>0</v>
      </c>
    </row>
    <row r="933" spans="1:26" ht="15.75" customHeight="1" x14ac:dyDescent="0.2">
      <c r="A933" s="2" t="s">
        <v>23</v>
      </c>
      <c r="B933" s="2" t="s">
        <v>24</v>
      </c>
      <c r="C933" s="2" t="s">
        <v>30</v>
      </c>
      <c r="D933" s="2" t="s">
        <v>31</v>
      </c>
      <c r="E933" s="2">
        <v>144</v>
      </c>
      <c r="F933" s="2">
        <v>143</v>
      </c>
      <c r="G933" s="2">
        <v>635.66666669999995</v>
      </c>
      <c r="H933" s="2">
        <v>1205.666667</v>
      </c>
      <c r="I933" s="2">
        <v>2231.333333</v>
      </c>
      <c r="J933" s="2">
        <v>1.29</v>
      </c>
      <c r="K933" s="2">
        <v>6.04</v>
      </c>
      <c r="L933" s="2">
        <v>9.68</v>
      </c>
      <c r="M933" s="2">
        <v>13.74</v>
      </c>
      <c r="N933" s="2">
        <v>2.8947984600000001</v>
      </c>
      <c r="O933" s="2">
        <v>3.1283834000000001</v>
      </c>
      <c r="P933" s="2">
        <v>1.883975027</v>
      </c>
      <c r="Q933" s="2">
        <v>2.0004980099999998</v>
      </c>
      <c r="R933" s="2">
        <v>1.5918054150000001</v>
      </c>
      <c r="S933" s="2">
        <v>1.652662973</v>
      </c>
      <c r="T933" s="2">
        <v>1.0077288449999999</v>
      </c>
      <c r="U933" s="2">
        <v>1.1272521390000001</v>
      </c>
      <c r="V933" s="2">
        <v>2.5873222870000001</v>
      </c>
      <c r="W933" s="2">
        <v>4.4901117999999997E-2</v>
      </c>
      <c r="X933">
        <f t="shared" si="42"/>
        <v>1</v>
      </c>
      <c r="Y933">
        <f t="shared" si="43"/>
        <v>1</v>
      </c>
      <c r="Z933">
        <f t="shared" si="44"/>
        <v>1</v>
      </c>
    </row>
    <row r="934" spans="1:26" ht="15.75" customHeight="1" x14ac:dyDescent="0.2">
      <c r="A934" s="2" t="s">
        <v>23</v>
      </c>
      <c r="B934" s="2" t="s">
        <v>24</v>
      </c>
      <c r="C934" s="2" t="s">
        <v>25</v>
      </c>
      <c r="D934" s="2" t="s">
        <v>25</v>
      </c>
      <c r="E934" s="2">
        <v>165</v>
      </c>
      <c r="F934" s="2">
        <v>141</v>
      </c>
      <c r="G934" s="2">
        <v>591</v>
      </c>
      <c r="H934" s="2">
        <v>1312.333333</v>
      </c>
      <c r="I934" s="2">
        <v>2389.333333</v>
      </c>
      <c r="J934" s="2">
        <v>1.27</v>
      </c>
      <c r="K934" s="2">
        <v>5.68</v>
      </c>
      <c r="L934" s="2">
        <v>10.220000000000001</v>
      </c>
      <c r="M934" s="2">
        <v>14.2</v>
      </c>
      <c r="N934" s="2">
        <v>0.26062706699999999</v>
      </c>
      <c r="O934" s="2">
        <v>0.28519977299999999</v>
      </c>
      <c r="P934" s="2">
        <v>1.3224099229999999</v>
      </c>
      <c r="Q934" s="2">
        <v>1.424398721</v>
      </c>
      <c r="R934" s="2">
        <v>1.2373374020000001</v>
      </c>
      <c r="S934" s="2">
        <v>1.29819496</v>
      </c>
      <c r="T934" s="2">
        <v>0.46665207399999997</v>
      </c>
      <c r="U934" s="2">
        <v>0.58617536800000003</v>
      </c>
      <c r="V934" s="2">
        <v>2.2328542750000002</v>
      </c>
      <c r="W934" s="2">
        <v>8.1450798000000005E-2</v>
      </c>
      <c r="X934">
        <f t="shared" si="42"/>
        <v>1</v>
      </c>
      <c r="Y934">
        <f t="shared" si="43"/>
        <v>1</v>
      </c>
      <c r="Z934">
        <f t="shared" si="44"/>
        <v>0</v>
      </c>
    </row>
    <row r="935" spans="1:26" ht="15.75" customHeight="1" x14ac:dyDescent="0.2">
      <c r="A935" s="2" t="s">
        <v>23</v>
      </c>
      <c r="B935" s="2" t="s">
        <v>24</v>
      </c>
      <c r="C935" s="2" t="s">
        <v>30</v>
      </c>
      <c r="D935" s="2" t="s">
        <v>31</v>
      </c>
      <c r="E935" s="2">
        <v>160</v>
      </c>
      <c r="F935" s="2">
        <v>137</v>
      </c>
      <c r="G935" s="2">
        <v>642.66666669999995</v>
      </c>
      <c r="H935" s="2">
        <v>1203.333333</v>
      </c>
      <c r="I935" s="2">
        <v>2126</v>
      </c>
      <c r="J935" s="2">
        <v>1.22</v>
      </c>
      <c r="K935" s="2">
        <v>6.09</v>
      </c>
      <c r="L935" s="2">
        <v>9.67</v>
      </c>
      <c r="M935" s="2">
        <v>13.42</v>
      </c>
      <c r="N935" s="2">
        <v>2.9380169340000002</v>
      </c>
      <c r="O935" s="2">
        <v>3.1716635050000002</v>
      </c>
      <c r="P935" s="2">
        <v>1.93661956</v>
      </c>
      <c r="Q935" s="2">
        <v>2.0524813599999998</v>
      </c>
      <c r="R935" s="2">
        <v>1.6462536059999999</v>
      </c>
      <c r="S935" s="2">
        <v>1.7071111640000001</v>
      </c>
      <c r="T935" s="2">
        <v>1.0199727380000001</v>
      </c>
      <c r="U935" s="2">
        <v>1.139496032</v>
      </c>
      <c r="V935" s="2">
        <v>2.6417704780000002</v>
      </c>
      <c r="W935" s="2">
        <v>8.5002719000000004E-2</v>
      </c>
      <c r="X935">
        <f t="shared" si="42"/>
        <v>1</v>
      </c>
      <c r="Y935">
        <f t="shared" si="43"/>
        <v>1</v>
      </c>
      <c r="Z935">
        <f t="shared" si="44"/>
        <v>1</v>
      </c>
    </row>
    <row r="936" spans="1:26" ht="15.75" customHeight="1" x14ac:dyDescent="0.2">
      <c r="A936" s="2" t="s">
        <v>23</v>
      </c>
      <c r="B936" s="2" t="s">
        <v>24</v>
      </c>
      <c r="C936" s="2" t="s">
        <v>25</v>
      </c>
      <c r="D936" s="2" t="s">
        <v>25</v>
      </c>
      <c r="E936" s="2">
        <v>98</v>
      </c>
      <c r="F936" s="2">
        <v>106</v>
      </c>
      <c r="G936" s="2">
        <v>624</v>
      </c>
      <c r="H936" s="2">
        <v>1185</v>
      </c>
      <c r="I936" s="2">
        <v>2355.666667</v>
      </c>
      <c r="J936" s="2">
        <v>0.85</v>
      </c>
      <c r="K936" s="2">
        <v>5.94</v>
      </c>
      <c r="L936" s="2">
        <v>9.57</v>
      </c>
      <c r="M936" s="2">
        <v>14.1</v>
      </c>
      <c r="N936" s="2">
        <v>0.84973403999999997</v>
      </c>
      <c r="O936" s="2">
        <v>0.91843419400000004</v>
      </c>
      <c r="P936" s="2">
        <v>2.2088977710000002</v>
      </c>
      <c r="Q936" s="2">
        <v>2.2665556979999999</v>
      </c>
      <c r="R936" s="2">
        <v>1.8232470169999999</v>
      </c>
      <c r="S936" s="2">
        <v>1.8770108560000001</v>
      </c>
      <c r="T936" s="2">
        <v>1.2469962619999999</v>
      </c>
      <c r="U936" s="2">
        <v>1.270474313</v>
      </c>
      <c r="V936" s="2">
        <v>2.8951931339999999</v>
      </c>
      <c r="W936" s="2">
        <v>6.5375045000000007E-2</v>
      </c>
      <c r="X936">
        <f t="shared" si="42"/>
        <v>1</v>
      </c>
      <c r="Y936">
        <f t="shared" si="43"/>
        <v>1</v>
      </c>
      <c r="Z936">
        <f t="shared" si="44"/>
        <v>0</v>
      </c>
    </row>
    <row r="937" spans="1:26" ht="15.75" customHeight="1" x14ac:dyDescent="0.2">
      <c r="A937" s="2" t="s">
        <v>23</v>
      </c>
      <c r="B937" s="2" t="s">
        <v>24</v>
      </c>
      <c r="C937" s="2" t="s">
        <v>26</v>
      </c>
      <c r="D937" s="2" t="s">
        <v>26</v>
      </c>
      <c r="E937" s="2">
        <v>201</v>
      </c>
      <c r="F937" s="2">
        <v>122.66666669999999</v>
      </c>
      <c r="G937" s="2">
        <v>384.33333329999999</v>
      </c>
      <c r="H937" s="2">
        <v>852.66666669999995</v>
      </c>
      <c r="I937" s="2">
        <v>2519</v>
      </c>
      <c r="J937" s="2">
        <v>1.05</v>
      </c>
      <c r="K937" s="2">
        <v>3.87</v>
      </c>
      <c r="L937" s="2">
        <v>7.6</v>
      </c>
      <c r="M937" s="2">
        <v>14.55</v>
      </c>
      <c r="N937" s="2">
        <v>0.22491698500000001</v>
      </c>
      <c r="O937" s="2">
        <v>0.231105223</v>
      </c>
      <c r="P937" s="2">
        <v>3.2313162559999999</v>
      </c>
      <c r="Q937" s="2">
        <v>3.2509388060000002</v>
      </c>
      <c r="R937" s="2">
        <v>0.25572502499999999</v>
      </c>
      <c r="S937" s="2">
        <v>0.20196118599999999</v>
      </c>
      <c r="T937" s="2">
        <v>3.2211813760000001</v>
      </c>
      <c r="U937" s="2">
        <v>3.2446594270000002</v>
      </c>
      <c r="V937" s="2">
        <v>0.81622109200000004</v>
      </c>
      <c r="W937" s="2">
        <v>7.4128321999999996E-2</v>
      </c>
      <c r="X937">
        <f t="shared" si="42"/>
        <v>1</v>
      </c>
      <c r="Y937">
        <f t="shared" si="43"/>
        <v>1</v>
      </c>
      <c r="Z937">
        <f t="shared" si="44"/>
        <v>0</v>
      </c>
    </row>
    <row r="938" spans="1:26" ht="15.75" customHeight="1" x14ac:dyDescent="0.2">
      <c r="A938" s="2" t="s">
        <v>23</v>
      </c>
      <c r="B938" s="2" t="s">
        <v>24</v>
      </c>
      <c r="C938" s="2" t="s">
        <v>27</v>
      </c>
      <c r="D938" s="2" t="s">
        <v>27</v>
      </c>
      <c r="E938" s="2">
        <v>114</v>
      </c>
      <c r="F938" s="2">
        <v>94.666666669999998</v>
      </c>
      <c r="G938" s="2">
        <v>342.66666670000001</v>
      </c>
      <c r="H938" s="2">
        <v>1894.333333</v>
      </c>
      <c r="I938" s="2">
        <v>2435.333333</v>
      </c>
      <c r="J938" s="2">
        <v>0.71</v>
      </c>
      <c r="K938" s="2">
        <v>3.46</v>
      </c>
      <c r="L938" s="2">
        <v>12.65</v>
      </c>
      <c r="M938" s="2">
        <v>14.32</v>
      </c>
      <c r="N938" s="2">
        <v>0.18360485200000001</v>
      </c>
      <c r="O938" s="2">
        <v>8.4726787999999997E-2</v>
      </c>
      <c r="P938" s="2">
        <v>1.943871146</v>
      </c>
      <c r="Q938" s="2">
        <v>1.903978656</v>
      </c>
      <c r="R938" s="2">
        <v>0.66131873100000005</v>
      </c>
      <c r="S938" s="2">
        <v>0.60755489200000001</v>
      </c>
      <c r="T938" s="2">
        <v>1.827920285</v>
      </c>
      <c r="U938" s="2">
        <v>1.8044422339999999</v>
      </c>
      <c r="V938" s="2">
        <v>0.41062738599999998</v>
      </c>
      <c r="W938" s="2">
        <v>4.7425314000000003E-2</v>
      </c>
      <c r="X938">
        <f t="shared" si="42"/>
        <v>1</v>
      </c>
      <c r="Y938">
        <f t="shared" si="43"/>
        <v>1</v>
      </c>
      <c r="Z938">
        <f t="shared" si="44"/>
        <v>0</v>
      </c>
    </row>
    <row r="939" spans="1:26" ht="15.75" customHeight="1" x14ac:dyDescent="0.2">
      <c r="A939" s="2" t="s">
        <v>23</v>
      </c>
      <c r="B939" s="2" t="s">
        <v>24</v>
      </c>
      <c r="C939" s="2" t="s">
        <v>28</v>
      </c>
      <c r="D939" s="2" t="s">
        <v>29</v>
      </c>
      <c r="E939" s="2">
        <v>134</v>
      </c>
      <c r="F939" s="2">
        <v>132.66666670000001</v>
      </c>
      <c r="G939" s="2">
        <v>435.33333329999999</v>
      </c>
      <c r="H939" s="2">
        <v>1415</v>
      </c>
      <c r="I939" s="2">
        <v>2605</v>
      </c>
      <c r="J939" s="2">
        <v>1.17</v>
      </c>
      <c r="K939" s="2">
        <v>4.34</v>
      </c>
      <c r="L939" s="2">
        <v>10.71</v>
      </c>
      <c r="M939" s="2">
        <v>14.77</v>
      </c>
      <c r="N939" s="2">
        <v>2.952338101</v>
      </c>
      <c r="O939" s="2">
        <v>3.218085995</v>
      </c>
      <c r="P939" s="2">
        <v>0.246597819</v>
      </c>
      <c r="Q939" s="2">
        <v>0.30522017600000001</v>
      </c>
      <c r="R939" s="2">
        <v>0.22151596800000001</v>
      </c>
      <c r="S939" s="2">
        <v>0.27527980600000002</v>
      </c>
      <c r="T939" s="2">
        <v>0.10835663399999999</v>
      </c>
      <c r="U939" s="2">
        <v>0.13183468500000001</v>
      </c>
      <c r="V939" s="2">
        <v>1.293462085</v>
      </c>
      <c r="W939" s="2">
        <v>4.4119151000000002E-2</v>
      </c>
      <c r="X939">
        <f t="shared" si="42"/>
        <v>1</v>
      </c>
      <c r="Y939">
        <f t="shared" si="43"/>
        <v>1</v>
      </c>
      <c r="Z939">
        <f t="shared" si="44"/>
        <v>1</v>
      </c>
    </row>
    <row r="940" spans="1:26" ht="15.75" customHeight="1" x14ac:dyDescent="0.2">
      <c r="A940" s="2" t="s">
        <v>23</v>
      </c>
      <c r="B940" s="2" t="s">
        <v>24</v>
      </c>
      <c r="C940" s="2" t="s">
        <v>30</v>
      </c>
      <c r="D940" s="2" t="s">
        <v>31</v>
      </c>
      <c r="E940" s="2">
        <v>184</v>
      </c>
      <c r="F940" s="2">
        <v>137.33333329999999</v>
      </c>
      <c r="G940" s="2">
        <v>600.33333330000005</v>
      </c>
      <c r="H940" s="2">
        <v>1226.333333</v>
      </c>
      <c r="I940" s="2">
        <v>2378</v>
      </c>
      <c r="J940" s="2">
        <v>1.23</v>
      </c>
      <c r="K940" s="2">
        <v>5.76</v>
      </c>
      <c r="L940" s="2">
        <v>9.7899999999999991</v>
      </c>
      <c r="M940" s="2">
        <v>14.17</v>
      </c>
      <c r="N940" s="2">
        <v>3.5370782420000002</v>
      </c>
      <c r="O940" s="2">
        <v>3.653160287</v>
      </c>
      <c r="P940" s="2">
        <v>1.932754214</v>
      </c>
      <c r="Q940" s="2">
        <v>1.990777322</v>
      </c>
      <c r="R940" s="2">
        <v>1.635271642</v>
      </c>
      <c r="S940" s="2">
        <v>1.6890354809999999</v>
      </c>
      <c r="T940" s="2">
        <v>1.0302550699999999</v>
      </c>
      <c r="U940" s="2">
        <v>1.05373312</v>
      </c>
      <c r="V940" s="2">
        <v>2.7072177590000002</v>
      </c>
      <c r="W940" s="2">
        <v>6.0786896999999999E-2</v>
      </c>
      <c r="X940">
        <f t="shared" si="42"/>
        <v>1</v>
      </c>
      <c r="Y940">
        <f t="shared" si="43"/>
        <v>1</v>
      </c>
      <c r="Z940">
        <f t="shared" si="44"/>
        <v>1</v>
      </c>
    </row>
    <row r="941" spans="1:26" ht="15.75" customHeight="1" x14ac:dyDescent="0.2">
      <c r="A941" s="2" t="s">
        <v>23</v>
      </c>
      <c r="B941" s="2" t="s">
        <v>24</v>
      </c>
      <c r="C941" s="2" t="s">
        <v>26</v>
      </c>
      <c r="D941" s="2" t="s">
        <v>26</v>
      </c>
      <c r="E941" s="2">
        <v>175</v>
      </c>
      <c r="F941" s="2">
        <v>117.66666669999999</v>
      </c>
      <c r="G941" s="2">
        <v>401.66666670000001</v>
      </c>
      <c r="H941" s="2">
        <v>704.33333330000005</v>
      </c>
      <c r="I941" s="2">
        <v>2455.333333</v>
      </c>
      <c r="J941" s="2">
        <v>0.99</v>
      </c>
      <c r="K941" s="2">
        <v>4.03</v>
      </c>
      <c r="L941" s="2">
        <v>6.56</v>
      </c>
      <c r="M941" s="2">
        <v>14.38</v>
      </c>
      <c r="N941" s="2">
        <v>1.275028413</v>
      </c>
      <c r="O941" s="2">
        <v>1.0873605719999999</v>
      </c>
      <c r="P941" s="2">
        <v>4.2622807549999999</v>
      </c>
      <c r="Q941" s="2">
        <v>4.2849463600000002</v>
      </c>
      <c r="R941" s="2">
        <v>9.1213241E-2</v>
      </c>
      <c r="S941" s="2">
        <v>3.7449402999999999E-2</v>
      </c>
      <c r="T941" s="2">
        <v>4.2613046570000002</v>
      </c>
      <c r="U941" s="2">
        <v>4.2847827069999997</v>
      </c>
      <c r="V941" s="2">
        <v>0.98073287600000003</v>
      </c>
      <c r="W941" s="2">
        <v>0.10268627399999999</v>
      </c>
      <c r="X941">
        <f t="shared" si="42"/>
        <v>1</v>
      </c>
      <c r="Y941">
        <f t="shared" si="43"/>
        <v>1</v>
      </c>
      <c r="Z941">
        <f t="shared" si="44"/>
        <v>0</v>
      </c>
    </row>
    <row r="942" spans="1:26" ht="15.75" customHeight="1" x14ac:dyDescent="0.2">
      <c r="A942" s="2" t="s">
        <v>23</v>
      </c>
      <c r="B942" s="2" t="s">
        <v>24</v>
      </c>
      <c r="C942" s="2" t="s">
        <v>28</v>
      </c>
      <c r="D942" s="2" t="s">
        <v>29</v>
      </c>
      <c r="E942" s="2">
        <v>133</v>
      </c>
      <c r="F942" s="2">
        <v>126</v>
      </c>
      <c r="G942" s="2">
        <v>419.66666670000001</v>
      </c>
      <c r="H942" s="2">
        <v>1270.666667</v>
      </c>
      <c r="I942" s="2">
        <v>2671.333333</v>
      </c>
      <c r="J942" s="2">
        <v>1.0900000000000001</v>
      </c>
      <c r="K942" s="2">
        <v>4.2</v>
      </c>
      <c r="L942" s="2">
        <v>10.01</v>
      </c>
      <c r="M942" s="2">
        <v>14.93</v>
      </c>
      <c r="N942" s="2">
        <v>2.242045906</v>
      </c>
      <c r="O942" s="2">
        <v>2.50778736</v>
      </c>
      <c r="P942" s="2">
        <v>0.80763459800000004</v>
      </c>
      <c r="Q942" s="2">
        <v>0.83770810299999998</v>
      </c>
      <c r="R942" s="2">
        <v>7.7089296000000002E-2</v>
      </c>
      <c r="S942" s="2">
        <v>0.13085313500000001</v>
      </c>
      <c r="T942" s="2">
        <v>0.80394706599999999</v>
      </c>
      <c r="U942" s="2">
        <v>0.82742511600000002</v>
      </c>
      <c r="V942" s="2">
        <v>1.149035413</v>
      </c>
      <c r="W942" s="2">
        <v>4.9107563999999999E-2</v>
      </c>
      <c r="X942">
        <f t="shared" si="42"/>
        <v>1</v>
      </c>
      <c r="Y942">
        <f t="shared" si="43"/>
        <v>1</v>
      </c>
      <c r="Z942">
        <f t="shared" si="44"/>
        <v>1</v>
      </c>
    </row>
    <row r="943" spans="1:26" ht="15.75" customHeight="1" x14ac:dyDescent="0.2">
      <c r="A943" s="2" t="s">
        <v>23</v>
      </c>
      <c r="B943" s="2" t="s">
        <v>24</v>
      </c>
      <c r="C943" s="2" t="s">
        <v>32</v>
      </c>
      <c r="D943" s="2" t="s">
        <v>33</v>
      </c>
      <c r="E943" s="2">
        <v>141</v>
      </c>
      <c r="F943" s="2">
        <v>87.333333330000002</v>
      </c>
      <c r="G943" s="2">
        <v>605.66666669999995</v>
      </c>
      <c r="H943" s="2">
        <v>1391.666667</v>
      </c>
      <c r="I943" s="2">
        <v>2641</v>
      </c>
      <c r="J943" s="2">
        <v>0.61</v>
      </c>
      <c r="K943" s="2">
        <v>5.8</v>
      </c>
      <c r="L943" s="2">
        <v>10.6</v>
      </c>
      <c r="M943" s="2">
        <v>14.86</v>
      </c>
      <c r="N943" s="2">
        <v>0.191456821</v>
      </c>
      <c r="O943" s="2">
        <v>0.19894611400000001</v>
      </c>
      <c r="P943" s="2">
        <v>1.691876339</v>
      </c>
      <c r="Q943" s="2">
        <v>1.748281846</v>
      </c>
      <c r="R943" s="2">
        <v>1.677934984</v>
      </c>
      <c r="S943" s="2">
        <v>1.7316988230000001</v>
      </c>
      <c r="T943" s="2">
        <v>0.216748096</v>
      </c>
      <c r="U943" s="2">
        <v>0.240226147</v>
      </c>
      <c r="V943" s="2">
        <v>2.7498811010000002</v>
      </c>
      <c r="W943" s="2">
        <v>4.7652729999999997E-2</v>
      </c>
      <c r="X943">
        <f t="shared" si="42"/>
        <v>1</v>
      </c>
      <c r="Y943">
        <f t="shared" si="43"/>
        <v>1</v>
      </c>
      <c r="Z943">
        <f t="shared" si="44"/>
        <v>1</v>
      </c>
    </row>
    <row r="944" spans="1:26" ht="15.75" customHeight="1" x14ac:dyDescent="0.2">
      <c r="A944" s="2" t="s">
        <v>23</v>
      </c>
      <c r="B944" s="2" t="s">
        <v>24</v>
      </c>
      <c r="C944" s="2" t="s">
        <v>32</v>
      </c>
      <c r="D944" s="2" t="s">
        <v>33</v>
      </c>
      <c r="E944" s="2">
        <v>159</v>
      </c>
      <c r="F944" s="2">
        <v>119.33333330000001</v>
      </c>
      <c r="G944" s="2">
        <v>574.66666669999995</v>
      </c>
      <c r="H944" s="2">
        <v>888.66666669999995</v>
      </c>
      <c r="I944" s="2">
        <v>2405.666667</v>
      </c>
      <c r="J944" s="2">
        <v>1.01</v>
      </c>
      <c r="K944" s="2">
        <v>5.55</v>
      </c>
      <c r="L944" s="2">
        <v>7.83</v>
      </c>
      <c r="M944" s="2">
        <v>14.24</v>
      </c>
      <c r="N944" s="2">
        <v>2.5979757829999999</v>
      </c>
      <c r="O944" s="2">
        <v>2.688529199</v>
      </c>
      <c r="P944" s="2">
        <v>3.3088225279999999</v>
      </c>
      <c r="Q944" s="2">
        <v>3.3534170250000002</v>
      </c>
      <c r="R944" s="2">
        <v>1.4274431949999999</v>
      </c>
      <c r="S944" s="2">
        <v>1.4812070340000001</v>
      </c>
      <c r="T944" s="2">
        <v>2.9850816490000001</v>
      </c>
      <c r="U944" s="2">
        <v>3.0085596990000001</v>
      </c>
      <c r="V944" s="2">
        <v>2.499389313</v>
      </c>
      <c r="W944" s="2">
        <v>6.0516498000000002E-2</v>
      </c>
      <c r="X944">
        <f t="shared" si="42"/>
        <v>1</v>
      </c>
      <c r="Y944">
        <f t="shared" si="43"/>
        <v>1</v>
      </c>
      <c r="Z944">
        <f t="shared" si="44"/>
        <v>1</v>
      </c>
    </row>
    <row r="945" spans="1:26" ht="15.75" customHeight="1" x14ac:dyDescent="0.2">
      <c r="A945" s="2" t="s">
        <v>23</v>
      </c>
      <c r="B945" s="2" t="s">
        <v>24</v>
      </c>
      <c r="C945" s="2" t="s">
        <v>25</v>
      </c>
      <c r="D945" s="2" t="s">
        <v>25</v>
      </c>
      <c r="E945" s="2">
        <v>171</v>
      </c>
      <c r="F945" s="2">
        <v>102</v>
      </c>
      <c r="G945" s="2">
        <v>637.66666669999995</v>
      </c>
      <c r="H945" s="2">
        <v>1435.666667</v>
      </c>
      <c r="I945" s="2">
        <v>2360</v>
      </c>
      <c r="J945" s="2">
        <v>0.8</v>
      </c>
      <c r="K945" s="2">
        <v>6.05</v>
      </c>
      <c r="L945" s="2">
        <v>10.81</v>
      </c>
      <c r="M945" s="2">
        <v>14.12</v>
      </c>
      <c r="N945" s="2">
        <v>0.44320221900000001</v>
      </c>
      <c r="O945" s="2">
        <v>0.32718818799999999</v>
      </c>
      <c r="P945" s="2">
        <v>1.9302840100000001</v>
      </c>
      <c r="Q945" s="2">
        <v>1.9843463370000001</v>
      </c>
      <c r="R945" s="2">
        <v>1.9302361219999999</v>
      </c>
      <c r="S945" s="2">
        <v>1.9839999610000001</v>
      </c>
      <c r="T945" s="2">
        <v>1.3596756999999999E-2</v>
      </c>
      <c r="U945" s="2">
        <v>3.7074808000000001E-2</v>
      </c>
      <c r="V945" s="2">
        <v>3.0021822399999998</v>
      </c>
      <c r="W945" s="2">
        <v>6.5533508000000004E-2</v>
      </c>
      <c r="X945">
        <f t="shared" si="42"/>
        <v>1</v>
      </c>
      <c r="Y945">
        <f t="shared" si="43"/>
        <v>1</v>
      </c>
      <c r="Z945">
        <f t="shared" si="44"/>
        <v>0</v>
      </c>
    </row>
    <row r="946" spans="1:26" ht="15.75" customHeight="1" x14ac:dyDescent="0.2">
      <c r="A946" s="2" t="s">
        <v>23</v>
      </c>
      <c r="B946" s="2" t="s">
        <v>24</v>
      </c>
      <c r="C946" s="2" t="s">
        <v>32</v>
      </c>
      <c r="D946" s="2" t="s">
        <v>33</v>
      </c>
      <c r="E946" s="2">
        <v>180</v>
      </c>
      <c r="F946" s="2">
        <v>119.66666669999999</v>
      </c>
      <c r="G946" s="2">
        <v>583</v>
      </c>
      <c r="H946" s="2">
        <v>892</v>
      </c>
      <c r="I946" s="2">
        <v>2374.333333</v>
      </c>
      <c r="J946" s="2">
        <v>1.01</v>
      </c>
      <c r="K946" s="2">
        <v>5.62</v>
      </c>
      <c r="L946" s="2">
        <v>7.86</v>
      </c>
      <c r="M946" s="2">
        <v>14.16</v>
      </c>
      <c r="N946" s="2">
        <v>2.5697350110000001</v>
      </c>
      <c r="O946" s="2">
        <v>2.6575093839999999</v>
      </c>
      <c r="P946" s="2">
        <v>3.3194312789999998</v>
      </c>
      <c r="Q946" s="2">
        <v>3.3648203460000001</v>
      </c>
      <c r="R946" s="2">
        <v>1.4953798920000001</v>
      </c>
      <c r="S946" s="2">
        <v>1.549143731</v>
      </c>
      <c r="T946" s="2">
        <v>2.9635220599999998</v>
      </c>
      <c r="U946" s="2">
        <v>2.9870001099999999</v>
      </c>
      <c r="V946" s="2">
        <v>2.5673260089999999</v>
      </c>
      <c r="W946" s="2">
        <v>5.7047399999999998E-2</v>
      </c>
      <c r="X946">
        <f t="shared" si="42"/>
        <v>1</v>
      </c>
      <c r="Y946">
        <f t="shared" si="43"/>
        <v>1</v>
      </c>
      <c r="Z946">
        <f t="shared" si="44"/>
        <v>1</v>
      </c>
    </row>
    <row r="947" spans="1:26" ht="15.75" customHeight="1" x14ac:dyDescent="0.2">
      <c r="A947" s="2" t="s">
        <v>23</v>
      </c>
      <c r="B947" s="2" t="s">
        <v>24</v>
      </c>
      <c r="C947" s="2" t="s">
        <v>32</v>
      </c>
      <c r="D947" s="2" t="s">
        <v>33</v>
      </c>
      <c r="E947" s="2">
        <v>212</v>
      </c>
      <c r="F947" s="2">
        <v>113.33333330000001</v>
      </c>
      <c r="G947" s="2">
        <v>606</v>
      </c>
      <c r="H947" s="2">
        <v>889</v>
      </c>
      <c r="I947" s="2">
        <v>2463.333333</v>
      </c>
      <c r="J947" s="2">
        <v>0.94</v>
      </c>
      <c r="K947" s="2">
        <v>5.8</v>
      </c>
      <c r="L947" s="2">
        <v>7.84</v>
      </c>
      <c r="M947" s="2">
        <v>14.4</v>
      </c>
      <c r="N947" s="2">
        <v>2.5796238530000002</v>
      </c>
      <c r="O947" s="2">
        <v>2.659087102</v>
      </c>
      <c r="P947" s="2">
        <v>3.4237747509999998</v>
      </c>
      <c r="Q947" s="2">
        <v>3.4707999520000001</v>
      </c>
      <c r="R947" s="2">
        <v>1.6805955539999999</v>
      </c>
      <c r="S947" s="2">
        <v>1.7343593930000001</v>
      </c>
      <c r="T947" s="2">
        <v>2.982923419</v>
      </c>
      <c r="U947" s="2">
        <v>3.0064014700000001</v>
      </c>
      <c r="V947" s="2">
        <v>2.7525416709999999</v>
      </c>
      <c r="W947" s="2">
        <v>5.5586971999999998E-2</v>
      </c>
      <c r="X947">
        <f t="shared" si="42"/>
        <v>1</v>
      </c>
      <c r="Y947">
        <f t="shared" si="43"/>
        <v>1</v>
      </c>
      <c r="Z947">
        <f t="shared" si="44"/>
        <v>1</v>
      </c>
    </row>
    <row r="948" spans="1:26" ht="15.75" customHeight="1" x14ac:dyDescent="0.2">
      <c r="A948" s="2" t="s">
        <v>23</v>
      </c>
      <c r="B948" s="2" t="s">
        <v>24</v>
      </c>
      <c r="C948" s="2" t="s">
        <v>25</v>
      </c>
      <c r="D948" s="2" t="s">
        <v>25</v>
      </c>
      <c r="E948" s="2">
        <v>105</v>
      </c>
      <c r="F948" s="2">
        <v>99.333333330000002</v>
      </c>
      <c r="G948" s="2">
        <v>593</v>
      </c>
      <c r="H948" s="2">
        <v>1398.333333</v>
      </c>
      <c r="I948" s="2">
        <v>2343</v>
      </c>
      <c r="J948" s="2">
        <v>0.76</v>
      </c>
      <c r="K948" s="2">
        <v>5.7</v>
      </c>
      <c r="L948" s="2">
        <v>10.63</v>
      </c>
      <c r="M948" s="2">
        <v>14.07</v>
      </c>
      <c r="N948" s="2">
        <v>0.26089655699999997</v>
      </c>
      <c r="O948" s="2">
        <v>0.30209463600000003</v>
      </c>
      <c r="P948" s="2">
        <v>1.587210381</v>
      </c>
      <c r="Q948" s="2">
        <v>1.643439283</v>
      </c>
      <c r="R948" s="2">
        <v>1.5763184960000001</v>
      </c>
      <c r="S948" s="2">
        <v>1.630082335</v>
      </c>
      <c r="T948" s="2">
        <v>0.18562541499999999</v>
      </c>
      <c r="U948" s="2">
        <v>0.20910346599999999</v>
      </c>
      <c r="V948" s="2">
        <v>2.6482646129999998</v>
      </c>
      <c r="W948" s="2">
        <v>5.4911370000000001E-2</v>
      </c>
      <c r="X948">
        <f t="shared" si="42"/>
        <v>1</v>
      </c>
      <c r="Y948">
        <f t="shared" si="43"/>
        <v>1</v>
      </c>
      <c r="Z948">
        <f t="shared" si="44"/>
        <v>0</v>
      </c>
    </row>
    <row r="949" spans="1:26" ht="15.75" customHeight="1" x14ac:dyDescent="0.2">
      <c r="A949" s="2" t="s">
        <v>23</v>
      </c>
      <c r="B949" s="2" t="s">
        <v>24</v>
      </c>
      <c r="C949" s="2" t="s">
        <v>25</v>
      </c>
      <c r="D949" s="2" t="s">
        <v>25</v>
      </c>
      <c r="E949" s="2">
        <v>83</v>
      </c>
      <c r="F949" s="2">
        <v>99.666666669999998</v>
      </c>
      <c r="G949" s="2">
        <v>623.66666669999995</v>
      </c>
      <c r="H949" s="2">
        <v>1313.333333</v>
      </c>
      <c r="I949" s="2">
        <v>2331</v>
      </c>
      <c r="J949" s="2">
        <v>0.77</v>
      </c>
      <c r="K949" s="2">
        <v>5.94</v>
      </c>
      <c r="L949" s="2">
        <v>10.23</v>
      </c>
      <c r="M949" s="2">
        <v>14.03</v>
      </c>
      <c r="N949" s="2">
        <v>0.21367983500000001</v>
      </c>
      <c r="O949" s="2">
        <v>0.26407029300000001</v>
      </c>
      <c r="P949" s="2">
        <v>1.914433949</v>
      </c>
      <c r="Q949" s="2">
        <v>1.9728308370000001</v>
      </c>
      <c r="R949" s="2">
        <v>1.8206233860000001</v>
      </c>
      <c r="S949" s="2">
        <v>1.874387225</v>
      </c>
      <c r="T949" s="2">
        <v>0.59193566399999997</v>
      </c>
      <c r="U949" s="2">
        <v>0.61541371499999997</v>
      </c>
      <c r="V949" s="2">
        <v>2.8925695039999999</v>
      </c>
      <c r="W949" s="2">
        <v>0.10621240699999999</v>
      </c>
      <c r="X949">
        <f t="shared" si="42"/>
        <v>1</v>
      </c>
      <c r="Y949">
        <f t="shared" si="43"/>
        <v>1</v>
      </c>
      <c r="Z949">
        <f t="shared" si="44"/>
        <v>0</v>
      </c>
    </row>
    <row r="950" spans="1:26" ht="15.75" customHeight="1" x14ac:dyDescent="0.2">
      <c r="A950" s="2" t="s">
        <v>23</v>
      </c>
      <c r="B950" s="2" t="s">
        <v>24</v>
      </c>
      <c r="C950" s="2" t="s">
        <v>27</v>
      </c>
      <c r="D950" s="2" t="s">
        <v>27</v>
      </c>
      <c r="E950" s="2">
        <v>109</v>
      </c>
      <c r="F950" s="2">
        <v>101.33333330000001</v>
      </c>
      <c r="G950" s="2">
        <v>318.33333329999999</v>
      </c>
      <c r="H950" s="2">
        <v>1929.333333</v>
      </c>
      <c r="I950" s="2">
        <v>2502</v>
      </c>
      <c r="J950" s="2">
        <v>0.79</v>
      </c>
      <c r="K950" s="2">
        <v>3.22</v>
      </c>
      <c r="L950" s="2">
        <v>12.77</v>
      </c>
      <c r="M950" s="2">
        <v>14.5</v>
      </c>
      <c r="N950" s="2">
        <v>0.45004087999999998</v>
      </c>
      <c r="O950" s="2">
        <v>0.32809749100000002</v>
      </c>
      <c r="P950" s="2">
        <v>2.1503434239999999</v>
      </c>
      <c r="Q950" s="2">
        <v>2.1067767100000001</v>
      </c>
      <c r="R950" s="2">
        <v>0.905047139</v>
      </c>
      <c r="S950" s="2">
        <v>0.85128330100000005</v>
      </c>
      <c r="T950" s="2">
        <v>1.9506067039999999</v>
      </c>
      <c r="U950" s="2">
        <v>1.9271286540000001</v>
      </c>
      <c r="V950" s="2">
        <v>0.166898978</v>
      </c>
      <c r="W950" s="2">
        <v>4.1188565000000003E-2</v>
      </c>
      <c r="X950">
        <f t="shared" si="42"/>
        <v>1</v>
      </c>
      <c r="Y950">
        <f t="shared" si="43"/>
        <v>1</v>
      </c>
      <c r="Z950">
        <f t="shared" si="44"/>
        <v>0</v>
      </c>
    </row>
    <row r="951" spans="1:26" ht="15.75" customHeight="1" x14ac:dyDescent="0.2">
      <c r="A951" s="2" t="s">
        <v>23</v>
      </c>
      <c r="B951" s="2" t="s">
        <v>24</v>
      </c>
      <c r="C951" s="2" t="s">
        <v>30</v>
      </c>
      <c r="D951" s="2" t="s">
        <v>31</v>
      </c>
      <c r="E951" s="2">
        <v>160</v>
      </c>
      <c r="F951" s="2">
        <v>116.33333330000001</v>
      </c>
      <c r="G951" s="2">
        <v>604</v>
      </c>
      <c r="H951" s="2">
        <v>1158.333333</v>
      </c>
      <c r="I951" s="2">
        <v>2062</v>
      </c>
      <c r="J951" s="2">
        <v>0.97</v>
      </c>
      <c r="K951" s="2">
        <v>5.79</v>
      </c>
      <c r="L951" s="2">
        <v>9.43</v>
      </c>
      <c r="M951" s="2">
        <v>13.21</v>
      </c>
      <c r="N951" s="2">
        <v>3.847685335</v>
      </c>
      <c r="O951" s="2">
        <v>3.9612563779999999</v>
      </c>
      <c r="P951" s="2">
        <v>2.1685774150000001</v>
      </c>
      <c r="Q951" s="2">
        <v>2.2249552719999999</v>
      </c>
      <c r="R951" s="2">
        <v>1.664621755</v>
      </c>
      <c r="S951" s="2">
        <v>1.7183855939999999</v>
      </c>
      <c r="T951" s="2">
        <v>1.389878562</v>
      </c>
      <c r="U951" s="2">
        <v>1.4133566129999999</v>
      </c>
      <c r="V951" s="2">
        <v>2.7365678729999998</v>
      </c>
      <c r="W951" s="2">
        <v>7.6715377000000001E-2</v>
      </c>
      <c r="X951">
        <f t="shared" si="42"/>
        <v>1</v>
      </c>
      <c r="Y951">
        <f t="shared" si="43"/>
        <v>1</v>
      </c>
      <c r="Z951">
        <f t="shared" si="44"/>
        <v>1</v>
      </c>
    </row>
    <row r="952" spans="1:26" ht="15.75" customHeight="1" x14ac:dyDescent="0.2">
      <c r="A952" s="2" t="s">
        <v>23</v>
      </c>
      <c r="B952" s="2" t="s">
        <v>24</v>
      </c>
      <c r="C952" s="2" t="s">
        <v>28</v>
      </c>
      <c r="D952" s="2" t="s">
        <v>29</v>
      </c>
      <c r="E952" s="2">
        <v>88</v>
      </c>
      <c r="F952" s="2">
        <v>92.333333330000002</v>
      </c>
      <c r="G952" s="2">
        <v>495</v>
      </c>
      <c r="H952" s="2">
        <v>1783.333333</v>
      </c>
      <c r="I952" s="2">
        <v>2618.333333</v>
      </c>
      <c r="J952" s="2">
        <v>0.68</v>
      </c>
      <c r="K952" s="2">
        <v>4.88</v>
      </c>
      <c r="L952" s="2">
        <v>12.24</v>
      </c>
      <c r="M952" s="2">
        <v>14.8</v>
      </c>
      <c r="N952" s="2">
        <v>4.563154044</v>
      </c>
      <c r="O952" s="2">
        <v>4.8332817979999998</v>
      </c>
      <c r="P952" s="2">
        <v>1.6113171310000001</v>
      </c>
      <c r="Q952" s="2">
        <v>1.6168133099999999</v>
      </c>
      <c r="R952" s="2">
        <v>0.75468781200000001</v>
      </c>
      <c r="S952" s="2">
        <v>0.80845165100000005</v>
      </c>
      <c r="T952" s="2">
        <v>1.4236534709999999</v>
      </c>
      <c r="U952" s="2">
        <v>1.4001754200000001</v>
      </c>
      <c r="V952" s="2">
        <v>1.826633929</v>
      </c>
      <c r="W952" s="2">
        <v>4.6449175000000002E-2</v>
      </c>
      <c r="X952">
        <f t="shared" si="42"/>
        <v>1</v>
      </c>
      <c r="Y952">
        <f t="shared" si="43"/>
        <v>1</v>
      </c>
      <c r="Z952">
        <f t="shared" si="44"/>
        <v>1</v>
      </c>
    </row>
    <row r="953" spans="1:26" ht="15.75" customHeight="1" x14ac:dyDescent="0.2">
      <c r="A953" s="2" t="s">
        <v>23</v>
      </c>
      <c r="B953" s="2" t="s">
        <v>24</v>
      </c>
      <c r="C953" s="2" t="s">
        <v>28</v>
      </c>
      <c r="D953" s="2" t="s">
        <v>29</v>
      </c>
      <c r="E953" s="2">
        <v>152</v>
      </c>
      <c r="F953" s="2">
        <v>97.666666669999998</v>
      </c>
      <c r="G953" s="2">
        <v>367.66666670000001</v>
      </c>
      <c r="H953" s="2">
        <v>1260</v>
      </c>
      <c r="I953" s="2">
        <v>2559.666667</v>
      </c>
      <c r="J953" s="2">
        <v>0.74</v>
      </c>
      <c r="K953" s="2">
        <v>3.7</v>
      </c>
      <c r="L953" s="2">
        <v>9.9600000000000009</v>
      </c>
      <c r="M953" s="2">
        <v>14.65</v>
      </c>
      <c r="N953" s="2">
        <v>2.152691109</v>
      </c>
      <c r="O953" s="2">
        <v>2.3910344700000001</v>
      </c>
      <c r="P953" s="2">
        <v>0.95347137000000004</v>
      </c>
      <c r="Q953" s="2">
        <v>0.95292943200000002</v>
      </c>
      <c r="R953" s="2">
        <v>0.416220017</v>
      </c>
      <c r="S953" s="2">
        <v>0.36245617800000002</v>
      </c>
      <c r="T953" s="2">
        <v>0.85782780999999997</v>
      </c>
      <c r="U953" s="2">
        <v>0.88130586099999997</v>
      </c>
      <c r="V953" s="2">
        <v>0.65572609999999998</v>
      </c>
      <c r="W953" s="2">
        <v>6.6293779999999997E-2</v>
      </c>
      <c r="X953">
        <f t="shared" si="42"/>
        <v>1</v>
      </c>
      <c r="Y953">
        <f t="shared" si="43"/>
        <v>1</v>
      </c>
      <c r="Z953">
        <f t="shared" si="44"/>
        <v>1</v>
      </c>
    </row>
    <row r="954" spans="1:26" ht="15.75" customHeight="1" x14ac:dyDescent="0.2">
      <c r="A954" s="2" t="s">
        <v>23</v>
      </c>
      <c r="B954" s="2" t="s">
        <v>24</v>
      </c>
      <c r="C954" s="2" t="s">
        <v>32</v>
      </c>
      <c r="D954" s="2" t="s">
        <v>33</v>
      </c>
      <c r="E954" s="2">
        <v>178</v>
      </c>
      <c r="F954" s="2">
        <v>123.33333330000001</v>
      </c>
      <c r="G954" s="2">
        <v>612.66666669999995</v>
      </c>
      <c r="H954" s="2">
        <v>972</v>
      </c>
      <c r="I954" s="2">
        <v>2479.333333</v>
      </c>
      <c r="J954" s="2">
        <v>1.06</v>
      </c>
      <c r="K954" s="2">
        <v>5.85</v>
      </c>
      <c r="L954" s="2">
        <v>8.36</v>
      </c>
      <c r="M954" s="2">
        <v>14.44</v>
      </c>
      <c r="N954" s="2">
        <v>2.057249916</v>
      </c>
      <c r="O954" s="2">
        <v>2.13480618</v>
      </c>
      <c r="P954" s="2">
        <v>3.0101682620000001</v>
      </c>
      <c r="Q954" s="2">
        <v>3.0604772339999999</v>
      </c>
      <c r="R954" s="2">
        <v>1.733662177</v>
      </c>
      <c r="S954" s="2">
        <v>1.787426016</v>
      </c>
      <c r="T954" s="2">
        <v>2.4607983299999998</v>
      </c>
      <c r="U954" s="2">
        <v>2.4842763809999999</v>
      </c>
      <c r="V954" s="2">
        <v>2.8056082949999999</v>
      </c>
      <c r="W954" s="2">
        <v>6.3986728000000007E-2</v>
      </c>
      <c r="X954">
        <f t="shared" si="42"/>
        <v>1</v>
      </c>
      <c r="Y954">
        <f t="shared" si="43"/>
        <v>1</v>
      </c>
      <c r="Z954">
        <f t="shared" si="44"/>
        <v>1</v>
      </c>
    </row>
    <row r="955" spans="1:26" ht="15.75" customHeight="1" x14ac:dyDescent="0.2">
      <c r="A955" s="2" t="s">
        <v>23</v>
      </c>
      <c r="B955" s="2" t="s">
        <v>24</v>
      </c>
      <c r="C955" s="2" t="s">
        <v>26</v>
      </c>
      <c r="D955" s="2" t="s">
        <v>26</v>
      </c>
      <c r="E955" s="2">
        <v>114</v>
      </c>
      <c r="F955" s="2">
        <v>83.666666669999998</v>
      </c>
      <c r="G955" s="2">
        <v>355.66666670000001</v>
      </c>
      <c r="H955" s="2">
        <v>848</v>
      </c>
      <c r="I955" s="2">
        <v>2806</v>
      </c>
      <c r="J955" s="2">
        <v>0.56999999999999995</v>
      </c>
      <c r="K955" s="2">
        <v>3.59</v>
      </c>
      <c r="L955" s="2">
        <v>7.57</v>
      </c>
      <c r="M955" s="2">
        <v>15.25</v>
      </c>
      <c r="N955" s="2">
        <v>0.31730212099999999</v>
      </c>
      <c r="O955" s="2">
        <v>4.8120699000000003E-2</v>
      </c>
      <c r="P955" s="2">
        <v>3.2956502410000001</v>
      </c>
      <c r="Q955" s="2">
        <v>3.310608679</v>
      </c>
      <c r="R955" s="2">
        <v>0.53320693500000005</v>
      </c>
      <c r="S955" s="2">
        <v>0.47944309600000001</v>
      </c>
      <c r="T955" s="2">
        <v>3.2522301389999999</v>
      </c>
      <c r="U955" s="2">
        <v>3.27570819</v>
      </c>
      <c r="V955" s="2">
        <v>0.53873918200000004</v>
      </c>
      <c r="W955" s="2">
        <v>5.3827411999999998E-2</v>
      </c>
      <c r="X955">
        <f t="shared" si="42"/>
        <v>1</v>
      </c>
      <c r="Y955">
        <f t="shared" si="43"/>
        <v>1</v>
      </c>
      <c r="Z955">
        <f t="shared" si="44"/>
        <v>0</v>
      </c>
    </row>
    <row r="956" spans="1:26" ht="15.75" customHeight="1" x14ac:dyDescent="0.2">
      <c r="A956" s="2" t="s">
        <v>23</v>
      </c>
      <c r="B956" s="2" t="s">
        <v>24</v>
      </c>
      <c r="C956" s="2" t="s">
        <v>25</v>
      </c>
      <c r="D956" s="2" t="s">
        <v>25</v>
      </c>
      <c r="E956" s="2">
        <v>165</v>
      </c>
      <c r="F956" s="2">
        <v>91</v>
      </c>
      <c r="G956" s="2">
        <v>637.33333330000005</v>
      </c>
      <c r="H956" s="2">
        <v>1253.666667</v>
      </c>
      <c r="I956" s="2">
        <v>2283.666667</v>
      </c>
      <c r="J956" s="2">
        <v>0.66</v>
      </c>
      <c r="K956" s="2">
        <v>6.05</v>
      </c>
      <c r="L956" s="2">
        <v>9.93</v>
      </c>
      <c r="M956" s="2">
        <v>13.9</v>
      </c>
      <c r="N956" s="2">
        <v>0.52898062999999995</v>
      </c>
      <c r="O956" s="2">
        <v>0.56767154900000005</v>
      </c>
      <c r="P956" s="2">
        <v>2.1231759289999999</v>
      </c>
      <c r="Q956" s="2">
        <v>2.1818301610000002</v>
      </c>
      <c r="R956" s="2">
        <v>1.9276400279999999</v>
      </c>
      <c r="S956" s="2">
        <v>1.981403866</v>
      </c>
      <c r="T956" s="2">
        <v>0.88998873499999998</v>
      </c>
      <c r="U956" s="2">
        <v>0.91346678599999998</v>
      </c>
      <c r="V956" s="2">
        <v>2.9995861449999999</v>
      </c>
      <c r="W956" s="2">
        <v>7.0333077999999993E-2</v>
      </c>
      <c r="X956">
        <f t="shared" si="42"/>
        <v>1</v>
      </c>
      <c r="Y956">
        <f t="shared" si="43"/>
        <v>1</v>
      </c>
      <c r="Z956">
        <f t="shared" si="44"/>
        <v>0</v>
      </c>
    </row>
    <row r="957" spans="1:26" ht="15.75" customHeight="1" x14ac:dyDescent="0.2">
      <c r="A957" s="2" t="s">
        <v>23</v>
      </c>
      <c r="B957" s="2" t="s">
        <v>24</v>
      </c>
      <c r="C957" s="2" t="s">
        <v>30</v>
      </c>
      <c r="D957" s="2" t="s">
        <v>31</v>
      </c>
      <c r="E957" s="2">
        <v>165</v>
      </c>
      <c r="F957" s="2">
        <v>106.66666669999999</v>
      </c>
      <c r="G957" s="2">
        <v>557</v>
      </c>
      <c r="H957" s="2">
        <v>1065</v>
      </c>
      <c r="I957" s="2">
        <v>2489.666667</v>
      </c>
      <c r="J957" s="2">
        <v>0.85</v>
      </c>
      <c r="K957" s="2">
        <v>5.4</v>
      </c>
      <c r="L957" s="2">
        <v>8.91</v>
      </c>
      <c r="M957" s="2">
        <v>14.47</v>
      </c>
      <c r="N957" s="2">
        <v>4.1113473850000002</v>
      </c>
      <c r="O957" s="2">
        <v>4.2158739360000004</v>
      </c>
      <c r="P957" s="2">
        <v>2.3001517439999999</v>
      </c>
      <c r="Q957" s="2">
        <v>2.34982121</v>
      </c>
      <c r="R957" s="2">
        <v>1.2819296469999999</v>
      </c>
      <c r="S957" s="2">
        <v>1.335693486</v>
      </c>
      <c r="T957" s="2">
        <v>1.909804813</v>
      </c>
      <c r="U957" s="2">
        <v>1.9332828639999999</v>
      </c>
      <c r="V957" s="2">
        <v>2.3538757640000001</v>
      </c>
      <c r="W957" s="2">
        <v>6.7831754999999994E-2</v>
      </c>
      <c r="X957">
        <f t="shared" si="42"/>
        <v>1</v>
      </c>
      <c r="Y957">
        <f t="shared" si="43"/>
        <v>1</v>
      </c>
      <c r="Z957">
        <f t="shared" si="44"/>
        <v>1</v>
      </c>
    </row>
    <row r="958" spans="1:26" ht="15.75" customHeight="1" x14ac:dyDescent="0.2">
      <c r="A958" s="2" t="s">
        <v>23</v>
      </c>
      <c r="B958" s="2" t="s">
        <v>24</v>
      </c>
      <c r="C958" s="2" t="s">
        <v>27</v>
      </c>
      <c r="D958" s="2" t="s">
        <v>27</v>
      </c>
      <c r="E958" s="2">
        <v>183</v>
      </c>
      <c r="F958" s="2">
        <v>118</v>
      </c>
      <c r="G958" s="2">
        <v>353.33333329999999</v>
      </c>
      <c r="H958" s="2">
        <v>1866.666667</v>
      </c>
      <c r="I958" s="2">
        <v>2587.333333</v>
      </c>
      <c r="J958" s="2">
        <v>0.99</v>
      </c>
      <c r="K958" s="2">
        <v>3.56</v>
      </c>
      <c r="L958" s="2">
        <v>12.55</v>
      </c>
      <c r="M958" s="2">
        <v>14.72</v>
      </c>
      <c r="N958" s="2">
        <v>0.10813033800000001</v>
      </c>
      <c r="O958" s="2">
        <v>0.14313343000000001</v>
      </c>
      <c r="P958" s="2">
        <v>1.8165622210000001</v>
      </c>
      <c r="Q958" s="2">
        <v>1.778297172</v>
      </c>
      <c r="R958" s="2">
        <v>0.556095334</v>
      </c>
      <c r="S958" s="2">
        <v>0.50233149499999996</v>
      </c>
      <c r="T958" s="2">
        <v>1.7293514050000001</v>
      </c>
      <c r="U958" s="2">
        <v>1.705873354</v>
      </c>
      <c r="V958" s="2">
        <v>0.51585078399999995</v>
      </c>
      <c r="W958" s="2">
        <v>9.4880887999999997E-2</v>
      </c>
      <c r="X958">
        <f t="shared" si="42"/>
        <v>1</v>
      </c>
      <c r="Y958">
        <f t="shared" si="43"/>
        <v>1</v>
      </c>
      <c r="Z958">
        <f t="shared" si="44"/>
        <v>0</v>
      </c>
    </row>
    <row r="959" spans="1:26" ht="15.75" customHeight="1" x14ac:dyDescent="0.2">
      <c r="A959" s="2" t="s">
        <v>23</v>
      </c>
      <c r="B959" s="2" t="s">
        <v>24</v>
      </c>
      <c r="C959" s="2" t="s">
        <v>30</v>
      </c>
      <c r="D959" s="2" t="s">
        <v>31</v>
      </c>
      <c r="E959" s="2">
        <v>110</v>
      </c>
      <c r="F959" s="2">
        <v>90</v>
      </c>
      <c r="G959" s="2">
        <v>675.66666669999995</v>
      </c>
      <c r="H959" s="2">
        <v>1210.666667</v>
      </c>
      <c r="I959" s="2">
        <v>2382</v>
      </c>
      <c r="J959" s="2">
        <v>0.65</v>
      </c>
      <c r="K959" s="2">
        <v>6.34</v>
      </c>
      <c r="L959" s="2">
        <v>9.7100000000000009</v>
      </c>
      <c r="M959" s="2">
        <v>14.18</v>
      </c>
      <c r="N959" s="2">
        <v>3.9754822359999999</v>
      </c>
      <c r="O959" s="2">
        <v>4.0958971179999999</v>
      </c>
      <c r="P959" s="2">
        <v>2.4845019380000002</v>
      </c>
      <c r="Q959" s="2">
        <v>2.5430904459999999</v>
      </c>
      <c r="R959" s="2">
        <v>2.2218865220000001</v>
      </c>
      <c r="S959" s="2">
        <v>2.2756503609999998</v>
      </c>
      <c r="T959" s="2">
        <v>1.111741951</v>
      </c>
      <c r="U959" s="2">
        <v>1.135220001</v>
      </c>
      <c r="V959" s="2">
        <v>3.2938326400000002</v>
      </c>
      <c r="W959" s="2">
        <v>6.2090948999999999E-2</v>
      </c>
      <c r="X959">
        <f t="shared" si="42"/>
        <v>1</v>
      </c>
      <c r="Y959">
        <f t="shared" si="43"/>
        <v>1</v>
      </c>
      <c r="Z959">
        <f t="shared" si="44"/>
        <v>1</v>
      </c>
    </row>
    <row r="960" spans="1:26" ht="15.75" customHeight="1" x14ac:dyDescent="0.2">
      <c r="A960" s="2" t="s">
        <v>23</v>
      </c>
      <c r="B960" s="2" t="s">
        <v>24</v>
      </c>
      <c r="C960" s="2" t="s">
        <v>27</v>
      </c>
      <c r="D960" s="2" t="s">
        <v>27</v>
      </c>
      <c r="E960" s="2">
        <v>159</v>
      </c>
      <c r="F960" s="2">
        <v>112.66666669999999</v>
      </c>
      <c r="G960" s="2">
        <v>359</v>
      </c>
      <c r="H960" s="2">
        <v>1863.666667</v>
      </c>
      <c r="I960" s="2">
        <v>2593.666667</v>
      </c>
      <c r="J960" s="2">
        <v>0.93</v>
      </c>
      <c r="K960" s="2">
        <v>3.62</v>
      </c>
      <c r="L960" s="2">
        <v>12.54</v>
      </c>
      <c r="M960" s="2">
        <v>14.74</v>
      </c>
      <c r="N960" s="2">
        <v>8.9328439999999995E-2</v>
      </c>
      <c r="O960" s="2">
        <v>0.173645249</v>
      </c>
      <c r="P960" s="2">
        <v>1.7899994589999999</v>
      </c>
      <c r="Q960" s="2">
        <v>1.753001697</v>
      </c>
      <c r="R960" s="2">
        <v>0.50058912200000005</v>
      </c>
      <c r="S960" s="2">
        <v>0.44682528300000002</v>
      </c>
      <c r="T960" s="2">
        <v>1.7185774920000001</v>
      </c>
      <c r="U960" s="2">
        <v>1.695099441</v>
      </c>
      <c r="V960" s="2">
        <v>0.57135699500000003</v>
      </c>
      <c r="W960" s="2">
        <v>6.9375840999999994E-2</v>
      </c>
      <c r="X960">
        <f t="shared" si="42"/>
        <v>1</v>
      </c>
      <c r="Y960">
        <f t="shared" si="43"/>
        <v>1</v>
      </c>
      <c r="Z960">
        <f t="shared" si="44"/>
        <v>0</v>
      </c>
    </row>
    <row r="961" spans="1:26" ht="15.75" customHeight="1" x14ac:dyDescent="0.2">
      <c r="A961" s="2" t="s">
        <v>23</v>
      </c>
      <c r="B961" s="2" t="s">
        <v>24</v>
      </c>
      <c r="C961" s="2" t="s">
        <v>26</v>
      </c>
      <c r="D961" s="2" t="s">
        <v>26</v>
      </c>
      <c r="E961" s="2">
        <v>137</v>
      </c>
      <c r="F961" s="2">
        <v>98.666666669999998</v>
      </c>
      <c r="G961" s="2">
        <v>366</v>
      </c>
      <c r="H961" s="2">
        <v>1021.333333</v>
      </c>
      <c r="I961" s="2">
        <v>2247.333333</v>
      </c>
      <c r="J961" s="2">
        <v>0.75</v>
      </c>
      <c r="K961" s="2">
        <v>3.69</v>
      </c>
      <c r="L961" s="2">
        <v>8.65</v>
      </c>
      <c r="M961" s="2">
        <v>13.79</v>
      </c>
      <c r="N961" s="2">
        <v>0.85076594500000002</v>
      </c>
      <c r="O961" s="2">
        <v>1.0849204610000001</v>
      </c>
      <c r="P961" s="2">
        <v>2.207005965</v>
      </c>
      <c r="Q961" s="2">
        <v>2.2202356980000002</v>
      </c>
      <c r="R961" s="2">
        <v>0.43239601700000002</v>
      </c>
      <c r="S961" s="2">
        <v>0.37863217799999999</v>
      </c>
      <c r="T961" s="2">
        <v>2.164234048</v>
      </c>
      <c r="U961" s="2">
        <v>2.1877120990000001</v>
      </c>
      <c r="V961" s="2">
        <v>0.63955010000000001</v>
      </c>
      <c r="W961" s="2">
        <v>4.6715709000000001E-2</v>
      </c>
      <c r="X961">
        <f t="shared" si="42"/>
        <v>1</v>
      </c>
      <c r="Y961">
        <f t="shared" si="43"/>
        <v>1</v>
      </c>
      <c r="Z961">
        <f t="shared" si="44"/>
        <v>0</v>
      </c>
    </row>
    <row r="962" spans="1:26" ht="15.75" customHeight="1" x14ac:dyDescent="0.2">
      <c r="A962" s="2" t="s">
        <v>23</v>
      </c>
      <c r="B962" s="2" t="s">
        <v>24</v>
      </c>
      <c r="C962" s="2" t="s">
        <v>27</v>
      </c>
      <c r="D962" s="2" t="s">
        <v>27</v>
      </c>
      <c r="E962" s="2">
        <v>122</v>
      </c>
      <c r="F962" s="2">
        <v>88.666666669999998</v>
      </c>
      <c r="G962" s="2">
        <v>346</v>
      </c>
      <c r="H962" s="2">
        <v>1981.333333</v>
      </c>
      <c r="I962" s="2">
        <v>2905.333333</v>
      </c>
      <c r="J962" s="2">
        <v>0.63</v>
      </c>
      <c r="K962" s="2">
        <v>3.49</v>
      </c>
      <c r="L962" s="2">
        <v>12.95</v>
      </c>
      <c r="M962" s="2">
        <v>15.48</v>
      </c>
      <c r="N962" s="2">
        <v>0.35632280700000002</v>
      </c>
      <c r="O962" s="2">
        <v>0.26303478800000002</v>
      </c>
      <c r="P962" s="2">
        <v>2.2196500600000002</v>
      </c>
      <c r="Q962" s="2">
        <v>2.182375339</v>
      </c>
      <c r="R962" s="2">
        <v>0.62833185000000003</v>
      </c>
      <c r="S962" s="2">
        <v>0.57456801099999999</v>
      </c>
      <c r="T962" s="2">
        <v>2.128860135</v>
      </c>
      <c r="U962" s="2">
        <v>2.1053820839999999</v>
      </c>
      <c r="V962" s="2">
        <v>0.44361426700000001</v>
      </c>
      <c r="W962" s="2">
        <v>2.7871246999999998E-2</v>
      </c>
      <c r="X962">
        <f t="shared" si="42"/>
        <v>1</v>
      </c>
      <c r="Y962">
        <f t="shared" si="43"/>
        <v>1</v>
      </c>
      <c r="Z962">
        <f t="shared" si="44"/>
        <v>0</v>
      </c>
    </row>
    <row r="963" spans="1:26" ht="15.75" customHeight="1" x14ac:dyDescent="0.2">
      <c r="A963" s="2" t="s">
        <v>23</v>
      </c>
      <c r="B963" s="2" t="s">
        <v>24</v>
      </c>
      <c r="C963" s="2" t="s">
        <v>30</v>
      </c>
      <c r="D963" s="2" t="s">
        <v>31</v>
      </c>
      <c r="E963" s="2">
        <v>170</v>
      </c>
      <c r="F963" s="2">
        <v>114.66666669999999</v>
      </c>
      <c r="G963" s="2">
        <v>605.66666669999995</v>
      </c>
      <c r="H963" s="2">
        <v>1181</v>
      </c>
      <c r="I963" s="2">
        <v>2022.333333</v>
      </c>
      <c r="J963" s="2">
        <v>0.95</v>
      </c>
      <c r="K963" s="2">
        <v>5.8</v>
      </c>
      <c r="L963" s="2">
        <v>9.5500000000000007</v>
      </c>
      <c r="M963" s="2">
        <v>13.08</v>
      </c>
      <c r="N963" s="2">
        <v>3.7549479180000001</v>
      </c>
      <c r="O963" s="2">
        <v>3.8696090019999998</v>
      </c>
      <c r="P963" s="2">
        <v>2.1033270320000002</v>
      </c>
      <c r="Q963" s="2">
        <v>2.1604175579999998</v>
      </c>
      <c r="R963" s="2">
        <v>1.677934984</v>
      </c>
      <c r="S963" s="2">
        <v>1.7316988230000001</v>
      </c>
      <c r="T963" s="2">
        <v>1.2682739430000001</v>
      </c>
      <c r="U963" s="2">
        <v>1.291751994</v>
      </c>
      <c r="V963" s="2">
        <v>2.7498811010000002</v>
      </c>
      <c r="W963" s="2">
        <v>4.7927732000000001E-2</v>
      </c>
      <c r="X963">
        <f t="shared" ref="X963:X1026" si="45">IF(B963="normal",1,0)</f>
        <v>1</v>
      </c>
      <c r="Y963">
        <f t="shared" ref="Y963:Y1026" si="46">IF(A963="lecture",1,0)</f>
        <v>1</v>
      </c>
      <c r="Z963">
        <f t="shared" ref="Z963:Z1026" si="47">IF(ISNUMBER(FIND("~",D963)),1,0)</f>
        <v>1</v>
      </c>
    </row>
    <row r="964" spans="1:26" ht="15.75" customHeight="1" x14ac:dyDescent="0.2">
      <c r="A964" s="2" t="s">
        <v>23</v>
      </c>
      <c r="B964" s="2" t="s">
        <v>24</v>
      </c>
      <c r="C964" s="2" t="s">
        <v>27</v>
      </c>
      <c r="D964" s="2" t="s">
        <v>27</v>
      </c>
      <c r="E964" s="2">
        <v>206</v>
      </c>
      <c r="F964" s="2">
        <v>104</v>
      </c>
      <c r="G964" s="2">
        <v>411</v>
      </c>
      <c r="H964" s="2">
        <v>1792.666667</v>
      </c>
      <c r="I964" s="2">
        <v>2690.666667</v>
      </c>
      <c r="J964" s="2">
        <v>0.82</v>
      </c>
      <c r="K964" s="2">
        <v>4.12</v>
      </c>
      <c r="L964" s="2">
        <v>12.28</v>
      </c>
      <c r="M964" s="2">
        <v>14.98</v>
      </c>
      <c r="N964" s="2">
        <v>0.58847537400000005</v>
      </c>
      <c r="O964" s="2">
        <v>0.71352117400000004</v>
      </c>
      <c r="P964" s="2">
        <v>1.4585713</v>
      </c>
      <c r="Q964" s="2">
        <v>1.4359643</v>
      </c>
      <c r="R964" s="2">
        <v>3.62627E-3</v>
      </c>
      <c r="S964" s="2">
        <v>5.0137569E-2</v>
      </c>
      <c r="T964" s="2">
        <v>1.4585667920000001</v>
      </c>
      <c r="U964" s="2">
        <v>1.435088742</v>
      </c>
      <c r="V964" s="2">
        <v>1.0683198469999999</v>
      </c>
      <c r="W964" s="2">
        <v>4.1420329999999998E-2</v>
      </c>
      <c r="X964">
        <f t="shared" si="45"/>
        <v>1</v>
      </c>
      <c r="Y964">
        <f t="shared" si="46"/>
        <v>1</v>
      </c>
      <c r="Z964">
        <f t="shared" si="47"/>
        <v>0</v>
      </c>
    </row>
    <row r="965" spans="1:26" ht="15.75" customHeight="1" x14ac:dyDescent="0.2">
      <c r="A965" s="2" t="s">
        <v>23</v>
      </c>
      <c r="B965" s="2" t="s">
        <v>24</v>
      </c>
      <c r="C965" s="2" t="s">
        <v>26</v>
      </c>
      <c r="D965" s="2" t="s">
        <v>26</v>
      </c>
      <c r="E965" s="2">
        <v>134</v>
      </c>
      <c r="F965" s="2">
        <v>98.333333330000002</v>
      </c>
      <c r="G965" s="2">
        <v>348.33333329999999</v>
      </c>
      <c r="H965" s="2">
        <v>906.33333330000005</v>
      </c>
      <c r="I965" s="2">
        <v>2721</v>
      </c>
      <c r="J965" s="2">
        <v>0.75</v>
      </c>
      <c r="K965" s="2">
        <v>3.52</v>
      </c>
      <c r="L965" s="2">
        <v>7.95</v>
      </c>
      <c r="M965" s="2">
        <v>15.05</v>
      </c>
      <c r="N965" s="2">
        <v>0.30794059600000001</v>
      </c>
      <c r="O965" s="2">
        <v>0.39514346299999997</v>
      </c>
      <c r="P965" s="2">
        <v>2.9344931270000001</v>
      </c>
      <c r="Q965" s="2">
        <v>2.9469364730000001</v>
      </c>
      <c r="R965" s="2">
        <v>0.60529771899999996</v>
      </c>
      <c r="S965" s="2">
        <v>0.55153388000000003</v>
      </c>
      <c r="T965" s="2">
        <v>2.8713872230000002</v>
      </c>
      <c r="U965" s="2">
        <v>2.8948652739999998</v>
      </c>
      <c r="V965" s="2">
        <v>0.46664839899999999</v>
      </c>
      <c r="W965" s="2">
        <v>6.3526989000000006E-2</v>
      </c>
      <c r="X965">
        <f t="shared" si="45"/>
        <v>1</v>
      </c>
      <c r="Y965">
        <f t="shared" si="46"/>
        <v>1</v>
      </c>
      <c r="Z965">
        <f t="shared" si="47"/>
        <v>0</v>
      </c>
    </row>
    <row r="966" spans="1:26" ht="15.75" customHeight="1" x14ac:dyDescent="0.2">
      <c r="A966" s="2" t="s">
        <v>23</v>
      </c>
      <c r="B966" s="2" t="s">
        <v>24</v>
      </c>
      <c r="C966" s="2" t="s">
        <v>30</v>
      </c>
      <c r="D966" s="2" t="s">
        <v>31</v>
      </c>
      <c r="E966" s="2">
        <v>127</v>
      </c>
      <c r="F966" s="2">
        <v>111</v>
      </c>
      <c r="G966" s="2">
        <v>623</v>
      </c>
      <c r="H966" s="2">
        <v>1190</v>
      </c>
      <c r="I966" s="2">
        <v>2213</v>
      </c>
      <c r="J966" s="2">
        <v>0.91</v>
      </c>
      <c r="K966" s="2">
        <v>5.94</v>
      </c>
      <c r="L966" s="2">
        <v>9.6</v>
      </c>
      <c r="M966" s="2">
        <v>13.69</v>
      </c>
      <c r="N966" s="2">
        <v>3.797355536</v>
      </c>
      <c r="O966" s="2">
        <v>3.9137930760000001</v>
      </c>
      <c r="P966" s="2">
        <v>2.187496903</v>
      </c>
      <c r="Q966" s="2">
        <v>2.2452385590000001</v>
      </c>
      <c r="R966" s="2">
        <v>1.815374094</v>
      </c>
      <c r="S966" s="2">
        <v>1.869137933</v>
      </c>
      <c r="T966" s="2">
        <v>1.220475153</v>
      </c>
      <c r="U966" s="2">
        <v>1.2439532040000001</v>
      </c>
      <c r="V966" s="2">
        <v>2.8873202120000001</v>
      </c>
      <c r="W966" s="2">
        <v>6.1118758000000002E-2</v>
      </c>
      <c r="X966">
        <f t="shared" si="45"/>
        <v>1</v>
      </c>
      <c r="Y966">
        <f t="shared" si="46"/>
        <v>1</v>
      </c>
      <c r="Z966">
        <f t="shared" si="47"/>
        <v>1</v>
      </c>
    </row>
    <row r="967" spans="1:26" ht="15.75" customHeight="1" x14ac:dyDescent="0.2">
      <c r="A967" s="2" t="s">
        <v>23</v>
      </c>
      <c r="B967" s="2" t="s">
        <v>24</v>
      </c>
      <c r="C967" s="2" t="s">
        <v>32</v>
      </c>
      <c r="D967" s="2" t="s">
        <v>33</v>
      </c>
      <c r="E967" s="2">
        <v>147</v>
      </c>
      <c r="F967" s="2">
        <v>93.333333330000002</v>
      </c>
      <c r="G967" s="2">
        <v>624</v>
      </c>
      <c r="H967" s="2">
        <v>1315.666667</v>
      </c>
      <c r="I967" s="2">
        <v>2684</v>
      </c>
      <c r="J967" s="2">
        <v>0.69</v>
      </c>
      <c r="K967" s="2">
        <v>5.94</v>
      </c>
      <c r="L967" s="2">
        <v>10.24</v>
      </c>
      <c r="M967" s="2">
        <v>14.96</v>
      </c>
      <c r="N967" s="2">
        <v>0.20498527799999999</v>
      </c>
      <c r="O967" s="2">
        <v>0.25246364799999998</v>
      </c>
      <c r="P967" s="2">
        <v>1.913429015</v>
      </c>
      <c r="Q967" s="2">
        <v>1.971791045</v>
      </c>
      <c r="R967" s="2">
        <v>1.8232470169999999</v>
      </c>
      <c r="S967" s="2">
        <v>1.8770108560000001</v>
      </c>
      <c r="T967" s="2">
        <v>0.58050057099999997</v>
      </c>
      <c r="U967" s="2">
        <v>0.60397862099999999</v>
      </c>
      <c r="V967" s="2">
        <v>2.8951931339999999</v>
      </c>
      <c r="W967" s="2">
        <v>7.6073862000000006E-2</v>
      </c>
      <c r="X967">
        <f t="shared" si="45"/>
        <v>1</v>
      </c>
      <c r="Y967">
        <f t="shared" si="46"/>
        <v>1</v>
      </c>
      <c r="Z967">
        <f t="shared" si="47"/>
        <v>1</v>
      </c>
    </row>
    <row r="968" spans="1:26" ht="15.75" customHeight="1" x14ac:dyDescent="0.2">
      <c r="A968" s="2" t="s">
        <v>23</v>
      </c>
      <c r="B968" s="2" t="s">
        <v>24</v>
      </c>
      <c r="C968" s="2" t="s">
        <v>28</v>
      </c>
      <c r="D968" s="2" t="s">
        <v>29</v>
      </c>
      <c r="E968" s="2">
        <v>154</v>
      </c>
      <c r="F968" s="2">
        <v>113.66666669999999</v>
      </c>
      <c r="G968" s="2">
        <v>423.66666670000001</v>
      </c>
      <c r="H968" s="2">
        <v>1147.333333</v>
      </c>
      <c r="I968" s="2">
        <v>2563.666667</v>
      </c>
      <c r="J968" s="2">
        <v>0.94</v>
      </c>
      <c r="K968" s="2">
        <v>4.24</v>
      </c>
      <c r="L968" s="2">
        <v>9.3699999999999992</v>
      </c>
      <c r="M968" s="2">
        <v>14.66</v>
      </c>
      <c r="N968" s="2">
        <v>1.621190098</v>
      </c>
      <c r="O968" s="2">
        <v>1.895604351</v>
      </c>
      <c r="P968" s="2">
        <v>1.454019226</v>
      </c>
      <c r="Q968" s="2">
        <v>1.4825490750000001</v>
      </c>
      <c r="R968" s="2">
        <v>0.114144672</v>
      </c>
      <c r="S968" s="2">
        <v>0.16790851100000001</v>
      </c>
      <c r="T968" s="2">
        <v>1.4495319600000001</v>
      </c>
      <c r="U968" s="2">
        <v>1.473010011</v>
      </c>
      <c r="V968" s="2">
        <v>1.1860907890000001</v>
      </c>
      <c r="W968" s="2">
        <v>7.3853908999999995E-2</v>
      </c>
      <c r="X968">
        <f t="shared" si="45"/>
        <v>1</v>
      </c>
      <c r="Y968">
        <f t="shared" si="46"/>
        <v>1</v>
      </c>
      <c r="Z968">
        <f t="shared" si="47"/>
        <v>1</v>
      </c>
    </row>
    <row r="969" spans="1:26" ht="15.75" customHeight="1" x14ac:dyDescent="0.2">
      <c r="A969" s="2" t="s">
        <v>23</v>
      </c>
      <c r="B969" s="2" t="s">
        <v>24</v>
      </c>
      <c r="C969" s="2" t="s">
        <v>28</v>
      </c>
      <c r="D969" s="2" t="s">
        <v>29</v>
      </c>
      <c r="E969" s="2">
        <v>87</v>
      </c>
      <c r="F969" s="2">
        <v>96.666666669999998</v>
      </c>
      <c r="G969" s="2">
        <v>453.33333329999999</v>
      </c>
      <c r="H969" s="2">
        <v>1643.333333</v>
      </c>
      <c r="I969" s="2">
        <v>2554.666667</v>
      </c>
      <c r="J969" s="2">
        <v>0.73</v>
      </c>
      <c r="K969" s="2">
        <v>4.51</v>
      </c>
      <c r="L969" s="2">
        <v>11.7</v>
      </c>
      <c r="M969" s="2">
        <v>14.64</v>
      </c>
      <c r="N969" s="2">
        <v>3.95221483</v>
      </c>
      <c r="O969" s="2">
        <v>4.2169250370000002</v>
      </c>
      <c r="P969" s="2">
        <v>0.95898605699999995</v>
      </c>
      <c r="Q969" s="2">
        <v>0.96086931600000003</v>
      </c>
      <c r="R969" s="2">
        <v>0.385138127</v>
      </c>
      <c r="S969" s="2">
        <v>0.43890196599999998</v>
      </c>
      <c r="T969" s="2">
        <v>0.87824989600000003</v>
      </c>
      <c r="U969" s="2">
        <v>0.85477184500000003</v>
      </c>
      <c r="V969" s="2">
        <v>1.4570842449999999</v>
      </c>
      <c r="W969" s="2">
        <v>8.7223253000000001E-2</v>
      </c>
      <c r="X969">
        <f t="shared" si="45"/>
        <v>1</v>
      </c>
      <c r="Y969">
        <f t="shared" si="46"/>
        <v>1</v>
      </c>
      <c r="Z969">
        <f t="shared" si="47"/>
        <v>1</v>
      </c>
    </row>
    <row r="970" spans="1:26" ht="15.75" customHeight="1" x14ac:dyDescent="0.2">
      <c r="A970" s="2" t="s">
        <v>23</v>
      </c>
      <c r="B970" s="2" t="s">
        <v>24</v>
      </c>
      <c r="C970" s="2" t="s">
        <v>26</v>
      </c>
      <c r="D970" s="2" t="s">
        <v>26</v>
      </c>
      <c r="E970" s="2">
        <v>154</v>
      </c>
      <c r="F970" s="2">
        <v>90.666666669999998</v>
      </c>
      <c r="G970" s="2">
        <v>361.33333329999999</v>
      </c>
      <c r="H970" s="2">
        <v>1049.333333</v>
      </c>
      <c r="I970" s="2">
        <v>2723</v>
      </c>
      <c r="J970" s="2">
        <v>0.66</v>
      </c>
      <c r="K970" s="2">
        <v>3.64</v>
      </c>
      <c r="L970" s="2">
        <v>8.82</v>
      </c>
      <c r="M970" s="2">
        <v>15.06</v>
      </c>
      <c r="N970" s="2">
        <v>1.0193573739999999</v>
      </c>
      <c r="O970" s="2">
        <v>1.2476477429999999</v>
      </c>
      <c r="P970" s="2">
        <v>2.0565168900000002</v>
      </c>
      <c r="Q970" s="2">
        <v>2.0676674940000002</v>
      </c>
      <c r="R970" s="2">
        <v>0.47781238999999998</v>
      </c>
      <c r="S970" s="2">
        <v>0.424048551</v>
      </c>
      <c r="T970" s="2">
        <v>2.0002392449999999</v>
      </c>
      <c r="U970" s="2">
        <v>2.0237172960000001</v>
      </c>
      <c r="V970" s="2">
        <v>0.594133727</v>
      </c>
      <c r="W970" s="2">
        <v>5.2005707999999998E-2</v>
      </c>
      <c r="X970">
        <f t="shared" si="45"/>
        <v>1</v>
      </c>
      <c r="Y970">
        <f t="shared" si="46"/>
        <v>1</v>
      </c>
      <c r="Z970">
        <f t="shared" si="47"/>
        <v>0</v>
      </c>
    </row>
    <row r="971" spans="1:26" ht="15.75" customHeight="1" x14ac:dyDescent="0.2">
      <c r="A971" s="2" t="s">
        <v>23</v>
      </c>
      <c r="B971" s="2" t="s">
        <v>24</v>
      </c>
      <c r="C971" s="2" t="s">
        <v>25</v>
      </c>
      <c r="D971" s="2" t="s">
        <v>25</v>
      </c>
      <c r="E971" s="2">
        <v>116</v>
      </c>
      <c r="F971" s="2">
        <v>97.666666669999998</v>
      </c>
      <c r="G971" s="2">
        <v>562.66666669999995</v>
      </c>
      <c r="H971" s="2">
        <v>1466.333333</v>
      </c>
      <c r="I971" s="2">
        <v>2468.333333</v>
      </c>
      <c r="J971" s="2">
        <v>0.74</v>
      </c>
      <c r="K971" s="2">
        <v>5.45</v>
      </c>
      <c r="L971" s="2">
        <v>10.94</v>
      </c>
      <c r="M971" s="2">
        <v>14.41</v>
      </c>
      <c r="N971" s="2">
        <v>0.65733747799999998</v>
      </c>
      <c r="O971" s="2">
        <v>0.68521804799999997</v>
      </c>
      <c r="P971" s="2">
        <v>1.3346835180000001</v>
      </c>
      <c r="Q971" s="2">
        <v>1.3863052419999999</v>
      </c>
      <c r="R971" s="2">
        <v>1.328825827</v>
      </c>
      <c r="S971" s="2">
        <v>1.3825896660000001</v>
      </c>
      <c r="T971" s="2">
        <v>0.124908034</v>
      </c>
      <c r="U971" s="2">
        <v>0.101429983</v>
      </c>
      <c r="V971" s="2">
        <v>2.4007719440000002</v>
      </c>
      <c r="W971" s="2">
        <v>6.1463990000000003E-2</v>
      </c>
      <c r="X971">
        <f t="shared" si="45"/>
        <v>1</v>
      </c>
      <c r="Y971">
        <f t="shared" si="46"/>
        <v>1</v>
      </c>
      <c r="Z971">
        <f t="shared" si="47"/>
        <v>0</v>
      </c>
    </row>
    <row r="972" spans="1:26" ht="15.75" customHeight="1" x14ac:dyDescent="0.2">
      <c r="A972" s="2" t="s">
        <v>23</v>
      </c>
      <c r="B972" s="2" t="s">
        <v>24</v>
      </c>
      <c r="C972" s="2" t="s">
        <v>30</v>
      </c>
      <c r="D972" s="2" t="s">
        <v>31</v>
      </c>
      <c r="E972" s="2">
        <v>194</v>
      </c>
      <c r="F972" s="2">
        <v>111</v>
      </c>
      <c r="G972" s="2">
        <v>531.66666669999995</v>
      </c>
      <c r="H972" s="2">
        <v>1283.666667</v>
      </c>
      <c r="I972" s="2">
        <v>2218</v>
      </c>
      <c r="J972" s="2">
        <v>0.91</v>
      </c>
      <c r="K972" s="2">
        <v>5.19</v>
      </c>
      <c r="L972" s="2">
        <v>10.08</v>
      </c>
      <c r="M972" s="2">
        <v>13.7</v>
      </c>
      <c r="N972" s="2">
        <v>2.9784043019999999</v>
      </c>
      <c r="O972" s="2">
        <v>3.0896688409999999</v>
      </c>
      <c r="P972" s="2">
        <v>1.2999822999999999</v>
      </c>
      <c r="Q972" s="2">
        <v>1.3576096200000001</v>
      </c>
      <c r="R972" s="2">
        <v>1.0696677379999999</v>
      </c>
      <c r="S972" s="2">
        <v>1.1234315770000001</v>
      </c>
      <c r="T972" s="2">
        <v>0.73875903399999998</v>
      </c>
      <c r="U972" s="2">
        <v>0.76223708499999998</v>
      </c>
      <c r="V972" s="2">
        <v>2.1416138550000001</v>
      </c>
      <c r="W972" s="2">
        <v>6.5068167999999996E-2</v>
      </c>
      <c r="X972">
        <f t="shared" si="45"/>
        <v>1</v>
      </c>
      <c r="Y972">
        <f t="shared" si="46"/>
        <v>1</v>
      </c>
      <c r="Z972">
        <f t="shared" si="47"/>
        <v>1</v>
      </c>
    </row>
    <row r="973" spans="1:26" ht="15.75" customHeight="1" x14ac:dyDescent="0.2">
      <c r="A973" s="2" t="s">
        <v>23</v>
      </c>
      <c r="B973" s="2" t="s">
        <v>24</v>
      </c>
      <c r="C973" s="2" t="s">
        <v>28</v>
      </c>
      <c r="D973" s="2" t="s">
        <v>29</v>
      </c>
      <c r="E973" s="2">
        <v>106</v>
      </c>
      <c r="F973" s="2">
        <v>99.333333330000002</v>
      </c>
      <c r="G973" s="2">
        <v>397.66666670000001</v>
      </c>
      <c r="H973" s="2">
        <v>1147.666667</v>
      </c>
      <c r="I973" s="2">
        <v>2545.666667</v>
      </c>
      <c r="J973" s="2">
        <v>0.76</v>
      </c>
      <c r="K973" s="2">
        <v>3.99</v>
      </c>
      <c r="L973" s="2">
        <v>9.3699999999999992</v>
      </c>
      <c r="M973" s="2">
        <v>14.62</v>
      </c>
      <c r="N973" s="2">
        <v>1.5739159890000001</v>
      </c>
      <c r="O973" s="2">
        <v>1.835072974</v>
      </c>
      <c r="P973" s="2">
        <v>1.4534507329999999</v>
      </c>
      <c r="Q973" s="2">
        <v>1.47311674</v>
      </c>
      <c r="R973" s="2">
        <v>0.12896279999999999</v>
      </c>
      <c r="S973" s="2">
        <v>7.5198960999999995E-2</v>
      </c>
      <c r="T973" s="2">
        <v>1.447718077</v>
      </c>
      <c r="U973" s="2">
        <v>1.4711961280000001</v>
      </c>
      <c r="V973" s="2">
        <v>0.94298331800000001</v>
      </c>
      <c r="W973" s="2">
        <v>3.7897358999999999E-2</v>
      </c>
      <c r="X973">
        <f t="shared" si="45"/>
        <v>1</v>
      </c>
      <c r="Y973">
        <f t="shared" si="46"/>
        <v>1</v>
      </c>
      <c r="Z973">
        <f t="shared" si="47"/>
        <v>1</v>
      </c>
    </row>
    <row r="974" spans="1:26" ht="15.75" customHeight="1" x14ac:dyDescent="0.2">
      <c r="A974" s="2" t="s">
        <v>23</v>
      </c>
      <c r="B974" s="2" t="s">
        <v>24</v>
      </c>
      <c r="C974" s="2" t="s">
        <v>28</v>
      </c>
      <c r="D974" s="2" t="s">
        <v>29</v>
      </c>
      <c r="E974" s="2">
        <v>110</v>
      </c>
      <c r="F974" s="2">
        <v>93.666666669999998</v>
      </c>
      <c r="G974" s="2">
        <v>445</v>
      </c>
      <c r="H974" s="2">
        <v>1433</v>
      </c>
      <c r="I974" s="2">
        <v>2510.666667</v>
      </c>
      <c r="J974" s="2">
        <v>0.69</v>
      </c>
      <c r="K974" s="2">
        <v>4.43</v>
      </c>
      <c r="L974" s="2">
        <v>10.79</v>
      </c>
      <c r="M974" s="2">
        <v>14.53</v>
      </c>
      <c r="N974" s="2">
        <v>3.0507773839999999</v>
      </c>
      <c r="O974" s="2">
        <v>3.3187274690000002</v>
      </c>
      <c r="P974" s="2">
        <v>0.310761022</v>
      </c>
      <c r="Q974" s="2">
        <v>0.36677532800000001</v>
      </c>
      <c r="R974" s="2">
        <v>0.30969160099999998</v>
      </c>
      <c r="S974" s="2">
        <v>0.36345544000000002</v>
      </c>
      <c r="T974" s="2">
        <v>2.5758973000000001E-2</v>
      </c>
      <c r="U974" s="2">
        <v>4.9237022999999998E-2</v>
      </c>
      <c r="V974" s="2">
        <v>1.381637719</v>
      </c>
      <c r="W974" s="2">
        <v>4.3917709999999999E-2</v>
      </c>
      <c r="X974">
        <f t="shared" si="45"/>
        <v>1</v>
      </c>
      <c r="Y974">
        <f t="shared" si="46"/>
        <v>1</v>
      </c>
      <c r="Z974">
        <f t="shared" si="47"/>
        <v>1</v>
      </c>
    </row>
    <row r="975" spans="1:26" ht="15.75" customHeight="1" x14ac:dyDescent="0.2">
      <c r="A975" s="2" t="s">
        <v>23</v>
      </c>
      <c r="B975" s="2" t="s">
        <v>24</v>
      </c>
      <c r="C975" s="2" t="s">
        <v>32</v>
      </c>
      <c r="D975" s="2" t="s">
        <v>33</v>
      </c>
      <c r="E975" s="2">
        <v>194</v>
      </c>
      <c r="F975" s="2">
        <v>116.33333330000001</v>
      </c>
      <c r="G975" s="2">
        <v>586.66666669999995</v>
      </c>
      <c r="H975" s="2">
        <v>960.33333330000005</v>
      </c>
      <c r="I975" s="2">
        <v>2492.333333</v>
      </c>
      <c r="J975" s="2">
        <v>0.97</v>
      </c>
      <c r="K975" s="2">
        <v>5.65</v>
      </c>
      <c r="L975" s="2">
        <v>8.2899999999999991</v>
      </c>
      <c r="M975" s="2">
        <v>14.48</v>
      </c>
      <c r="N975" s="2">
        <v>2.1376732660000002</v>
      </c>
      <c r="O975" s="2">
        <v>2.2263512630000002</v>
      </c>
      <c r="P975" s="2">
        <v>2.9561898289999999</v>
      </c>
      <c r="Q975" s="2">
        <v>3.004231243</v>
      </c>
      <c r="R975" s="2">
        <v>1.525131185</v>
      </c>
      <c r="S975" s="2">
        <v>1.5788950239999999</v>
      </c>
      <c r="T975" s="2">
        <v>2.5323967249999999</v>
      </c>
      <c r="U975" s="2">
        <v>2.5558747749999999</v>
      </c>
      <c r="V975" s="2">
        <v>2.5970773029999998</v>
      </c>
      <c r="W975" s="2">
        <v>5.6678564000000001E-2</v>
      </c>
      <c r="X975">
        <f t="shared" si="45"/>
        <v>1</v>
      </c>
      <c r="Y975">
        <f t="shared" si="46"/>
        <v>1</v>
      </c>
      <c r="Z975">
        <f t="shared" si="47"/>
        <v>1</v>
      </c>
    </row>
    <row r="976" spans="1:26" ht="15.75" customHeight="1" x14ac:dyDescent="0.2">
      <c r="A976" s="2" t="s">
        <v>23</v>
      </c>
      <c r="B976" s="2" t="s">
        <v>24</v>
      </c>
      <c r="C976" s="2" t="s">
        <v>25</v>
      </c>
      <c r="D976" s="2" t="s">
        <v>25</v>
      </c>
      <c r="E976" s="2">
        <v>106</v>
      </c>
      <c r="F976" s="2">
        <v>114.33333330000001</v>
      </c>
      <c r="G976" s="2">
        <v>632</v>
      </c>
      <c r="H976" s="2">
        <v>1450.666667</v>
      </c>
      <c r="I976" s="2">
        <v>2362.666667</v>
      </c>
      <c r="J976" s="2">
        <v>0.95</v>
      </c>
      <c r="K976" s="2">
        <v>6.01</v>
      </c>
      <c r="L976" s="2">
        <v>10.87</v>
      </c>
      <c r="M976" s="2">
        <v>14.12</v>
      </c>
      <c r="N976" s="2">
        <v>0.48731786799999999</v>
      </c>
      <c r="O976" s="2">
        <v>0.38570121899999998</v>
      </c>
      <c r="P976" s="2">
        <v>1.8867978649999999</v>
      </c>
      <c r="Q976" s="2">
        <v>1.9400229689999999</v>
      </c>
      <c r="R976" s="2">
        <v>1.8860117030000001</v>
      </c>
      <c r="S976" s="2">
        <v>1.939775542</v>
      </c>
      <c r="T976" s="2">
        <v>5.4461343000000002E-2</v>
      </c>
      <c r="U976" s="2">
        <v>3.0983291999999999E-2</v>
      </c>
      <c r="V976" s="2">
        <v>2.9579578209999999</v>
      </c>
      <c r="W976" s="2">
        <v>8.8630188999999998E-2</v>
      </c>
      <c r="X976">
        <f t="shared" si="45"/>
        <v>1</v>
      </c>
      <c r="Y976">
        <f t="shared" si="46"/>
        <v>1</v>
      </c>
      <c r="Z976">
        <f t="shared" si="47"/>
        <v>0</v>
      </c>
    </row>
    <row r="977" spans="1:26" ht="15.75" customHeight="1" x14ac:dyDescent="0.2">
      <c r="A977" s="2" t="s">
        <v>23</v>
      </c>
      <c r="B977" s="2" t="s">
        <v>24</v>
      </c>
      <c r="C977" s="2" t="s">
        <v>27</v>
      </c>
      <c r="D977" s="2" t="s">
        <v>27</v>
      </c>
      <c r="E977" s="2">
        <v>151</v>
      </c>
      <c r="F977" s="2">
        <v>125.33333330000001</v>
      </c>
      <c r="G977" s="2">
        <v>373.66666670000001</v>
      </c>
      <c r="H977" s="2">
        <v>1892</v>
      </c>
      <c r="I977" s="2">
        <v>2706.333333</v>
      </c>
      <c r="J977" s="2">
        <v>1.08</v>
      </c>
      <c r="K977" s="2">
        <v>3.76</v>
      </c>
      <c r="L977" s="2">
        <v>12.64</v>
      </c>
      <c r="M977" s="2">
        <v>15.02</v>
      </c>
      <c r="N977" s="2">
        <v>0.12178803000000001</v>
      </c>
      <c r="O977" s="2">
        <v>0.23433346699999999</v>
      </c>
      <c r="P977" s="2">
        <v>1.8545783300000001</v>
      </c>
      <c r="Q977" s="2">
        <v>1.8217969979999999</v>
      </c>
      <c r="R977" s="2">
        <v>0.358177729</v>
      </c>
      <c r="S977" s="2">
        <v>0.30441389000000002</v>
      </c>
      <c r="T977" s="2">
        <v>1.8196619190000001</v>
      </c>
      <c r="U977" s="2">
        <v>1.796183868</v>
      </c>
      <c r="V977" s="2">
        <v>0.71376838899999995</v>
      </c>
      <c r="W977" s="2">
        <v>7.3870168999999999E-2</v>
      </c>
      <c r="X977">
        <f t="shared" si="45"/>
        <v>1</v>
      </c>
      <c r="Y977">
        <f t="shared" si="46"/>
        <v>1</v>
      </c>
      <c r="Z977">
        <f t="shared" si="47"/>
        <v>0</v>
      </c>
    </row>
    <row r="978" spans="1:26" ht="15.75" customHeight="1" x14ac:dyDescent="0.2">
      <c r="A978" s="2" t="s">
        <v>23</v>
      </c>
      <c r="B978" s="2" t="s">
        <v>24</v>
      </c>
      <c r="C978" s="2" t="s">
        <v>32</v>
      </c>
      <c r="D978" s="2" t="s">
        <v>33</v>
      </c>
      <c r="E978" s="2">
        <v>115</v>
      </c>
      <c r="F978" s="2">
        <v>84.666666669999998</v>
      </c>
      <c r="G978" s="2">
        <v>615.33333330000005</v>
      </c>
      <c r="H978" s="2">
        <v>1220</v>
      </c>
      <c r="I978" s="2">
        <v>2581</v>
      </c>
      <c r="J978" s="2">
        <v>0.57999999999999996</v>
      </c>
      <c r="K978" s="2">
        <v>5.88</v>
      </c>
      <c r="L978" s="2">
        <v>9.76</v>
      </c>
      <c r="M978" s="2">
        <v>14.71</v>
      </c>
      <c r="N978" s="2">
        <v>0.66043849200000004</v>
      </c>
      <c r="O978" s="2">
        <v>0.73953841499999995</v>
      </c>
      <c r="P978" s="2">
        <v>2.0517178600000001</v>
      </c>
      <c r="Q978" s="2">
        <v>2.1098809969999999</v>
      </c>
      <c r="R978" s="2">
        <v>1.7548118989999999</v>
      </c>
      <c r="S978" s="2">
        <v>1.808575738</v>
      </c>
      <c r="T978" s="2">
        <v>1.063099891</v>
      </c>
      <c r="U978" s="2">
        <v>1.0865779419999999</v>
      </c>
      <c r="V978" s="2">
        <v>2.8267580159999999</v>
      </c>
      <c r="W978" s="2">
        <v>3.3171779999999998E-2</v>
      </c>
      <c r="X978">
        <f t="shared" si="45"/>
        <v>1</v>
      </c>
      <c r="Y978">
        <f t="shared" si="46"/>
        <v>1</v>
      </c>
      <c r="Z978">
        <f t="shared" si="47"/>
        <v>1</v>
      </c>
    </row>
    <row r="979" spans="1:26" ht="15.75" customHeight="1" x14ac:dyDescent="0.2">
      <c r="A979" s="2" t="s">
        <v>23</v>
      </c>
      <c r="B979" s="2" t="s">
        <v>24</v>
      </c>
      <c r="C979" s="2" t="s">
        <v>28</v>
      </c>
      <c r="D979" s="2" t="s">
        <v>29</v>
      </c>
      <c r="E979" s="2">
        <v>154</v>
      </c>
      <c r="F979" s="2">
        <v>123</v>
      </c>
      <c r="G979" s="2">
        <v>377.66666670000001</v>
      </c>
      <c r="H979" s="2">
        <v>1218.666667</v>
      </c>
      <c r="I979" s="2">
        <v>2662.666667</v>
      </c>
      <c r="J979" s="2">
        <v>1.05</v>
      </c>
      <c r="K979" s="2">
        <v>3.8</v>
      </c>
      <c r="L979" s="2">
        <v>9.75</v>
      </c>
      <c r="M979" s="2">
        <v>14.91</v>
      </c>
      <c r="N979" s="2">
        <v>1.938774599</v>
      </c>
      <c r="O979" s="2">
        <v>2.1841230380000001</v>
      </c>
      <c r="P979" s="2">
        <v>1.1167551259999999</v>
      </c>
      <c r="Q979" s="2">
        <v>1.1253698190000001</v>
      </c>
      <c r="R979" s="2">
        <v>0.319648398</v>
      </c>
      <c r="S979" s="2">
        <v>0.26588455900000002</v>
      </c>
      <c r="T979" s="2">
        <v>1.0700312679999999</v>
      </c>
      <c r="U979" s="2">
        <v>1.093509319</v>
      </c>
      <c r="V979" s="2">
        <v>0.75229771999999995</v>
      </c>
      <c r="W979" s="2">
        <v>3.3350682E-2</v>
      </c>
      <c r="X979">
        <f t="shared" si="45"/>
        <v>1</v>
      </c>
      <c r="Y979">
        <f t="shared" si="46"/>
        <v>1</v>
      </c>
      <c r="Z979">
        <f t="shared" si="47"/>
        <v>1</v>
      </c>
    </row>
    <row r="980" spans="1:26" ht="15.75" customHeight="1" x14ac:dyDescent="0.2">
      <c r="A980" s="2" t="s">
        <v>23</v>
      </c>
      <c r="B980" s="2" t="s">
        <v>24</v>
      </c>
      <c r="C980" s="2" t="s">
        <v>27</v>
      </c>
      <c r="D980" s="2" t="s">
        <v>27</v>
      </c>
      <c r="E980" s="2">
        <v>97</v>
      </c>
      <c r="F980" s="2">
        <v>86.666666669999998</v>
      </c>
      <c r="G980" s="2">
        <v>336</v>
      </c>
      <c r="H980" s="2">
        <v>1928.333333</v>
      </c>
      <c r="I980" s="2">
        <v>2409.333333</v>
      </c>
      <c r="J980" s="2">
        <v>0.61</v>
      </c>
      <c r="K980" s="2">
        <v>3.39</v>
      </c>
      <c r="L980" s="2">
        <v>12.77</v>
      </c>
      <c r="M980" s="2">
        <v>14.25</v>
      </c>
      <c r="N980" s="2">
        <v>0.28610371600000001</v>
      </c>
      <c r="O980" s="2">
        <v>0.16059134999999999</v>
      </c>
      <c r="P980" s="2">
        <v>2.0786282869999999</v>
      </c>
      <c r="Q980" s="2">
        <v>2.0382523460000002</v>
      </c>
      <c r="R980" s="2">
        <v>0.72757983500000001</v>
      </c>
      <c r="S980" s="2">
        <v>0.67381599599999997</v>
      </c>
      <c r="T980" s="2">
        <v>1.947132029</v>
      </c>
      <c r="U980" s="2">
        <v>1.9236539779999999</v>
      </c>
      <c r="V980" s="2">
        <v>0.34436628200000002</v>
      </c>
      <c r="W980" s="2">
        <v>6.3092005000000007E-2</v>
      </c>
      <c r="X980">
        <f t="shared" si="45"/>
        <v>1</v>
      </c>
      <c r="Y980">
        <f t="shared" si="46"/>
        <v>1</v>
      </c>
      <c r="Z980">
        <f t="shared" si="47"/>
        <v>0</v>
      </c>
    </row>
    <row r="981" spans="1:26" ht="15.75" customHeight="1" x14ac:dyDescent="0.2">
      <c r="A981" s="2" t="s">
        <v>23</v>
      </c>
      <c r="B981" s="2" t="s">
        <v>24</v>
      </c>
      <c r="C981" s="2" t="s">
        <v>26</v>
      </c>
      <c r="D981" s="2" t="s">
        <v>26</v>
      </c>
      <c r="E981" s="2">
        <v>210</v>
      </c>
      <c r="F981" s="2">
        <v>144</v>
      </c>
      <c r="G981" s="2">
        <v>390</v>
      </c>
      <c r="H981" s="2">
        <v>795</v>
      </c>
      <c r="I981" s="2">
        <v>2356.333333</v>
      </c>
      <c r="J981" s="2">
        <v>1.3</v>
      </c>
      <c r="K981" s="2">
        <v>3.92</v>
      </c>
      <c r="L981" s="2">
        <v>7.21</v>
      </c>
      <c r="M981" s="2">
        <v>14.11</v>
      </c>
      <c r="N981" s="2">
        <v>0.61688879900000004</v>
      </c>
      <c r="O981" s="2">
        <v>0.46173700099999998</v>
      </c>
      <c r="P981" s="2">
        <v>3.6178618980000001</v>
      </c>
      <c r="Q981" s="2">
        <v>3.6387219380000002</v>
      </c>
      <c r="R981" s="2">
        <v>0.20167531999999999</v>
      </c>
      <c r="S981" s="2">
        <v>0.14791148200000001</v>
      </c>
      <c r="T981" s="2">
        <v>3.612236395</v>
      </c>
      <c r="U981" s="2">
        <v>3.6357144460000002</v>
      </c>
      <c r="V981" s="2">
        <v>0.87027079699999998</v>
      </c>
      <c r="W981" s="2">
        <v>8.8938669999999997E-2</v>
      </c>
      <c r="X981">
        <f t="shared" si="45"/>
        <v>1</v>
      </c>
      <c r="Y981">
        <f t="shared" si="46"/>
        <v>1</v>
      </c>
      <c r="Z981">
        <f t="shared" si="47"/>
        <v>0</v>
      </c>
    </row>
    <row r="982" spans="1:26" ht="15.75" customHeight="1" x14ac:dyDescent="0.2">
      <c r="A982" s="2" t="s">
        <v>23</v>
      </c>
      <c r="B982" s="2" t="s">
        <v>24</v>
      </c>
      <c r="C982" s="2" t="s">
        <v>27</v>
      </c>
      <c r="D982" s="2" t="s">
        <v>27</v>
      </c>
      <c r="E982" s="2">
        <v>119</v>
      </c>
      <c r="F982" s="2">
        <v>86</v>
      </c>
      <c r="G982" s="2">
        <v>368.66666670000001</v>
      </c>
      <c r="H982" s="2">
        <v>1846</v>
      </c>
      <c r="I982" s="2">
        <v>2547.333333</v>
      </c>
      <c r="J982" s="2">
        <v>0.6</v>
      </c>
      <c r="K982" s="2">
        <v>3.71</v>
      </c>
      <c r="L982" s="2">
        <v>12.47</v>
      </c>
      <c r="M982" s="2">
        <v>14.62</v>
      </c>
      <c r="N982" s="2">
        <v>0.16709061</v>
      </c>
      <c r="O982" s="2">
        <v>0.28030448499999999</v>
      </c>
      <c r="P982" s="2">
        <v>1.7039899329999999</v>
      </c>
      <c r="Q982" s="2">
        <v>1.669014196</v>
      </c>
      <c r="R982" s="2">
        <v>0.40652553200000002</v>
      </c>
      <c r="S982" s="2">
        <v>0.35276169299999999</v>
      </c>
      <c r="T982" s="2">
        <v>1.654786597</v>
      </c>
      <c r="U982" s="2">
        <v>1.6313085469999999</v>
      </c>
      <c r="V982" s="2">
        <v>0.66542058599999998</v>
      </c>
      <c r="W982" s="2">
        <v>7.0327107999999999E-2</v>
      </c>
      <c r="X982">
        <f t="shared" si="45"/>
        <v>1</v>
      </c>
      <c r="Y982">
        <f t="shared" si="46"/>
        <v>1</v>
      </c>
      <c r="Z982">
        <f t="shared" si="47"/>
        <v>0</v>
      </c>
    </row>
    <row r="983" spans="1:26" ht="15.75" customHeight="1" x14ac:dyDescent="0.2">
      <c r="A983" s="2" t="s">
        <v>23</v>
      </c>
      <c r="B983" s="2" t="s">
        <v>24</v>
      </c>
      <c r="C983" s="2" t="s">
        <v>27</v>
      </c>
      <c r="D983" s="2" t="s">
        <v>27</v>
      </c>
      <c r="E983" s="2">
        <v>170</v>
      </c>
      <c r="F983" s="2">
        <v>127</v>
      </c>
      <c r="G983" s="2">
        <v>403.33333329999999</v>
      </c>
      <c r="H983" s="2">
        <v>1874.666667</v>
      </c>
      <c r="I983" s="2">
        <v>2628</v>
      </c>
      <c r="J983" s="2">
        <v>1.1000000000000001</v>
      </c>
      <c r="K983" s="2">
        <v>4.05</v>
      </c>
      <c r="L983" s="2">
        <v>12.58</v>
      </c>
      <c r="M983" s="2">
        <v>14.83</v>
      </c>
      <c r="N983" s="2">
        <v>0.40635309600000002</v>
      </c>
      <c r="O983" s="2">
        <v>0.52363663000000005</v>
      </c>
      <c r="P983" s="2">
        <v>1.759620854</v>
      </c>
      <c r="Q983" s="2">
        <v>1.734657839</v>
      </c>
      <c r="R983" s="2">
        <v>7.5521973000000006E-2</v>
      </c>
      <c r="S983" s="2">
        <v>2.1758133999999998E-2</v>
      </c>
      <c r="T983" s="2">
        <v>1.757999426</v>
      </c>
      <c r="U983" s="2">
        <v>1.7345213749999999</v>
      </c>
      <c r="V983" s="2">
        <v>0.99642414499999998</v>
      </c>
      <c r="W983" s="2">
        <v>6.9582113000000001E-2</v>
      </c>
      <c r="X983">
        <f t="shared" si="45"/>
        <v>1</v>
      </c>
      <c r="Y983">
        <f t="shared" si="46"/>
        <v>1</v>
      </c>
      <c r="Z983">
        <f t="shared" si="47"/>
        <v>0</v>
      </c>
    </row>
    <row r="984" spans="1:26" ht="15.75" customHeight="1" x14ac:dyDescent="0.2">
      <c r="A984" s="2" t="s">
        <v>23</v>
      </c>
      <c r="B984" s="2" t="s">
        <v>24</v>
      </c>
      <c r="C984" s="2" t="s">
        <v>32</v>
      </c>
      <c r="D984" s="2" t="s">
        <v>33</v>
      </c>
      <c r="E984" s="2">
        <v>152</v>
      </c>
      <c r="F984" s="2">
        <v>119</v>
      </c>
      <c r="G984" s="2">
        <v>584.66666669999995</v>
      </c>
      <c r="H984" s="2">
        <v>952.66666669999995</v>
      </c>
      <c r="I984" s="2">
        <v>2391</v>
      </c>
      <c r="J984" s="2">
        <v>1</v>
      </c>
      <c r="K984" s="2">
        <v>5.63</v>
      </c>
      <c r="L984" s="2">
        <v>8.24</v>
      </c>
      <c r="M984" s="2">
        <v>14.2</v>
      </c>
      <c r="N984" s="2">
        <v>2.1863474460000001</v>
      </c>
      <c r="O984" s="2">
        <v>2.2755604389999999</v>
      </c>
      <c r="P984" s="2">
        <v>2.9886417550000002</v>
      </c>
      <c r="Q984" s="2">
        <v>3.0362487969999998</v>
      </c>
      <c r="R984" s="2">
        <v>1.5089138360000001</v>
      </c>
      <c r="S984" s="2">
        <v>1.5626776739999999</v>
      </c>
      <c r="T984" s="2">
        <v>2.5797594030000002</v>
      </c>
      <c r="U984" s="2">
        <v>2.6032374539999998</v>
      </c>
      <c r="V984" s="2">
        <v>2.580859953</v>
      </c>
      <c r="W984" s="2">
        <v>8.6780224000000003E-2</v>
      </c>
      <c r="X984">
        <f t="shared" si="45"/>
        <v>1</v>
      </c>
      <c r="Y984">
        <f t="shared" si="46"/>
        <v>1</v>
      </c>
      <c r="Z984">
        <f t="shared" si="47"/>
        <v>1</v>
      </c>
    </row>
    <row r="985" spans="1:26" ht="15.75" customHeight="1" x14ac:dyDescent="0.2">
      <c r="A985" s="2" t="s">
        <v>23</v>
      </c>
      <c r="B985" s="2" t="s">
        <v>24</v>
      </c>
      <c r="C985" s="2" t="s">
        <v>28</v>
      </c>
      <c r="D985" s="2" t="s">
        <v>29</v>
      </c>
      <c r="E985" s="2">
        <v>140</v>
      </c>
      <c r="F985" s="2">
        <v>101.66666669999999</v>
      </c>
      <c r="G985" s="2">
        <v>407.66666670000001</v>
      </c>
      <c r="H985" s="2">
        <v>1740</v>
      </c>
      <c r="I985" s="2">
        <v>2619</v>
      </c>
      <c r="J985" s="2">
        <v>0.79</v>
      </c>
      <c r="K985" s="2">
        <v>4.09</v>
      </c>
      <c r="L985" s="2">
        <v>12.08</v>
      </c>
      <c r="M985" s="2">
        <v>14.8</v>
      </c>
      <c r="N985" s="2">
        <v>4.2782027869999997</v>
      </c>
      <c r="O985" s="2">
        <v>4.5295673509999999</v>
      </c>
      <c r="P985" s="2">
        <v>1.259730113</v>
      </c>
      <c r="Q985" s="2">
        <v>1.2359155879999999</v>
      </c>
      <c r="R985" s="2">
        <v>3.4828061E-2</v>
      </c>
      <c r="S985" s="2">
        <v>1.8935778E-2</v>
      </c>
      <c r="T985" s="2">
        <v>1.2592485710000001</v>
      </c>
      <c r="U985" s="2">
        <v>1.23577052</v>
      </c>
      <c r="V985" s="2">
        <v>1.037118057</v>
      </c>
      <c r="W985" s="2">
        <v>6.3887002999999998E-2</v>
      </c>
      <c r="X985">
        <f t="shared" si="45"/>
        <v>1</v>
      </c>
      <c r="Y985">
        <f t="shared" si="46"/>
        <v>1</v>
      </c>
      <c r="Z985">
        <f t="shared" si="47"/>
        <v>1</v>
      </c>
    </row>
    <row r="986" spans="1:26" ht="15.75" customHeight="1" x14ac:dyDescent="0.2">
      <c r="A986" s="2" t="s">
        <v>23</v>
      </c>
      <c r="B986" s="2" t="s">
        <v>24</v>
      </c>
      <c r="C986" s="2" t="s">
        <v>26</v>
      </c>
      <c r="D986" s="2" t="s">
        <v>26</v>
      </c>
      <c r="E986" s="2">
        <v>98</v>
      </c>
      <c r="F986" s="2">
        <v>84.333333330000002</v>
      </c>
      <c r="G986" s="2">
        <v>379.66666670000001</v>
      </c>
      <c r="H986" s="2">
        <v>1181.666667</v>
      </c>
      <c r="I986" s="2">
        <v>2447.666667</v>
      </c>
      <c r="J986" s="2">
        <v>0.57999999999999996</v>
      </c>
      <c r="K986" s="2">
        <v>3.82</v>
      </c>
      <c r="L986" s="2">
        <v>9.5500000000000007</v>
      </c>
      <c r="M986" s="2">
        <v>14.36</v>
      </c>
      <c r="N986" s="2">
        <v>1.7443015260000001</v>
      </c>
      <c r="O986" s="2">
        <v>1.991737224</v>
      </c>
      <c r="P986" s="2">
        <v>1.299917926</v>
      </c>
      <c r="Q986" s="2">
        <v>1.311605889</v>
      </c>
      <c r="R986" s="2">
        <v>0.30043313599999999</v>
      </c>
      <c r="S986" s="2">
        <v>0.24666929700000001</v>
      </c>
      <c r="T986" s="2">
        <v>1.2647238999999999</v>
      </c>
      <c r="U986" s="2">
        <v>1.288201951</v>
      </c>
      <c r="V986" s="2">
        <v>0.77151298199999996</v>
      </c>
      <c r="W986" s="2">
        <v>7.2939546999999993E-2</v>
      </c>
      <c r="X986">
        <f t="shared" si="45"/>
        <v>1</v>
      </c>
      <c r="Y986">
        <f t="shared" si="46"/>
        <v>1</v>
      </c>
      <c r="Z986">
        <f t="shared" si="47"/>
        <v>0</v>
      </c>
    </row>
    <row r="987" spans="1:26" ht="15.75" customHeight="1" x14ac:dyDescent="0.2">
      <c r="A987" s="2" t="s">
        <v>23</v>
      </c>
      <c r="B987" s="2" t="s">
        <v>24</v>
      </c>
      <c r="C987" s="2" t="s">
        <v>30</v>
      </c>
      <c r="D987" s="2" t="s">
        <v>31</v>
      </c>
      <c r="E987" s="2">
        <v>111</v>
      </c>
      <c r="F987" s="2">
        <v>106</v>
      </c>
      <c r="G987" s="2">
        <v>606.66666669999995</v>
      </c>
      <c r="H987" s="2">
        <v>1232.333333</v>
      </c>
      <c r="I987" s="2">
        <v>2276.666667</v>
      </c>
      <c r="J987" s="2">
        <v>0.85</v>
      </c>
      <c r="K987" s="2">
        <v>5.81</v>
      </c>
      <c r="L987" s="2">
        <v>9.82</v>
      </c>
      <c r="M987" s="2">
        <v>13.88</v>
      </c>
      <c r="N987" s="2">
        <v>3.5429966230000001</v>
      </c>
      <c r="O987" s="2">
        <v>3.6598472489999998</v>
      </c>
      <c r="P987" s="2">
        <v>1.95980278</v>
      </c>
      <c r="Q987" s="2">
        <v>2.0180367939999999</v>
      </c>
      <c r="R987" s="2">
        <v>1.6859146220000001</v>
      </c>
      <c r="S987" s="2">
        <v>1.7396784599999999</v>
      </c>
      <c r="T987" s="2">
        <v>0.99925913799999999</v>
      </c>
      <c r="U987" s="2">
        <v>1.0227371890000001</v>
      </c>
      <c r="V987" s="2">
        <v>2.7578607389999998</v>
      </c>
      <c r="W987" s="2">
        <v>4.9023049999999999E-2</v>
      </c>
      <c r="X987">
        <f t="shared" si="45"/>
        <v>1</v>
      </c>
      <c r="Y987">
        <f t="shared" si="46"/>
        <v>1</v>
      </c>
      <c r="Z987">
        <f t="shared" si="47"/>
        <v>1</v>
      </c>
    </row>
    <row r="988" spans="1:26" ht="15.75" customHeight="1" x14ac:dyDescent="0.2">
      <c r="A988" s="2" t="s">
        <v>23</v>
      </c>
      <c r="B988" s="2" t="s">
        <v>24</v>
      </c>
      <c r="C988" s="2" t="s">
        <v>27</v>
      </c>
      <c r="D988" s="2" t="s">
        <v>27</v>
      </c>
      <c r="E988" s="2">
        <v>160</v>
      </c>
      <c r="F988" s="2">
        <v>119.33333330000001</v>
      </c>
      <c r="G988" s="2">
        <v>367.33333329999999</v>
      </c>
      <c r="H988" s="2">
        <v>1898.666667</v>
      </c>
      <c r="I988" s="2">
        <v>2467.333333</v>
      </c>
      <c r="J988" s="2">
        <v>1.01</v>
      </c>
      <c r="K988" s="2">
        <v>3.7</v>
      </c>
      <c r="L988" s="2">
        <v>12.66</v>
      </c>
      <c r="M988" s="2">
        <v>14.41</v>
      </c>
      <c r="N988" s="2">
        <v>7.0705157000000005E-2</v>
      </c>
      <c r="O988" s="2">
        <v>0.16976881099999999</v>
      </c>
      <c r="P988" s="2">
        <v>1.890354657</v>
      </c>
      <c r="Q988" s="2">
        <v>1.8561327329999999</v>
      </c>
      <c r="R988" s="2">
        <v>0.419453364</v>
      </c>
      <c r="S988" s="2">
        <v>0.36568952500000002</v>
      </c>
      <c r="T988" s="2">
        <v>1.843230752</v>
      </c>
      <c r="U988" s="2">
        <v>1.8197527010000001</v>
      </c>
      <c r="V988" s="2">
        <v>0.65249275399999995</v>
      </c>
      <c r="W988" s="2">
        <v>5.6342126999999999E-2</v>
      </c>
      <c r="X988">
        <f t="shared" si="45"/>
        <v>1</v>
      </c>
      <c r="Y988">
        <f t="shared" si="46"/>
        <v>1</v>
      </c>
      <c r="Z988">
        <f t="shared" si="47"/>
        <v>0</v>
      </c>
    </row>
    <row r="989" spans="1:26" ht="15.75" customHeight="1" x14ac:dyDescent="0.2">
      <c r="A989" s="2" t="s">
        <v>23</v>
      </c>
      <c r="B989" s="2" t="s">
        <v>24</v>
      </c>
      <c r="C989" s="2" t="s">
        <v>30</v>
      </c>
      <c r="D989" s="2" t="s">
        <v>31</v>
      </c>
      <c r="E989" s="2">
        <v>93</v>
      </c>
      <c r="F989" s="2">
        <v>99</v>
      </c>
      <c r="G989" s="2">
        <v>585</v>
      </c>
      <c r="H989" s="2">
        <v>1135.333333</v>
      </c>
      <c r="I989" s="2">
        <v>2357.333333</v>
      </c>
      <c r="J989" s="2">
        <v>0.76</v>
      </c>
      <c r="K989" s="2">
        <v>5.63</v>
      </c>
      <c r="L989" s="2">
        <v>9.3000000000000007</v>
      </c>
      <c r="M989" s="2">
        <v>14.11</v>
      </c>
      <c r="N989" s="2">
        <v>3.8714245969999999</v>
      </c>
      <c r="O989" s="2">
        <v>3.9821700070000001</v>
      </c>
      <c r="P989" s="2">
        <v>2.1402088899999998</v>
      </c>
      <c r="Q989" s="2">
        <v>2.1949076289999998</v>
      </c>
      <c r="R989" s="2">
        <v>1.5116184969999999</v>
      </c>
      <c r="S989" s="2">
        <v>1.5653823360000001</v>
      </c>
      <c r="T989" s="2">
        <v>1.515091948</v>
      </c>
      <c r="U989" s="2">
        <v>1.538569998</v>
      </c>
      <c r="V989" s="2">
        <v>2.5835646149999998</v>
      </c>
      <c r="W989" s="2">
        <v>5.0167494E-2</v>
      </c>
      <c r="X989">
        <f t="shared" si="45"/>
        <v>1</v>
      </c>
      <c r="Y989">
        <f t="shared" si="46"/>
        <v>1</v>
      </c>
      <c r="Z989">
        <f t="shared" si="47"/>
        <v>1</v>
      </c>
    </row>
    <row r="990" spans="1:26" ht="15.75" customHeight="1" x14ac:dyDescent="0.2">
      <c r="A990" s="2" t="s">
        <v>23</v>
      </c>
      <c r="B990" s="2" t="s">
        <v>24</v>
      </c>
      <c r="C990" s="2" t="s">
        <v>26</v>
      </c>
      <c r="D990" s="2" t="s">
        <v>26</v>
      </c>
      <c r="E990" s="2">
        <v>166</v>
      </c>
      <c r="F990" s="2">
        <v>127.66666669999999</v>
      </c>
      <c r="G990" s="2">
        <v>368.66666670000001</v>
      </c>
      <c r="H990" s="2">
        <v>830</v>
      </c>
      <c r="I990" s="2">
        <v>2321.333333</v>
      </c>
      <c r="J990" s="2">
        <v>1.1100000000000001</v>
      </c>
      <c r="K990" s="2">
        <v>3.71</v>
      </c>
      <c r="L990" s="2">
        <v>7.45</v>
      </c>
      <c r="M990" s="2">
        <v>14.01</v>
      </c>
      <c r="N990" s="2">
        <v>0.37219665099999999</v>
      </c>
      <c r="O990" s="2">
        <v>0.14782594499999999</v>
      </c>
      <c r="P990" s="2">
        <v>3.3973724789999999</v>
      </c>
      <c r="Q990" s="2">
        <v>3.414710817</v>
      </c>
      <c r="R990" s="2">
        <v>0.40652553200000002</v>
      </c>
      <c r="S990" s="2">
        <v>0.35276169299999999</v>
      </c>
      <c r="T990" s="2">
        <v>3.3729626079999999</v>
      </c>
      <c r="U990" s="2">
        <v>3.396440659</v>
      </c>
      <c r="V990" s="2">
        <v>0.66542058599999998</v>
      </c>
      <c r="W990" s="2">
        <v>8.2918678999999995E-2</v>
      </c>
      <c r="X990">
        <f t="shared" si="45"/>
        <v>1</v>
      </c>
      <c r="Y990">
        <f t="shared" si="46"/>
        <v>1</v>
      </c>
      <c r="Z990">
        <f t="shared" si="47"/>
        <v>0</v>
      </c>
    </row>
    <row r="991" spans="1:26" ht="15.75" customHeight="1" x14ac:dyDescent="0.2">
      <c r="A991" s="2" t="s">
        <v>23</v>
      </c>
      <c r="B991" s="2" t="s">
        <v>24</v>
      </c>
      <c r="C991" s="2" t="s">
        <v>26</v>
      </c>
      <c r="D991" s="2" t="s">
        <v>26</v>
      </c>
      <c r="E991" s="2">
        <v>161</v>
      </c>
      <c r="F991" s="2">
        <v>136.66666670000001</v>
      </c>
      <c r="G991" s="2">
        <v>403.33333329999999</v>
      </c>
      <c r="H991" s="2">
        <v>864</v>
      </c>
      <c r="I991" s="2">
        <v>2435.333333</v>
      </c>
      <c r="J991" s="2">
        <v>1.22</v>
      </c>
      <c r="K991" s="2">
        <v>4.05</v>
      </c>
      <c r="L991" s="2">
        <v>7.67</v>
      </c>
      <c r="M991" s="2">
        <v>14.32</v>
      </c>
      <c r="N991" s="2">
        <v>0.28895527900000001</v>
      </c>
      <c r="O991" s="2">
        <v>0.42218509199999998</v>
      </c>
      <c r="P991" s="2">
        <v>3.1471107470000002</v>
      </c>
      <c r="Q991" s="2">
        <v>3.169757186</v>
      </c>
      <c r="R991" s="2">
        <v>7.5521973000000006E-2</v>
      </c>
      <c r="S991" s="2">
        <v>2.1758133999999998E-2</v>
      </c>
      <c r="T991" s="2">
        <v>3.1462044570000001</v>
      </c>
      <c r="U991" s="2">
        <v>3.1696825080000002</v>
      </c>
      <c r="V991" s="2">
        <v>0.99642414499999998</v>
      </c>
      <c r="W991" s="2">
        <v>7.7598610999999998E-2</v>
      </c>
      <c r="X991">
        <f t="shared" si="45"/>
        <v>1</v>
      </c>
      <c r="Y991">
        <f t="shared" si="46"/>
        <v>1</v>
      </c>
      <c r="Z991">
        <f t="shared" si="47"/>
        <v>0</v>
      </c>
    </row>
    <row r="992" spans="1:26" ht="15.75" customHeight="1" x14ac:dyDescent="0.2">
      <c r="A992" s="2" t="s">
        <v>23</v>
      </c>
      <c r="B992" s="2" t="s">
        <v>24</v>
      </c>
      <c r="C992" s="2" t="s">
        <v>26</v>
      </c>
      <c r="D992" s="2" t="s">
        <v>26</v>
      </c>
      <c r="E992" s="2">
        <v>171</v>
      </c>
      <c r="F992" s="2">
        <v>123.66666669999999</v>
      </c>
      <c r="G992" s="2">
        <v>394</v>
      </c>
      <c r="H992" s="2">
        <v>724.66666669999995</v>
      </c>
      <c r="I992" s="2">
        <v>2400.666667</v>
      </c>
      <c r="J992" s="2">
        <v>1.06</v>
      </c>
      <c r="K992" s="2">
        <v>3.96</v>
      </c>
      <c r="L992" s="2">
        <v>6.71</v>
      </c>
      <c r="M992" s="2">
        <v>14.23</v>
      </c>
      <c r="N992" s="2">
        <v>1.1155720899999999</v>
      </c>
      <c r="O992" s="2">
        <v>0.92197380299999998</v>
      </c>
      <c r="P992" s="2">
        <v>4.1151844840000003</v>
      </c>
      <c r="Q992" s="2">
        <v>4.1368665880000002</v>
      </c>
      <c r="R992" s="2">
        <v>0.16367926099999999</v>
      </c>
      <c r="S992" s="2">
        <v>0.109915422</v>
      </c>
      <c r="T992" s="2">
        <v>4.1119280680000001</v>
      </c>
      <c r="U992" s="2">
        <v>4.1354061189999998</v>
      </c>
      <c r="V992" s="2">
        <v>0.90826685600000001</v>
      </c>
      <c r="W992" s="2">
        <v>7.8632429000000004E-2</v>
      </c>
      <c r="X992">
        <f t="shared" si="45"/>
        <v>1</v>
      </c>
      <c r="Y992">
        <f t="shared" si="46"/>
        <v>1</v>
      </c>
      <c r="Z992">
        <f t="shared" si="47"/>
        <v>0</v>
      </c>
    </row>
    <row r="993" spans="1:26" ht="15.75" customHeight="1" x14ac:dyDescent="0.2">
      <c r="A993" s="2" t="s">
        <v>23</v>
      </c>
      <c r="B993" s="2" t="s">
        <v>24</v>
      </c>
      <c r="C993" s="2" t="s">
        <v>25</v>
      </c>
      <c r="D993" s="2" t="s">
        <v>25</v>
      </c>
      <c r="E993" s="2">
        <v>151</v>
      </c>
      <c r="F993" s="2">
        <v>87</v>
      </c>
      <c r="G993" s="2">
        <v>632.33333330000005</v>
      </c>
      <c r="H993" s="2">
        <v>1339.666667</v>
      </c>
      <c r="I993" s="2">
        <v>2390.666667</v>
      </c>
      <c r="J993" s="2">
        <v>0.61</v>
      </c>
      <c r="K993" s="2">
        <v>6.01</v>
      </c>
      <c r="L993" s="2">
        <v>10.35</v>
      </c>
      <c r="M993" s="2">
        <v>14.2</v>
      </c>
      <c r="N993" s="2">
        <v>0.17934133099999999</v>
      </c>
      <c r="O993" s="2">
        <v>0.142765375</v>
      </c>
      <c r="P993" s="2">
        <v>1.9447390170000001</v>
      </c>
      <c r="Q993" s="2">
        <v>2.002575743</v>
      </c>
      <c r="R993" s="2">
        <v>1.888618492</v>
      </c>
      <c r="S993" s="2">
        <v>1.9423823309999999</v>
      </c>
      <c r="T993" s="2">
        <v>0.463821125</v>
      </c>
      <c r="U993" s="2">
        <v>0.487299176</v>
      </c>
      <c r="V993" s="2">
        <v>2.960564609</v>
      </c>
      <c r="W993" s="2">
        <v>6.5809504000000005E-2</v>
      </c>
      <c r="X993">
        <f t="shared" si="45"/>
        <v>1</v>
      </c>
      <c r="Y993">
        <f t="shared" si="46"/>
        <v>1</v>
      </c>
      <c r="Z993">
        <f t="shared" si="47"/>
        <v>0</v>
      </c>
    </row>
    <row r="994" spans="1:26" ht="15.75" customHeight="1" x14ac:dyDescent="0.2">
      <c r="A994" s="2" t="s">
        <v>23</v>
      </c>
      <c r="B994" s="2" t="s">
        <v>24</v>
      </c>
      <c r="C994" s="2" t="s">
        <v>25</v>
      </c>
      <c r="D994" s="2" t="s">
        <v>25</v>
      </c>
      <c r="E994" s="2">
        <v>122</v>
      </c>
      <c r="F994" s="2">
        <v>84.666666669999998</v>
      </c>
      <c r="G994" s="2">
        <v>553.66666669999995</v>
      </c>
      <c r="H994" s="2">
        <v>1291.333333</v>
      </c>
      <c r="I994" s="2">
        <v>2495.666667</v>
      </c>
      <c r="J994" s="2">
        <v>0.57999999999999996</v>
      </c>
      <c r="K994" s="2">
        <v>5.38</v>
      </c>
      <c r="L994" s="2">
        <v>10.119999999999999</v>
      </c>
      <c r="M994" s="2">
        <v>14.49</v>
      </c>
      <c r="N994" s="2">
        <v>0.55211234200000003</v>
      </c>
      <c r="O994" s="2">
        <v>0.695775221</v>
      </c>
      <c r="P994" s="2">
        <v>1.4366326599999999</v>
      </c>
      <c r="Q994" s="2">
        <v>1.495030681</v>
      </c>
      <c r="R994" s="2">
        <v>1.254244889</v>
      </c>
      <c r="S994" s="2">
        <v>1.3080087279999999</v>
      </c>
      <c r="T994" s="2">
        <v>0.70055917599999995</v>
      </c>
      <c r="U994" s="2">
        <v>0.72403722599999998</v>
      </c>
      <c r="V994" s="2">
        <v>2.3261910060000002</v>
      </c>
      <c r="W994" s="2">
        <v>4.5746544E-2</v>
      </c>
      <c r="X994">
        <f t="shared" si="45"/>
        <v>1</v>
      </c>
      <c r="Y994">
        <f t="shared" si="46"/>
        <v>1</v>
      </c>
      <c r="Z994">
        <f t="shared" si="47"/>
        <v>0</v>
      </c>
    </row>
    <row r="995" spans="1:26" ht="15.75" customHeight="1" x14ac:dyDescent="0.2">
      <c r="A995" s="2" t="s">
        <v>23</v>
      </c>
      <c r="B995" s="2" t="s">
        <v>24</v>
      </c>
      <c r="C995" s="2" t="s">
        <v>25</v>
      </c>
      <c r="D995" s="2" t="s">
        <v>25</v>
      </c>
      <c r="E995" s="2">
        <v>192</v>
      </c>
      <c r="F995" s="2">
        <v>111.66666669999999</v>
      </c>
      <c r="G995" s="2">
        <v>624.66666669999995</v>
      </c>
      <c r="H995" s="2">
        <v>1379.666667</v>
      </c>
      <c r="I995" s="2">
        <v>2454</v>
      </c>
      <c r="J995" s="2">
        <v>0.92</v>
      </c>
      <c r="K995" s="2">
        <v>5.95</v>
      </c>
      <c r="L995" s="2">
        <v>10.55</v>
      </c>
      <c r="M995" s="2">
        <v>14.38</v>
      </c>
      <c r="N995" s="2">
        <v>0.16991583900000001</v>
      </c>
      <c r="O995" s="2">
        <v>5.7377645999999997E-2</v>
      </c>
      <c r="P995" s="2">
        <v>1.8487719439999999</v>
      </c>
      <c r="Q995" s="2">
        <v>1.905475233</v>
      </c>
      <c r="R995" s="2">
        <v>1.828492247</v>
      </c>
      <c r="S995" s="2">
        <v>1.8822560859999999</v>
      </c>
      <c r="T995" s="2">
        <v>0.27308204400000002</v>
      </c>
      <c r="U995" s="2">
        <v>0.29656009500000002</v>
      </c>
      <c r="V995" s="2">
        <v>2.9004383649999999</v>
      </c>
      <c r="W995" s="2">
        <v>8.8213186999999998E-2</v>
      </c>
      <c r="X995">
        <f t="shared" si="45"/>
        <v>1</v>
      </c>
      <c r="Y995">
        <f t="shared" si="46"/>
        <v>1</v>
      </c>
      <c r="Z995">
        <f t="shared" si="47"/>
        <v>0</v>
      </c>
    </row>
    <row r="996" spans="1:26" ht="15.75" customHeight="1" x14ac:dyDescent="0.2">
      <c r="A996" s="2" t="s">
        <v>23</v>
      </c>
      <c r="B996" s="2" t="s">
        <v>24</v>
      </c>
      <c r="C996" s="2" t="s">
        <v>28</v>
      </c>
      <c r="D996" s="2" t="s">
        <v>29</v>
      </c>
      <c r="E996" s="2">
        <v>102</v>
      </c>
      <c r="F996" s="2">
        <v>92.666666669999998</v>
      </c>
      <c r="G996" s="2">
        <v>442.66666670000001</v>
      </c>
      <c r="H996" s="2">
        <v>1817</v>
      </c>
      <c r="I996" s="2">
        <v>2816.666667</v>
      </c>
      <c r="J996" s="2">
        <v>0.68</v>
      </c>
      <c r="K996" s="2">
        <v>4.41</v>
      </c>
      <c r="L996" s="2">
        <v>12.37</v>
      </c>
      <c r="M996" s="2">
        <v>15.28</v>
      </c>
      <c r="N996" s="2">
        <v>4.599292492</v>
      </c>
      <c r="O996" s="2">
        <v>4.8586515549999998</v>
      </c>
      <c r="P996" s="2">
        <v>1.575415615</v>
      </c>
      <c r="Q996" s="2">
        <v>1.5632243260000001</v>
      </c>
      <c r="R996" s="2">
        <v>0.28847278900000001</v>
      </c>
      <c r="S996" s="2">
        <v>0.34223662799999999</v>
      </c>
      <c r="T996" s="2">
        <v>1.5487794580000001</v>
      </c>
      <c r="U996" s="2">
        <v>1.5253014069999999</v>
      </c>
      <c r="V996" s="2">
        <v>1.3604189069999999</v>
      </c>
      <c r="W996" s="2">
        <v>6.5776033999999997E-2</v>
      </c>
      <c r="X996">
        <f t="shared" si="45"/>
        <v>1</v>
      </c>
      <c r="Y996">
        <f t="shared" si="46"/>
        <v>1</v>
      </c>
      <c r="Z996">
        <f t="shared" si="47"/>
        <v>1</v>
      </c>
    </row>
    <row r="997" spans="1:26" ht="15.75" customHeight="1" x14ac:dyDescent="0.2">
      <c r="A997" s="2" t="s">
        <v>23</v>
      </c>
      <c r="B997" s="2" t="s">
        <v>24</v>
      </c>
      <c r="C997" s="2" t="s">
        <v>30</v>
      </c>
      <c r="D997" s="2" t="s">
        <v>31</v>
      </c>
      <c r="E997" s="2">
        <v>182</v>
      </c>
      <c r="F997" s="2">
        <v>125.66666669999999</v>
      </c>
      <c r="G997" s="2">
        <v>582.33333330000005</v>
      </c>
      <c r="H997" s="2">
        <v>1107.666667</v>
      </c>
      <c r="I997" s="2">
        <v>2060</v>
      </c>
      <c r="J997" s="2">
        <v>1.0900000000000001</v>
      </c>
      <c r="K997" s="2">
        <v>5.61</v>
      </c>
      <c r="L997" s="2">
        <v>9.15</v>
      </c>
      <c r="M997" s="2">
        <v>13.21</v>
      </c>
      <c r="N997" s="2">
        <v>3.9927880020000002</v>
      </c>
      <c r="O997" s="2">
        <v>4.102066357</v>
      </c>
      <c r="P997" s="2">
        <v>2.2367099640000001</v>
      </c>
      <c r="Q997" s="2">
        <v>2.29016537</v>
      </c>
      <c r="R997" s="2">
        <v>1.489961345</v>
      </c>
      <c r="S997" s="2">
        <v>1.5437251839999999</v>
      </c>
      <c r="T997" s="2">
        <v>1.668198625</v>
      </c>
      <c r="U997" s="2">
        <v>1.6916766759999999</v>
      </c>
      <c r="V997" s="2">
        <v>2.5619074629999998</v>
      </c>
      <c r="W997" s="2">
        <v>7.5105900000000003E-2</v>
      </c>
      <c r="X997">
        <f t="shared" si="45"/>
        <v>1</v>
      </c>
      <c r="Y997">
        <f t="shared" si="46"/>
        <v>1</v>
      </c>
      <c r="Z997">
        <f t="shared" si="47"/>
        <v>1</v>
      </c>
    </row>
    <row r="998" spans="1:26" ht="15.75" customHeight="1" x14ac:dyDescent="0.2">
      <c r="A998" s="2" t="s">
        <v>23</v>
      </c>
      <c r="B998" s="2" t="s">
        <v>24</v>
      </c>
      <c r="C998" s="2" t="s">
        <v>32</v>
      </c>
      <c r="D998" s="2" t="s">
        <v>33</v>
      </c>
      <c r="E998" s="2">
        <v>154</v>
      </c>
      <c r="F998" s="2">
        <v>88.666666669999998</v>
      </c>
      <c r="G998" s="2">
        <v>584.66666669999995</v>
      </c>
      <c r="H998" s="2">
        <v>741</v>
      </c>
      <c r="I998" s="2">
        <v>2580.333333</v>
      </c>
      <c r="J998" s="2">
        <v>0.63</v>
      </c>
      <c r="K998" s="2">
        <v>5.63</v>
      </c>
      <c r="L998" s="2">
        <v>6.83</v>
      </c>
      <c r="M998" s="2">
        <v>14.71</v>
      </c>
      <c r="N998" s="2">
        <v>3.5961524730000001</v>
      </c>
      <c r="O998" s="2">
        <v>3.679942579</v>
      </c>
      <c r="P998" s="2">
        <v>4.2691205070000002</v>
      </c>
      <c r="Q998" s="2">
        <v>4.3102904730000002</v>
      </c>
      <c r="R998" s="2">
        <v>1.5089138360000001</v>
      </c>
      <c r="S998" s="2">
        <v>1.5626776739999999</v>
      </c>
      <c r="T998" s="2">
        <v>3.993565942</v>
      </c>
      <c r="U998" s="2">
        <v>4.0170439929999997</v>
      </c>
      <c r="V998" s="2">
        <v>2.580859953</v>
      </c>
      <c r="W998" s="2">
        <v>5.7992717999999999E-2</v>
      </c>
      <c r="X998">
        <f t="shared" si="45"/>
        <v>1</v>
      </c>
      <c r="Y998">
        <f t="shared" si="46"/>
        <v>1</v>
      </c>
      <c r="Z998">
        <f t="shared" si="47"/>
        <v>1</v>
      </c>
    </row>
    <row r="999" spans="1:26" ht="15.75" customHeight="1" x14ac:dyDescent="0.2">
      <c r="A999" s="2" t="s">
        <v>23</v>
      </c>
      <c r="B999" s="2" t="s">
        <v>24</v>
      </c>
      <c r="C999" s="2" t="s">
        <v>26</v>
      </c>
      <c r="D999" s="2" t="s">
        <v>26</v>
      </c>
      <c r="E999" s="2">
        <v>119</v>
      </c>
      <c r="F999" s="2">
        <v>93</v>
      </c>
      <c r="G999" s="2">
        <v>368</v>
      </c>
      <c r="H999" s="2">
        <v>913.33333330000005</v>
      </c>
      <c r="I999" s="2">
        <v>2386.666667</v>
      </c>
      <c r="J999" s="2">
        <v>0.68</v>
      </c>
      <c r="K999" s="2">
        <v>3.71</v>
      </c>
      <c r="L999" s="2">
        <v>7.99</v>
      </c>
      <c r="M999" s="2">
        <v>14.19</v>
      </c>
      <c r="N999" s="2">
        <v>0.20019904499999999</v>
      </c>
      <c r="O999" s="2">
        <v>0.42729995999999998</v>
      </c>
      <c r="P999" s="2">
        <v>2.8567348859999999</v>
      </c>
      <c r="Q999" s="2">
        <v>2.8727513600000001</v>
      </c>
      <c r="R999" s="2">
        <v>0.41298759699999998</v>
      </c>
      <c r="S999" s="2">
        <v>0.359223758</v>
      </c>
      <c r="T999" s="2">
        <v>2.8267252169999999</v>
      </c>
      <c r="U999" s="2">
        <v>2.850203268</v>
      </c>
      <c r="V999" s="2">
        <v>0.65895852099999996</v>
      </c>
      <c r="W999" s="2">
        <v>6.1117286999999999E-2</v>
      </c>
      <c r="X999">
        <f t="shared" si="45"/>
        <v>1</v>
      </c>
      <c r="Y999">
        <f t="shared" si="46"/>
        <v>1</v>
      </c>
      <c r="Z999">
        <f t="shared" si="47"/>
        <v>0</v>
      </c>
    </row>
    <row r="1000" spans="1:26" ht="15.75" customHeight="1" x14ac:dyDescent="0.2">
      <c r="A1000" s="2" t="s">
        <v>23</v>
      </c>
      <c r="B1000" s="2" t="s">
        <v>24</v>
      </c>
      <c r="C1000" s="2" t="s">
        <v>32</v>
      </c>
      <c r="D1000" s="2" t="s">
        <v>33</v>
      </c>
      <c r="E1000" s="2">
        <v>116</v>
      </c>
      <c r="F1000" s="2">
        <v>91.333333330000002</v>
      </c>
      <c r="G1000" s="2">
        <v>565.66666669999995</v>
      </c>
      <c r="H1000" s="2">
        <v>776.66666669999995</v>
      </c>
      <c r="I1000" s="2">
        <v>2404.666667</v>
      </c>
      <c r="J1000" s="2">
        <v>0.66</v>
      </c>
      <c r="K1000" s="2">
        <v>5.47</v>
      </c>
      <c r="L1000" s="2">
        <v>7.08</v>
      </c>
      <c r="M1000" s="2">
        <v>14.24</v>
      </c>
      <c r="N1000" s="2">
        <v>3.3564452880000002</v>
      </c>
      <c r="O1000" s="2">
        <v>3.446091945</v>
      </c>
      <c r="P1000" s="2">
        <v>3.9774165570000002</v>
      </c>
      <c r="Q1000" s="2">
        <v>4.018015267</v>
      </c>
      <c r="R1000" s="2">
        <v>1.3535680219999999</v>
      </c>
      <c r="S1000" s="2">
        <v>1.4073318610000001</v>
      </c>
      <c r="T1000" s="2">
        <v>3.7400128439999998</v>
      </c>
      <c r="U1000" s="2">
        <v>3.7634908949999999</v>
      </c>
      <c r="V1000" s="2">
        <v>2.4255141400000002</v>
      </c>
      <c r="W1000" s="2">
        <v>6.6966476999999996E-2</v>
      </c>
      <c r="X1000">
        <f t="shared" si="45"/>
        <v>1</v>
      </c>
      <c r="Y1000">
        <f t="shared" si="46"/>
        <v>1</v>
      </c>
      <c r="Z1000">
        <f t="shared" si="47"/>
        <v>1</v>
      </c>
    </row>
    <row r="1001" spans="1:26" ht="15.75" customHeight="1" x14ac:dyDescent="0.2">
      <c r="A1001" s="2" t="s">
        <v>23</v>
      </c>
      <c r="B1001" s="2" t="s">
        <v>24</v>
      </c>
      <c r="C1001" s="2" t="s">
        <v>28</v>
      </c>
      <c r="D1001" s="2" t="s">
        <v>29</v>
      </c>
      <c r="E1001" s="2">
        <v>104</v>
      </c>
      <c r="F1001" s="2">
        <v>101.33333330000001</v>
      </c>
      <c r="G1001" s="2">
        <v>348.33333329999999</v>
      </c>
      <c r="H1001" s="2">
        <v>1321</v>
      </c>
      <c r="I1001" s="2">
        <v>2516</v>
      </c>
      <c r="J1001" s="2">
        <v>0.79</v>
      </c>
      <c r="K1001" s="2">
        <v>3.52</v>
      </c>
      <c r="L1001" s="2">
        <v>10.26</v>
      </c>
      <c r="M1001" s="2">
        <v>14.54</v>
      </c>
      <c r="N1001" s="2">
        <v>2.4697796599999999</v>
      </c>
      <c r="O1001" s="2">
        <v>2.6961127409999999</v>
      </c>
      <c r="P1001" s="2">
        <v>0.82083592699999997</v>
      </c>
      <c r="Q1001" s="2">
        <v>0.79884963099999995</v>
      </c>
      <c r="R1001" s="2">
        <v>0.60529771899999996</v>
      </c>
      <c r="S1001" s="2">
        <v>0.55153388000000003</v>
      </c>
      <c r="T1001" s="2">
        <v>0.55442428799999999</v>
      </c>
      <c r="U1001" s="2">
        <v>0.57790233899999999</v>
      </c>
      <c r="V1001" s="2">
        <v>0.46664839899999999</v>
      </c>
      <c r="W1001" s="2">
        <v>3.3017380999999998E-2</v>
      </c>
      <c r="X1001">
        <f t="shared" si="45"/>
        <v>1</v>
      </c>
      <c r="Y1001">
        <f t="shared" si="46"/>
        <v>1</v>
      </c>
      <c r="Z1001">
        <f t="shared" si="47"/>
        <v>1</v>
      </c>
    </row>
    <row r="1002" spans="1:26" ht="15.75" customHeight="1" x14ac:dyDescent="0.2">
      <c r="A1002" s="2" t="s">
        <v>23</v>
      </c>
      <c r="B1002" s="2" t="s">
        <v>24</v>
      </c>
      <c r="C1002" s="2" t="s">
        <v>32</v>
      </c>
      <c r="D1002" s="2" t="s">
        <v>33</v>
      </c>
      <c r="E1002" s="2">
        <v>92</v>
      </c>
      <c r="F1002" s="2">
        <v>95.666666669999998</v>
      </c>
      <c r="G1002" s="2">
        <v>520.33333330000005</v>
      </c>
      <c r="H1002" s="2">
        <v>832.33333330000005</v>
      </c>
      <c r="I1002" s="2">
        <v>2575.666667</v>
      </c>
      <c r="J1002" s="2">
        <v>0.72</v>
      </c>
      <c r="K1002" s="2">
        <v>5.09</v>
      </c>
      <c r="L1002" s="2">
        <v>7.46</v>
      </c>
      <c r="M1002" s="2">
        <v>14.69</v>
      </c>
      <c r="N1002" s="2">
        <v>3.0464757840000001</v>
      </c>
      <c r="O1002" s="2">
        <v>3.1506877360000001</v>
      </c>
      <c r="P1002" s="2">
        <v>3.495465201</v>
      </c>
      <c r="Q1002" s="2">
        <v>3.5332729999999999</v>
      </c>
      <c r="R1002" s="2">
        <v>0.97330468400000003</v>
      </c>
      <c r="S1002" s="2">
        <v>1.0270685230000001</v>
      </c>
      <c r="T1002" s="2">
        <v>3.3572242939999999</v>
      </c>
      <c r="U1002" s="2">
        <v>3.380702345</v>
      </c>
      <c r="V1002" s="2">
        <v>2.0452508009999999</v>
      </c>
      <c r="W1002" s="2">
        <v>4.5428686000000003E-2</v>
      </c>
      <c r="X1002">
        <f t="shared" si="45"/>
        <v>1</v>
      </c>
      <c r="Y1002">
        <f t="shared" si="46"/>
        <v>1</v>
      </c>
      <c r="Z1002">
        <f t="shared" si="47"/>
        <v>1</v>
      </c>
    </row>
    <row r="1003" spans="1:26" ht="15.75" customHeight="1" x14ac:dyDescent="0.2">
      <c r="A1003" s="2" t="s">
        <v>23</v>
      </c>
      <c r="B1003" s="2" t="s">
        <v>24</v>
      </c>
      <c r="C1003" s="2" t="s">
        <v>25</v>
      </c>
      <c r="D1003" s="2" t="s">
        <v>25</v>
      </c>
      <c r="E1003" s="2">
        <v>150</v>
      </c>
      <c r="F1003" s="2">
        <v>88</v>
      </c>
      <c r="G1003" s="2">
        <v>587</v>
      </c>
      <c r="H1003" s="2">
        <v>1456</v>
      </c>
      <c r="I1003" s="2">
        <v>2327</v>
      </c>
      <c r="J1003" s="2">
        <v>0.62</v>
      </c>
      <c r="K1003" s="2">
        <v>5.65</v>
      </c>
      <c r="L1003" s="2">
        <v>10.9</v>
      </c>
      <c r="M1003" s="2">
        <v>14.02</v>
      </c>
      <c r="N1003" s="2">
        <v>0.51888526499999998</v>
      </c>
      <c r="O1003" s="2">
        <v>0.51458409000000005</v>
      </c>
      <c r="P1003" s="2">
        <v>1.529847744</v>
      </c>
      <c r="Q1003" s="2">
        <v>1.5825527740000001</v>
      </c>
      <c r="R1003" s="2">
        <v>1.5278316000000001</v>
      </c>
      <c r="S1003" s="2">
        <v>1.581595439</v>
      </c>
      <c r="T1003" s="2">
        <v>7.8515740000000001E-2</v>
      </c>
      <c r="U1003" s="2">
        <v>5.5037689000000001E-2</v>
      </c>
      <c r="V1003" s="2">
        <v>2.5997777179999999</v>
      </c>
      <c r="W1003" s="2">
        <v>6.4573720000000001E-2</v>
      </c>
      <c r="X1003">
        <f t="shared" si="45"/>
        <v>1</v>
      </c>
      <c r="Y1003">
        <f t="shared" si="46"/>
        <v>1</v>
      </c>
      <c r="Z1003">
        <f t="shared" si="47"/>
        <v>0</v>
      </c>
    </row>
    <row r="1004" spans="1:26" ht="15.75" customHeight="1" x14ac:dyDescent="0.2">
      <c r="A1004" s="2" t="s">
        <v>23</v>
      </c>
      <c r="B1004" s="2" t="s">
        <v>24</v>
      </c>
      <c r="C1004" s="2" t="s">
        <v>27</v>
      </c>
      <c r="D1004" s="2" t="s">
        <v>27</v>
      </c>
      <c r="E1004" s="2">
        <v>105</v>
      </c>
      <c r="F1004" s="2">
        <v>122.33333330000001</v>
      </c>
      <c r="G1004" s="2">
        <v>358.33333329999999</v>
      </c>
      <c r="H1004" s="2">
        <v>1894</v>
      </c>
      <c r="I1004" s="2">
        <v>2617</v>
      </c>
      <c r="J1004" s="2">
        <v>1.05</v>
      </c>
      <c r="K1004" s="2">
        <v>3.61</v>
      </c>
      <c r="L1004" s="2">
        <v>12.65</v>
      </c>
      <c r="M1004" s="2">
        <v>14.8</v>
      </c>
      <c r="N1004" s="2">
        <v>3.5267554E-2</v>
      </c>
      <c r="O1004" s="2">
        <v>9.0625793999999996E-2</v>
      </c>
      <c r="P1004" s="2">
        <v>1.895821411</v>
      </c>
      <c r="Q1004" s="2">
        <v>1.8593751919999999</v>
      </c>
      <c r="R1004" s="2">
        <v>0.50710518100000002</v>
      </c>
      <c r="S1004" s="2">
        <v>0.45334134199999998</v>
      </c>
      <c r="T1004" s="2">
        <v>1.82674113</v>
      </c>
      <c r="U1004" s="2">
        <v>1.8032630789999999</v>
      </c>
      <c r="V1004" s="2">
        <v>0.56484093599999996</v>
      </c>
      <c r="W1004" s="2">
        <v>5.1695366E-2</v>
      </c>
      <c r="X1004">
        <f t="shared" si="45"/>
        <v>1</v>
      </c>
      <c r="Y1004">
        <f t="shared" si="46"/>
        <v>1</v>
      </c>
      <c r="Z1004">
        <f t="shared" si="47"/>
        <v>0</v>
      </c>
    </row>
    <row r="1005" spans="1:26" ht="15.75" customHeight="1" x14ac:dyDescent="0.2">
      <c r="A1005" s="2" t="s">
        <v>23</v>
      </c>
      <c r="B1005" s="2" t="s">
        <v>24</v>
      </c>
      <c r="C1005" s="2" t="s">
        <v>30</v>
      </c>
      <c r="D1005" s="2" t="s">
        <v>31</v>
      </c>
      <c r="E1005" s="2">
        <v>140</v>
      </c>
      <c r="F1005" s="2">
        <v>114.33333330000001</v>
      </c>
      <c r="G1005" s="2">
        <v>602</v>
      </c>
      <c r="H1005" s="2">
        <v>1088</v>
      </c>
      <c r="I1005" s="2">
        <v>2453</v>
      </c>
      <c r="J1005" s="2">
        <v>0.95</v>
      </c>
      <c r="K1005" s="2">
        <v>5.77</v>
      </c>
      <c r="L1005" s="2">
        <v>9.0399999999999991</v>
      </c>
      <c r="M1005" s="2">
        <v>14.37</v>
      </c>
      <c r="N1005" s="2">
        <v>4.1680202509999997</v>
      </c>
      <c r="O1005" s="2">
        <v>4.278480332</v>
      </c>
      <c r="P1005" s="2">
        <v>2.4252454669999999</v>
      </c>
      <c r="Q1005" s="2">
        <v>2.4791232070000002</v>
      </c>
      <c r="R1005" s="2">
        <v>1.648623017</v>
      </c>
      <c r="S1005" s="2">
        <v>1.7023868559999999</v>
      </c>
      <c r="T1005" s="2">
        <v>1.778723622</v>
      </c>
      <c r="U1005" s="2">
        <v>1.8022016729999999</v>
      </c>
      <c r="V1005" s="2">
        <v>2.7205691339999998</v>
      </c>
      <c r="W1005" s="2">
        <v>6.7133199000000005E-2</v>
      </c>
      <c r="X1005">
        <f t="shared" si="45"/>
        <v>1</v>
      </c>
      <c r="Y1005">
        <f t="shared" si="46"/>
        <v>1</v>
      </c>
      <c r="Z1005">
        <f t="shared" si="47"/>
        <v>1</v>
      </c>
    </row>
    <row r="1006" spans="1:26" ht="15.75" customHeight="1" x14ac:dyDescent="0.2">
      <c r="A1006" s="2" t="s">
        <v>23</v>
      </c>
      <c r="B1006" s="2" t="s">
        <v>24</v>
      </c>
      <c r="C1006" s="2" t="s">
        <v>25</v>
      </c>
      <c r="D1006" s="2" t="s">
        <v>25</v>
      </c>
      <c r="E1006" s="2">
        <v>102</v>
      </c>
      <c r="F1006" s="2">
        <v>93</v>
      </c>
      <c r="G1006" s="2">
        <v>626.66666669999995</v>
      </c>
      <c r="H1006" s="2">
        <v>1284.333333</v>
      </c>
      <c r="I1006" s="2">
        <v>2345</v>
      </c>
      <c r="J1006" s="2">
        <v>0.68</v>
      </c>
      <c r="K1006" s="2">
        <v>5.97</v>
      </c>
      <c r="L1006" s="2">
        <v>10.08</v>
      </c>
      <c r="M1006" s="2">
        <v>14.07</v>
      </c>
      <c r="N1006" s="2">
        <v>0.35442800000000002</v>
      </c>
      <c r="O1006" s="2">
        <v>0.40667361400000002</v>
      </c>
      <c r="P1006" s="2">
        <v>1.985440592</v>
      </c>
      <c r="Q1006" s="2">
        <v>2.0440775059999998</v>
      </c>
      <c r="R1006" s="2">
        <v>1.844211716</v>
      </c>
      <c r="S1006" s="2">
        <v>1.8979755549999999</v>
      </c>
      <c r="T1006" s="2">
        <v>0.73543013999999995</v>
      </c>
      <c r="U1006" s="2">
        <v>0.75890819099999995</v>
      </c>
      <c r="V1006" s="2">
        <v>2.9161578339999998</v>
      </c>
      <c r="W1006" s="2">
        <v>7.3895793000000001E-2</v>
      </c>
      <c r="X1006">
        <f t="shared" si="45"/>
        <v>1</v>
      </c>
      <c r="Y1006">
        <f t="shared" si="46"/>
        <v>1</v>
      </c>
      <c r="Z1006">
        <f t="shared" si="47"/>
        <v>0</v>
      </c>
    </row>
    <row r="1007" spans="1:26" ht="15.75" customHeight="1" x14ac:dyDescent="0.2">
      <c r="A1007" s="2" t="s">
        <v>23</v>
      </c>
      <c r="B1007" s="2" t="s">
        <v>24</v>
      </c>
      <c r="C1007" s="2" t="s">
        <v>30</v>
      </c>
      <c r="D1007" s="2" t="s">
        <v>31</v>
      </c>
      <c r="E1007" s="2">
        <v>191</v>
      </c>
      <c r="F1007" s="2">
        <v>121</v>
      </c>
      <c r="G1007" s="2">
        <v>587.33333330000005</v>
      </c>
      <c r="H1007" s="2">
        <v>1125</v>
      </c>
      <c r="I1007" s="2">
        <v>2017.333333</v>
      </c>
      <c r="J1007" s="2">
        <v>1.03</v>
      </c>
      <c r="K1007" s="2">
        <v>5.65</v>
      </c>
      <c r="L1007" s="2">
        <v>9.25</v>
      </c>
      <c r="M1007" s="2">
        <v>13.07</v>
      </c>
      <c r="N1007" s="2">
        <v>3.9299407629999998</v>
      </c>
      <c r="O1007" s="2">
        <v>4.0404858839999997</v>
      </c>
      <c r="P1007" s="2">
        <v>2.1939846950000002</v>
      </c>
      <c r="Q1007" s="2">
        <v>2.2484212170000002</v>
      </c>
      <c r="R1007" s="2">
        <v>1.5305313089999999</v>
      </c>
      <c r="S1007" s="2">
        <v>1.584295148</v>
      </c>
      <c r="T1007" s="2">
        <v>1.5719550739999999</v>
      </c>
      <c r="U1007" s="2">
        <v>1.595433125</v>
      </c>
      <c r="V1007" s="2">
        <v>2.6024774270000002</v>
      </c>
      <c r="W1007" s="2">
        <v>9.0687261000000005E-2</v>
      </c>
      <c r="X1007">
        <f t="shared" si="45"/>
        <v>1</v>
      </c>
      <c r="Y1007">
        <f t="shared" si="46"/>
        <v>1</v>
      </c>
      <c r="Z1007">
        <f t="shared" si="47"/>
        <v>1</v>
      </c>
    </row>
    <row r="1008" spans="1:26" ht="15.75" customHeight="1" x14ac:dyDescent="0.2">
      <c r="A1008" s="2" t="s">
        <v>23</v>
      </c>
      <c r="B1008" s="2" t="s">
        <v>35</v>
      </c>
      <c r="C1008" s="2" t="s">
        <v>25</v>
      </c>
      <c r="D1008" s="2" t="s">
        <v>25</v>
      </c>
      <c r="E1008" s="2">
        <v>137</v>
      </c>
      <c r="F1008" s="2">
        <v>196.66666670000001</v>
      </c>
      <c r="G1008" s="2">
        <v>872.33333330000005</v>
      </c>
      <c r="H1008" s="2">
        <v>1382.333333</v>
      </c>
      <c r="I1008" s="2">
        <v>2947.333333</v>
      </c>
      <c r="J1008" s="2">
        <v>1.91</v>
      </c>
      <c r="K1008" s="2">
        <v>7.73</v>
      </c>
      <c r="L1008" s="2">
        <v>10.56</v>
      </c>
      <c r="M1008" s="2">
        <v>15.57</v>
      </c>
      <c r="N1008" s="2">
        <v>0.79541835800000005</v>
      </c>
      <c r="O1008" s="2">
        <v>1.10799509</v>
      </c>
      <c r="P1008" s="2">
        <v>3.2233430479999998</v>
      </c>
      <c r="Q1008" s="2">
        <v>3.2488601240000001</v>
      </c>
      <c r="R1008" s="2">
        <v>3.158587501</v>
      </c>
      <c r="S1008" s="2">
        <v>3.1690864159999999</v>
      </c>
      <c r="T1008" s="2">
        <v>0.64285721799999995</v>
      </c>
      <c r="U1008" s="2">
        <v>0.715530149</v>
      </c>
      <c r="V1008" s="2">
        <v>4.3923700400000003</v>
      </c>
      <c r="W1008" s="2">
        <v>0.110399125</v>
      </c>
      <c r="X1008">
        <f t="shared" si="45"/>
        <v>0</v>
      </c>
      <c r="Y1008">
        <f t="shared" si="46"/>
        <v>1</v>
      </c>
      <c r="Z1008">
        <f t="shared" si="47"/>
        <v>0</v>
      </c>
    </row>
    <row r="1009" spans="1:26" ht="15.75" customHeight="1" x14ac:dyDescent="0.2">
      <c r="A1009" s="2" t="s">
        <v>23</v>
      </c>
      <c r="B1009" s="2" t="s">
        <v>35</v>
      </c>
      <c r="C1009" s="2" t="s">
        <v>26</v>
      </c>
      <c r="D1009" s="2" t="s">
        <v>26</v>
      </c>
      <c r="E1009" s="2">
        <v>177</v>
      </c>
      <c r="F1009" s="2">
        <v>212</v>
      </c>
      <c r="G1009" s="2">
        <v>400.66666670000001</v>
      </c>
      <c r="H1009" s="2">
        <v>665</v>
      </c>
      <c r="I1009" s="2">
        <v>2845.333333</v>
      </c>
      <c r="J1009" s="2">
        <v>2.09</v>
      </c>
      <c r="K1009" s="2">
        <v>4.0199999999999996</v>
      </c>
      <c r="L1009" s="2">
        <v>6.26</v>
      </c>
      <c r="M1009" s="2">
        <v>15.34</v>
      </c>
      <c r="N1009" s="2">
        <v>0.22675232400000001</v>
      </c>
      <c r="O1009" s="2">
        <v>0.836207221</v>
      </c>
      <c r="P1009" s="2">
        <v>4.96949957</v>
      </c>
      <c r="Q1009" s="2">
        <v>5.0406042209999997</v>
      </c>
      <c r="R1009" s="2">
        <v>0.54829687000000005</v>
      </c>
      <c r="S1009" s="2">
        <v>0.53779795500000005</v>
      </c>
      <c r="T1009" s="2">
        <v>4.9391594950000002</v>
      </c>
      <c r="U1009" s="2">
        <v>5.0118324259999998</v>
      </c>
      <c r="V1009" s="2">
        <v>0.68548567000000005</v>
      </c>
      <c r="W1009" s="2">
        <v>8.6160413000000005E-2</v>
      </c>
      <c r="X1009">
        <f t="shared" si="45"/>
        <v>0</v>
      </c>
      <c r="Y1009">
        <f t="shared" si="46"/>
        <v>1</v>
      </c>
      <c r="Z1009">
        <f t="shared" si="47"/>
        <v>0</v>
      </c>
    </row>
    <row r="1010" spans="1:26" ht="15.75" customHeight="1" x14ac:dyDescent="0.2">
      <c r="A1010" s="2" t="s">
        <v>23</v>
      </c>
      <c r="B1010" s="2" t="s">
        <v>35</v>
      </c>
      <c r="C1010" s="2" t="s">
        <v>27</v>
      </c>
      <c r="D1010" s="2" t="s">
        <v>27</v>
      </c>
      <c r="E1010" s="2">
        <v>173</v>
      </c>
      <c r="F1010" s="2">
        <v>205.33333329999999</v>
      </c>
      <c r="G1010" s="2">
        <v>393.33333329999999</v>
      </c>
      <c r="H1010" s="2">
        <v>2550.333333</v>
      </c>
      <c r="I1010" s="2">
        <v>3142.666667</v>
      </c>
      <c r="J1010" s="2">
        <v>2.0099999999999998</v>
      </c>
      <c r="K1010" s="2">
        <v>3.95</v>
      </c>
      <c r="L1010" s="2">
        <v>14.63</v>
      </c>
      <c r="M1010" s="2">
        <v>15.98</v>
      </c>
      <c r="N1010" s="2">
        <v>0.17979400100000001</v>
      </c>
      <c r="O1010" s="2">
        <v>0.22282613900000001</v>
      </c>
      <c r="P1010" s="2">
        <v>3.483675753</v>
      </c>
      <c r="Q1010" s="2">
        <v>3.4102936910000001</v>
      </c>
      <c r="R1010" s="2">
        <v>0.61766120000000002</v>
      </c>
      <c r="S1010" s="2">
        <v>0.60716228500000002</v>
      </c>
      <c r="T1010" s="2">
        <v>3.4284823740000001</v>
      </c>
      <c r="U1010" s="2">
        <v>3.3558094430000001</v>
      </c>
      <c r="V1010" s="2">
        <v>0.61612133899999999</v>
      </c>
      <c r="W1010" s="2">
        <v>0.109570054</v>
      </c>
      <c r="X1010">
        <f t="shared" si="45"/>
        <v>0</v>
      </c>
      <c r="Y1010">
        <f t="shared" si="46"/>
        <v>1</v>
      </c>
      <c r="Z1010">
        <f t="shared" si="47"/>
        <v>0</v>
      </c>
    </row>
    <row r="1011" spans="1:26" ht="15.75" customHeight="1" x14ac:dyDescent="0.2">
      <c r="A1011" s="2" t="s">
        <v>23</v>
      </c>
      <c r="B1011" s="2" t="s">
        <v>35</v>
      </c>
      <c r="C1011" s="2" t="s">
        <v>28</v>
      </c>
      <c r="D1011" s="2" t="s">
        <v>29</v>
      </c>
      <c r="E1011" s="2">
        <v>187</v>
      </c>
      <c r="F1011" s="2">
        <v>219.66666670000001</v>
      </c>
      <c r="G1011" s="2">
        <v>277.66666670000001</v>
      </c>
      <c r="H1011" s="2">
        <v>1275.333333</v>
      </c>
      <c r="I1011" s="2">
        <v>1933.333333</v>
      </c>
      <c r="J1011" s="2">
        <v>2.17</v>
      </c>
      <c r="K1011" s="2">
        <v>2.8</v>
      </c>
      <c r="L1011" s="2">
        <v>10.039999999999999</v>
      </c>
      <c r="M1011" s="2">
        <v>12.78</v>
      </c>
      <c r="N1011" s="2">
        <v>3.7431959950000002</v>
      </c>
      <c r="O1011" s="2">
        <v>3.1610436449999999</v>
      </c>
      <c r="P1011" s="2">
        <v>2.1193493139999999</v>
      </c>
      <c r="Q1011" s="2">
        <v>2.1514734729999998</v>
      </c>
      <c r="R1011" s="2">
        <v>1.77186438</v>
      </c>
      <c r="S1011" s="2">
        <v>1.761365466</v>
      </c>
      <c r="T1011" s="2">
        <v>1.162814746</v>
      </c>
      <c r="U1011" s="2">
        <v>1.2354876770000001</v>
      </c>
      <c r="V1011" s="2">
        <v>-0.53808184100000001</v>
      </c>
      <c r="W1011" s="2">
        <v>9.2519119999999996E-2</v>
      </c>
      <c r="X1011">
        <f t="shared" si="45"/>
        <v>0</v>
      </c>
      <c r="Y1011">
        <f t="shared" si="46"/>
        <v>1</v>
      </c>
      <c r="Z1011">
        <f t="shared" si="47"/>
        <v>1</v>
      </c>
    </row>
    <row r="1012" spans="1:26" ht="15.75" customHeight="1" x14ac:dyDescent="0.2">
      <c r="A1012" s="2" t="s">
        <v>23</v>
      </c>
      <c r="B1012" s="2" t="s">
        <v>35</v>
      </c>
      <c r="C1012" s="2" t="s">
        <v>30</v>
      </c>
      <c r="D1012" s="2" t="s">
        <v>31</v>
      </c>
      <c r="E1012" s="2">
        <v>146</v>
      </c>
      <c r="F1012" s="2">
        <v>196.33333329999999</v>
      </c>
      <c r="G1012" s="2">
        <v>588.33333330000005</v>
      </c>
      <c r="H1012" s="2">
        <v>1407</v>
      </c>
      <c r="I1012" s="2">
        <v>2924.666667</v>
      </c>
      <c r="J1012" s="2">
        <v>1.91</v>
      </c>
      <c r="K1012" s="2">
        <v>5.66</v>
      </c>
      <c r="L1012" s="2">
        <v>10.67</v>
      </c>
      <c r="M1012" s="2">
        <v>15.52</v>
      </c>
      <c r="N1012" s="2">
        <v>4.2514303680000003</v>
      </c>
      <c r="O1012" s="2">
        <v>4.1354152199999996</v>
      </c>
      <c r="P1012" s="2">
        <v>1.211881263</v>
      </c>
      <c r="Q1012" s="2">
        <v>1.2544527459999999</v>
      </c>
      <c r="R1012" s="2">
        <v>1.090967966</v>
      </c>
      <c r="S1012" s="2">
        <v>1.10146688</v>
      </c>
      <c r="T1012" s="2">
        <v>0.52767896800000003</v>
      </c>
      <c r="U1012" s="2">
        <v>0.60035189899999997</v>
      </c>
      <c r="V1012" s="2">
        <v>2.3247505049999999</v>
      </c>
      <c r="W1012" s="2">
        <v>7.5076172999999996E-2</v>
      </c>
      <c r="X1012">
        <f t="shared" si="45"/>
        <v>0</v>
      </c>
      <c r="Y1012">
        <f t="shared" si="46"/>
        <v>1</v>
      </c>
      <c r="Z1012">
        <f t="shared" si="47"/>
        <v>1</v>
      </c>
    </row>
    <row r="1013" spans="1:26" ht="15.75" customHeight="1" x14ac:dyDescent="0.2">
      <c r="A1013" s="2" t="s">
        <v>23</v>
      </c>
      <c r="B1013" s="2" t="s">
        <v>35</v>
      </c>
      <c r="C1013" s="2" t="s">
        <v>26</v>
      </c>
      <c r="D1013" s="2" t="s">
        <v>26</v>
      </c>
      <c r="E1013" s="2">
        <v>150</v>
      </c>
      <c r="F1013" s="2">
        <v>215.33333329999999</v>
      </c>
      <c r="G1013" s="2">
        <v>409.66666670000001</v>
      </c>
      <c r="H1013" s="2">
        <v>610.33333330000005</v>
      </c>
      <c r="I1013" s="2">
        <v>3309.666667</v>
      </c>
      <c r="J1013" s="2">
        <v>2.12</v>
      </c>
      <c r="K1013" s="2">
        <v>4.0999999999999996</v>
      </c>
      <c r="L1013" s="2">
        <v>5.84</v>
      </c>
      <c r="M1013" s="2">
        <v>16.309999999999999</v>
      </c>
      <c r="N1013" s="2">
        <v>0.66050052800000003</v>
      </c>
      <c r="O1013" s="2">
        <v>1.2684777629999999</v>
      </c>
      <c r="P1013" s="2">
        <v>5.3849182009999996</v>
      </c>
      <c r="Q1013" s="2">
        <v>5.4564425639999996</v>
      </c>
      <c r="R1013" s="2">
        <v>0.463754685</v>
      </c>
      <c r="S1013" s="2">
        <v>0.45325577</v>
      </c>
      <c r="T1013" s="2">
        <v>5.3649115199999997</v>
      </c>
      <c r="U1013" s="2">
        <v>5.4375844510000002</v>
      </c>
      <c r="V1013" s="2">
        <v>0.77002785399999996</v>
      </c>
      <c r="W1013" s="2">
        <v>0.145413823</v>
      </c>
      <c r="X1013">
        <f t="shared" si="45"/>
        <v>0</v>
      </c>
      <c r="Y1013">
        <f t="shared" si="46"/>
        <v>1</v>
      </c>
      <c r="Z1013">
        <f t="shared" si="47"/>
        <v>0</v>
      </c>
    </row>
    <row r="1014" spans="1:26" ht="15.75" customHeight="1" x14ac:dyDescent="0.2">
      <c r="A1014" s="2" t="s">
        <v>23</v>
      </c>
      <c r="B1014" s="2" t="s">
        <v>35</v>
      </c>
      <c r="C1014" s="2" t="s">
        <v>28</v>
      </c>
      <c r="D1014" s="2" t="s">
        <v>29</v>
      </c>
      <c r="E1014" s="2">
        <v>156</v>
      </c>
      <c r="F1014" s="2">
        <v>209.66666670000001</v>
      </c>
      <c r="G1014" s="2">
        <v>260.33333329999999</v>
      </c>
      <c r="H1014" s="2">
        <v>1195.666667</v>
      </c>
      <c r="I1014" s="2">
        <v>2594.333333</v>
      </c>
      <c r="J1014" s="2">
        <v>2.06</v>
      </c>
      <c r="K1014" s="2">
        <v>2.61</v>
      </c>
      <c r="L1014" s="2">
        <v>9.6300000000000008</v>
      </c>
      <c r="M1014" s="2">
        <v>14.74</v>
      </c>
      <c r="N1014" s="2">
        <v>3.4239143420000002</v>
      </c>
      <c r="O1014" s="2">
        <v>2.8641444379999998</v>
      </c>
      <c r="P1014" s="2">
        <v>2.5093060290000002</v>
      </c>
      <c r="Q1014" s="2">
        <v>2.5474615969999999</v>
      </c>
      <c r="R1014" s="2">
        <v>1.955189257</v>
      </c>
      <c r="S1014" s="2">
        <v>1.944690343</v>
      </c>
      <c r="T1014" s="2">
        <v>1.572848281</v>
      </c>
      <c r="U1014" s="2">
        <v>1.645521212</v>
      </c>
      <c r="V1014" s="2">
        <v>-0.721406718</v>
      </c>
      <c r="W1014" s="2">
        <v>9.3342903000000005E-2</v>
      </c>
      <c r="X1014">
        <f t="shared" si="45"/>
        <v>0</v>
      </c>
      <c r="Y1014">
        <f t="shared" si="46"/>
        <v>1</v>
      </c>
      <c r="Z1014">
        <f t="shared" si="47"/>
        <v>1</v>
      </c>
    </row>
    <row r="1015" spans="1:26" ht="15.75" customHeight="1" x14ac:dyDescent="0.2">
      <c r="A1015" s="2" t="s">
        <v>23</v>
      </c>
      <c r="B1015" s="2" t="s">
        <v>35</v>
      </c>
      <c r="C1015" s="2" t="s">
        <v>32</v>
      </c>
      <c r="D1015" s="2" t="s">
        <v>33</v>
      </c>
      <c r="E1015" s="2">
        <v>129</v>
      </c>
      <c r="F1015" s="2">
        <v>214.33333329999999</v>
      </c>
      <c r="G1015" s="2">
        <v>390.66666670000001</v>
      </c>
      <c r="H1015" s="2">
        <v>812</v>
      </c>
      <c r="I1015" s="2">
        <v>1999</v>
      </c>
      <c r="J1015" s="2">
        <v>2.11</v>
      </c>
      <c r="K1015" s="2">
        <v>3.93</v>
      </c>
      <c r="L1015" s="2">
        <v>7.32</v>
      </c>
      <c r="M1015" s="2">
        <v>13.01</v>
      </c>
      <c r="N1015" s="2">
        <v>5.1463030339999998</v>
      </c>
      <c r="O1015" s="2">
        <v>5.0941393870000002</v>
      </c>
      <c r="P1015" s="2">
        <v>3.9305415510000001</v>
      </c>
      <c r="Q1015" s="2">
        <v>4.0005798280000002</v>
      </c>
      <c r="R1015" s="2">
        <v>0.64299189599999995</v>
      </c>
      <c r="S1015" s="2">
        <v>0.63249298099999995</v>
      </c>
      <c r="T1015" s="2">
        <v>3.877591818</v>
      </c>
      <c r="U1015" s="2">
        <v>3.950264749</v>
      </c>
      <c r="V1015" s="2">
        <v>0.59079064299999995</v>
      </c>
      <c r="W1015" s="2">
        <v>0.10157406300000001</v>
      </c>
      <c r="X1015">
        <f t="shared" si="45"/>
        <v>0</v>
      </c>
      <c r="Y1015">
        <f t="shared" si="46"/>
        <v>1</v>
      </c>
      <c r="Z1015">
        <f t="shared" si="47"/>
        <v>1</v>
      </c>
    </row>
    <row r="1016" spans="1:26" ht="15.75" customHeight="1" x14ac:dyDescent="0.2">
      <c r="A1016" s="2" t="s">
        <v>23</v>
      </c>
      <c r="B1016" s="2" t="s">
        <v>35</v>
      </c>
      <c r="C1016" s="2" t="s">
        <v>32</v>
      </c>
      <c r="D1016" s="2" t="s">
        <v>33</v>
      </c>
      <c r="E1016" s="2">
        <v>145</v>
      </c>
      <c r="F1016" s="2">
        <v>206</v>
      </c>
      <c r="G1016" s="2">
        <v>559.66666669999995</v>
      </c>
      <c r="H1016" s="2">
        <v>1108.333333</v>
      </c>
      <c r="I1016" s="2">
        <v>2848</v>
      </c>
      <c r="J1016" s="2">
        <v>2.02</v>
      </c>
      <c r="K1016" s="2">
        <v>5.43</v>
      </c>
      <c r="L1016" s="2">
        <v>9.15</v>
      </c>
      <c r="M1016" s="2">
        <v>15.35</v>
      </c>
      <c r="N1016" s="2">
        <v>2.7813249189999998</v>
      </c>
      <c r="O1016" s="2">
        <v>2.7312077320000001</v>
      </c>
      <c r="P1016" s="2">
        <v>2.2187331600000002</v>
      </c>
      <c r="Q1016" s="2">
        <v>2.2899006489999998</v>
      </c>
      <c r="R1016" s="2">
        <v>0.85636648100000001</v>
      </c>
      <c r="S1016" s="2">
        <v>0.86686539600000001</v>
      </c>
      <c r="T1016" s="2">
        <v>2.0468056290000001</v>
      </c>
      <c r="U1016" s="2">
        <v>2.1194785600000001</v>
      </c>
      <c r="V1016" s="2">
        <v>2.0901490200000001</v>
      </c>
      <c r="W1016" s="2">
        <v>0.10421304200000001</v>
      </c>
      <c r="X1016">
        <f t="shared" si="45"/>
        <v>0</v>
      </c>
      <c r="Y1016">
        <f t="shared" si="46"/>
        <v>1</v>
      </c>
      <c r="Z1016">
        <f t="shared" si="47"/>
        <v>1</v>
      </c>
    </row>
    <row r="1017" spans="1:26" ht="15.75" customHeight="1" x14ac:dyDescent="0.2">
      <c r="A1017" s="2" t="s">
        <v>23</v>
      </c>
      <c r="B1017" s="2" t="s">
        <v>35</v>
      </c>
      <c r="C1017" s="2" t="s">
        <v>25</v>
      </c>
      <c r="D1017" s="2" t="s">
        <v>25</v>
      </c>
      <c r="E1017" s="2">
        <v>213</v>
      </c>
      <c r="F1017" s="2">
        <v>208</v>
      </c>
      <c r="G1017" s="2">
        <v>805.66666669999995</v>
      </c>
      <c r="H1017" s="2">
        <v>1496.666667</v>
      </c>
      <c r="I1017" s="2">
        <v>2951</v>
      </c>
      <c r="J1017" s="2">
        <v>2.04</v>
      </c>
      <c r="K1017" s="2">
        <v>7.28</v>
      </c>
      <c r="L1017" s="2">
        <v>11.08</v>
      </c>
      <c r="M1017" s="2">
        <v>15.58</v>
      </c>
      <c r="N1017" s="2">
        <v>0.14248577000000001</v>
      </c>
      <c r="O1017" s="2">
        <v>0.42225613000000001</v>
      </c>
      <c r="P1017" s="2">
        <v>2.7141525990000002</v>
      </c>
      <c r="Q1017" s="2">
        <v>2.7288831010000001</v>
      </c>
      <c r="R1017" s="2">
        <v>2.7113714039999999</v>
      </c>
      <c r="S1017" s="2">
        <v>2.7218703180000001</v>
      </c>
      <c r="T1017" s="2">
        <v>0.122839084</v>
      </c>
      <c r="U1017" s="2">
        <v>0.19551201500000001</v>
      </c>
      <c r="V1017" s="2">
        <v>3.9451539430000002</v>
      </c>
      <c r="W1017" s="2">
        <v>0.108401567</v>
      </c>
      <c r="X1017">
        <f t="shared" si="45"/>
        <v>0</v>
      </c>
      <c r="Y1017">
        <f t="shared" si="46"/>
        <v>1</v>
      </c>
      <c r="Z1017">
        <f t="shared" si="47"/>
        <v>0</v>
      </c>
    </row>
    <row r="1018" spans="1:26" ht="15.75" customHeight="1" x14ac:dyDescent="0.2">
      <c r="A1018" s="2" t="s">
        <v>23</v>
      </c>
      <c r="B1018" s="2" t="s">
        <v>35</v>
      </c>
      <c r="C1018" s="2" t="s">
        <v>32</v>
      </c>
      <c r="D1018" s="2" t="s">
        <v>33</v>
      </c>
      <c r="E1018" s="2">
        <v>191</v>
      </c>
      <c r="F1018" s="2">
        <v>205.33333329999999</v>
      </c>
      <c r="G1018" s="2">
        <v>283.66666670000001</v>
      </c>
      <c r="H1018" s="2">
        <v>917.66666669999995</v>
      </c>
      <c r="I1018" s="2">
        <v>2276.666667</v>
      </c>
      <c r="J1018" s="2">
        <v>2.0099999999999998</v>
      </c>
      <c r="K1018" s="2">
        <v>2.86</v>
      </c>
      <c r="L1018" s="2">
        <v>8.02</v>
      </c>
      <c r="M1018" s="2">
        <v>13.88</v>
      </c>
      <c r="N1018" s="2">
        <v>5.4632018359999996</v>
      </c>
      <c r="O1018" s="2">
        <v>5.3342594099999996</v>
      </c>
      <c r="P1018" s="2">
        <v>3.6115015179999999</v>
      </c>
      <c r="Q1018" s="2">
        <v>3.6708130109999999</v>
      </c>
      <c r="R1018" s="2">
        <v>1.709065716</v>
      </c>
      <c r="S1018" s="2">
        <v>1.6985668009999999</v>
      </c>
      <c r="T1018" s="2">
        <v>3.1815149840000001</v>
      </c>
      <c r="U1018" s="2">
        <v>3.2541879150000002</v>
      </c>
      <c r="V1018" s="2">
        <v>-0.475283177</v>
      </c>
      <c r="W1018" s="2">
        <v>8.2645569000000002E-2</v>
      </c>
      <c r="X1018">
        <f t="shared" si="45"/>
        <v>0</v>
      </c>
      <c r="Y1018">
        <f t="shared" si="46"/>
        <v>1</v>
      </c>
      <c r="Z1018">
        <f t="shared" si="47"/>
        <v>1</v>
      </c>
    </row>
    <row r="1019" spans="1:26" ht="15.75" customHeight="1" x14ac:dyDescent="0.2">
      <c r="A1019" s="2" t="s">
        <v>23</v>
      </c>
      <c r="B1019" s="2" t="s">
        <v>35</v>
      </c>
      <c r="C1019" s="2" t="s">
        <v>32</v>
      </c>
      <c r="D1019" s="2" t="s">
        <v>33</v>
      </c>
      <c r="E1019" s="2">
        <v>168</v>
      </c>
      <c r="F1019" s="2">
        <v>219.33333329999999</v>
      </c>
      <c r="G1019" s="2">
        <v>636.33333330000005</v>
      </c>
      <c r="H1019" s="2">
        <v>1296.333333</v>
      </c>
      <c r="I1019" s="2">
        <v>3506.666667</v>
      </c>
      <c r="J1019" s="2">
        <v>2.17</v>
      </c>
      <c r="K1019" s="2">
        <v>6.04</v>
      </c>
      <c r="L1019" s="2">
        <v>10.14</v>
      </c>
      <c r="M1019" s="2">
        <v>16.670000000000002</v>
      </c>
      <c r="N1019" s="2">
        <v>1.647279044</v>
      </c>
      <c r="O1019" s="2">
        <v>1.569463971</v>
      </c>
      <c r="P1019" s="2">
        <v>1.8129694270000001</v>
      </c>
      <c r="Q1019" s="2">
        <v>1.8646578469999999</v>
      </c>
      <c r="R1019" s="2">
        <v>1.4721895119999999</v>
      </c>
      <c r="S1019" s="2">
        <v>1.482688427</v>
      </c>
      <c r="T1019" s="2">
        <v>1.0580719190000001</v>
      </c>
      <c r="U1019" s="2">
        <v>1.1307448499999999</v>
      </c>
      <c r="V1019" s="2">
        <v>2.7059720509999998</v>
      </c>
      <c r="W1019" s="2">
        <v>0.12743580900000001</v>
      </c>
      <c r="X1019">
        <f t="shared" si="45"/>
        <v>0</v>
      </c>
      <c r="Y1019">
        <f t="shared" si="46"/>
        <v>1</v>
      </c>
      <c r="Z1019">
        <f t="shared" si="47"/>
        <v>1</v>
      </c>
    </row>
    <row r="1020" spans="1:26" ht="15.75" customHeight="1" x14ac:dyDescent="0.2">
      <c r="A1020" s="2" t="s">
        <v>23</v>
      </c>
      <c r="B1020" s="2" t="s">
        <v>35</v>
      </c>
      <c r="C1020" s="2" t="s">
        <v>25</v>
      </c>
      <c r="D1020" s="2" t="s">
        <v>25</v>
      </c>
      <c r="E1020" s="2">
        <v>135</v>
      </c>
      <c r="F1020" s="2">
        <v>209</v>
      </c>
      <c r="G1020" s="2">
        <v>809.66666669999995</v>
      </c>
      <c r="H1020" s="2">
        <v>1619.666667</v>
      </c>
      <c r="I1020" s="2">
        <v>3075</v>
      </c>
      <c r="J1020" s="2">
        <v>2.0499999999999998</v>
      </c>
      <c r="K1020" s="2">
        <v>7.31</v>
      </c>
      <c r="L1020" s="2">
        <v>11.6</v>
      </c>
      <c r="M1020" s="2">
        <v>15.84</v>
      </c>
      <c r="N1020" s="2">
        <v>0.38058243800000002</v>
      </c>
      <c r="O1020" s="2">
        <v>0.37745274600000001</v>
      </c>
      <c r="P1020" s="2">
        <v>2.767795842</v>
      </c>
      <c r="Q1020" s="2">
        <v>2.7686689740000001</v>
      </c>
      <c r="R1020" s="2">
        <v>2.7388114940000001</v>
      </c>
      <c r="S1020" s="2">
        <v>2.749310409</v>
      </c>
      <c r="T1020" s="2">
        <v>0.399506476</v>
      </c>
      <c r="U1020" s="2">
        <v>0.326833545</v>
      </c>
      <c r="V1020" s="2">
        <v>3.972594033</v>
      </c>
      <c r="W1020" s="2">
        <v>6.7466276000000006E-2</v>
      </c>
      <c r="X1020">
        <f t="shared" si="45"/>
        <v>0</v>
      </c>
      <c r="Y1020">
        <f t="shared" si="46"/>
        <v>1</v>
      </c>
      <c r="Z1020">
        <f t="shared" si="47"/>
        <v>0</v>
      </c>
    </row>
    <row r="1021" spans="1:26" ht="15.75" customHeight="1" x14ac:dyDescent="0.2">
      <c r="A1021" s="2" t="s">
        <v>23</v>
      </c>
      <c r="B1021" s="2" t="s">
        <v>35</v>
      </c>
      <c r="C1021" s="2" t="s">
        <v>25</v>
      </c>
      <c r="D1021" s="2" t="s">
        <v>25</v>
      </c>
      <c r="E1021" s="2">
        <v>178</v>
      </c>
      <c r="F1021" s="2">
        <v>208</v>
      </c>
      <c r="G1021" s="2">
        <v>879.66666669999995</v>
      </c>
      <c r="H1021" s="2">
        <v>1437.666667</v>
      </c>
      <c r="I1021" s="2">
        <v>3104.666667</v>
      </c>
      <c r="J1021" s="2">
        <v>2.04</v>
      </c>
      <c r="K1021" s="2">
        <v>7.78</v>
      </c>
      <c r="L1021" s="2">
        <v>10.81</v>
      </c>
      <c r="M1021" s="2">
        <v>15.9</v>
      </c>
      <c r="N1021" s="2">
        <v>0.63527492500000005</v>
      </c>
      <c r="O1021" s="2">
        <v>0.96956998299999997</v>
      </c>
      <c r="P1021" s="2">
        <v>3.229746859</v>
      </c>
      <c r="Q1021" s="2">
        <v>3.2496473720000001</v>
      </c>
      <c r="R1021" s="2">
        <v>3.206499312</v>
      </c>
      <c r="S1021" s="2">
        <v>3.2169982259999998</v>
      </c>
      <c r="T1021" s="2">
        <v>0.38681641</v>
      </c>
      <c r="U1021" s="2">
        <v>0.459489341</v>
      </c>
      <c r="V1021" s="2">
        <v>4.4402818509999999</v>
      </c>
      <c r="W1021" s="2">
        <v>0.182124118</v>
      </c>
      <c r="X1021">
        <f t="shared" si="45"/>
        <v>0</v>
      </c>
      <c r="Y1021">
        <f t="shared" si="46"/>
        <v>1</v>
      </c>
      <c r="Z1021">
        <f t="shared" si="47"/>
        <v>0</v>
      </c>
    </row>
    <row r="1022" spans="1:26" ht="15.75" customHeight="1" x14ac:dyDescent="0.2">
      <c r="A1022" s="2" t="s">
        <v>23</v>
      </c>
      <c r="B1022" s="2" t="s">
        <v>35</v>
      </c>
      <c r="C1022" s="2" t="s">
        <v>27</v>
      </c>
      <c r="D1022" s="2" t="s">
        <v>27</v>
      </c>
      <c r="E1022" s="2">
        <v>182</v>
      </c>
      <c r="F1022" s="2">
        <v>220</v>
      </c>
      <c r="G1022" s="2">
        <v>418</v>
      </c>
      <c r="H1022" s="2">
        <v>2535</v>
      </c>
      <c r="I1022" s="2">
        <v>3071</v>
      </c>
      <c r="J1022" s="2">
        <v>2.1800000000000002</v>
      </c>
      <c r="K1022" s="2">
        <v>4.18</v>
      </c>
      <c r="L1022" s="2">
        <v>14.59</v>
      </c>
      <c r="M1022" s="2">
        <v>15.84</v>
      </c>
      <c r="N1022" s="2">
        <v>7.2579477000000003E-2</v>
      </c>
      <c r="O1022" s="2">
        <v>7.7134462000000001E-2</v>
      </c>
      <c r="P1022" s="2">
        <v>3.4106585219999999</v>
      </c>
      <c r="Q1022" s="2">
        <v>3.337264995</v>
      </c>
      <c r="R1022" s="2">
        <v>0.386045468</v>
      </c>
      <c r="S1022" s="2">
        <v>0.37554655399999998</v>
      </c>
      <c r="T1022" s="2">
        <v>3.3887402450000002</v>
      </c>
      <c r="U1022" s="2">
        <v>3.3160673140000001</v>
      </c>
      <c r="V1022" s="2">
        <v>0.84773707099999995</v>
      </c>
      <c r="W1022" s="2">
        <v>8.5724268000000006E-2</v>
      </c>
      <c r="X1022">
        <f t="shared" si="45"/>
        <v>0</v>
      </c>
      <c r="Y1022">
        <f t="shared" si="46"/>
        <v>1</v>
      </c>
      <c r="Z1022">
        <f t="shared" si="47"/>
        <v>0</v>
      </c>
    </row>
    <row r="1023" spans="1:26" ht="15.75" customHeight="1" x14ac:dyDescent="0.2">
      <c r="A1023" s="2" t="s">
        <v>23</v>
      </c>
      <c r="B1023" s="2" t="s">
        <v>35</v>
      </c>
      <c r="C1023" s="2" t="s">
        <v>30</v>
      </c>
      <c r="D1023" s="2" t="s">
        <v>31</v>
      </c>
      <c r="E1023" s="2">
        <v>158</v>
      </c>
      <c r="F1023" s="2">
        <v>203</v>
      </c>
      <c r="G1023" s="2">
        <v>488</v>
      </c>
      <c r="H1023" s="2">
        <v>1282</v>
      </c>
      <c r="I1023" s="2">
        <v>2833.333333</v>
      </c>
      <c r="J1023" s="2">
        <v>1.99</v>
      </c>
      <c r="K1023" s="2">
        <v>4.8099999999999996</v>
      </c>
      <c r="L1023" s="2">
        <v>10.07</v>
      </c>
      <c r="M1023" s="2">
        <v>15.32</v>
      </c>
      <c r="N1023" s="2">
        <v>4.6195638609999996</v>
      </c>
      <c r="O1023" s="2">
        <v>4.5001375909999997</v>
      </c>
      <c r="P1023" s="2">
        <v>1.1558590950000001</v>
      </c>
      <c r="Q1023" s="2">
        <v>1.2291133219999999</v>
      </c>
      <c r="R1023" s="2">
        <v>0.24582442299999999</v>
      </c>
      <c r="S1023" s="2">
        <v>0.25632333699999998</v>
      </c>
      <c r="T1023" s="2">
        <v>1.1294160440000001</v>
      </c>
      <c r="U1023" s="2">
        <v>1.202088976</v>
      </c>
      <c r="V1023" s="2">
        <v>1.4796069620000001</v>
      </c>
      <c r="W1023" s="2">
        <v>9.9352811999999999E-2</v>
      </c>
      <c r="X1023">
        <f t="shared" si="45"/>
        <v>0</v>
      </c>
      <c r="Y1023">
        <f t="shared" si="46"/>
        <v>1</v>
      </c>
      <c r="Z1023">
        <f t="shared" si="47"/>
        <v>1</v>
      </c>
    </row>
    <row r="1024" spans="1:26" ht="15.75" customHeight="1" x14ac:dyDescent="0.2">
      <c r="A1024" s="2" t="s">
        <v>23</v>
      </c>
      <c r="B1024" s="2" t="s">
        <v>35</v>
      </c>
      <c r="C1024" s="2" t="s">
        <v>28</v>
      </c>
      <c r="D1024" s="2" t="s">
        <v>29</v>
      </c>
      <c r="E1024" s="2">
        <v>136</v>
      </c>
      <c r="F1024" s="2">
        <v>208.33333329999999</v>
      </c>
      <c r="G1024" s="2">
        <v>252.33333329999999</v>
      </c>
      <c r="H1024" s="2">
        <v>960.66666669999995</v>
      </c>
      <c r="I1024" s="2">
        <v>2350.666667</v>
      </c>
      <c r="J1024" s="2">
        <v>2.0499999999999998</v>
      </c>
      <c r="K1024" s="2">
        <v>2.5299999999999998</v>
      </c>
      <c r="L1024" s="2">
        <v>8.2899999999999991</v>
      </c>
      <c r="M1024" s="2">
        <v>14.09</v>
      </c>
      <c r="N1024" s="2">
        <v>2.3071409749999998</v>
      </c>
      <c r="O1024" s="2">
        <v>1.856583943</v>
      </c>
      <c r="P1024" s="2">
        <v>3.55645867</v>
      </c>
      <c r="Q1024" s="2">
        <v>3.6103023329999999</v>
      </c>
      <c r="R1024" s="2">
        <v>2.040769622</v>
      </c>
      <c r="S1024" s="2">
        <v>2.0302707070000001</v>
      </c>
      <c r="T1024" s="2">
        <v>2.9126719049999998</v>
      </c>
      <c r="U1024" s="2">
        <v>2.9853448359999999</v>
      </c>
      <c r="V1024" s="2">
        <v>-0.80698708200000002</v>
      </c>
      <c r="W1024" s="2">
        <v>0.10643718000000001</v>
      </c>
      <c r="X1024">
        <f t="shared" si="45"/>
        <v>0</v>
      </c>
      <c r="Y1024">
        <f t="shared" si="46"/>
        <v>1</v>
      </c>
      <c r="Z1024">
        <f t="shared" si="47"/>
        <v>1</v>
      </c>
    </row>
    <row r="1025" spans="1:26" ht="15.75" customHeight="1" x14ac:dyDescent="0.2">
      <c r="A1025" s="2" t="s">
        <v>23</v>
      </c>
      <c r="B1025" s="2" t="s">
        <v>35</v>
      </c>
      <c r="C1025" s="2" t="s">
        <v>28</v>
      </c>
      <c r="D1025" s="2" t="s">
        <v>29</v>
      </c>
      <c r="E1025" s="2">
        <v>140</v>
      </c>
      <c r="F1025" s="2">
        <v>213</v>
      </c>
      <c r="G1025" s="2">
        <v>338.33333329999999</v>
      </c>
      <c r="H1025" s="2">
        <v>894</v>
      </c>
      <c r="I1025" s="2">
        <v>1997</v>
      </c>
      <c r="J1025" s="2">
        <v>2.1</v>
      </c>
      <c r="K1025" s="2">
        <v>3.42</v>
      </c>
      <c r="L1025" s="2">
        <v>7.87</v>
      </c>
      <c r="M1025" s="2">
        <v>13</v>
      </c>
      <c r="N1025" s="2">
        <v>1.49043528</v>
      </c>
      <c r="O1025" s="2">
        <v>0.93924908900000004</v>
      </c>
      <c r="P1025" s="2">
        <v>3.5264138950000001</v>
      </c>
      <c r="Q1025" s="2">
        <v>3.591827656</v>
      </c>
      <c r="R1025" s="2">
        <v>1.1520029549999999</v>
      </c>
      <c r="S1025" s="2">
        <v>1.1415040409999999</v>
      </c>
      <c r="T1025" s="2">
        <v>3.3329392659999999</v>
      </c>
      <c r="U1025" s="2">
        <v>3.405612197</v>
      </c>
      <c r="V1025" s="2">
        <v>8.1779584000000002E-2</v>
      </c>
      <c r="W1025" s="2">
        <v>0.13854439399999999</v>
      </c>
      <c r="X1025">
        <f t="shared" si="45"/>
        <v>0</v>
      </c>
      <c r="Y1025">
        <f t="shared" si="46"/>
        <v>1</v>
      </c>
      <c r="Z1025">
        <f t="shared" si="47"/>
        <v>1</v>
      </c>
    </row>
    <row r="1026" spans="1:26" ht="15.75" customHeight="1" x14ac:dyDescent="0.2">
      <c r="A1026" s="2" t="s">
        <v>23</v>
      </c>
      <c r="B1026" s="2" t="s">
        <v>35</v>
      </c>
      <c r="C1026" s="2" t="s">
        <v>32</v>
      </c>
      <c r="D1026" s="2" t="s">
        <v>33</v>
      </c>
      <c r="E1026" s="2">
        <v>175</v>
      </c>
      <c r="F1026" s="2">
        <v>214</v>
      </c>
      <c r="G1026" s="2">
        <v>394</v>
      </c>
      <c r="H1026" s="2">
        <v>969.66666669999995</v>
      </c>
      <c r="I1026" s="2">
        <v>2403.666667</v>
      </c>
      <c r="J1026" s="2">
        <v>2.11</v>
      </c>
      <c r="K1026" s="2">
        <v>3.96</v>
      </c>
      <c r="L1026" s="2">
        <v>8.34</v>
      </c>
      <c r="M1026" s="2">
        <v>14.24</v>
      </c>
      <c r="N1026" s="2">
        <v>4.4002173119999997</v>
      </c>
      <c r="O1026" s="2">
        <v>4.3013595760000003</v>
      </c>
      <c r="P1026" s="2">
        <v>2.922066907</v>
      </c>
      <c r="Q1026" s="2">
        <v>2.9910435089999998</v>
      </c>
      <c r="R1026" s="2">
        <v>0.61133749299999995</v>
      </c>
      <c r="S1026" s="2">
        <v>0.60083857900000004</v>
      </c>
      <c r="T1026" s="2">
        <v>2.8574011760000002</v>
      </c>
      <c r="U1026" s="2">
        <v>2.9300741069999998</v>
      </c>
      <c r="V1026" s="2">
        <v>0.62244504599999995</v>
      </c>
      <c r="W1026" s="2">
        <v>0.114020038</v>
      </c>
      <c r="X1026">
        <f t="shared" si="45"/>
        <v>0</v>
      </c>
      <c r="Y1026">
        <f t="shared" si="46"/>
        <v>1</v>
      </c>
      <c r="Z1026">
        <f t="shared" si="47"/>
        <v>1</v>
      </c>
    </row>
    <row r="1027" spans="1:26" ht="15.75" customHeight="1" x14ac:dyDescent="0.2">
      <c r="A1027" s="2" t="s">
        <v>23</v>
      </c>
      <c r="B1027" s="2" t="s">
        <v>35</v>
      </c>
      <c r="C1027" s="2" t="s">
        <v>26</v>
      </c>
      <c r="D1027" s="2" t="s">
        <v>26</v>
      </c>
      <c r="E1027" s="2">
        <v>158</v>
      </c>
      <c r="F1027" s="2">
        <v>219.66666670000001</v>
      </c>
      <c r="G1027" s="2">
        <v>413</v>
      </c>
      <c r="H1027" s="2">
        <v>794.66666669999995</v>
      </c>
      <c r="I1027" s="2">
        <v>2766.333333</v>
      </c>
      <c r="J1027" s="2">
        <v>2.17</v>
      </c>
      <c r="K1027" s="2">
        <v>4.1399999999999997</v>
      </c>
      <c r="L1027" s="2">
        <v>7.2</v>
      </c>
      <c r="M1027" s="2">
        <v>15.16</v>
      </c>
      <c r="N1027" s="2">
        <v>0.74392185200000005</v>
      </c>
      <c r="O1027" s="2">
        <v>0.21542467800000001</v>
      </c>
      <c r="P1027" s="2">
        <v>4.0202167820000003</v>
      </c>
      <c r="Q1027" s="2">
        <v>4.0913787109999999</v>
      </c>
      <c r="R1027" s="2">
        <v>0.43260550399999997</v>
      </c>
      <c r="S1027" s="2">
        <v>0.42210658899999998</v>
      </c>
      <c r="T1027" s="2">
        <v>3.9968732089999999</v>
      </c>
      <c r="U1027" s="2">
        <v>4.0695461399999999</v>
      </c>
      <c r="V1027" s="2">
        <v>0.80117703600000001</v>
      </c>
      <c r="W1027" s="2">
        <v>0.130685631</v>
      </c>
      <c r="X1027">
        <f t="shared" ref="X1027:X1090" si="48">IF(B1027="normal",1,0)</f>
        <v>0</v>
      </c>
      <c r="Y1027">
        <f t="shared" ref="Y1027:Y1090" si="49">IF(A1027="lecture",1,0)</f>
        <v>1</v>
      </c>
      <c r="Z1027">
        <f t="shared" ref="Z1027:Z1090" si="50">IF(ISNUMBER(FIND("~",D1027)),1,0)</f>
        <v>0</v>
      </c>
    </row>
    <row r="1028" spans="1:26" ht="15.75" customHeight="1" x14ac:dyDescent="0.2">
      <c r="A1028" s="2" t="s">
        <v>23</v>
      </c>
      <c r="B1028" s="2" t="s">
        <v>35</v>
      </c>
      <c r="C1028" s="2" t="s">
        <v>25</v>
      </c>
      <c r="D1028" s="2" t="s">
        <v>25</v>
      </c>
      <c r="E1028" s="2">
        <v>203</v>
      </c>
      <c r="F1028" s="2">
        <v>206</v>
      </c>
      <c r="G1028" s="2">
        <v>731</v>
      </c>
      <c r="H1028" s="2">
        <v>1601.666667</v>
      </c>
      <c r="I1028" s="2">
        <v>3115</v>
      </c>
      <c r="J1028" s="2">
        <v>2.02</v>
      </c>
      <c r="K1028" s="2">
        <v>6.75</v>
      </c>
      <c r="L1028" s="2">
        <v>11.53</v>
      </c>
      <c r="M1028" s="2">
        <v>15.93</v>
      </c>
      <c r="N1028" s="2">
        <v>0.61534277299999995</v>
      </c>
      <c r="O1028" s="2">
        <v>0.277874026</v>
      </c>
      <c r="P1028" s="2">
        <v>2.2082768239999999</v>
      </c>
      <c r="Q1028" s="2">
        <v>2.2091757310000002</v>
      </c>
      <c r="R1028" s="2">
        <v>2.1841826759999998</v>
      </c>
      <c r="S1028" s="2">
        <v>2.1946815900000001</v>
      </c>
      <c r="T1028" s="2">
        <v>0.32531918199999998</v>
      </c>
      <c r="U1028" s="2">
        <v>0.25264625099999999</v>
      </c>
      <c r="V1028" s="2">
        <v>3.4179652150000002</v>
      </c>
      <c r="W1028" s="2">
        <v>0.14743256399999999</v>
      </c>
      <c r="X1028">
        <f t="shared" si="48"/>
        <v>0</v>
      </c>
      <c r="Y1028">
        <f t="shared" si="49"/>
        <v>1</v>
      </c>
      <c r="Z1028">
        <f t="shared" si="50"/>
        <v>0</v>
      </c>
    </row>
    <row r="1029" spans="1:26" ht="15.75" customHeight="1" x14ac:dyDescent="0.2">
      <c r="A1029" s="2" t="s">
        <v>23</v>
      </c>
      <c r="B1029" s="2" t="s">
        <v>35</v>
      </c>
      <c r="C1029" s="2" t="s">
        <v>30</v>
      </c>
      <c r="D1029" s="2" t="s">
        <v>31</v>
      </c>
      <c r="E1029" s="2">
        <v>167</v>
      </c>
      <c r="F1029" s="2">
        <v>209.66666670000001</v>
      </c>
      <c r="G1029" s="2">
        <v>561.33333330000005</v>
      </c>
      <c r="H1029" s="2">
        <v>1128.666667</v>
      </c>
      <c r="I1029" s="2">
        <v>3009</v>
      </c>
      <c r="J1029" s="2">
        <v>2.06</v>
      </c>
      <c r="K1029" s="2">
        <v>5.44</v>
      </c>
      <c r="L1029" s="2">
        <v>9.27</v>
      </c>
      <c r="M1029" s="2">
        <v>15.7</v>
      </c>
      <c r="N1029" s="2">
        <v>5.5302801329999998</v>
      </c>
      <c r="O1029" s="2">
        <v>5.4115433130000001</v>
      </c>
      <c r="P1029" s="2">
        <v>2.120793425</v>
      </c>
      <c r="Q1029" s="2">
        <v>2.1914688459999998</v>
      </c>
      <c r="R1029" s="2">
        <v>0.87015216399999995</v>
      </c>
      <c r="S1029" s="2">
        <v>0.88065107799999998</v>
      </c>
      <c r="T1029" s="2">
        <v>1.934063071</v>
      </c>
      <c r="U1029" s="2">
        <v>2.0067360019999998</v>
      </c>
      <c r="V1029" s="2">
        <v>2.1039347030000002</v>
      </c>
      <c r="W1029" s="2">
        <v>0.120548108</v>
      </c>
      <c r="X1029">
        <f t="shared" si="48"/>
        <v>0</v>
      </c>
      <c r="Y1029">
        <f t="shared" si="49"/>
        <v>1</v>
      </c>
      <c r="Z1029">
        <f t="shared" si="50"/>
        <v>1</v>
      </c>
    </row>
    <row r="1030" spans="1:26" ht="15.75" customHeight="1" x14ac:dyDescent="0.2">
      <c r="A1030" s="2" t="s">
        <v>23</v>
      </c>
      <c r="B1030" s="2" t="s">
        <v>35</v>
      </c>
      <c r="C1030" s="2" t="s">
        <v>27</v>
      </c>
      <c r="D1030" s="2" t="s">
        <v>27</v>
      </c>
      <c r="E1030" s="2">
        <v>160</v>
      </c>
      <c r="F1030" s="2">
        <v>205</v>
      </c>
      <c r="G1030" s="2">
        <v>398.33333329999999</v>
      </c>
      <c r="H1030" s="2">
        <v>2609.333333</v>
      </c>
      <c r="I1030" s="2">
        <v>3220</v>
      </c>
      <c r="J1030" s="2">
        <v>2.0099999999999998</v>
      </c>
      <c r="K1030" s="2">
        <v>4</v>
      </c>
      <c r="L1030" s="2">
        <v>14.78</v>
      </c>
      <c r="M1030" s="2">
        <v>16.14</v>
      </c>
      <c r="N1030" s="2">
        <v>0.19228059</v>
      </c>
      <c r="O1030" s="2">
        <v>0.29740250099999999</v>
      </c>
      <c r="P1030" s="2">
        <v>3.6240725060000001</v>
      </c>
      <c r="Q1030" s="2">
        <v>3.550653047</v>
      </c>
      <c r="R1030" s="2">
        <v>0.57032054600000004</v>
      </c>
      <c r="S1030" s="2">
        <v>0.55982163100000004</v>
      </c>
      <c r="T1030" s="2">
        <v>3.5789154779999999</v>
      </c>
      <c r="U1030" s="2">
        <v>3.5062425469999998</v>
      </c>
      <c r="V1030" s="2">
        <v>0.66346199299999997</v>
      </c>
      <c r="W1030" s="2">
        <v>8.3563444000000001E-2</v>
      </c>
      <c r="X1030">
        <f t="shared" si="48"/>
        <v>0</v>
      </c>
      <c r="Y1030">
        <f t="shared" si="49"/>
        <v>1</v>
      </c>
      <c r="Z1030">
        <f t="shared" si="50"/>
        <v>0</v>
      </c>
    </row>
    <row r="1031" spans="1:26" ht="15.75" customHeight="1" x14ac:dyDescent="0.2">
      <c r="A1031" s="2" t="s">
        <v>23</v>
      </c>
      <c r="B1031" s="2" t="s">
        <v>35</v>
      </c>
      <c r="C1031" s="2" t="s">
        <v>30</v>
      </c>
      <c r="D1031" s="2" t="s">
        <v>31</v>
      </c>
      <c r="E1031" s="2">
        <v>173</v>
      </c>
      <c r="F1031" s="2">
        <v>219.33333329999999</v>
      </c>
      <c r="G1031" s="2">
        <v>569.33333330000005</v>
      </c>
      <c r="H1031" s="2">
        <v>1189.333333</v>
      </c>
      <c r="I1031" s="2">
        <v>2937</v>
      </c>
      <c r="J1031" s="2">
        <v>2.17</v>
      </c>
      <c r="K1031" s="2">
        <v>5.5</v>
      </c>
      <c r="L1031" s="2">
        <v>9.59</v>
      </c>
      <c r="M1031" s="2">
        <v>15.55</v>
      </c>
      <c r="N1031" s="2">
        <v>5.2293673739999997</v>
      </c>
      <c r="O1031" s="2">
        <v>5.1110319280000001</v>
      </c>
      <c r="P1031" s="2">
        <v>1.859177482</v>
      </c>
      <c r="Q1031" s="2">
        <v>1.927449642</v>
      </c>
      <c r="R1031" s="2">
        <v>0.93607054599999995</v>
      </c>
      <c r="S1031" s="2">
        <v>0.94656945999999997</v>
      </c>
      <c r="T1031" s="2">
        <v>1.606335222</v>
      </c>
      <c r="U1031" s="2">
        <v>1.6790081530000001</v>
      </c>
      <c r="V1031" s="2">
        <v>2.1698530850000002</v>
      </c>
      <c r="W1031" s="2">
        <v>0.11241792</v>
      </c>
      <c r="X1031">
        <f t="shared" si="48"/>
        <v>0</v>
      </c>
      <c r="Y1031">
        <f t="shared" si="49"/>
        <v>1</v>
      </c>
      <c r="Z1031">
        <f t="shared" si="50"/>
        <v>1</v>
      </c>
    </row>
    <row r="1032" spans="1:26" ht="15.75" customHeight="1" x14ac:dyDescent="0.2">
      <c r="A1032" s="2" t="s">
        <v>23</v>
      </c>
      <c r="B1032" s="2" t="s">
        <v>35</v>
      </c>
      <c r="C1032" s="2" t="s">
        <v>27</v>
      </c>
      <c r="D1032" s="2" t="s">
        <v>27</v>
      </c>
      <c r="E1032" s="2">
        <v>156</v>
      </c>
      <c r="F1032" s="2">
        <v>211.66666670000001</v>
      </c>
      <c r="G1032" s="2">
        <v>409.33333329999999</v>
      </c>
      <c r="H1032" s="2">
        <v>2551.333333</v>
      </c>
      <c r="I1032" s="2">
        <v>3214.666667</v>
      </c>
      <c r="J1032" s="2">
        <v>2.08</v>
      </c>
      <c r="K1032" s="2">
        <v>4.0999999999999996</v>
      </c>
      <c r="L1032" s="2">
        <v>14.63</v>
      </c>
      <c r="M1032" s="2">
        <v>16.13</v>
      </c>
      <c r="N1032" s="2">
        <v>2.9824428E-2</v>
      </c>
      <c r="O1032" s="2">
        <v>0.11882406700000001</v>
      </c>
      <c r="P1032" s="2">
        <v>3.462683621</v>
      </c>
      <c r="Q1032" s="2">
        <v>3.3892587700000001</v>
      </c>
      <c r="R1032" s="2">
        <v>0.46687442299999998</v>
      </c>
      <c r="S1032" s="2">
        <v>0.45637550900000001</v>
      </c>
      <c r="T1032" s="2">
        <v>3.431064868</v>
      </c>
      <c r="U1032" s="2">
        <v>3.3583919369999999</v>
      </c>
      <c r="V1032" s="2">
        <v>0.76690811599999997</v>
      </c>
      <c r="W1032" s="2">
        <v>0.13732688100000001</v>
      </c>
      <c r="X1032">
        <f t="shared" si="48"/>
        <v>0</v>
      </c>
      <c r="Y1032">
        <f t="shared" si="49"/>
        <v>1</v>
      </c>
      <c r="Z1032">
        <f t="shared" si="50"/>
        <v>0</v>
      </c>
    </row>
    <row r="1033" spans="1:26" ht="15.75" customHeight="1" x14ac:dyDescent="0.2">
      <c r="A1033" s="2" t="s">
        <v>23</v>
      </c>
      <c r="B1033" s="2" t="s">
        <v>35</v>
      </c>
      <c r="C1033" s="2" t="s">
        <v>26</v>
      </c>
      <c r="D1033" s="2" t="s">
        <v>26</v>
      </c>
      <c r="E1033" s="2">
        <v>146</v>
      </c>
      <c r="F1033" s="2">
        <v>218.66666670000001</v>
      </c>
      <c r="G1033" s="2">
        <v>361.33333329999999</v>
      </c>
      <c r="H1033" s="2">
        <v>567.66666669999995</v>
      </c>
      <c r="I1033" s="2">
        <v>2783.666667</v>
      </c>
      <c r="J1033" s="2">
        <v>2.16</v>
      </c>
      <c r="K1033" s="2">
        <v>3.64</v>
      </c>
      <c r="L1033" s="2">
        <v>5.49</v>
      </c>
      <c r="M1033" s="2">
        <v>15.2</v>
      </c>
      <c r="N1033" s="2">
        <v>1.0399138349999999</v>
      </c>
      <c r="O1033" s="2">
        <v>1.6332304799999999</v>
      </c>
      <c r="P1033" s="2">
        <v>5.7845149339999997</v>
      </c>
      <c r="Q1033" s="2">
        <v>5.8546132929999999</v>
      </c>
      <c r="R1033" s="2">
        <v>0.92547062199999997</v>
      </c>
      <c r="S1033" s="2">
        <v>0.91497170699999997</v>
      </c>
      <c r="T1033" s="2">
        <v>5.7100015009999998</v>
      </c>
      <c r="U1033" s="2">
        <v>5.7826744320000003</v>
      </c>
      <c r="V1033" s="2">
        <v>0.30831191699999999</v>
      </c>
      <c r="W1033" s="2">
        <v>0.123086502</v>
      </c>
      <c r="X1033">
        <f t="shared" si="48"/>
        <v>0</v>
      </c>
      <c r="Y1033">
        <f t="shared" si="49"/>
        <v>1</v>
      </c>
      <c r="Z1033">
        <f t="shared" si="50"/>
        <v>0</v>
      </c>
    </row>
    <row r="1034" spans="1:26" ht="15.75" customHeight="1" x14ac:dyDescent="0.2">
      <c r="A1034" s="2" t="s">
        <v>23</v>
      </c>
      <c r="B1034" s="2" t="s">
        <v>35</v>
      </c>
      <c r="C1034" s="2" t="s">
        <v>27</v>
      </c>
      <c r="D1034" s="2" t="s">
        <v>27</v>
      </c>
      <c r="E1034" s="2">
        <v>200</v>
      </c>
      <c r="F1034" s="2">
        <v>221</v>
      </c>
      <c r="G1034" s="2">
        <v>432</v>
      </c>
      <c r="H1034" s="2">
        <v>2634</v>
      </c>
      <c r="I1034" s="2">
        <v>3143.666667</v>
      </c>
      <c r="J1034" s="2">
        <v>2.19</v>
      </c>
      <c r="K1034" s="2">
        <v>4.3099999999999996</v>
      </c>
      <c r="L1034" s="2">
        <v>14.84</v>
      </c>
      <c r="M1034" s="2">
        <v>15.98</v>
      </c>
      <c r="N1034" s="2">
        <v>0.27112724199999999</v>
      </c>
      <c r="O1034" s="2">
        <v>0.36030529</v>
      </c>
      <c r="P1034" s="2">
        <v>3.6497025330000001</v>
      </c>
      <c r="Q1034" s="2">
        <v>3.5764751430000001</v>
      </c>
      <c r="R1034" s="2">
        <v>0.25671290200000002</v>
      </c>
      <c r="S1034" s="2">
        <v>0.246213987</v>
      </c>
      <c r="T1034" s="2">
        <v>3.6406629979999998</v>
      </c>
      <c r="U1034" s="2">
        <v>3.5679900670000002</v>
      </c>
      <c r="V1034" s="2">
        <v>0.97706963700000005</v>
      </c>
      <c r="W1034" s="2">
        <v>8.9134504000000003E-2</v>
      </c>
      <c r="X1034">
        <f t="shared" si="48"/>
        <v>0</v>
      </c>
      <c r="Y1034">
        <f t="shared" si="49"/>
        <v>1</v>
      </c>
      <c r="Z1034">
        <f t="shared" si="50"/>
        <v>0</v>
      </c>
    </row>
    <row r="1035" spans="1:26" ht="15.75" customHeight="1" x14ac:dyDescent="0.2">
      <c r="A1035" s="2" t="s">
        <v>23</v>
      </c>
      <c r="B1035" s="2" t="s">
        <v>35</v>
      </c>
      <c r="C1035" s="2" t="s">
        <v>30</v>
      </c>
      <c r="D1035" s="2" t="s">
        <v>31</v>
      </c>
      <c r="E1035" s="2">
        <v>138</v>
      </c>
      <c r="F1035" s="2">
        <v>211.66666670000001</v>
      </c>
      <c r="G1035" s="2">
        <v>478.66666670000001</v>
      </c>
      <c r="H1035" s="2">
        <v>1016.666667</v>
      </c>
      <c r="I1035" s="2">
        <v>2353.666667</v>
      </c>
      <c r="J1035" s="2">
        <v>2.08</v>
      </c>
      <c r="K1035" s="2">
        <v>4.7300000000000004</v>
      </c>
      <c r="L1035" s="2">
        <v>8.6300000000000008</v>
      </c>
      <c r="M1035" s="2">
        <v>14.1</v>
      </c>
      <c r="N1035" s="2">
        <v>6.043465769</v>
      </c>
      <c r="O1035" s="2">
        <v>5.9240803309999999</v>
      </c>
      <c r="P1035" s="2">
        <v>2.5793932220000002</v>
      </c>
      <c r="Q1035" s="2">
        <v>2.6525923809999998</v>
      </c>
      <c r="R1035" s="2">
        <v>0.163670973</v>
      </c>
      <c r="S1035" s="2">
        <v>0.174169887</v>
      </c>
      <c r="T1035" s="2">
        <v>2.5741952549999998</v>
      </c>
      <c r="U1035" s="2">
        <v>2.6468681859999998</v>
      </c>
      <c r="V1035" s="2">
        <v>1.397453512</v>
      </c>
      <c r="W1035" s="2">
        <v>5.8565868E-2</v>
      </c>
      <c r="X1035">
        <f t="shared" si="48"/>
        <v>0</v>
      </c>
      <c r="Y1035">
        <f t="shared" si="49"/>
        <v>1</v>
      </c>
      <c r="Z1035">
        <f t="shared" si="50"/>
        <v>1</v>
      </c>
    </row>
    <row r="1036" spans="1:26" ht="15.75" customHeight="1" x14ac:dyDescent="0.2">
      <c r="A1036" s="2" t="s">
        <v>23</v>
      </c>
      <c r="B1036" s="2" t="s">
        <v>35</v>
      </c>
      <c r="C1036" s="2" t="s">
        <v>27</v>
      </c>
      <c r="D1036" s="2" t="s">
        <v>27</v>
      </c>
      <c r="E1036" s="2">
        <v>135</v>
      </c>
      <c r="F1036" s="2">
        <v>211.33333329999999</v>
      </c>
      <c r="G1036" s="2">
        <v>411.33333329999999</v>
      </c>
      <c r="H1036" s="2">
        <v>2401.333333</v>
      </c>
      <c r="I1036" s="2">
        <v>3303.666667</v>
      </c>
      <c r="J1036" s="2">
        <v>2.08</v>
      </c>
      <c r="K1036" s="2">
        <v>4.12</v>
      </c>
      <c r="L1036" s="2">
        <v>14.23</v>
      </c>
      <c r="M1036" s="2">
        <v>16.3</v>
      </c>
      <c r="N1036" s="2">
        <v>0.40889196500000002</v>
      </c>
      <c r="O1036" s="2">
        <v>0.29147496899999997</v>
      </c>
      <c r="P1036" s="2">
        <v>3.0634168150000001</v>
      </c>
      <c r="Q1036" s="2">
        <v>2.989989843</v>
      </c>
      <c r="R1036" s="2">
        <v>0.44816914800000002</v>
      </c>
      <c r="S1036" s="2">
        <v>0.43767023300000002</v>
      </c>
      <c r="T1036" s="2">
        <v>3.0304565650000002</v>
      </c>
      <c r="U1036" s="2">
        <v>2.9577836340000001</v>
      </c>
      <c r="V1036" s="2">
        <v>0.78561339100000005</v>
      </c>
      <c r="W1036" s="2">
        <v>0.114543231</v>
      </c>
      <c r="X1036">
        <f t="shared" si="48"/>
        <v>0</v>
      </c>
      <c r="Y1036">
        <f t="shared" si="49"/>
        <v>1</v>
      </c>
      <c r="Z1036">
        <f t="shared" si="50"/>
        <v>0</v>
      </c>
    </row>
    <row r="1037" spans="1:26" ht="15.75" customHeight="1" x14ac:dyDescent="0.2">
      <c r="A1037" s="2" t="s">
        <v>23</v>
      </c>
      <c r="B1037" s="2" t="s">
        <v>35</v>
      </c>
      <c r="C1037" s="2" t="s">
        <v>26</v>
      </c>
      <c r="D1037" s="2" t="s">
        <v>26</v>
      </c>
      <c r="E1037" s="2">
        <v>177</v>
      </c>
      <c r="F1037" s="2">
        <v>225.66666670000001</v>
      </c>
      <c r="G1037" s="2">
        <v>409.66666670000001</v>
      </c>
      <c r="H1037" s="2">
        <v>724.33333330000005</v>
      </c>
      <c r="I1037" s="2">
        <v>2754</v>
      </c>
      <c r="J1037" s="2">
        <v>2.2400000000000002</v>
      </c>
      <c r="K1037" s="2">
        <v>4.0999999999999996</v>
      </c>
      <c r="L1037" s="2">
        <v>6.7</v>
      </c>
      <c r="M1037" s="2">
        <v>15.13</v>
      </c>
      <c r="N1037" s="2">
        <v>0.265313403</v>
      </c>
      <c r="O1037" s="2">
        <v>0.42027906999999998</v>
      </c>
      <c r="P1037" s="2">
        <v>4.5205382460000001</v>
      </c>
      <c r="Q1037" s="2">
        <v>4.5917855660000004</v>
      </c>
      <c r="R1037" s="2">
        <v>0.463754685</v>
      </c>
      <c r="S1037" s="2">
        <v>0.45325577</v>
      </c>
      <c r="T1037" s="2">
        <v>4.4966874060000004</v>
      </c>
      <c r="U1037" s="2">
        <v>4.569360337</v>
      </c>
      <c r="V1037" s="2">
        <v>0.77002785399999996</v>
      </c>
      <c r="W1037" s="2">
        <v>0.103655994</v>
      </c>
      <c r="X1037">
        <f t="shared" si="48"/>
        <v>0</v>
      </c>
      <c r="Y1037">
        <f t="shared" si="49"/>
        <v>1</v>
      </c>
      <c r="Z1037">
        <f t="shared" si="50"/>
        <v>0</v>
      </c>
    </row>
    <row r="1038" spans="1:26" ht="15.75" customHeight="1" x14ac:dyDescent="0.2">
      <c r="A1038" s="2" t="s">
        <v>23</v>
      </c>
      <c r="B1038" s="2" t="s">
        <v>35</v>
      </c>
      <c r="C1038" s="2" t="s">
        <v>30</v>
      </c>
      <c r="D1038" s="2" t="s">
        <v>31</v>
      </c>
      <c r="E1038" s="2">
        <v>178</v>
      </c>
      <c r="F1038" s="2">
        <v>213</v>
      </c>
      <c r="G1038" s="2">
        <v>573</v>
      </c>
      <c r="H1038" s="2">
        <v>1152</v>
      </c>
      <c r="I1038" s="2">
        <v>2848</v>
      </c>
      <c r="J1038" s="2">
        <v>2.1</v>
      </c>
      <c r="K1038" s="2">
        <v>5.53</v>
      </c>
      <c r="L1038" s="2">
        <v>9.39</v>
      </c>
      <c r="M1038" s="2">
        <v>15.35</v>
      </c>
      <c r="N1038" s="2">
        <v>5.4304527150000004</v>
      </c>
      <c r="O1038" s="2">
        <v>5.3120461499999996</v>
      </c>
      <c r="P1038" s="2">
        <v>2.0486294759999999</v>
      </c>
      <c r="Q1038" s="2">
        <v>2.1178122660000001</v>
      </c>
      <c r="R1038" s="2">
        <v>0.96614398199999996</v>
      </c>
      <c r="S1038" s="2">
        <v>0.97664289699999995</v>
      </c>
      <c r="T1038" s="2">
        <v>1.8065017400000001</v>
      </c>
      <c r="U1038" s="2">
        <v>1.8791746709999999</v>
      </c>
      <c r="V1038" s="2">
        <v>2.1999265220000002</v>
      </c>
      <c r="W1038" s="2">
        <v>9.2196273999999995E-2</v>
      </c>
      <c r="X1038">
        <f t="shared" si="48"/>
        <v>0</v>
      </c>
      <c r="Y1038">
        <f t="shared" si="49"/>
        <v>1</v>
      </c>
      <c r="Z1038">
        <f t="shared" si="50"/>
        <v>1</v>
      </c>
    </row>
    <row r="1039" spans="1:26" ht="15.75" customHeight="1" x14ac:dyDescent="0.2">
      <c r="A1039" s="2" t="s">
        <v>23</v>
      </c>
      <c r="B1039" s="2" t="s">
        <v>35</v>
      </c>
      <c r="C1039" s="2" t="s">
        <v>32</v>
      </c>
      <c r="D1039" s="2" t="s">
        <v>33</v>
      </c>
      <c r="E1039" s="2">
        <v>166</v>
      </c>
      <c r="F1039" s="2">
        <v>222</v>
      </c>
      <c r="G1039" s="2">
        <v>459.33333329999999</v>
      </c>
      <c r="H1039" s="2">
        <v>1072.333333</v>
      </c>
      <c r="I1039" s="2">
        <v>2589.333333</v>
      </c>
      <c r="J1039" s="2">
        <v>2.2000000000000002</v>
      </c>
      <c r="K1039" s="2">
        <v>4.5599999999999996</v>
      </c>
      <c r="L1039" s="2">
        <v>8.9499999999999993</v>
      </c>
      <c r="M1039" s="2">
        <v>14.73</v>
      </c>
      <c r="N1039" s="2">
        <v>3.547649249</v>
      </c>
      <c r="O1039" s="2">
        <v>3.4456905020000002</v>
      </c>
      <c r="P1039" s="2">
        <v>2.2501397980000002</v>
      </c>
      <c r="Q1039" s="2">
        <v>2.32279744</v>
      </c>
      <c r="R1039" s="2">
        <v>8.5204340000000003E-3</v>
      </c>
      <c r="S1039" s="2">
        <v>1.9784809999999998E-3</v>
      </c>
      <c r="T1039" s="2">
        <v>2.2501236659999999</v>
      </c>
      <c r="U1039" s="2">
        <v>2.322796597</v>
      </c>
      <c r="V1039" s="2">
        <v>1.225262106</v>
      </c>
      <c r="W1039" s="2">
        <v>0.108577756</v>
      </c>
      <c r="X1039">
        <f t="shared" si="48"/>
        <v>0</v>
      </c>
      <c r="Y1039">
        <f t="shared" si="49"/>
        <v>1</v>
      </c>
      <c r="Z1039">
        <f t="shared" si="50"/>
        <v>1</v>
      </c>
    </row>
    <row r="1040" spans="1:26" ht="15.75" customHeight="1" x14ac:dyDescent="0.2">
      <c r="A1040" s="2" t="s">
        <v>23</v>
      </c>
      <c r="B1040" s="2" t="s">
        <v>35</v>
      </c>
      <c r="C1040" s="2" t="s">
        <v>28</v>
      </c>
      <c r="D1040" s="2" t="s">
        <v>29</v>
      </c>
      <c r="E1040" s="2">
        <v>160</v>
      </c>
      <c r="F1040" s="2">
        <v>210.33333329999999</v>
      </c>
      <c r="G1040" s="2">
        <v>264</v>
      </c>
      <c r="H1040" s="2">
        <v>1322</v>
      </c>
      <c r="I1040" s="2">
        <v>2338.333333</v>
      </c>
      <c r="J1040" s="2">
        <v>2.0699999999999998</v>
      </c>
      <c r="K1040" s="2">
        <v>2.65</v>
      </c>
      <c r="L1040" s="2">
        <v>10.27</v>
      </c>
      <c r="M1040" s="2">
        <v>14.05</v>
      </c>
      <c r="N1040" s="2">
        <v>4.0081117710000003</v>
      </c>
      <c r="O1040" s="2">
        <v>3.4290840760000001</v>
      </c>
      <c r="P1040" s="2">
        <v>2.1307505189999998</v>
      </c>
      <c r="Q1040" s="2">
        <v>2.1542279</v>
      </c>
      <c r="R1040" s="2">
        <v>1.9161706869999999</v>
      </c>
      <c r="S1040" s="2">
        <v>1.905671772</v>
      </c>
      <c r="T1040" s="2">
        <v>0.93187320600000001</v>
      </c>
      <c r="U1040" s="2">
        <v>1.004546137</v>
      </c>
      <c r="V1040" s="2">
        <v>-0.68238814800000003</v>
      </c>
      <c r="W1040" s="2">
        <v>8.9102763000000001E-2</v>
      </c>
      <c r="X1040">
        <f t="shared" si="48"/>
        <v>0</v>
      </c>
      <c r="Y1040">
        <f t="shared" si="49"/>
        <v>1</v>
      </c>
      <c r="Z1040">
        <f t="shared" si="50"/>
        <v>1</v>
      </c>
    </row>
    <row r="1041" spans="1:26" ht="15.75" customHeight="1" x14ac:dyDescent="0.2">
      <c r="A1041" s="2" t="s">
        <v>23</v>
      </c>
      <c r="B1041" s="2" t="s">
        <v>35</v>
      </c>
      <c r="C1041" s="2" t="s">
        <v>28</v>
      </c>
      <c r="D1041" s="2" t="s">
        <v>29</v>
      </c>
      <c r="E1041" s="2">
        <v>146</v>
      </c>
      <c r="F1041" s="2">
        <v>219.66666670000001</v>
      </c>
      <c r="G1041" s="2">
        <v>289.33333329999999</v>
      </c>
      <c r="H1041" s="2">
        <v>821.66666669999995</v>
      </c>
      <c r="I1041" s="2">
        <v>1686</v>
      </c>
      <c r="J1041" s="2">
        <v>2.17</v>
      </c>
      <c r="K1041" s="2">
        <v>2.92</v>
      </c>
      <c r="L1041" s="2">
        <v>7.39</v>
      </c>
      <c r="M1041" s="2">
        <v>11.87</v>
      </c>
      <c r="N1041" s="2">
        <v>1.383272056</v>
      </c>
      <c r="O1041" s="2">
        <v>1.072781607</v>
      </c>
      <c r="P1041" s="2">
        <v>4.1535385229999999</v>
      </c>
      <c r="Q1041" s="2">
        <v>4.2162356580000004</v>
      </c>
      <c r="R1041" s="2">
        <v>1.65006349</v>
      </c>
      <c r="S1041" s="2">
        <v>1.6395645750000001</v>
      </c>
      <c r="T1041" s="2">
        <v>3.8117151969999998</v>
      </c>
      <c r="U1041" s="2">
        <v>3.8843881279999999</v>
      </c>
      <c r="V1041" s="2">
        <v>-0.41628094999999998</v>
      </c>
      <c r="W1041" s="2">
        <v>0.13999134499999999</v>
      </c>
      <c r="X1041">
        <f t="shared" si="48"/>
        <v>0</v>
      </c>
      <c r="Y1041">
        <f t="shared" si="49"/>
        <v>1</v>
      </c>
      <c r="Z1041">
        <f t="shared" si="50"/>
        <v>1</v>
      </c>
    </row>
    <row r="1042" spans="1:26" ht="15.75" customHeight="1" x14ac:dyDescent="0.2">
      <c r="A1042" s="2" t="s">
        <v>23</v>
      </c>
      <c r="B1042" s="2" t="s">
        <v>35</v>
      </c>
      <c r="C1042" s="2" t="s">
        <v>26</v>
      </c>
      <c r="D1042" s="2" t="s">
        <v>26</v>
      </c>
      <c r="E1042" s="2">
        <v>166</v>
      </c>
      <c r="F1042" s="2">
        <v>208</v>
      </c>
      <c r="G1042" s="2">
        <v>384.33333329999999</v>
      </c>
      <c r="H1042" s="2">
        <v>720.33333330000005</v>
      </c>
      <c r="I1042" s="2">
        <v>2751.333333</v>
      </c>
      <c r="J1042" s="2">
        <v>2.04</v>
      </c>
      <c r="K1042" s="2">
        <v>3.87</v>
      </c>
      <c r="L1042" s="2">
        <v>6.68</v>
      </c>
      <c r="M1042" s="2">
        <v>15.13</v>
      </c>
      <c r="N1042" s="2">
        <v>0.21686462000000001</v>
      </c>
      <c r="O1042" s="2">
        <v>0.42851503400000002</v>
      </c>
      <c r="P1042" s="2">
        <v>4.5802324690000003</v>
      </c>
      <c r="Q1042" s="2">
        <v>4.6504808940000002</v>
      </c>
      <c r="R1042" s="2">
        <v>0.70338325700000004</v>
      </c>
      <c r="S1042" s="2">
        <v>0.69288434300000001</v>
      </c>
      <c r="T1042" s="2">
        <v>4.5259011769999997</v>
      </c>
      <c r="U1042" s="2">
        <v>4.5985741080000002</v>
      </c>
      <c r="V1042" s="2">
        <v>0.53039928199999997</v>
      </c>
      <c r="W1042" s="2">
        <v>0.140181044</v>
      </c>
      <c r="X1042">
        <f t="shared" si="48"/>
        <v>0</v>
      </c>
      <c r="Y1042">
        <f t="shared" si="49"/>
        <v>1</v>
      </c>
      <c r="Z1042">
        <f t="shared" si="50"/>
        <v>0</v>
      </c>
    </row>
    <row r="1043" spans="1:26" ht="15.75" customHeight="1" x14ac:dyDescent="0.2">
      <c r="A1043" s="2" t="s">
        <v>23</v>
      </c>
      <c r="B1043" s="2" t="s">
        <v>35</v>
      </c>
      <c r="C1043" s="2" t="s">
        <v>25</v>
      </c>
      <c r="D1043" s="2" t="s">
        <v>25</v>
      </c>
      <c r="E1043" s="2">
        <v>176</v>
      </c>
      <c r="F1043" s="2">
        <v>210.33333329999999</v>
      </c>
      <c r="G1043" s="2">
        <v>775.33333330000005</v>
      </c>
      <c r="H1043" s="2">
        <v>1450</v>
      </c>
      <c r="I1043" s="2">
        <v>3148.666667</v>
      </c>
      <c r="J1043" s="2">
        <v>2.0699999999999998</v>
      </c>
      <c r="K1043" s="2">
        <v>7.07</v>
      </c>
      <c r="L1043" s="2">
        <v>10.87</v>
      </c>
      <c r="M1043" s="2">
        <v>15.99</v>
      </c>
      <c r="N1043" s="2">
        <v>0.41236994100000002</v>
      </c>
      <c r="O1043" s="2">
        <v>0.52457361800000002</v>
      </c>
      <c r="P1043" s="2">
        <v>2.5224675680000002</v>
      </c>
      <c r="Q1043" s="2">
        <v>2.543390429</v>
      </c>
      <c r="R1043" s="2">
        <v>2.5006721829999998</v>
      </c>
      <c r="S1043" s="2">
        <v>2.5111710970000001</v>
      </c>
      <c r="T1043" s="2">
        <v>0.33087953399999998</v>
      </c>
      <c r="U1043" s="2">
        <v>0.40355246500000003</v>
      </c>
      <c r="V1043" s="2">
        <v>3.7344547220000002</v>
      </c>
      <c r="W1043" s="2">
        <v>0.114467824</v>
      </c>
      <c r="X1043">
        <f t="shared" si="48"/>
        <v>0</v>
      </c>
      <c r="Y1043">
        <f t="shared" si="49"/>
        <v>1</v>
      </c>
      <c r="Z1043">
        <f t="shared" si="50"/>
        <v>0</v>
      </c>
    </row>
    <row r="1044" spans="1:26" ht="15.75" customHeight="1" x14ac:dyDescent="0.2">
      <c r="A1044" s="2" t="s">
        <v>23</v>
      </c>
      <c r="B1044" s="2" t="s">
        <v>35</v>
      </c>
      <c r="C1044" s="2" t="s">
        <v>30</v>
      </c>
      <c r="D1044" s="2" t="s">
        <v>31</v>
      </c>
      <c r="E1044" s="2">
        <v>183</v>
      </c>
      <c r="F1044" s="2">
        <v>206.66666670000001</v>
      </c>
      <c r="G1044" s="2">
        <v>654</v>
      </c>
      <c r="H1044" s="2">
        <v>1482.666667</v>
      </c>
      <c r="I1044" s="2">
        <v>2864.666667</v>
      </c>
      <c r="J1044" s="2">
        <v>2.0299999999999998</v>
      </c>
      <c r="K1044" s="2">
        <v>6.18</v>
      </c>
      <c r="L1044" s="2">
        <v>11.02</v>
      </c>
      <c r="M1044" s="2">
        <v>15.39</v>
      </c>
      <c r="N1044" s="2">
        <v>4.1621422340000001</v>
      </c>
      <c r="O1044" s="2">
        <v>4.0516041170000001</v>
      </c>
      <c r="P1044" s="2">
        <v>1.619537268</v>
      </c>
      <c r="Q1044" s="2">
        <v>1.6397917420000001</v>
      </c>
      <c r="R1044" s="2">
        <v>1.6089754549999999</v>
      </c>
      <c r="S1044" s="2">
        <v>1.619474369</v>
      </c>
      <c r="T1044" s="2">
        <v>0.18465900399999999</v>
      </c>
      <c r="U1044" s="2">
        <v>0.25733193599999998</v>
      </c>
      <c r="V1044" s="2">
        <v>2.8427579939999998</v>
      </c>
      <c r="W1044" s="2">
        <v>0.136513944</v>
      </c>
      <c r="X1044">
        <f t="shared" si="48"/>
        <v>0</v>
      </c>
      <c r="Y1044">
        <f t="shared" si="49"/>
        <v>1</v>
      </c>
      <c r="Z1044">
        <f t="shared" si="50"/>
        <v>1</v>
      </c>
    </row>
    <row r="1045" spans="1:26" ht="15.75" customHeight="1" x14ac:dyDescent="0.2">
      <c r="A1045" s="2" t="s">
        <v>23</v>
      </c>
      <c r="B1045" s="2" t="s">
        <v>35</v>
      </c>
      <c r="C1045" s="2" t="s">
        <v>28</v>
      </c>
      <c r="D1045" s="2" t="s">
        <v>29</v>
      </c>
      <c r="E1045" s="2">
        <v>180</v>
      </c>
      <c r="F1045" s="2">
        <v>221.33333329999999</v>
      </c>
      <c r="G1045" s="2">
        <v>290.66666670000001</v>
      </c>
      <c r="H1045" s="2">
        <v>1207.333333</v>
      </c>
      <c r="I1045" s="2">
        <v>2211.333333</v>
      </c>
      <c r="J1045" s="2">
        <v>2.19</v>
      </c>
      <c r="K1045" s="2">
        <v>2.93</v>
      </c>
      <c r="L1045" s="2">
        <v>9.69</v>
      </c>
      <c r="M1045" s="2">
        <v>13.68</v>
      </c>
      <c r="N1045" s="2">
        <v>3.3696626900000002</v>
      </c>
      <c r="O1045" s="2">
        <v>2.786894771</v>
      </c>
      <c r="P1045" s="2">
        <v>2.2275318080000002</v>
      </c>
      <c r="Q1045" s="2">
        <v>2.269939307</v>
      </c>
      <c r="R1045" s="2">
        <v>1.6362237909999999</v>
      </c>
      <c r="S1045" s="2">
        <v>1.6257248769999999</v>
      </c>
      <c r="T1045" s="2">
        <v>1.5115123749999999</v>
      </c>
      <c r="U1045" s="2">
        <v>1.584185306</v>
      </c>
      <c r="V1045" s="2">
        <v>-0.40244125200000003</v>
      </c>
      <c r="W1045" s="2">
        <v>8.1633665999999994E-2</v>
      </c>
      <c r="X1045">
        <f t="shared" si="48"/>
        <v>0</v>
      </c>
      <c r="Y1045">
        <f t="shared" si="49"/>
        <v>1</v>
      </c>
      <c r="Z1045">
        <f t="shared" si="50"/>
        <v>1</v>
      </c>
    </row>
    <row r="1046" spans="1:26" ht="15.75" customHeight="1" x14ac:dyDescent="0.2">
      <c r="A1046" s="2" t="s">
        <v>23</v>
      </c>
      <c r="B1046" s="2" t="s">
        <v>35</v>
      </c>
      <c r="C1046" s="2" t="s">
        <v>28</v>
      </c>
      <c r="D1046" s="2" t="s">
        <v>29</v>
      </c>
      <c r="E1046" s="2">
        <v>168</v>
      </c>
      <c r="F1046" s="2">
        <v>208.66666670000001</v>
      </c>
      <c r="G1046" s="2">
        <v>253</v>
      </c>
      <c r="H1046" s="2">
        <v>1163.333333</v>
      </c>
      <c r="I1046" s="2">
        <v>2418</v>
      </c>
      <c r="J1046" s="2">
        <v>2.0499999999999998</v>
      </c>
      <c r="K1046" s="2">
        <v>2.54</v>
      </c>
      <c r="L1046" s="2">
        <v>9.4600000000000009</v>
      </c>
      <c r="M1046" s="2">
        <v>14.28</v>
      </c>
      <c r="N1046" s="2">
        <v>3.299314758</v>
      </c>
      <c r="O1046" s="2">
        <v>2.7523728740000002</v>
      </c>
      <c r="P1046" s="2">
        <v>2.6798168929999999</v>
      </c>
      <c r="Q1046" s="2">
        <v>2.7198843340000001</v>
      </c>
      <c r="R1046" s="2">
        <v>2.0336142920000002</v>
      </c>
      <c r="S1046" s="2">
        <v>2.0231153769999999</v>
      </c>
      <c r="T1046" s="2">
        <v>1.7452310710000001</v>
      </c>
      <c r="U1046" s="2">
        <v>1.8179040019999999</v>
      </c>
      <c r="V1046" s="2">
        <v>-0.79983175299999998</v>
      </c>
      <c r="W1046" s="2">
        <v>9.7454221999999993E-2</v>
      </c>
      <c r="X1046">
        <f t="shared" si="48"/>
        <v>0</v>
      </c>
      <c r="Y1046">
        <f t="shared" si="49"/>
        <v>1</v>
      </c>
      <c r="Z1046">
        <f t="shared" si="50"/>
        <v>1</v>
      </c>
    </row>
    <row r="1047" spans="1:26" ht="15.75" customHeight="1" x14ac:dyDescent="0.2">
      <c r="A1047" s="2" t="s">
        <v>23</v>
      </c>
      <c r="B1047" s="2" t="s">
        <v>35</v>
      </c>
      <c r="C1047" s="2" t="s">
        <v>32</v>
      </c>
      <c r="D1047" s="2" t="s">
        <v>33</v>
      </c>
      <c r="E1047" s="2">
        <v>173</v>
      </c>
      <c r="F1047" s="2">
        <v>209</v>
      </c>
      <c r="G1047" s="2">
        <v>501.33333329999999</v>
      </c>
      <c r="H1047" s="2">
        <v>1028.333333</v>
      </c>
      <c r="I1047" s="2">
        <v>3212</v>
      </c>
      <c r="J1047" s="2">
        <v>2.0499999999999998</v>
      </c>
      <c r="K1047" s="2">
        <v>4.93</v>
      </c>
      <c r="L1047" s="2">
        <v>8.6999999999999993</v>
      </c>
      <c r="M1047" s="2">
        <v>16.12</v>
      </c>
      <c r="N1047" s="2">
        <v>3.4533070069999998</v>
      </c>
      <c r="O1047" s="2">
        <v>3.3933838449999998</v>
      </c>
      <c r="P1047" s="2">
        <v>2.5313096380000002</v>
      </c>
      <c r="Q1047" s="2">
        <v>2.604737031</v>
      </c>
      <c r="R1047" s="2">
        <v>0.36210569500000001</v>
      </c>
      <c r="S1047" s="2">
        <v>0.37260461</v>
      </c>
      <c r="T1047" s="2">
        <v>2.5052760219999999</v>
      </c>
      <c r="U1047" s="2">
        <v>2.5779489529999999</v>
      </c>
      <c r="V1047" s="2">
        <v>1.595888234</v>
      </c>
      <c r="W1047" s="2">
        <v>0.104728404</v>
      </c>
      <c r="X1047">
        <f t="shared" si="48"/>
        <v>0</v>
      </c>
      <c r="Y1047">
        <f t="shared" si="49"/>
        <v>1</v>
      </c>
      <c r="Z1047">
        <f t="shared" si="50"/>
        <v>1</v>
      </c>
    </row>
    <row r="1048" spans="1:26" ht="15.75" customHeight="1" x14ac:dyDescent="0.2">
      <c r="A1048" s="2" t="s">
        <v>23</v>
      </c>
      <c r="B1048" s="2" t="s">
        <v>35</v>
      </c>
      <c r="C1048" s="2" t="s">
        <v>25</v>
      </c>
      <c r="D1048" s="2" t="s">
        <v>25</v>
      </c>
      <c r="E1048" s="2">
        <v>124</v>
      </c>
      <c r="F1048" s="2">
        <v>205.66666670000001</v>
      </c>
      <c r="G1048" s="2">
        <v>807</v>
      </c>
      <c r="H1048" s="2">
        <v>1516.666667</v>
      </c>
      <c r="I1048" s="2">
        <v>2961.333333</v>
      </c>
      <c r="J1048" s="2">
        <v>2.02</v>
      </c>
      <c r="K1048" s="2">
        <v>7.29</v>
      </c>
      <c r="L1048" s="2">
        <v>11.17</v>
      </c>
      <c r="M1048" s="2">
        <v>15.6</v>
      </c>
      <c r="N1048" s="2">
        <v>5.4926107000000002E-2</v>
      </c>
      <c r="O1048" s="2">
        <v>0.36990748699999998</v>
      </c>
      <c r="P1048" s="2">
        <v>2.7207570730000001</v>
      </c>
      <c r="Q1048" s="2">
        <v>2.7331628879999998</v>
      </c>
      <c r="R1048" s="2">
        <v>2.7205269159999999</v>
      </c>
      <c r="S1048" s="2">
        <v>2.7310258300000001</v>
      </c>
      <c r="T1048" s="2">
        <v>3.5388577999999997E-2</v>
      </c>
      <c r="U1048" s="2">
        <v>0.108061509</v>
      </c>
      <c r="V1048" s="2">
        <v>3.9543094550000002</v>
      </c>
      <c r="W1048" s="2">
        <v>8.9701894000000004E-2</v>
      </c>
      <c r="X1048">
        <f t="shared" si="48"/>
        <v>0</v>
      </c>
      <c r="Y1048">
        <f t="shared" si="49"/>
        <v>1</v>
      </c>
      <c r="Z1048">
        <f t="shared" si="50"/>
        <v>0</v>
      </c>
    </row>
    <row r="1049" spans="1:26" ht="15.75" customHeight="1" x14ac:dyDescent="0.2">
      <c r="A1049" s="2" t="s">
        <v>23</v>
      </c>
      <c r="B1049" s="2" t="s">
        <v>35</v>
      </c>
      <c r="C1049" s="2" t="s">
        <v>27</v>
      </c>
      <c r="D1049" s="2" t="s">
        <v>27</v>
      </c>
      <c r="E1049" s="2">
        <v>146</v>
      </c>
      <c r="F1049" s="2">
        <v>212.66666670000001</v>
      </c>
      <c r="G1049" s="2">
        <v>410.33333329999999</v>
      </c>
      <c r="H1049" s="2">
        <v>2531</v>
      </c>
      <c r="I1049" s="2">
        <v>3124</v>
      </c>
      <c r="J1049" s="2">
        <v>2.09</v>
      </c>
      <c r="K1049" s="2">
        <v>4.1100000000000003</v>
      </c>
      <c r="L1049" s="2">
        <v>14.58</v>
      </c>
      <c r="M1049" s="2">
        <v>15.94</v>
      </c>
      <c r="N1049" s="2">
        <v>6.3892583000000003E-2</v>
      </c>
      <c r="O1049" s="2">
        <v>6.7301984999999995E-2</v>
      </c>
      <c r="P1049" s="2">
        <v>3.4091675440000002</v>
      </c>
      <c r="Q1049" s="2">
        <v>3.3357431000000002</v>
      </c>
      <c r="R1049" s="2">
        <v>0.45751784000000001</v>
      </c>
      <c r="S1049" s="2">
        <v>0.44701892500000001</v>
      </c>
      <c r="T1049" s="2">
        <v>3.3783281020000002</v>
      </c>
      <c r="U1049" s="2">
        <v>3.3056551710000002</v>
      </c>
      <c r="V1049" s="2">
        <v>0.77626469899999995</v>
      </c>
      <c r="W1049" s="2">
        <v>0.13198464200000001</v>
      </c>
      <c r="X1049">
        <f t="shared" si="48"/>
        <v>0</v>
      </c>
      <c r="Y1049">
        <f t="shared" si="49"/>
        <v>1</v>
      </c>
      <c r="Z1049">
        <f t="shared" si="50"/>
        <v>0</v>
      </c>
    </row>
    <row r="1050" spans="1:26" ht="15.75" customHeight="1" x14ac:dyDescent="0.2">
      <c r="A1050" s="2" t="s">
        <v>23</v>
      </c>
      <c r="B1050" s="2" t="s">
        <v>35</v>
      </c>
      <c r="C1050" s="2" t="s">
        <v>32</v>
      </c>
      <c r="D1050" s="2" t="s">
        <v>33</v>
      </c>
      <c r="E1050" s="2">
        <v>141</v>
      </c>
      <c r="F1050" s="2">
        <v>213</v>
      </c>
      <c r="G1050" s="2">
        <v>369</v>
      </c>
      <c r="H1050" s="2">
        <v>786.66666669999995</v>
      </c>
      <c r="I1050" s="2">
        <v>2226.666667</v>
      </c>
      <c r="J1050" s="2">
        <v>2.1</v>
      </c>
      <c r="K1050" s="2">
        <v>3.72</v>
      </c>
      <c r="L1050" s="2">
        <v>7.15</v>
      </c>
      <c r="M1050" s="2">
        <v>13.73</v>
      </c>
      <c r="N1050" s="2">
        <v>5.414700109</v>
      </c>
      <c r="O1050" s="2">
        <v>5.3593205409999998</v>
      </c>
      <c r="P1050" s="2">
        <v>4.1408143710000003</v>
      </c>
      <c r="Q1050" s="2">
        <v>4.2098541010000003</v>
      </c>
      <c r="R1050" s="2">
        <v>0.85095411799999998</v>
      </c>
      <c r="S1050" s="2">
        <v>0.84045520399999996</v>
      </c>
      <c r="T1050" s="2">
        <v>4.0524339290000002</v>
      </c>
      <c r="U1050" s="2">
        <v>4.1251068599999998</v>
      </c>
      <c r="V1050" s="2">
        <v>0.38282842099999997</v>
      </c>
      <c r="W1050" s="2">
        <v>6.7120368999999999E-2</v>
      </c>
      <c r="X1050">
        <f t="shared" si="48"/>
        <v>0</v>
      </c>
      <c r="Y1050">
        <f t="shared" si="49"/>
        <v>1</v>
      </c>
      <c r="Z1050">
        <f t="shared" si="50"/>
        <v>1</v>
      </c>
    </row>
    <row r="1051" spans="1:26" ht="15.75" customHeight="1" x14ac:dyDescent="0.2">
      <c r="A1051" s="2" t="s">
        <v>23</v>
      </c>
      <c r="B1051" s="2" t="s">
        <v>35</v>
      </c>
      <c r="C1051" s="2" t="s">
        <v>28</v>
      </c>
      <c r="D1051" s="2" t="s">
        <v>29</v>
      </c>
      <c r="E1051" s="2">
        <v>161</v>
      </c>
      <c r="F1051" s="2">
        <v>209.66666670000001</v>
      </c>
      <c r="G1051" s="2">
        <v>270.66666670000001</v>
      </c>
      <c r="H1051" s="2">
        <v>1379.666667</v>
      </c>
      <c r="I1051" s="2">
        <v>2060</v>
      </c>
      <c r="J1051" s="2">
        <v>2.06</v>
      </c>
      <c r="K1051" s="2">
        <v>2.72</v>
      </c>
      <c r="L1051" s="2">
        <v>10.55</v>
      </c>
      <c r="M1051" s="2">
        <v>13.21</v>
      </c>
      <c r="N1051" s="2">
        <v>4.2492434010000002</v>
      </c>
      <c r="O1051" s="2">
        <v>3.6622056349999998</v>
      </c>
      <c r="P1051" s="2">
        <v>1.95847952</v>
      </c>
      <c r="Q1051" s="2">
        <v>1.9742193859999999</v>
      </c>
      <c r="R1051" s="2">
        <v>1.845556467</v>
      </c>
      <c r="S1051" s="2">
        <v>1.8350575520000001</v>
      </c>
      <c r="T1051" s="2">
        <v>0.65541083099999997</v>
      </c>
      <c r="U1051" s="2">
        <v>0.72808376200000002</v>
      </c>
      <c r="V1051" s="2">
        <v>-0.61177392799999997</v>
      </c>
      <c r="W1051" s="2">
        <v>5.4308545999999999E-2</v>
      </c>
      <c r="X1051">
        <f t="shared" si="48"/>
        <v>0</v>
      </c>
      <c r="Y1051">
        <f t="shared" si="49"/>
        <v>1</v>
      </c>
      <c r="Z1051">
        <f t="shared" si="50"/>
        <v>1</v>
      </c>
    </row>
    <row r="1052" spans="1:26" ht="15.75" customHeight="1" x14ac:dyDescent="0.2">
      <c r="A1052" s="2" t="s">
        <v>23</v>
      </c>
      <c r="B1052" s="2" t="s">
        <v>35</v>
      </c>
      <c r="C1052" s="2" t="s">
        <v>27</v>
      </c>
      <c r="D1052" s="2" t="s">
        <v>27</v>
      </c>
      <c r="E1052" s="2">
        <v>158</v>
      </c>
      <c r="F1052" s="2">
        <v>213.33333329999999</v>
      </c>
      <c r="G1052" s="2">
        <v>422.33333329999999</v>
      </c>
      <c r="H1052" s="2">
        <v>2618.333333</v>
      </c>
      <c r="I1052" s="2">
        <v>3204.333333</v>
      </c>
      <c r="J1052" s="2">
        <v>2.1</v>
      </c>
      <c r="K1052" s="2">
        <v>4.22</v>
      </c>
      <c r="L1052" s="2">
        <v>14.8</v>
      </c>
      <c r="M1052" s="2">
        <v>16.100000000000001</v>
      </c>
      <c r="N1052" s="2">
        <v>0.18672414900000001</v>
      </c>
      <c r="O1052" s="2">
        <v>0.291012979</v>
      </c>
      <c r="P1052" s="2">
        <v>3.6180898990000001</v>
      </c>
      <c r="Q1052" s="2">
        <v>3.544747895</v>
      </c>
      <c r="R1052" s="2">
        <v>0.34585152600000002</v>
      </c>
      <c r="S1052" s="2">
        <v>0.33535261100000002</v>
      </c>
      <c r="T1052" s="2">
        <v>3.6015220729999999</v>
      </c>
      <c r="U1052" s="2">
        <v>3.5288491419999999</v>
      </c>
      <c r="V1052" s="2">
        <v>0.88793101299999999</v>
      </c>
      <c r="W1052" s="2">
        <v>0.11710749199999999</v>
      </c>
      <c r="X1052">
        <f t="shared" si="48"/>
        <v>0</v>
      </c>
      <c r="Y1052">
        <f t="shared" si="49"/>
        <v>1</v>
      </c>
      <c r="Z1052">
        <f t="shared" si="50"/>
        <v>0</v>
      </c>
    </row>
    <row r="1053" spans="1:26" ht="15.75" customHeight="1" x14ac:dyDescent="0.2">
      <c r="A1053" s="2" t="s">
        <v>23</v>
      </c>
      <c r="B1053" s="2" t="s">
        <v>35</v>
      </c>
      <c r="C1053" s="2" t="s">
        <v>26</v>
      </c>
      <c r="D1053" s="2" t="s">
        <v>26</v>
      </c>
      <c r="E1053" s="2">
        <v>240</v>
      </c>
      <c r="F1053" s="2">
        <v>217</v>
      </c>
      <c r="G1053" s="2">
        <v>364.33333329999999</v>
      </c>
      <c r="H1053" s="2">
        <v>623.66666669999995</v>
      </c>
      <c r="I1053" s="2">
        <v>2589.666667</v>
      </c>
      <c r="J1053" s="2">
        <v>2.14</v>
      </c>
      <c r="K1053" s="2">
        <v>3.67</v>
      </c>
      <c r="L1053" s="2">
        <v>5.94</v>
      </c>
      <c r="M1053" s="2">
        <v>14.73</v>
      </c>
      <c r="N1053" s="2">
        <v>0.61204932700000003</v>
      </c>
      <c r="O1053" s="2">
        <v>1.1865028070000001</v>
      </c>
      <c r="P1053" s="2">
        <v>5.3352268900000004</v>
      </c>
      <c r="Q1053" s="2">
        <v>5.405150452</v>
      </c>
      <c r="R1053" s="2">
        <v>0.89625344699999998</v>
      </c>
      <c r="S1053" s="2">
        <v>0.88575453199999998</v>
      </c>
      <c r="T1053" s="2">
        <v>5.2594083060000001</v>
      </c>
      <c r="U1053" s="2">
        <v>5.3320812369999997</v>
      </c>
      <c r="V1053" s="2">
        <v>0.33752909199999998</v>
      </c>
      <c r="W1053" s="2">
        <v>0.121624789</v>
      </c>
      <c r="X1053">
        <f t="shared" si="48"/>
        <v>0</v>
      </c>
      <c r="Y1053">
        <f t="shared" si="49"/>
        <v>1</v>
      </c>
      <c r="Z1053">
        <f t="shared" si="50"/>
        <v>0</v>
      </c>
    </row>
    <row r="1054" spans="1:26" ht="15.75" customHeight="1" x14ac:dyDescent="0.2">
      <c r="A1054" s="2" t="s">
        <v>23</v>
      </c>
      <c r="B1054" s="2" t="s">
        <v>35</v>
      </c>
      <c r="C1054" s="2" t="s">
        <v>27</v>
      </c>
      <c r="D1054" s="2" t="s">
        <v>27</v>
      </c>
      <c r="E1054" s="2">
        <v>167</v>
      </c>
      <c r="F1054" s="2">
        <v>219.66666670000001</v>
      </c>
      <c r="G1054" s="2">
        <v>422</v>
      </c>
      <c r="H1054" s="2">
        <v>2501.333333</v>
      </c>
      <c r="I1054" s="2">
        <v>3146.333333</v>
      </c>
      <c r="J1054" s="2">
        <v>2.17</v>
      </c>
      <c r="K1054" s="2">
        <v>4.22</v>
      </c>
      <c r="L1054" s="2">
        <v>14.5</v>
      </c>
      <c r="M1054" s="2">
        <v>15.99</v>
      </c>
      <c r="N1054" s="2">
        <v>0.164938266</v>
      </c>
      <c r="O1054" s="2">
        <v>7.6382794000000004E-2</v>
      </c>
      <c r="P1054" s="2">
        <v>3.3189159419999998</v>
      </c>
      <c r="Q1054" s="2">
        <v>3.2455431680000002</v>
      </c>
      <c r="R1054" s="2">
        <v>0.34893817599999999</v>
      </c>
      <c r="S1054" s="2">
        <v>0.33843926099999999</v>
      </c>
      <c r="T1054" s="2">
        <v>3.3005219559999999</v>
      </c>
      <c r="U1054" s="2">
        <v>3.2278490240000002</v>
      </c>
      <c r="V1054" s="2">
        <v>0.88484436300000002</v>
      </c>
      <c r="W1054" s="2">
        <v>0.127697227</v>
      </c>
      <c r="X1054">
        <f t="shared" si="48"/>
        <v>0</v>
      </c>
      <c r="Y1054">
        <f t="shared" si="49"/>
        <v>1</v>
      </c>
      <c r="Z1054">
        <f t="shared" si="50"/>
        <v>0</v>
      </c>
    </row>
    <row r="1055" spans="1:26" ht="15.75" customHeight="1" x14ac:dyDescent="0.2">
      <c r="A1055" s="2" t="s">
        <v>23</v>
      </c>
      <c r="B1055" s="2" t="s">
        <v>35</v>
      </c>
      <c r="C1055" s="2" t="s">
        <v>27</v>
      </c>
      <c r="D1055" s="2" t="s">
        <v>27</v>
      </c>
      <c r="E1055" s="2">
        <v>163</v>
      </c>
      <c r="F1055" s="2">
        <v>211.66666670000001</v>
      </c>
      <c r="G1055" s="2">
        <v>412.33333329999999</v>
      </c>
      <c r="H1055" s="2">
        <v>2555.666667</v>
      </c>
      <c r="I1055" s="2">
        <v>3260</v>
      </c>
      <c r="J1055" s="2">
        <v>2.08</v>
      </c>
      <c r="K1055" s="2">
        <v>4.13</v>
      </c>
      <c r="L1055" s="2">
        <v>14.64</v>
      </c>
      <c r="M1055" s="2">
        <v>16.21</v>
      </c>
      <c r="N1055" s="2">
        <v>3.0828790000000002E-3</v>
      </c>
      <c r="O1055" s="2">
        <v>0.1225189</v>
      </c>
      <c r="P1055" s="2">
        <v>3.4701013610000002</v>
      </c>
      <c r="Q1055" s="2">
        <v>3.396684397</v>
      </c>
      <c r="R1055" s="2">
        <v>0.43882833700000001</v>
      </c>
      <c r="S1055" s="2">
        <v>0.42832942299999999</v>
      </c>
      <c r="T1055" s="2">
        <v>3.442242459</v>
      </c>
      <c r="U1055" s="2">
        <v>3.369569528</v>
      </c>
      <c r="V1055" s="2">
        <v>0.794954202</v>
      </c>
      <c r="W1055" s="2">
        <v>0.117105851</v>
      </c>
      <c r="X1055">
        <f t="shared" si="48"/>
        <v>0</v>
      </c>
      <c r="Y1055">
        <f t="shared" si="49"/>
        <v>1</v>
      </c>
      <c r="Z1055">
        <f t="shared" si="50"/>
        <v>0</v>
      </c>
    </row>
    <row r="1056" spans="1:26" ht="15.75" customHeight="1" x14ac:dyDescent="0.2">
      <c r="A1056" s="2" t="s">
        <v>23</v>
      </c>
      <c r="B1056" s="2" t="s">
        <v>35</v>
      </c>
      <c r="C1056" s="2" t="s">
        <v>32</v>
      </c>
      <c r="D1056" s="2" t="s">
        <v>33</v>
      </c>
      <c r="E1056" s="2">
        <v>152</v>
      </c>
      <c r="F1056" s="2">
        <v>205.66666670000001</v>
      </c>
      <c r="G1056" s="2">
        <v>597</v>
      </c>
      <c r="H1056" s="2">
        <v>1602.666667</v>
      </c>
      <c r="I1056" s="2">
        <v>3234.666667</v>
      </c>
      <c r="J1056" s="2">
        <v>2.02</v>
      </c>
      <c r="K1056" s="2">
        <v>5.73</v>
      </c>
      <c r="L1056" s="2">
        <v>11.53</v>
      </c>
      <c r="M1056" s="2">
        <v>16.16</v>
      </c>
      <c r="N1056" s="2">
        <v>1.5878339159999999</v>
      </c>
      <c r="O1056" s="2">
        <v>1.272938943</v>
      </c>
      <c r="P1056" s="2">
        <v>1.206704794</v>
      </c>
      <c r="Q1056" s="2">
        <v>1.1991738190000001</v>
      </c>
      <c r="R1056" s="2">
        <v>1.160858444</v>
      </c>
      <c r="S1056" s="2">
        <v>1.1713573589999999</v>
      </c>
      <c r="T1056" s="2">
        <v>0.32946036499999998</v>
      </c>
      <c r="U1056" s="2">
        <v>0.25678743399999998</v>
      </c>
      <c r="V1056" s="2">
        <v>2.394640984</v>
      </c>
      <c r="W1056" s="2">
        <v>0.121781443</v>
      </c>
      <c r="X1056">
        <f t="shared" si="48"/>
        <v>0</v>
      </c>
      <c r="Y1056">
        <f t="shared" si="49"/>
        <v>1</v>
      </c>
      <c r="Z1056">
        <f t="shared" si="50"/>
        <v>1</v>
      </c>
    </row>
    <row r="1057" spans="1:26" ht="15.75" customHeight="1" x14ac:dyDescent="0.2">
      <c r="A1057" s="2" t="s">
        <v>23</v>
      </c>
      <c r="B1057" s="2" t="s">
        <v>35</v>
      </c>
      <c r="C1057" s="2" t="s">
        <v>28</v>
      </c>
      <c r="D1057" s="2" t="s">
        <v>29</v>
      </c>
      <c r="E1057" s="2">
        <v>154</v>
      </c>
      <c r="F1057" s="2">
        <v>223.33333329999999</v>
      </c>
      <c r="G1057" s="2">
        <v>315.33333329999999</v>
      </c>
      <c r="H1057" s="2">
        <v>983</v>
      </c>
      <c r="I1057" s="2">
        <v>2301.333333</v>
      </c>
      <c r="J1057" s="2">
        <v>2.21</v>
      </c>
      <c r="K1057" s="2">
        <v>3.19</v>
      </c>
      <c r="L1057" s="2">
        <v>8.42</v>
      </c>
      <c r="M1057" s="2">
        <v>13.95</v>
      </c>
      <c r="N1057" s="2">
        <v>2.093216355</v>
      </c>
      <c r="O1057" s="2">
        <v>1.5339597970000001</v>
      </c>
      <c r="P1057" s="2">
        <v>3.1016061150000001</v>
      </c>
      <c r="Q1057" s="2">
        <v>3.1622476380000002</v>
      </c>
      <c r="R1057" s="2">
        <v>1.3831150510000001</v>
      </c>
      <c r="S1057" s="2">
        <v>1.3726161370000001</v>
      </c>
      <c r="T1057" s="2">
        <v>2.776139991</v>
      </c>
      <c r="U1057" s="2">
        <v>2.848812922</v>
      </c>
      <c r="V1057" s="2">
        <v>-0.149332512</v>
      </c>
      <c r="W1057" s="2">
        <v>0.14596605100000001</v>
      </c>
      <c r="X1057">
        <f t="shared" si="48"/>
        <v>0</v>
      </c>
      <c r="Y1057">
        <f t="shared" si="49"/>
        <v>1</v>
      </c>
      <c r="Z1057">
        <f t="shared" si="50"/>
        <v>1</v>
      </c>
    </row>
    <row r="1058" spans="1:26" ht="15.75" customHeight="1" x14ac:dyDescent="0.2">
      <c r="A1058" s="2" t="s">
        <v>23</v>
      </c>
      <c r="B1058" s="2" t="s">
        <v>35</v>
      </c>
      <c r="C1058" s="2" t="s">
        <v>26</v>
      </c>
      <c r="D1058" s="2" t="s">
        <v>26</v>
      </c>
      <c r="E1058" s="2">
        <v>158</v>
      </c>
      <c r="F1058" s="2">
        <v>210.66666670000001</v>
      </c>
      <c r="G1058" s="2">
        <v>398</v>
      </c>
      <c r="H1058" s="2">
        <v>787.66666669999995</v>
      </c>
      <c r="I1058" s="2">
        <v>2869.666667</v>
      </c>
      <c r="J1058" s="2">
        <v>2.0699999999999998</v>
      </c>
      <c r="K1058" s="2">
        <v>4</v>
      </c>
      <c r="L1058" s="2">
        <v>7.16</v>
      </c>
      <c r="M1058" s="2">
        <v>15.4</v>
      </c>
      <c r="N1058" s="2">
        <v>0.67545389</v>
      </c>
      <c r="O1058" s="2">
        <v>7.5302112000000004E-2</v>
      </c>
      <c r="P1058" s="2">
        <v>4.0859154450000004</v>
      </c>
      <c r="Q1058" s="2">
        <v>4.156446495</v>
      </c>
      <c r="R1058" s="2">
        <v>0.57347034299999999</v>
      </c>
      <c r="S1058" s="2">
        <v>0.56297142899999997</v>
      </c>
      <c r="T1058" s="2">
        <v>4.0454711449999996</v>
      </c>
      <c r="U1058" s="2">
        <v>4.1181440760000001</v>
      </c>
      <c r="V1058" s="2">
        <v>0.66031219600000002</v>
      </c>
      <c r="W1058" s="2">
        <v>0.11086361</v>
      </c>
      <c r="X1058">
        <f t="shared" si="48"/>
        <v>0</v>
      </c>
      <c r="Y1058">
        <f t="shared" si="49"/>
        <v>1</v>
      </c>
      <c r="Z1058">
        <f t="shared" si="50"/>
        <v>0</v>
      </c>
    </row>
    <row r="1059" spans="1:26" ht="15.75" customHeight="1" x14ac:dyDescent="0.2">
      <c r="A1059" s="2" t="s">
        <v>23</v>
      </c>
      <c r="B1059" s="2" t="s">
        <v>35</v>
      </c>
      <c r="C1059" s="2" t="s">
        <v>30</v>
      </c>
      <c r="D1059" s="2" t="s">
        <v>31</v>
      </c>
      <c r="E1059" s="2">
        <v>152</v>
      </c>
      <c r="F1059" s="2">
        <v>211.66666670000001</v>
      </c>
      <c r="G1059" s="2">
        <v>727.33333330000005</v>
      </c>
      <c r="H1059" s="2">
        <v>1343.333333</v>
      </c>
      <c r="I1059" s="2">
        <v>3581</v>
      </c>
      <c r="J1059" s="2">
        <v>2.08</v>
      </c>
      <c r="K1059" s="2">
        <v>6.73</v>
      </c>
      <c r="L1059" s="2">
        <v>10.37</v>
      </c>
      <c r="M1059" s="2">
        <v>16.8</v>
      </c>
      <c r="N1059" s="2">
        <v>4.9951041350000001</v>
      </c>
      <c r="O1059" s="2">
        <v>4.8860541470000003</v>
      </c>
      <c r="P1059" s="2">
        <v>2.3111347200000001</v>
      </c>
      <c r="Q1059" s="2">
        <v>2.3478615949999999</v>
      </c>
      <c r="R1059" s="2">
        <v>2.1575393109999998</v>
      </c>
      <c r="S1059" s="2">
        <v>2.1680382250000001</v>
      </c>
      <c r="T1059" s="2">
        <v>0.828473185</v>
      </c>
      <c r="U1059" s="2">
        <v>0.90114611600000005</v>
      </c>
      <c r="V1059" s="2">
        <v>3.3913218500000002</v>
      </c>
      <c r="W1059" s="2">
        <v>8.9395197999999995E-2</v>
      </c>
      <c r="X1059">
        <f t="shared" si="48"/>
        <v>0</v>
      </c>
      <c r="Y1059">
        <f t="shared" si="49"/>
        <v>1</v>
      </c>
      <c r="Z1059">
        <f t="shared" si="50"/>
        <v>1</v>
      </c>
    </row>
    <row r="1060" spans="1:26" ht="15.75" customHeight="1" x14ac:dyDescent="0.2">
      <c r="A1060" s="2" t="s">
        <v>23</v>
      </c>
      <c r="B1060" s="2" t="s">
        <v>35</v>
      </c>
      <c r="C1060" s="2" t="s">
        <v>27</v>
      </c>
      <c r="D1060" s="2" t="s">
        <v>27</v>
      </c>
      <c r="E1060" s="2">
        <v>177</v>
      </c>
      <c r="F1060" s="2">
        <v>208.66666670000001</v>
      </c>
      <c r="G1060" s="2">
        <v>407</v>
      </c>
      <c r="H1060" s="2">
        <v>2515.333333</v>
      </c>
      <c r="I1060" s="2">
        <v>3250.666667</v>
      </c>
      <c r="J1060" s="2">
        <v>2.0499999999999998</v>
      </c>
      <c r="K1060" s="2">
        <v>4.08</v>
      </c>
      <c r="L1060" s="2">
        <v>14.54</v>
      </c>
      <c r="M1060" s="2">
        <v>16.2</v>
      </c>
      <c r="N1060" s="2">
        <v>0.113711759</v>
      </c>
      <c r="O1060" s="2">
        <v>6.8200298000000006E-2</v>
      </c>
      <c r="P1060" s="2">
        <v>3.3729644539999999</v>
      </c>
      <c r="Q1060" s="2">
        <v>3.2995372010000001</v>
      </c>
      <c r="R1060" s="2">
        <v>0.48873719700000001</v>
      </c>
      <c r="S1060" s="2">
        <v>0.47823828200000001</v>
      </c>
      <c r="T1060" s="2">
        <v>3.337367999</v>
      </c>
      <c r="U1060" s="2">
        <v>3.264695068</v>
      </c>
      <c r="V1060" s="2">
        <v>0.74504534300000003</v>
      </c>
      <c r="W1060" s="2">
        <v>8.6605725999999994E-2</v>
      </c>
      <c r="X1060">
        <f t="shared" si="48"/>
        <v>0</v>
      </c>
      <c r="Y1060">
        <f t="shared" si="49"/>
        <v>1</v>
      </c>
      <c r="Z1060">
        <f t="shared" si="50"/>
        <v>0</v>
      </c>
    </row>
    <row r="1061" spans="1:26" ht="15.75" customHeight="1" x14ac:dyDescent="0.2">
      <c r="A1061" s="2" t="s">
        <v>23</v>
      </c>
      <c r="B1061" s="2" t="s">
        <v>35</v>
      </c>
      <c r="C1061" s="2" t="s">
        <v>30</v>
      </c>
      <c r="D1061" s="2" t="s">
        <v>31</v>
      </c>
      <c r="E1061" s="2">
        <v>191</v>
      </c>
      <c r="F1061" s="2">
        <v>227</v>
      </c>
      <c r="G1061" s="2">
        <v>735</v>
      </c>
      <c r="H1061" s="2">
        <v>1301</v>
      </c>
      <c r="I1061" s="2">
        <v>3478</v>
      </c>
      <c r="J1061" s="2">
        <v>2.25</v>
      </c>
      <c r="K1061" s="2">
        <v>6.78</v>
      </c>
      <c r="L1061" s="2">
        <v>10.17</v>
      </c>
      <c r="M1061" s="2">
        <v>16.62</v>
      </c>
      <c r="N1061" s="2">
        <v>5.2007878400000003</v>
      </c>
      <c r="O1061" s="2">
        <v>5.0911696280000003</v>
      </c>
      <c r="P1061" s="2">
        <v>2.4432115840000002</v>
      </c>
      <c r="Q1061" s="2">
        <v>2.4842656870000002</v>
      </c>
      <c r="R1061" s="2">
        <v>2.2131654799999998</v>
      </c>
      <c r="S1061" s="2">
        <v>2.2236643950000001</v>
      </c>
      <c r="T1061" s="2">
        <v>1.034978937</v>
      </c>
      <c r="U1061" s="2">
        <v>1.107651868</v>
      </c>
      <c r="V1061" s="2">
        <v>3.4469480199999998</v>
      </c>
      <c r="W1061" s="2">
        <v>0.13520170100000001</v>
      </c>
      <c r="X1061">
        <f t="shared" si="48"/>
        <v>0</v>
      </c>
      <c r="Y1061">
        <f t="shared" si="49"/>
        <v>1</v>
      </c>
      <c r="Z1061">
        <f t="shared" si="50"/>
        <v>1</v>
      </c>
    </row>
    <row r="1062" spans="1:26" ht="15.75" customHeight="1" x14ac:dyDescent="0.2">
      <c r="A1062" s="2" t="s">
        <v>23</v>
      </c>
      <c r="B1062" s="2" t="s">
        <v>35</v>
      </c>
      <c r="C1062" s="2" t="s">
        <v>26</v>
      </c>
      <c r="D1062" s="2" t="s">
        <v>26</v>
      </c>
      <c r="E1062" s="2">
        <v>141</v>
      </c>
      <c r="F1062" s="2">
        <v>206.66666670000001</v>
      </c>
      <c r="G1062" s="2">
        <v>392.66666670000001</v>
      </c>
      <c r="H1062" s="2">
        <v>657.33333330000005</v>
      </c>
      <c r="I1062" s="2">
        <v>2673</v>
      </c>
      <c r="J1062" s="2">
        <v>2.0299999999999998</v>
      </c>
      <c r="K1062" s="2">
        <v>3.94</v>
      </c>
      <c r="L1062" s="2">
        <v>6.2</v>
      </c>
      <c r="M1062" s="2">
        <v>14.94</v>
      </c>
      <c r="N1062" s="2">
        <v>0.27822493700000001</v>
      </c>
      <c r="O1062" s="2">
        <v>0.89191741199999997</v>
      </c>
      <c r="P1062" s="2">
        <v>5.0365991110000001</v>
      </c>
      <c r="Q1062" s="2">
        <v>5.1074483659999999</v>
      </c>
      <c r="R1062" s="2">
        <v>0.62398849099999998</v>
      </c>
      <c r="S1062" s="2">
        <v>0.61348957599999998</v>
      </c>
      <c r="T1062" s="2">
        <v>4.9977964110000004</v>
      </c>
      <c r="U1062" s="2">
        <v>5.070469342</v>
      </c>
      <c r="V1062" s="2">
        <v>0.609794049</v>
      </c>
      <c r="W1062" s="2">
        <v>0.14225469800000001</v>
      </c>
      <c r="X1062">
        <f t="shared" si="48"/>
        <v>0</v>
      </c>
      <c r="Y1062">
        <f t="shared" si="49"/>
        <v>1</v>
      </c>
      <c r="Z1062">
        <f t="shared" si="50"/>
        <v>0</v>
      </c>
    </row>
    <row r="1063" spans="1:26" ht="15.75" customHeight="1" x14ac:dyDescent="0.2">
      <c r="A1063" s="2" t="s">
        <v>23</v>
      </c>
      <c r="B1063" s="2" t="s">
        <v>35</v>
      </c>
      <c r="C1063" s="2" t="s">
        <v>26</v>
      </c>
      <c r="D1063" s="2" t="s">
        <v>26</v>
      </c>
      <c r="E1063" s="2">
        <v>197</v>
      </c>
      <c r="F1063" s="2">
        <v>216</v>
      </c>
      <c r="G1063" s="2">
        <v>396.66666670000001</v>
      </c>
      <c r="H1063" s="2">
        <v>858.66666669999995</v>
      </c>
      <c r="I1063" s="2">
        <v>2685.666667</v>
      </c>
      <c r="J1063" s="2">
        <v>2.13</v>
      </c>
      <c r="K1063" s="2">
        <v>3.98</v>
      </c>
      <c r="L1063" s="2">
        <v>7.64</v>
      </c>
      <c r="M1063" s="2">
        <v>14.97</v>
      </c>
      <c r="N1063" s="2">
        <v>1.1565446800000001</v>
      </c>
      <c r="O1063" s="2">
        <v>0.54311801800000004</v>
      </c>
      <c r="P1063" s="2">
        <v>3.6116119200000001</v>
      </c>
      <c r="Q1063" s="2">
        <v>3.681684524</v>
      </c>
      <c r="R1063" s="2">
        <v>0.58607844399999998</v>
      </c>
      <c r="S1063" s="2">
        <v>0.57557952899999998</v>
      </c>
      <c r="T1063" s="2">
        <v>3.5637413929999999</v>
      </c>
      <c r="U1063" s="2">
        <v>3.6364143250000001</v>
      </c>
      <c r="V1063" s="2">
        <v>0.64770409500000004</v>
      </c>
      <c r="W1063" s="2">
        <v>0.10296862</v>
      </c>
      <c r="X1063">
        <f t="shared" si="48"/>
        <v>0</v>
      </c>
      <c r="Y1063">
        <f t="shared" si="49"/>
        <v>1</v>
      </c>
      <c r="Z1063">
        <f t="shared" si="50"/>
        <v>0</v>
      </c>
    </row>
    <row r="1064" spans="1:26" ht="15.75" customHeight="1" x14ac:dyDescent="0.2">
      <c r="A1064" s="2" t="s">
        <v>23</v>
      </c>
      <c r="B1064" s="2" t="s">
        <v>35</v>
      </c>
      <c r="C1064" s="2" t="s">
        <v>26</v>
      </c>
      <c r="D1064" s="2" t="s">
        <v>26</v>
      </c>
      <c r="E1064" s="2">
        <v>154</v>
      </c>
      <c r="F1064" s="2">
        <v>214.66666670000001</v>
      </c>
      <c r="G1064" s="2">
        <v>404.66666670000001</v>
      </c>
      <c r="H1064" s="2">
        <v>527.66666669999995</v>
      </c>
      <c r="I1064" s="2">
        <v>2935.333333</v>
      </c>
      <c r="J1064" s="2">
        <v>2.12</v>
      </c>
      <c r="K1064" s="2">
        <v>4.0599999999999996</v>
      </c>
      <c r="L1064" s="2">
        <v>5.16</v>
      </c>
      <c r="M1064" s="2">
        <v>15.55</v>
      </c>
      <c r="N1064" s="2">
        <v>1.3276656099999999</v>
      </c>
      <c r="O1064" s="2">
        <v>1.9413708919999999</v>
      </c>
      <c r="P1064" s="2">
        <v>6.065806362</v>
      </c>
      <c r="Q1064" s="2">
        <v>6.1373598759999997</v>
      </c>
      <c r="R1064" s="2">
        <v>0.51064311600000001</v>
      </c>
      <c r="S1064" s="2">
        <v>0.50014420100000001</v>
      </c>
      <c r="T1064" s="2">
        <v>6.0442741849999999</v>
      </c>
      <c r="U1064" s="2">
        <v>6.1169471160000004</v>
      </c>
      <c r="V1064" s="2">
        <v>0.723139423</v>
      </c>
      <c r="W1064" s="2">
        <v>0.118385747</v>
      </c>
      <c r="X1064">
        <f t="shared" si="48"/>
        <v>0</v>
      </c>
      <c r="Y1064">
        <f t="shared" si="49"/>
        <v>1</v>
      </c>
      <c r="Z1064">
        <f t="shared" si="50"/>
        <v>0</v>
      </c>
    </row>
    <row r="1065" spans="1:26" ht="15.75" customHeight="1" x14ac:dyDescent="0.2">
      <c r="A1065" s="2" t="s">
        <v>23</v>
      </c>
      <c r="B1065" s="2" t="s">
        <v>35</v>
      </c>
      <c r="C1065" s="2" t="s">
        <v>25</v>
      </c>
      <c r="D1065" s="2" t="s">
        <v>25</v>
      </c>
      <c r="E1065" s="2">
        <v>208</v>
      </c>
      <c r="F1065" s="2">
        <v>183.33333329999999</v>
      </c>
      <c r="G1065" s="2">
        <v>802.33333330000005</v>
      </c>
      <c r="H1065" s="2">
        <v>1480</v>
      </c>
      <c r="I1065" s="2">
        <v>3110</v>
      </c>
      <c r="J1065" s="2">
        <v>1.76</v>
      </c>
      <c r="K1065" s="2">
        <v>7.26</v>
      </c>
      <c r="L1065" s="2">
        <v>11</v>
      </c>
      <c r="M1065" s="2">
        <v>15.92</v>
      </c>
      <c r="N1065" s="2">
        <v>0.218009279</v>
      </c>
      <c r="O1065" s="2">
        <v>0.46583414400000001</v>
      </c>
      <c r="P1065" s="2">
        <v>2.6956149069999999</v>
      </c>
      <c r="Q1065" s="2">
        <v>2.7123314679999999</v>
      </c>
      <c r="R1065" s="2">
        <v>2.688443956</v>
      </c>
      <c r="S1065" s="2">
        <v>2.6989428709999999</v>
      </c>
      <c r="T1065" s="2">
        <v>0.19649127799999999</v>
      </c>
      <c r="U1065" s="2">
        <v>0.26916420899999999</v>
      </c>
      <c r="V1065" s="2">
        <v>3.9222264949999999</v>
      </c>
      <c r="W1065" s="2">
        <v>7.4811995000000006E-2</v>
      </c>
      <c r="X1065">
        <f t="shared" si="48"/>
        <v>0</v>
      </c>
      <c r="Y1065">
        <f t="shared" si="49"/>
        <v>1</v>
      </c>
      <c r="Z1065">
        <f t="shared" si="50"/>
        <v>0</v>
      </c>
    </row>
    <row r="1066" spans="1:26" ht="15.75" customHeight="1" x14ac:dyDescent="0.2">
      <c r="A1066" s="2" t="s">
        <v>23</v>
      </c>
      <c r="B1066" s="2" t="s">
        <v>35</v>
      </c>
      <c r="C1066" s="2" t="s">
        <v>25</v>
      </c>
      <c r="D1066" s="2" t="s">
        <v>25</v>
      </c>
      <c r="E1066" s="2">
        <v>164</v>
      </c>
      <c r="F1066" s="2">
        <v>215.33333329999999</v>
      </c>
      <c r="G1066" s="2">
        <v>728</v>
      </c>
      <c r="H1066" s="2">
        <v>1428</v>
      </c>
      <c r="I1066" s="2">
        <v>3114</v>
      </c>
      <c r="J1066" s="2">
        <v>2.12</v>
      </c>
      <c r="K1066" s="2">
        <v>6.73</v>
      </c>
      <c r="L1066" s="2">
        <v>10.77</v>
      </c>
      <c r="M1066" s="2">
        <v>15.92</v>
      </c>
      <c r="N1066" s="2">
        <v>0.71536565100000005</v>
      </c>
      <c r="O1066" s="2">
        <v>0.67304055399999996</v>
      </c>
      <c r="P1066" s="2">
        <v>2.2049123229999998</v>
      </c>
      <c r="Q1066" s="2">
        <v>2.2304867779999999</v>
      </c>
      <c r="R1066" s="2">
        <v>2.1623889649999999</v>
      </c>
      <c r="S1066" s="2">
        <v>2.1728878800000002</v>
      </c>
      <c r="T1066" s="2">
        <v>0.430943517</v>
      </c>
      <c r="U1066" s="2">
        <v>0.50361644800000005</v>
      </c>
      <c r="V1066" s="2">
        <v>3.3961715049999999</v>
      </c>
      <c r="W1066" s="2">
        <v>9.7420335999999996E-2</v>
      </c>
      <c r="X1066">
        <f t="shared" si="48"/>
        <v>0</v>
      </c>
      <c r="Y1066">
        <f t="shared" si="49"/>
        <v>1</v>
      </c>
      <c r="Z1066">
        <f t="shared" si="50"/>
        <v>0</v>
      </c>
    </row>
    <row r="1067" spans="1:26" ht="15.75" customHeight="1" x14ac:dyDescent="0.2">
      <c r="A1067" s="2" t="s">
        <v>23</v>
      </c>
      <c r="B1067" s="2" t="s">
        <v>35</v>
      </c>
      <c r="C1067" s="2" t="s">
        <v>25</v>
      </c>
      <c r="D1067" s="2" t="s">
        <v>25</v>
      </c>
      <c r="E1067" s="2">
        <v>240</v>
      </c>
      <c r="F1067" s="2">
        <v>195.66666670000001</v>
      </c>
      <c r="G1067" s="2">
        <v>916</v>
      </c>
      <c r="H1067" s="2">
        <v>1726.333333</v>
      </c>
      <c r="I1067" s="2">
        <v>3039.666667</v>
      </c>
      <c r="J1067" s="2">
        <v>1.9</v>
      </c>
      <c r="K1067" s="2">
        <v>8.01</v>
      </c>
      <c r="L1067" s="2">
        <v>12.03</v>
      </c>
      <c r="M1067" s="2">
        <v>15.77</v>
      </c>
      <c r="N1067" s="2">
        <v>1.081272985</v>
      </c>
      <c r="O1067" s="2">
        <v>1.1971851060000001</v>
      </c>
      <c r="P1067" s="2">
        <v>3.5376430010000002</v>
      </c>
      <c r="Q1067" s="2">
        <v>3.531677234</v>
      </c>
      <c r="R1067" s="2">
        <v>3.4402763670000001</v>
      </c>
      <c r="S1067" s="2">
        <v>3.4507752809999999</v>
      </c>
      <c r="T1067" s="2">
        <v>0.82426726500000003</v>
      </c>
      <c r="U1067" s="2">
        <v>0.751594333</v>
      </c>
      <c r="V1067" s="2">
        <v>4.674058906</v>
      </c>
      <c r="W1067" s="2">
        <v>7.0851619000000005E-2</v>
      </c>
      <c r="X1067">
        <f t="shared" si="48"/>
        <v>0</v>
      </c>
      <c r="Y1067">
        <f t="shared" si="49"/>
        <v>1</v>
      </c>
      <c r="Z1067">
        <f t="shared" si="50"/>
        <v>0</v>
      </c>
    </row>
    <row r="1068" spans="1:26" ht="15.75" customHeight="1" x14ac:dyDescent="0.2">
      <c r="A1068" s="2" t="s">
        <v>23</v>
      </c>
      <c r="B1068" s="2" t="s">
        <v>35</v>
      </c>
      <c r="C1068" s="2" t="s">
        <v>28</v>
      </c>
      <c r="D1068" s="2" t="s">
        <v>29</v>
      </c>
      <c r="E1068" s="2">
        <v>129</v>
      </c>
      <c r="F1068" s="2">
        <v>201</v>
      </c>
      <c r="G1068" s="2">
        <v>267</v>
      </c>
      <c r="H1068" s="2">
        <v>1360.333333</v>
      </c>
      <c r="I1068" s="2">
        <v>2218.333333</v>
      </c>
      <c r="J1068" s="2">
        <v>1.96</v>
      </c>
      <c r="K1068" s="2">
        <v>2.68</v>
      </c>
      <c r="L1068" s="2">
        <v>10.45</v>
      </c>
      <c r="M1068" s="2">
        <v>13.7</v>
      </c>
      <c r="N1068" s="2">
        <v>4.1734000030000002</v>
      </c>
      <c r="O1068" s="2">
        <v>3.5895117920000001</v>
      </c>
      <c r="P1068" s="2">
        <v>2.0270162420000002</v>
      </c>
      <c r="Q1068" s="2">
        <v>2.0452864590000002</v>
      </c>
      <c r="R1068" s="2">
        <v>1.8843419690000001</v>
      </c>
      <c r="S1068" s="2">
        <v>1.873843055</v>
      </c>
      <c r="T1068" s="2">
        <v>0.74702756699999995</v>
      </c>
      <c r="U1068" s="2">
        <v>0.819700498</v>
      </c>
      <c r="V1068" s="2">
        <v>-0.65055943000000005</v>
      </c>
      <c r="W1068" s="2">
        <v>9.4115154000000006E-2</v>
      </c>
      <c r="X1068">
        <f t="shared" si="48"/>
        <v>0</v>
      </c>
      <c r="Y1068">
        <f t="shared" si="49"/>
        <v>1</v>
      </c>
      <c r="Z1068">
        <f t="shared" si="50"/>
        <v>1</v>
      </c>
    </row>
    <row r="1069" spans="1:26" ht="15.75" customHeight="1" x14ac:dyDescent="0.2">
      <c r="A1069" s="2" t="s">
        <v>23</v>
      </c>
      <c r="B1069" s="2" t="s">
        <v>35</v>
      </c>
      <c r="C1069" s="2" t="s">
        <v>30</v>
      </c>
      <c r="D1069" s="2" t="s">
        <v>31</v>
      </c>
      <c r="E1069" s="2">
        <v>174</v>
      </c>
      <c r="F1069" s="2">
        <v>195.66666670000001</v>
      </c>
      <c r="G1069" s="2">
        <v>670.66666669999995</v>
      </c>
      <c r="H1069" s="2">
        <v>1084.666667</v>
      </c>
      <c r="I1069" s="2">
        <v>2996</v>
      </c>
      <c r="J1069" s="2">
        <v>1.9</v>
      </c>
      <c r="K1069" s="2">
        <v>6.3</v>
      </c>
      <c r="L1069" s="2">
        <v>9.02</v>
      </c>
      <c r="M1069" s="2">
        <v>15.68</v>
      </c>
      <c r="N1069" s="2">
        <v>6.0252335190000004</v>
      </c>
      <c r="O1069" s="2">
        <v>5.9092274050000002</v>
      </c>
      <c r="P1069" s="2">
        <v>2.7869229519999998</v>
      </c>
      <c r="Q1069" s="2">
        <v>2.8505497270000002</v>
      </c>
      <c r="R1069" s="2">
        <v>1.736334628</v>
      </c>
      <c r="S1069" s="2">
        <v>1.7468335420000001</v>
      </c>
      <c r="T1069" s="2">
        <v>2.1799269720000001</v>
      </c>
      <c r="U1069" s="2">
        <v>2.2525999030000001</v>
      </c>
      <c r="V1069" s="2">
        <v>2.9701171670000002</v>
      </c>
      <c r="W1069" s="2">
        <v>6.2422291999999997E-2</v>
      </c>
      <c r="X1069">
        <f t="shared" si="48"/>
        <v>0</v>
      </c>
      <c r="Y1069">
        <f t="shared" si="49"/>
        <v>1</v>
      </c>
      <c r="Z1069">
        <f t="shared" si="50"/>
        <v>1</v>
      </c>
    </row>
    <row r="1070" spans="1:26" ht="15.75" customHeight="1" x14ac:dyDescent="0.2">
      <c r="A1070" s="2" t="s">
        <v>23</v>
      </c>
      <c r="B1070" s="2" t="s">
        <v>35</v>
      </c>
      <c r="C1070" s="2" t="s">
        <v>32</v>
      </c>
      <c r="D1070" s="2" t="s">
        <v>33</v>
      </c>
      <c r="E1070" s="2">
        <v>161</v>
      </c>
      <c r="F1070" s="2">
        <v>214.33333329999999</v>
      </c>
      <c r="G1070" s="2">
        <v>574</v>
      </c>
      <c r="H1070" s="2">
        <v>1244</v>
      </c>
      <c r="I1070" s="2">
        <v>3101.333333</v>
      </c>
      <c r="J1070" s="2">
        <v>2.11</v>
      </c>
      <c r="K1070" s="2">
        <v>5.54</v>
      </c>
      <c r="L1070" s="2">
        <v>9.8800000000000008</v>
      </c>
      <c r="M1070" s="2">
        <v>15.9</v>
      </c>
      <c r="N1070" s="2">
        <v>2.1998918289999998</v>
      </c>
      <c r="O1070" s="2">
        <v>2.0945856269999998</v>
      </c>
      <c r="P1070" s="2">
        <v>1.6419744489999999</v>
      </c>
      <c r="Q1070" s="2">
        <v>1.707052113</v>
      </c>
      <c r="R1070" s="2">
        <v>0.97433072399999998</v>
      </c>
      <c r="S1070" s="2">
        <v>0.98482963899999998</v>
      </c>
      <c r="T1070" s="2">
        <v>1.321650381</v>
      </c>
      <c r="U1070" s="2">
        <v>1.3943233129999999</v>
      </c>
      <c r="V1070" s="2">
        <v>2.208113263</v>
      </c>
      <c r="W1070" s="2">
        <v>0.13310378</v>
      </c>
      <c r="X1070">
        <f t="shared" si="48"/>
        <v>0</v>
      </c>
      <c r="Y1070">
        <f t="shared" si="49"/>
        <v>1</v>
      </c>
      <c r="Z1070">
        <f t="shared" si="50"/>
        <v>1</v>
      </c>
    </row>
    <row r="1071" spans="1:26" ht="15.75" customHeight="1" x14ac:dyDescent="0.2">
      <c r="A1071" s="2" t="s">
        <v>23</v>
      </c>
      <c r="B1071" s="2" t="s">
        <v>35</v>
      </c>
      <c r="C1071" s="2" t="s">
        <v>26</v>
      </c>
      <c r="D1071" s="2" t="s">
        <v>26</v>
      </c>
      <c r="E1071" s="2">
        <v>194</v>
      </c>
      <c r="F1071" s="2">
        <v>216.66666670000001</v>
      </c>
      <c r="G1071" s="2">
        <v>400</v>
      </c>
      <c r="H1071" s="2">
        <v>838.66666669999995</v>
      </c>
      <c r="I1071" s="2">
        <v>2793.666667</v>
      </c>
      <c r="J1071" s="2">
        <v>2.14</v>
      </c>
      <c r="K1071" s="2">
        <v>4.01</v>
      </c>
      <c r="L1071" s="2">
        <v>7.5</v>
      </c>
      <c r="M1071" s="2">
        <v>15.23</v>
      </c>
      <c r="N1071" s="2">
        <v>1.0244667460000001</v>
      </c>
      <c r="O1071" s="2">
        <v>0.41387961899999998</v>
      </c>
      <c r="P1071" s="2">
        <v>3.738332523</v>
      </c>
      <c r="Q1071" s="2">
        <v>3.8087025900000002</v>
      </c>
      <c r="R1071" s="2">
        <v>0.55458490500000002</v>
      </c>
      <c r="S1071" s="2">
        <v>0.54408599000000002</v>
      </c>
      <c r="T1071" s="2">
        <v>3.6969670859999999</v>
      </c>
      <c r="U1071" s="2">
        <v>3.769640017</v>
      </c>
      <c r="V1071" s="2">
        <v>0.67919763399999999</v>
      </c>
      <c r="W1071" s="2">
        <v>0.105237233</v>
      </c>
      <c r="X1071">
        <f t="shared" si="48"/>
        <v>0</v>
      </c>
      <c r="Y1071">
        <f t="shared" si="49"/>
        <v>1</v>
      </c>
      <c r="Z1071">
        <f t="shared" si="50"/>
        <v>0</v>
      </c>
    </row>
    <row r="1072" spans="1:26" ht="15.75" customHeight="1" x14ac:dyDescent="0.2">
      <c r="A1072" s="2" t="s">
        <v>23</v>
      </c>
      <c r="B1072" s="2" t="s">
        <v>35</v>
      </c>
      <c r="C1072" s="2" t="s">
        <v>32</v>
      </c>
      <c r="D1072" s="2" t="s">
        <v>33</v>
      </c>
      <c r="E1072" s="2">
        <v>173</v>
      </c>
      <c r="F1072" s="2">
        <v>204.33333329999999</v>
      </c>
      <c r="G1072" s="2">
        <v>608</v>
      </c>
      <c r="H1072" s="2">
        <v>1277.333333</v>
      </c>
      <c r="I1072" s="2">
        <v>2645</v>
      </c>
      <c r="J1072" s="2">
        <v>2</v>
      </c>
      <c r="K1072" s="2">
        <v>5.82</v>
      </c>
      <c r="L1072" s="2">
        <v>10.050000000000001</v>
      </c>
      <c r="M1072" s="2">
        <v>14.87</v>
      </c>
      <c r="N1072" s="2">
        <v>1.8796066730000001</v>
      </c>
      <c r="O1072" s="2">
        <v>1.7844048880000001</v>
      </c>
      <c r="P1072" s="2">
        <v>1.699594117</v>
      </c>
      <c r="Q1072" s="2">
        <v>1.7572101609999999</v>
      </c>
      <c r="R1072" s="2">
        <v>1.248886239</v>
      </c>
      <c r="S1072" s="2">
        <v>1.2593851540000001</v>
      </c>
      <c r="T1072" s="2">
        <v>1.1527806920000001</v>
      </c>
      <c r="U1072" s="2">
        <v>1.2254536229999999</v>
      </c>
      <c r="V1072" s="2">
        <v>2.4826687789999999</v>
      </c>
      <c r="W1072" s="2">
        <v>5.7283371E-2</v>
      </c>
      <c r="X1072">
        <f t="shared" si="48"/>
        <v>0</v>
      </c>
      <c r="Y1072">
        <f t="shared" si="49"/>
        <v>1</v>
      </c>
      <c r="Z1072">
        <f t="shared" si="50"/>
        <v>1</v>
      </c>
    </row>
    <row r="1073" spans="1:26" ht="15.75" customHeight="1" x14ac:dyDescent="0.2">
      <c r="A1073" s="2" t="s">
        <v>23</v>
      </c>
      <c r="B1073" s="2" t="s">
        <v>35</v>
      </c>
      <c r="C1073" s="2" t="s">
        <v>28</v>
      </c>
      <c r="D1073" s="2" t="s">
        <v>29</v>
      </c>
      <c r="E1073" s="2">
        <v>164</v>
      </c>
      <c r="F1073" s="2">
        <v>210.66666670000001</v>
      </c>
      <c r="G1073" s="2">
        <v>279.33333329999999</v>
      </c>
      <c r="H1073" s="2">
        <v>1232.333333</v>
      </c>
      <c r="I1073" s="2">
        <v>2858</v>
      </c>
      <c r="J1073" s="2">
        <v>2.0699999999999998</v>
      </c>
      <c r="K1073" s="2">
        <v>2.81</v>
      </c>
      <c r="L1073" s="2">
        <v>9.82</v>
      </c>
      <c r="M1073" s="2">
        <v>15.37</v>
      </c>
      <c r="N1073" s="2">
        <v>3.5302241990000001</v>
      </c>
      <c r="O1073" s="2">
        <v>2.9516621600000001</v>
      </c>
      <c r="P1073" s="2">
        <v>2.2330824800000002</v>
      </c>
      <c r="Q1073" s="2">
        <v>2.2706868390000001</v>
      </c>
      <c r="R1073" s="2">
        <v>1.7543865510000001</v>
      </c>
      <c r="S1073" s="2">
        <v>1.743887636</v>
      </c>
      <c r="T1073" s="2">
        <v>1.381587924</v>
      </c>
      <c r="U1073" s="2">
        <v>1.454260855</v>
      </c>
      <c r="V1073" s="2">
        <v>-0.52060401099999998</v>
      </c>
      <c r="W1073" s="2">
        <v>7.716257E-2</v>
      </c>
      <c r="X1073">
        <f t="shared" si="48"/>
        <v>0</v>
      </c>
      <c r="Y1073">
        <f t="shared" si="49"/>
        <v>1</v>
      </c>
      <c r="Z1073">
        <f t="shared" si="50"/>
        <v>1</v>
      </c>
    </row>
    <row r="1074" spans="1:26" ht="15.75" customHeight="1" x14ac:dyDescent="0.2">
      <c r="A1074" s="2" t="s">
        <v>23</v>
      </c>
      <c r="B1074" s="2" t="s">
        <v>35</v>
      </c>
      <c r="C1074" s="2" t="s">
        <v>32</v>
      </c>
      <c r="D1074" s="2" t="s">
        <v>33</v>
      </c>
      <c r="E1074" s="2">
        <v>161</v>
      </c>
      <c r="F1074" s="2">
        <v>216</v>
      </c>
      <c r="G1074" s="2">
        <v>670</v>
      </c>
      <c r="H1074" s="2">
        <v>1143.333333</v>
      </c>
      <c r="I1074" s="2">
        <v>3591.333333</v>
      </c>
      <c r="J1074" s="2">
        <v>2.13</v>
      </c>
      <c r="K1074" s="2">
        <v>6.3</v>
      </c>
      <c r="L1074" s="2">
        <v>9.35</v>
      </c>
      <c r="M1074" s="2">
        <v>16.809999999999999</v>
      </c>
      <c r="N1074" s="2">
        <v>2.1172105380000001</v>
      </c>
      <c r="O1074" s="2">
        <v>2.1569321399999999</v>
      </c>
      <c r="P1074" s="2">
        <v>2.5364043779999998</v>
      </c>
      <c r="Q1074" s="2">
        <v>2.5970200559999999</v>
      </c>
      <c r="R1074" s="2">
        <v>1.7312712530000001</v>
      </c>
      <c r="S1074" s="2">
        <v>1.741770168</v>
      </c>
      <c r="T1074" s="2">
        <v>1.8536577409999999</v>
      </c>
      <c r="U1074" s="2">
        <v>1.926330672</v>
      </c>
      <c r="V1074" s="2">
        <v>2.965053792</v>
      </c>
      <c r="W1074" s="2">
        <v>9.0041784999999999E-2</v>
      </c>
      <c r="X1074">
        <f t="shared" si="48"/>
        <v>0</v>
      </c>
      <c r="Y1074">
        <f t="shared" si="49"/>
        <v>1</v>
      </c>
      <c r="Z1074">
        <f t="shared" si="50"/>
        <v>1</v>
      </c>
    </row>
    <row r="1075" spans="1:26" ht="15.75" customHeight="1" x14ac:dyDescent="0.2">
      <c r="A1075" s="2" t="s">
        <v>23</v>
      </c>
      <c r="B1075" s="2" t="s">
        <v>35</v>
      </c>
      <c r="C1075" s="2" t="s">
        <v>25</v>
      </c>
      <c r="D1075" s="2" t="s">
        <v>25</v>
      </c>
      <c r="E1075" s="2">
        <v>202</v>
      </c>
      <c r="F1075" s="2">
        <v>208.33333329999999</v>
      </c>
      <c r="G1075" s="2">
        <v>773.33333330000005</v>
      </c>
      <c r="H1075" s="2">
        <v>1738</v>
      </c>
      <c r="I1075" s="2">
        <v>3128.666667</v>
      </c>
      <c r="J1075" s="2">
        <v>2.0499999999999998</v>
      </c>
      <c r="K1075" s="2">
        <v>7.06</v>
      </c>
      <c r="L1075" s="2">
        <v>12.07</v>
      </c>
      <c r="M1075" s="2">
        <v>15.95</v>
      </c>
      <c r="N1075" s="2">
        <v>0.88072973399999999</v>
      </c>
      <c r="O1075" s="2">
        <v>0.68359079099999998</v>
      </c>
      <c r="P1075" s="2">
        <v>2.6341665230000002</v>
      </c>
      <c r="Q1075" s="2">
        <v>2.6210872009999999</v>
      </c>
      <c r="R1075" s="2">
        <v>2.4866155910000001</v>
      </c>
      <c r="S1075" s="2">
        <v>2.497114506</v>
      </c>
      <c r="T1075" s="2">
        <v>0.86923884600000001</v>
      </c>
      <c r="U1075" s="2">
        <v>0.79656591499999996</v>
      </c>
      <c r="V1075" s="2">
        <v>3.7203981310000001</v>
      </c>
      <c r="W1075" s="2">
        <v>0.113414215</v>
      </c>
      <c r="X1075">
        <f t="shared" si="48"/>
        <v>0</v>
      </c>
      <c r="Y1075">
        <f t="shared" si="49"/>
        <v>1</v>
      </c>
      <c r="Z1075">
        <f t="shared" si="50"/>
        <v>0</v>
      </c>
    </row>
    <row r="1076" spans="1:26" ht="15.75" customHeight="1" x14ac:dyDescent="0.2">
      <c r="A1076" s="2" t="s">
        <v>23</v>
      </c>
      <c r="B1076" s="2" t="s">
        <v>35</v>
      </c>
      <c r="C1076" s="2" t="s">
        <v>27</v>
      </c>
      <c r="D1076" s="2" t="s">
        <v>27</v>
      </c>
      <c r="E1076" s="2">
        <v>179</v>
      </c>
      <c r="F1076" s="2">
        <v>209</v>
      </c>
      <c r="G1076" s="2">
        <v>413</v>
      </c>
      <c r="H1076" s="2">
        <v>2663</v>
      </c>
      <c r="I1076" s="2">
        <v>3152.333333</v>
      </c>
      <c r="J1076" s="2">
        <v>2.0499999999999998</v>
      </c>
      <c r="K1076" s="2">
        <v>4.1399999999999997</v>
      </c>
      <c r="L1076" s="2">
        <v>14.91</v>
      </c>
      <c r="M1076" s="2">
        <v>16</v>
      </c>
      <c r="N1076" s="2">
        <v>0.273245666</v>
      </c>
      <c r="O1076" s="2">
        <v>0.39173771000000002</v>
      </c>
      <c r="P1076" s="2">
        <v>3.7375359640000001</v>
      </c>
      <c r="Q1076" s="2">
        <v>3.664136826</v>
      </c>
      <c r="R1076" s="2">
        <v>0.43260550399999997</v>
      </c>
      <c r="S1076" s="2">
        <v>0.42210658899999998</v>
      </c>
      <c r="T1076" s="2">
        <v>3.712415327</v>
      </c>
      <c r="U1076" s="2">
        <v>3.6397423949999999</v>
      </c>
      <c r="V1076" s="2">
        <v>0.80117703600000001</v>
      </c>
      <c r="W1076" s="2">
        <v>0.102431914</v>
      </c>
      <c r="X1076">
        <f t="shared" si="48"/>
        <v>0</v>
      </c>
      <c r="Y1076">
        <f t="shared" si="49"/>
        <v>1</v>
      </c>
      <c r="Z1076">
        <f t="shared" si="50"/>
        <v>0</v>
      </c>
    </row>
    <row r="1077" spans="1:26" ht="15.75" customHeight="1" x14ac:dyDescent="0.2">
      <c r="A1077" s="2" t="s">
        <v>23</v>
      </c>
      <c r="B1077" s="2" t="s">
        <v>35</v>
      </c>
      <c r="C1077" s="2" t="s">
        <v>30</v>
      </c>
      <c r="D1077" s="2" t="s">
        <v>31</v>
      </c>
      <c r="E1077" s="2">
        <v>151</v>
      </c>
      <c r="F1077" s="2">
        <v>211</v>
      </c>
      <c r="G1077" s="2">
        <v>605.33333330000005</v>
      </c>
      <c r="H1077" s="2">
        <v>1370</v>
      </c>
      <c r="I1077" s="2">
        <v>2997</v>
      </c>
      <c r="J1077" s="2">
        <v>2.08</v>
      </c>
      <c r="K1077" s="2">
        <v>5.8</v>
      </c>
      <c r="L1077" s="2">
        <v>10.5</v>
      </c>
      <c r="M1077" s="2">
        <v>15.68</v>
      </c>
      <c r="N1077" s="2">
        <v>4.4628571709999996</v>
      </c>
      <c r="O1077" s="2">
        <v>4.3472700399999997</v>
      </c>
      <c r="P1077" s="2">
        <v>1.4137049479999999</v>
      </c>
      <c r="Q1077" s="2">
        <v>1.4600104469999999</v>
      </c>
      <c r="R1077" s="2">
        <v>1.22761549</v>
      </c>
      <c r="S1077" s="2">
        <v>1.2381144049999999</v>
      </c>
      <c r="T1077" s="2">
        <v>0.70108622200000004</v>
      </c>
      <c r="U1077" s="2">
        <v>0.77375915299999998</v>
      </c>
      <c r="V1077" s="2">
        <v>2.4613980290000002</v>
      </c>
      <c r="W1077" s="2">
        <v>0.100437146</v>
      </c>
      <c r="X1077">
        <f t="shared" si="48"/>
        <v>0</v>
      </c>
      <c r="Y1077">
        <f t="shared" si="49"/>
        <v>1</v>
      </c>
      <c r="Z1077">
        <f t="shared" si="50"/>
        <v>1</v>
      </c>
    </row>
    <row r="1078" spans="1:26" ht="15.75" customHeight="1" x14ac:dyDescent="0.2">
      <c r="A1078" s="2" t="s">
        <v>23</v>
      </c>
      <c r="B1078" s="2" t="s">
        <v>35</v>
      </c>
      <c r="C1078" s="2" t="s">
        <v>25</v>
      </c>
      <c r="D1078" s="2" t="s">
        <v>25</v>
      </c>
      <c r="E1078" s="2">
        <v>136</v>
      </c>
      <c r="F1078" s="2">
        <v>198</v>
      </c>
      <c r="G1078" s="2">
        <v>792.33333330000005</v>
      </c>
      <c r="H1078" s="2">
        <v>1516</v>
      </c>
      <c r="I1078" s="2">
        <v>3075.666667</v>
      </c>
      <c r="J1078" s="2">
        <v>1.93</v>
      </c>
      <c r="K1078" s="2">
        <v>7.19</v>
      </c>
      <c r="L1078" s="2">
        <v>11.16</v>
      </c>
      <c r="M1078" s="2">
        <v>15.84</v>
      </c>
      <c r="N1078" s="2">
        <v>0.114463407</v>
      </c>
      <c r="O1078" s="2">
        <v>0.29792111999999998</v>
      </c>
      <c r="P1078" s="2">
        <v>2.6196082189999998</v>
      </c>
      <c r="Q1078" s="2">
        <v>2.6321671539999998</v>
      </c>
      <c r="R1078" s="2">
        <v>2.6193284060000002</v>
      </c>
      <c r="S1078" s="2">
        <v>2.62982732</v>
      </c>
      <c r="T1078" s="2">
        <v>3.8287381000000002E-2</v>
      </c>
      <c r="U1078" s="2">
        <v>0.110960313</v>
      </c>
      <c r="V1078" s="2">
        <v>3.8531109450000001</v>
      </c>
      <c r="W1078" s="2">
        <v>9.9508334000000004E-2</v>
      </c>
      <c r="X1078">
        <f t="shared" si="48"/>
        <v>0</v>
      </c>
      <c r="Y1078">
        <f t="shared" si="49"/>
        <v>1</v>
      </c>
      <c r="Z1078">
        <f t="shared" si="50"/>
        <v>0</v>
      </c>
    </row>
    <row r="1079" spans="1:26" ht="15.75" customHeight="1" x14ac:dyDescent="0.2">
      <c r="A1079" s="2" t="s">
        <v>23</v>
      </c>
      <c r="B1079" s="2" t="s">
        <v>35</v>
      </c>
      <c r="C1079" s="2" t="s">
        <v>30</v>
      </c>
      <c r="D1079" s="2" t="s">
        <v>31</v>
      </c>
      <c r="E1079" s="2">
        <v>159</v>
      </c>
      <c r="F1079" s="2">
        <v>206.33333329999999</v>
      </c>
      <c r="G1079" s="2">
        <v>635</v>
      </c>
      <c r="H1079" s="2">
        <v>1331</v>
      </c>
      <c r="I1079" s="2">
        <v>2928</v>
      </c>
      <c r="J1079" s="2">
        <v>2.02</v>
      </c>
      <c r="K1079" s="2">
        <v>6.03</v>
      </c>
      <c r="L1079" s="2">
        <v>10.31</v>
      </c>
      <c r="M1079" s="2">
        <v>15.53</v>
      </c>
      <c r="N1079" s="2">
        <v>4.7260524049999999</v>
      </c>
      <c r="O1079" s="2">
        <v>4.6114675849999998</v>
      </c>
      <c r="P1079" s="2">
        <v>1.7104184769999999</v>
      </c>
      <c r="Q1079" s="2">
        <v>1.758037903</v>
      </c>
      <c r="R1079" s="2">
        <v>1.4617904589999999</v>
      </c>
      <c r="S1079" s="2">
        <v>1.472289373</v>
      </c>
      <c r="T1079" s="2">
        <v>0.88808784500000004</v>
      </c>
      <c r="U1079" s="2">
        <v>0.96076077599999998</v>
      </c>
      <c r="V1079" s="2">
        <v>2.6955729979999998</v>
      </c>
      <c r="W1079" s="2">
        <v>0.115779388</v>
      </c>
      <c r="X1079">
        <f t="shared" si="48"/>
        <v>0</v>
      </c>
      <c r="Y1079">
        <f t="shared" si="49"/>
        <v>1</v>
      </c>
      <c r="Z1079">
        <f t="shared" si="50"/>
        <v>1</v>
      </c>
    </row>
    <row r="1080" spans="1:26" ht="15.75" customHeight="1" x14ac:dyDescent="0.2">
      <c r="A1080" s="2" t="s">
        <v>23</v>
      </c>
      <c r="B1080" s="2" t="s">
        <v>35</v>
      </c>
      <c r="C1080" s="2" t="s">
        <v>25</v>
      </c>
      <c r="D1080" s="2" t="s">
        <v>25</v>
      </c>
      <c r="E1080" s="2">
        <v>168</v>
      </c>
      <c r="F1080" s="2">
        <v>180.66666670000001</v>
      </c>
      <c r="G1080" s="2">
        <v>836.33333330000005</v>
      </c>
      <c r="H1080" s="2">
        <v>1455.666667</v>
      </c>
      <c r="I1080" s="2">
        <v>2920</v>
      </c>
      <c r="J1080" s="2">
        <v>1.73</v>
      </c>
      <c r="K1080" s="2">
        <v>7.49</v>
      </c>
      <c r="L1080" s="2">
        <v>10.9</v>
      </c>
      <c r="M1080" s="2">
        <v>15.51</v>
      </c>
      <c r="N1080" s="2">
        <v>0.45804044599999999</v>
      </c>
      <c r="O1080" s="2">
        <v>0.51618961299999999</v>
      </c>
      <c r="P1080" s="2">
        <v>3.2651434949999998</v>
      </c>
      <c r="Q1080" s="2">
        <v>3.2064851399999998</v>
      </c>
      <c r="R1080" s="2">
        <v>3.2392273619999998</v>
      </c>
      <c r="S1080" s="2">
        <v>3.177623138</v>
      </c>
      <c r="T1080" s="2">
        <v>0.41057050299999998</v>
      </c>
      <c r="U1080" s="2">
        <v>0.42925301300000002</v>
      </c>
      <c r="V1080" s="2">
        <v>4.4700420520000002</v>
      </c>
      <c r="W1080" s="2">
        <v>8.5411266E-2</v>
      </c>
      <c r="X1080">
        <f t="shared" si="48"/>
        <v>0</v>
      </c>
      <c r="Y1080">
        <f t="shared" si="49"/>
        <v>1</v>
      </c>
      <c r="Z1080">
        <f t="shared" si="50"/>
        <v>0</v>
      </c>
    </row>
    <row r="1081" spans="1:26" ht="15.75" customHeight="1" x14ac:dyDescent="0.2">
      <c r="A1081" s="2" t="s">
        <v>23</v>
      </c>
      <c r="B1081" s="2" t="s">
        <v>35</v>
      </c>
      <c r="C1081" s="2" t="s">
        <v>26</v>
      </c>
      <c r="D1081" s="2" t="s">
        <v>26</v>
      </c>
      <c r="E1081" s="2">
        <v>170</v>
      </c>
      <c r="F1081" s="2">
        <v>194</v>
      </c>
      <c r="G1081" s="2">
        <v>361.33333329999999</v>
      </c>
      <c r="H1081" s="2">
        <v>837.33333330000005</v>
      </c>
      <c r="I1081" s="2">
        <v>2734</v>
      </c>
      <c r="J1081" s="2">
        <v>1.88</v>
      </c>
      <c r="K1081" s="2">
        <v>3.64</v>
      </c>
      <c r="L1081" s="2">
        <v>7.5</v>
      </c>
      <c r="M1081" s="2">
        <v>15.09</v>
      </c>
      <c r="N1081" s="2">
        <v>0.36469954399999999</v>
      </c>
      <c r="O1081" s="2">
        <v>0.46847001900000002</v>
      </c>
      <c r="P1081" s="2">
        <v>3.8590481759999999</v>
      </c>
      <c r="Q1081" s="2">
        <v>3.8876038450000001</v>
      </c>
      <c r="R1081" s="2">
        <v>0.60598249999999998</v>
      </c>
      <c r="S1081" s="2">
        <v>0.66758672500000005</v>
      </c>
      <c r="T1081" s="2">
        <v>3.8111727900000001</v>
      </c>
      <c r="U1081" s="2">
        <v>3.8298553000000002</v>
      </c>
      <c r="V1081" s="2">
        <v>0.62483218900000004</v>
      </c>
      <c r="W1081" s="2">
        <v>6.8882638999999996E-2</v>
      </c>
      <c r="X1081">
        <f t="shared" si="48"/>
        <v>0</v>
      </c>
      <c r="Y1081">
        <f t="shared" si="49"/>
        <v>1</v>
      </c>
      <c r="Z1081">
        <f t="shared" si="50"/>
        <v>0</v>
      </c>
    </row>
    <row r="1082" spans="1:26" ht="15.75" customHeight="1" x14ac:dyDescent="0.2">
      <c r="A1082" s="2" t="s">
        <v>23</v>
      </c>
      <c r="B1082" s="2" t="s">
        <v>35</v>
      </c>
      <c r="C1082" s="2" t="s">
        <v>27</v>
      </c>
      <c r="D1082" s="2" t="s">
        <v>27</v>
      </c>
      <c r="E1082" s="2">
        <v>130</v>
      </c>
      <c r="F1082" s="2">
        <v>196.66666670000001</v>
      </c>
      <c r="G1082" s="2">
        <v>368.66666670000001</v>
      </c>
      <c r="H1082" s="2">
        <v>2164.333333</v>
      </c>
      <c r="I1082" s="2">
        <v>2626</v>
      </c>
      <c r="J1082" s="2">
        <v>1.91</v>
      </c>
      <c r="K1082" s="2">
        <v>3.71</v>
      </c>
      <c r="L1082" s="2">
        <v>13.54</v>
      </c>
      <c r="M1082" s="2">
        <v>14.82</v>
      </c>
      <c r="N1082" s="2">
        <v>5.8312137999999999E-2</v>
      </c>
      <c r="O1082" s="2">
        <v>0.25742378300000002</v>
      </c>
      <c r="P1082" s="2">
        <v>2.2959752089999999</v>
      </c>
      <c r="Q1082" s="2">
        <v>2.2930536300000002</v>
      </c>
      <c r="R1082" s="2">
        <v>0.53469564199999997</v>
      </c>
      <c r="S1082" s="2">
        <v>0.59629986599999996</v>
      </c>
      <c r="T1082" s="2">
        <v>2.2328463300000001</v>
      </c>
      <c r="U1082" s="2">
        <v>2.21416382</v>
      </c>
      <c r="V1082" s="2">
        <v>0.69611904800000002</v>
      </c>
      <c r="W1082" s="2">
        <v>7.0137332999999996E-2</v>
      </c>
      <c r="X1082">
        <f t="shared" si="48"/>
        <v>0</v>
      </c>
      <c r="Y1082">
        <f t="shared" si="49"/>
        <v>1</v>
      </c>
      <c r="Z1082">
        <f t="shared" si="50"/>
        <v>0</v>
      </c>
    </row>
    <row r="1083" spans="1:26" ht="15.75" customHeight="1" x14ac:dyDescent="0.2">
      <c r="A1083" s="2" t="s">
        <v>23</v>
      </c>
      <c r="B1083" s="2" t="s">
        <v>35</v>
      </c>
      <c r="C1083" s="2" t="s">
        <v>28</v>
      </c>
      <c r="D1083" s="2" t="s">
        <v>29</v>
      </c>
      <c r="E1083" s="2">
        <v>145</v>
      </c>
      <c r="F1083" s="2">
        <v>184</v>
      </c>
      <c r="G1083" s="2">
        <v>377</v>
      </c>
      <c r="H1083" s="2">
        <v>1013.666667</v>
      </c>
      <c r="I1083" s="2">
        <v>2792</v>
      </c>
      <c r="J1083" s="2">
        <v>1.77</v>
      </c>
      <c r="K1083" s="2">
        <v>3.79</v>
      </c>
      <c r="L1083" s="2">
        <v>8.61</v>
      </c>
      <c r="M1083" s="2">
        <v>15.22</v>
      </c>
      <c r="N1083" s="2">
        <v>0.772804826</v>
      </c>
      <c r="O1083" s="2">
        <v>0.67998318400000002</v>
      </c>
      <c r="P1083" s="2">
        <v>2.7352408779999999</v>
      </c>
      <c r="Q1083" s="2">
        <v>2.7644954469999998</v>
      </c>
      <c r="R1083" s="2">
        <v>0.45423090399999999</v>
      </c>
      <c r="S1083" s="2">
        <v>0.51583512799999998</v>
      </c>
      <c r="T1083" s="2">
        <v>2.6972610079999999</v>
      </c>
      <c r="U1083" s="2">
        <v>2.715943518</v>
      </c>
      <c r="V1083" s="2">
        <v>0.776583786</v>
      </c>
      <c r="W1083" s="2">
        <v>5.7264919999999997E-2</v>
      </c>
      <c r="X1083">
        <f t="shared" si="48"/>
        <v>0</v>
      </c>
      <c r="Y1083">
        <f t="shared" si="49"/>
        <v>1</v>
      </c>
      <c r="Z1083">
        <f t="shared" si="50"/>
        <v>1</v>
      </c>
    </row>
    <row r="1084" spans="1:26" ht="15.75" customHeight="1" x14ac:dyDescent="0.2">
      <c r="A1084" s="2" t="s">
        <v>23</v>
      </c>
      <c r="B1084" s="2" t="s">
        <v>35</v>
      </c>
      <c r="C1084" s="2" t="s">
        <v>30</v>
      </c>
      <c r="D1084" s="2" t="s">
        <v>31</v>
      </c>
      <c r="E1084" s="2">
        <v>170</v>
      </c>
      <c r="F1084" s="2">
        <v>201.66666670000001</v>
      </c>
      <c r="G1084" s="2">
        <v>525</v>
      </c>
      <c r="H1084" s="2">
        <v>1214.666667</v>
      </c>
      <c r="I1084" s="2">
        <v>2685.666667</v>
      </c>
      <c r="J1084" s="2">
        <v>1.97</v>
      </c>
      <c r="K1084" s="2">
        <v>5.13</v>
      </c>
      <c r="L1084" s="2">
        <v>9.73</v>
      </c>
      <c r="M1084" s="2">
        <v>14.97</v>
      </c>
      <c r="N1084" s="2">
        <v>4.0822988389999999</v>
      </c>
      <c r="O1084" s="2">
        <v>4.1965845159999997</v>
      </c>
      <c r="P1084" s="2">
        <v>1.8095781500000001</v>
      </c>
      <c r="Q1084" s="2">
        <v>1.796848972</v>
      </c>
      <c r="R1084" s="2">
        <v>0.88491992799999997</v>
      </c>
      <c r="S1084" s="2">
        <v>0.82331570300000001</v>
      </c>
      <c r="T1084" s="2">
        <v>1.578445375</v>
      </c>
      <c r="U1084" s="2">
        <v>1.5971278849999999</v>
      </c>
      <c r="V1084" s="2">
        <v>2.1157346170000002</v>
      </c>
      <c r="W1084" s="2">
        <v>6.0614274000000003E-2</v>
      </c>
      <c r="X1084">
        <f t="shared" si="48"/>
        <v>0</v>
      </c>
      <c r="Y1084">
        <f t="shared" si="49"/>
        <v>1</v>
      </c>
      <c r="Z1084">
        <f t="shared" si="50"/>
        <v>1</v>
      </c>
    </row>
    <row r="1085" spans="1:26" ht="15.75" customHeight="1" x14ac:dyDescent="0.2">
      <c r="A1085" s="2" t="s">
        <v>23</v>
      </c>
      <c r="B1085" s="2" t="s">
        <v>35</v>
      </c>
      <c r="C1085" s="2" t="s">
        <v>26</v>
      </c>
      <c r="D1085" s="2" t="s">
        <v>26</v>
      </c>
      <c r="E1085" s="2">
        <v>168</v>
      </c>
      <c r="F1085" s="2">
        <v>199.33333329999999</v>
      </c>
      <c r="G1085" s="2">
        <v>378</v>
      </c>
      <c r="H1085" s="2">
        <v>802.33333330000005</v>
      </c>
      <c r="I1085" s="2">
        <v>2869.333333</v>
      </c>
      <c r="J1085" s="2">
        <v>1.94</v>
      </c>
      <c r="K1085" s="2">
        <v>3.8</v>
      </c>
      <c r="L1085" s="2">
        <v>7.26</v>
      </c>
      <c r="M1085" s="2">
        <v>15.4</v>
      </c>
      <c r="N1085" s="2">
        <v>0.58043799100000004</v>
      </c>
      <c r="O1085" s="2">
        <v>0.672506308</v>
      </c>
      <c r="P1085" s="2">
        <v>4.0735226339999997</v>
      </c>
      <c r="Q1085" s="2">
        <v>4.0992449110000004</v>
      </c>
      <c r="R1085" s="2">
        <v>0.44461368099999998</v>
      </c>
      <c r="S1085" s="2">
        <v>0.50621790600000005</v>
      </c>
      <c r="T1085" s="2">
        <v>4.0491857610000004</v>
      </c>
      <c r="U1085" s="2">
        <v>4.067868271</v>
      </c>
      <c r="V1085" s="2">
        <v>0.78620100800000003</v>
      </c>
      <c r="W1085" s="2">
        <v>0.102311601</v>
      </c>
      <c r="X1085">
        <f t="shared" si="48"/>
        <v>0</v>
      </c>
      <c r="Y1085">
        <f t="shared" si="49"/>
        <v>1</v>
      </c>
      <c r="Z1085">
        <f t="shared" si="50"/>
        <v>0</v>
      </c>
    </row>
    <row r="1086" spans="1:26" ht="15.75" customHeight="1" x14ac:dyDescent="0.2">
      <c r="A1086" s="2" t="s">
        <v>23</v>
      </c>
      <c r="B1086" s="2" t="s">
        <v>35</v>
      </c>
      <c r="C1086" s="2" t="s">
        <v>28</v>
      </c>
      <c r="D1086" s="2" t="s">
        <v>29</v>
      </c>
      <c r="E1086" s="2">
        <v>175</v>
      </c>
      <c r="F1086" s="2">
        <v>188.66666670000001</v>
      </c>
      <c r="G1086" s="2">
        <v>356.66666670000001</v>
      </c>
      <c r="H1086" s="2">
        <v>1073.666667</v>
      </c>
      <c r="I1086" s="2">
        <v>2769.666667</v>
      </c>
      <c r="J1086" s="2">
        <v>1.82</v>
      </c>
      <c r="K1086" s="2">
        <v>3.6</v>
      </c>
      <c r="L1086" s="2">
        <v>8.9600000000000009</v>
      </c>
      <c r="M1086" s="2">
        <v>15.17</v>
      </c>
      <c r="N1086" s="2">
        <v>1.1353029109999999</v>
      </c>
      <c r="O1086" s="2">
        <v>1.052554379</v>
      </c>
      <c r="P1086" s="2">
        <v>2.4365041970000001</v>
      </c>
      <c r="Q1086" s="2">
        <v>2.471578735</v>
      </c>
      <c r="R1086" s="2">
        <v>0.65158184600000002</v>
      </c>
      <c r="S1086" s="2">
        <v>0.71318607000000001</v>
      </c>
      <c r="T1086" s="2">
        <v>2.347763574</v>
      </c>
      <c r="U1086" s="2">
        <v>2.3664460840000001</v>
      </c>
      <c r="V1086" s="2">
        <v>0.57923284399999997</v>
      </c>
      <c r="W1086" s="2">
        <v>5.2302049000000003E-2</v>
      </c>
      <c r="X1086">
        <f t="shared" si="48"/>
        <v>0</v>
      </c>
      <c r="Y1086">
        <f t="shared" si="49"/>
        <v>1</v>
      </c>
      <c r="Z1086">
        <f t="shared" si="50"/>
        <v>1</v>
      </c>
    </row>
    <row r="1087" spans="1:26" ht="15.75" customHeight="1" x14ac:dyDescent="0.2">
      <c r="A1087" s="2" t="s">
        <v>23</v>
      </c>
      <c r="B1087" s="2" t="s">
        <v>35</v>
      </c>
      <c r="C1087" s="2" t="s">
        <v>32</v>
      </c>
      <c r="D1087" s="2" t="s">
        <v>33</v>
      </c>
      <c r="E1087" s="2">
        <v>191</v>
      </c>
      <c r="F1087" s="2">
        <v>174.33333329999999</v>
      </c>
      <c r="G1087" s="2">
        <v>422.66666670000001</v>
      </c>
      <c r="H1087" s="2">
        <v>918</v>
      </c>
      <c r="I1087" s="2">
        <v>3099</v>
      </c>
      <c r="J1087" s="2">
        <v>1.66</v>
      </c>
      <c r="K1087" s="2">
        <v>4.2300000000000004</v>
      </c>
      <c r="L1087" s="2">
        <v>8.02</v>
      </c>
      <c r="M1087" s="2">
        <v>15.89</v>
      </c>
      <c r="N1087" s="2">
        <v>4.3961163189999999</v>
      </c>
      <c r="O1087" s="2">
        <v>4.2991040549999999</v>
      </c>
      <c r="P1087" s="2">
        <v>3.2847387700000001</v>
      </c>
      <c r="Q1087" s="2">
        <v>3.3044291719999999</v>
      </c>
      <c r="R1087" s="2">
        <v>2.3277618E-2</v>
      </c>
      <c r="S1087" s="2">
        <v>8.4881842999999998E-2</v>
      </c>
      <c r="T1087" s="2">
        <v>3.284656289</v>
      </c>
      <c r="U1087" s="2">
        <v>3.303338799</v>
      </c>
      <c r="V1087" s="2">
        <v>1.207537071</v>
      </c>
      <c r="W1087" s="2">
        <v>0.122637317</v>
      </c>
      <c r="X1087">
        <f t="shared" si="48"/>
        <v>0</v>
      </c>
      <c r="Y1087">
        <f t="shared" si="49"/>
        <v>1</v>
      </c>
      <c r="Z1087">
        <f t="shared" si="50"/>
        <v>1</v>
      </c>
    </row>
    <row r="1088" spans="1:26" ht="15.75" customHeight="1" x14ac:dyDescent="0.2">
      <c r="A1088" s="2" t="s">
        <v>23</v>
      </c>
      <c r="B1088" s="2" t="s">
        <v>35</v>
      </c>
      <c r="C1088" s="2" t="s">
        <v>32</v>
      </c>
      <c r="D1088" s="2" t="s">
        <v>33</v>
      </c>
      <c r="E1088" s="2">
        <v>165</v>
      </c>
      <c r="F1088" s="2">
        <v>203</v>
      </c>
      <c r="G1088" s="2">
        <v>452.66666670000001</v>
      </c>
      <c r="H1088" s="2">
        <v>963</v>
      </c>
      <c r="I1088" s="2">
        <v>2667.333333</v>
      </c>
      <c r="J1088" s="2">
        <v>1.99</v>
      </c>
      <c r="K1088" s="2">
        <v>4.5</v>
      </c>
      <c r="L1088" s="2">
        <v>8.3000000000000007</v>
      </c>
      <c r="M1088" s="2">
        <v>14.92</v>
      </c>
      <c r="N1088" s="2">
        <v>4.003593446</v>
      </c>
      <c r="O1088" s="2">
        <v>3.9068102360000001</v>
      </c>
      <c r="P1088" s="2">
        <v>3.014031444</v>
      </c>
      <c r="Q1088" s="2">
        <v>3.028174141</v>
      </c>
      <c r="R1088" s="2">
        <v>0.25095147499999998</v>
      </c>
      <c r="S1088" s="2">
        <v>0.18934724999999999</v>
      </c>
      <c r="T1088" s="2">
        <v>3.0035660310000001</v>
      </c>
      <c r="U1088" s="2">
        <v>3.0222485410000002</v>
      </c>
      <c r="V1088" s="2">
        <v>1.4817661639999999</v>
      </c>
      <c r="W1088" s="2">
        <v>7.5196150000000003E-2</v>
      </c>
      <c r="X1088">
        <f t="shared" si="48"/>
        <v>0</v>
      </c>
      <c r="Y1088">
        <f t="shared" si="49"/>
        <v>1</v>
      </c>
      <c r="Z1088">
        <f t="shared" si="50"/>
        <v>1</v>
      </c>
    </row>
    <row r="1089" spans="1:26" ht="15.75" customHeight="1" x14ac:dyDescent="0.2">
      <c r="A1089" s="2" t="s">
        <v>23</v>
      </c>
      <c r="B1089" s="2" t="s">
        <v>35</v>
      </c>
      <c r="C1089" s="2" t="s">
        <v>25</v>
      </c>
      <c r="D1089" s="2" t="s">
        <v>25</v>
      </c>
      <c r="E1089" s="2">
        <v>226</v>
      </c>
      <c r="F1089" s="2">
        <v>190</v>
      </c>
      <c r="G1089" s="2">
        <v>868.66666669999995</v>
      </c>
      <c r="H1089" s="2">
        <v>1589.666667</v>
      </c>
      <c r="I1089" s="2">
        <v>2922</v>
      </c>
      <c r="J1089" s="2">
        <v>1.84</v>
      </c>
      <c r="K1089" s="2">
        <v>7.7</v>
      </c>
      <c r="L1089" s="2">
        <v>11.48</v>
      </c>
      <c r="M1089" s="2">
        <v>15.52</v>
      </c>
      <c r="N1089" s="2">
        <v>0.54582086900000004</v>
      </c>
      <c r="O1089" s="2">
        <v>0.66065452599999996</v>
      </c>
      <c r="P1089" s="2">
        <v>3.4582167359999998</v>
      </c>
      <c r="Q1089" s="2">
        <v>3.3958037079999999</v>
      </c>
      <c r="R1089" s="2">
        <v>3.4540265589999999</v>
      </c>
      <c r="S1089" s="2">
        <v>3.3924223339999999</v>
      </c>
      <c r="T1089" s="2">
        <v>0.17018673400000001</v>
      </c>
      <c r="U1089" s="2">
        <v>0.15150422399999999</v>
      </c>
      <c r="V1089" s="2">
        <v>4.6848412479999997</v>
      </c>
      <c r="W1089" s="2">
        <v>6.5743563000000005E-2</v>
      </c>
      <c r="X1089">
        <f t="shared" si="48"/>
        <v>0</v>
      </c>
      <c r="Y1089">
        <f t="shared" si="49"/>
        <v>1</v>
      </c>
      <c r="Z1089">
        <f t="shared" si="50"/>
        <v>0</v>
      </c>
    </row>
    <row r="1090" spans="1:26" ht="15.75" customHeight="1" x14ac:dyDescent="0.2">
      <c r="A1090" s="2" t="s">
        <v>23</v>
      </c>
      <c r="B1090" s="2" t="s">
        <v>35</v>
      </c>
      <c r="C1090" s="2" t="s">
        <v>32</v>
      </c>
      <c r="D1090" s="2" t="s">
        <v>33</v>
      </c>
      <c r="E1090" s="2">
        <v>175</v>
      </c>
      <c r="F1090" s="2">
        <v>214</v>
      </c>
      <c r="G1090" s="2">
        <v>409</v>
      </c>
      <c r="H1090" s="2">
        <v>862.66666669999995</v>
      </c>
      <c r="I1090" s="2">
        <v>2640</v>
      </c>
      <c r="J1090" s="2">
        <v>2.11</v>
      </c>
      <c r="K1090" s="2">
        <v>4.0999999999999996</v>
      </c>
      <c r="L1090" s="2">
        <v>7.66</v>
      </c>
      <c r="M1090" s="2">
        <v>14.86</v>
      </c>
      <c r="N1090" s="2">
        <v>4.7479078909999997</v>
      </c>
      <c r="O1090" s="2">
        <v>4.6529318179999999</v>
      </c>
      <c r="P1090" s="2">
        <v>3.6456871199999998</v>
      </c>
      <c r="Q1090" s="2">
        <v>3.6674006399999999</v>
      </c>
      <c r="R1090" s="2">
        <v>0.15050691799999999</v>
      </c>
      <c r="S1090" s="2">
        <v>0.212111142</v>
      </c>
      <c r="T1090" s="2">
        <v>3.6425790650000001</v>
      </c>
      <c r="U1090" s="2">
        <v>3.6612615750000002</v>
      </c>
      <c r="V1090" s="2">
        <v>1.080307771</v>
      </c>
      <c r="W1090" s="2">
        <v>5.6060331999999997E-2</v>
      </c>
      <c r="X1090">
        <f t="shared" si="48"/>
        <v>0</v>
      </c>
      <c r="Y1090">
        <f t="shared" si="49"/>
        <v>1</v>
      </c>
      <c r="Z1090">
        <f t="shared" si="50"/>
        <v>1</v>
      </c>
    </row>
    <row r="1091" spans="1:26" ht="15.75" customHeight="1" x14ac:dyDescent="0.2">
      <c r="A1091" s="2" t="s">
        <v>23</v>
      </c>
      <c r="B1091" s="2" t="s">
        <v>35</v>
      </c>
      <c r="C1091" s="2" t="s">
        <v>32</v>
      </c>
      <c r="D1091" s="2" t="s">
        <v>33</v>
      </c>
      <c r="E1091" s="2">
        <v>159</v>
      </c>
      <c r="F1091" s="2">
        <v>192</v>
      </c>
      <c r="G1091" s="2">
        <v>411.66666670000001</v>
      </c>
      <c r="H1091" s="2">
        <v>921.33333330000005</v>
      </c>
      <c r="I1091" s="2">
        <v>3029.333333</v>
      </c>
      <c r="J1091" s="2">
        <v>1.86</v>
      </c>
      <c r="K1091" s="2">
        <v>4.12</v>
      </c>
      <c r="L1091" s="2">
        <v>8.0399999999999991</v>
      </c>
      <c r="M1091" s="2">
        <v>15.75</v>
      </c>
      <c r="N1091" s="2">
        <v>4.4507833760000004</v>
      </c>
      <c r="O1091" s="2">
        <v>4.3524859469999999</v>
      </c>
      <c r="P1091" s="2">
        <v>3.2659484239999999</v>
      </c>
      <c r="Q1091" s="2">
        <v>3.2875486440000001</v>
      </c>
      <c r="R1091" s="2">
        <v>0.125566547</v>
      </c>
      <c r="S1091" s="2">
        <v>0.18717077200000001</v>
      </c>
      <c r="T1091" s="2">
        <v>3.2635336910000001</v>
      </c>
      <c r="U1091" s="2">
        <v>3.2822162009999998</v>
      </c>
      <c r="V1091" s="2">
        <v>1.105248142</v>
      </c>
      <c r="W1091" s="2">
        <v>6.7169280999999997E-2</v>
      </c>
      <c r="X1091">
        <f t="shared" ref="X1091:X1154" si="51">IF(B1091="normal",1,0)</f>
        <v>0</v>
      </c>
      <c r="Y1091">
        <f t="shared" ref="Y1091:Y1154" si="52">IF(A1091="lecture",1,0)</f>
        <v>1</v>
      </c>
      <c r="Z1091">
        <f t="shared" ref="Z1091:Z1154" si="53">IF(ISNUMBER(FIND("~",D1091)),1,0)</f>
        <v>1</v>
      </c>
    </row>
    <row r="1092" spans="1:26" ht="15.75" customHeight="1" x14ac:dyDescent="0.2">
      <c r="A1092" s="2" t="s">
        <v>23</v>
      </c>
      <c r="B1092" s="2" t="s">
        <v>35</v>
      </c>
      <c r="C1092" s="2" t="s">
        <v>25</v>
      </c>
      <c r="D1092" s="2" t="s">
        <v>25</v>
      </c>
      <c r="E1092" s="2">
        <v>110</v>
      </c>
      <c r="F1092" s="2">
        <v>192.66666670000001</v>
      </c>
      <c r="G1092" s="2">
        <v>806</v>
      </c>
      <c r="H1092" s="2">
        <v>1666.666667</v>
      </c>
      <c r="I1092" s="2">
        <v>2846</v>
      </c>
      <c r="J1092" s="2">
        <v>1.87</v>
      </c>
      <c r="K1092" s="2">
        <v>7.28</v>
      </c>
      <c r="L1092" s="2">
        <v>11.79</v>
      </c>
      <c r="M1092" s="2">
        <v>15.35</v>
      </c>
      <c r="N1092" s="2">
        <v>0.54140328999999998</v>
      </c>
      <c r="O1092" s="2">
        <v>0.59592063799999995</v>
      </c>
      <c r="P1092" s="2">
        <v>3.07159966</v>
      </c>
      <c r="Q1092" s="2">
        <v>3.0078324439999999</v>
      </c>
      <c r="R1092" s="2">
        <v>3.0331492309999999</v>
      </c>
      <c r="S1092" s="2">
        <v>2.971545007</v>
      </c>
      <c r="T1092" s="2">
        <v>0.48448964</v>
      </c>
      <c r="U1092" s="2">
        <v>0.46580713000000001</v>
      </c>
      <c r="V1092" s="2">
        <v>4.2639639200000001</v>
      </c>
      <c r="W1092" s="2">
        <v>7.3384013999999997E-2</v>
      </c>
      <c r="X1092">
        <f t="shared" si="51"/>
        <v>0</v>
      </c>
      <c r="Y1092">
        <f t="shared" si="52"/>
        <v>1</v>
      </c>
      <c r="Z1092">
        <f t="shared" si="53"/>
        <v>0</v>
      </c>
    </row>
    <row r="1093" spans="1:26" ht="15.75" customHeight="1" x14ac:dyDescent="0.2">
      <c r="A1093" s="2" t="s">
        <v>23</v>
      </c>
      <c r="B1093" s="2" t="s">
        <v>35</v>
      </c>
      <c r="C1093" s="2" t="s">
        <v>25</v>
      </c>
      <c r="D1093" s="2" t="s">
        <v>25</v>
      </c>
      <c r="E1093" s="2">
        <v>164</v>
      </c>
      <c r="F1093" s="2">
        <v>172.33333329999999</v>
      </c>
      <c r="G1093" s="2">
        <v>838.66666669999995</v>
      </c>
      <c r="H1093" s="2">
        <v>1489.666667</v>
      </c>
      <c r="I1093" s="2">
        <v>2871.333333</v>
      </c>
      <c r="J1093" s="2">
        <v>1.64</v>
      </c>
      <c r="K1093" s="2">
        <v>7.5</v>
      </c>
      <c r="L1093" s="2">
        <v>11.05</v>
      </c>
      <c r="M1093" s="2">
        <v>15.4</v>
      </c>
      <c r="N1093" s="2">
        <v>0.36466087000000003</v>
      </c>
      <c r="O1093" s="2">
        <v>0.44935038199999999</v>
      </c>
      <c r="P1093" s="2">
        <v>3.2651783170000002</v>
      </c>
      <c r="Q1093" s="2">
        <v>3.2053359339999998</v>
      </c>
      <c r="R1093" s="2">
        <v>3.2548944959999999</v>
      </c>
      <c r="S1093" s="2">
        <v>3.193290272</v>
      </c>
      <c r="T1093" s="2">
        <v>0.25894257900000001</v>
      </c>
      <c r="U1093" s="2">
        <v>0.27762508899999999</v>
      </c>
      <c r="V1093" s="2">
        <v>4.4857091860000002</v>
      </c>
      <c r="W1093" s="2">
        <v>8.9593398000000005E-2</v>
      </c>
      <c r="X1093">
        <f t="shared" si="51"/>
        <v>0</v>
      </c>
      <c r="Y1093">
        <f t="shared" si="52"/>
        <v>1</v>
      </c>
      <c r="Z1093">
        <f t="shared" si="53"/>
        <v>0</v>
      </c>
    </row>
    <row r="1094" spans="1:26" ht="15.75" customHeight="1" x14ac:dyDescent="0.2">
      <c r="A1094" s="2" t="s">
        <v>23</v>
      </c>
      <c r="B1094" s="2" t="s">
        <v>35</v>
      </c>
      <c r="C1094" s="2" t="s">
        <v>27</v>
      </c>
      <c r="D1094" s="2" t="s">
        <v>27</v>
      </c>
      <c r="E1094" s="2">
        <v>150</v>
      </c>
      <c r="F1094" s="2">
        <v>199</v>
      </c>
      <c r="G1094" s="2">
        <v>373.33333329999999</v>
      </c>
      <c r="H1094" s="2">
        <v>1904</v>
      </c>
      <c r="I1094" s="2">
        <v>2792</v>
      </c>
      <c r="J1094" s="2">
        <v>1.94</v>
      </c>
      <c r="K1094" s="2">
        <v>3.76</v>
      </c>
      <c r="L1094" s="2">
        <v>12.68</v>
      </c>
      <c r="M1094" s="2">
        <v>15.22</v>
      </c>
      <c r="N1094" s="2">
        <v>0.89197717600000004</v>
      </c>
      <c r="O1094" s="2">
        <v>1.060121992</v>
      </c>
      <c r="P1094" s="2">
        <v>1.459028749</v>
      </c>
      <c r="Q1094" s="2">
        <v>1.4635133890000001</v>
      </c>
      <c r="R1094" s="2">
        <v>0.489564579</v>
      </c>
      <c r="S1094" s="2">
        <v>0.55116880400000001</v>
      </c>
      <c r="T1094" s="2">
        <v>1.3744422190000001</v>
      </c>
      <c r="U1094" s="2">
        <v>1.355759709</v>
      </c>
      <c r="V1094" s="2">
        <v>0.74125010999999996</v>
      </c>
      <c r="W1094" s="2">
        <v>7.1612544E-2</v>
      </c>
      <c r="X1094">
        <f t="shared" si="51"/>
        <v>0</v>
      </c>
      <c r="Y1094">
        <f t="shared" si="52"/>
        <v>1</v>
      </c>
      <c r="Z1094">
        <f t="shared" si="53"/>
        <v>0</v>
      </c>
    </row>
    <row r="1095" spans="1:26" ht="15.75" customHeight="1" x14ac:dyDescent="0.2">
      <c r="A1095" s="2" t="s">
        <v>23</v>
      </c>
      <c r="B1095" s="2" t="s">
        <v>35</v>
      </c>
      <c r="C1095" s="2" t="s">
        <v>30</v>
      </c>
      <c r="D1095" s="2" t="s">
        <v>31</v>
      </c>
      <c r="E1095" s="2">
        <v>162</v>
      </c>
      <c r="F1095" s="2">
        <v>186.33333329999999</v>
      </c>
      <c r="G1095" s="2">
        <v>713</v>
      </c>
      <c r="H1095" s="2">
        <v>1283.333333</v>
      </c>
      <c r="I1095" s="2">
        <v>3389.333333</v>
      </c>
      <c r="J1095" s="2">
        <v>1.8</v>
      </c>
      <c r="K1095" s="2">
        <v>6.62</v>
      </c>
      <c r="L1095" s="2">
        <v>10.08</v>
      </c>
      <c r="M1095" s="2">
        <v>16.46</v>
      </c>
      <c r="N1095" s="2">
        <v>4.5150828599999997</v>
      </c>
      <c r="O1095" s="2">
        <v>4.567227323</v>
      </c>
      <c r="P1095" s="2">
        <v>2.6711831070000001</v>
      </c>
      <c r="Q1095" s="2">
        <v>2.6254477559999998</v>
      </c>
      <c r="R1095" s="2">
        <v>2.3721747400000002</v>
      </c>
      <c r="S1095" s="2">
        <v>2.3105705150000002</v>
      </c>
      <c r="T1095" s="2">
        <v>1.2280090370000001</v>
      </c>
      <c r="U1095" s="2">
        <v>1.246691547</v>
      </c>
      <c r="V1095" s="2">
        <v>3.602989429</v>
      </c>
      <c r="W1095" s="2">
        <v>7.2241361000000004E-2</v>
      </c>
      <c r="X1095">
        <f t="shared" si="51"/>
        <v>0</v>
      </c>
      <c r="Y1095">
        <f t="shared" si="52"/>
        <v>1</v>
      </c>
      <c r="Z1095">
        <f t="shared" si="53"/>
        <v>1</v>
      </c>
    </row>
    <row r="1096" spans="1:26" ht="15.75" customHeight="1" x14ac:dyDescent="0.2">
      <c r="A1096" s="2" t="s">
        <v>23</v>
      </c>
      <c r="B1096" s="2" t="s">
        <v>35</v>
      </c>
      <c r="C1096" s="2" t="s">
        <v>28</v>
      </c>
      <c r="D1096" s="2" t="s">
        <v>29</v>
      </c>
      <c r="E1096" s="2">
        <v>160</v>
      </c>
      <c r="F1096" s="2">
        <v>194.66666670000001</v>
      </c>
      <c r="G1096" s="2">
        <v>357</v>
      </c>
      <c r="H1096" s="2">
        <v>1002.666667</v>
      </c>
      <c r="I1096" s="2">
        <v>2911.333333</v>
      </c>
      <c r="J1096" s="2">
        <v>1.89</v>
      </c>
      <c r="K1096" s="2">
        <v>3.6</v>
      </c>
      <c r="L1096" s="2">
        <v>8.5399999999999991</v>
      </c>
      <c r="M1096" s="2">
        <v>15.49</v>
      </c>
      <c r="N1096" s="2">
        <v>0.72708527599999995</v>
      </c>
      <c r="O1096" s="2">
        <v>0.65146553699999998</v>
      </c>
      <c r="P1096" s="2">
        <v>2.8379171360000002</v>
      </c>
      <c r="Q1096" s="2">
        <v>2.8707195720000001</v>
      </c>
      <c r="R1096" s="2">
        <v>0.64831865799999999</v>
      </c>
      <c r="S1096" s="2">
        <v>0.70992288199999998</v>
      </c>
      <c r="T1096" s="2">
        <v>2.7628710769999998</v>
      </c>
      <c r="U1096" s="2">
        <v>2.7815535869999999</v>
      </c>
      <c r="V1096" s="2">
        <v>0.58249603100000003</v>
      </c>
      <c r="W1096" s="2">
        <v>6.0031901999999998E-2</v>
      </c>
      <c r="X1096">
        <f t="shared" si="51"/>
        <v>0</v>
      </c>
      <c r="Y1096">
        <f t="shared" si="52"/>
        <v>1</v>
      </c>
      <c r="Z1096">
        <f t="shared" si="53"/>
        <v>1</v>
      </c>
    </row>
    <row r="1097" spans="1:26" ht="15.75" customHeight="1" x14ac:dyDescent="0.2">
      <c r="A1097" s="2" t="s">
        <v>23</v>
      </c>
      <c r="B1097" s="2" t="s">
        <v>35</v>
      </c>
      <c r="C1097" s="2" t="s">
        <v>28</v>
      </c>
      <c r="D1097" s="2" t="s">
        <v>29</v>
      </c>
      <c r="E1097" s="2">
        <v>180</v>
      </c>
      <c r="F1097" s="2">
        <v>185</v>
      </c>
      <c r="G1097" s="2">
        <v>315.66666670000001</v>
      </c>
      <c r="H1097" s="2">
        <v>1096.333333</v>
      </c>
      <c r="I1097" s="2">
        <v>2808.666667</v>
      </c>
      <c r="J1097" s="2">
        <v>1.78</v>
      </c>
      <c r="K1097" s="2">
        <v>3.19</v>
      </c>
      <c r="L1097" s="2">
        <v>9.09</v>
      </c>
      <c r="M1097" s="2">
        <v>15.26</v>
      </c>
      <c r="N1097" s="2">
        <v>1.379355983</v>
      </c>
      <c r="O1097" s="2">
        <v>1.317762635</v>
      </c>
      <c r="P1097" s="2">
        <v>2.459556998</v>
      </c>
      <c r="Q1097" s="2">
        <v>2.5034216690000002</v>
      </c>
      <c r="R1097" s="2">
        <v>1.0602441170000001</v>
      </c>
      <c r="S1097" s="2">
        <v>1.121848341</v>
      </c>
      <c r="T1097" s="2">
        <v>2.219302377</v>
      </c>
      <c r="U1097" s="2">
        <v>2.2379848870000001</v>
      </c>
      <c r="V1097" s="2">
        <v>0.170570573</v>
      </c>
      <c r="W1097" s="2">
        <v>8.2473205999999993E-2</v>
      </c>
      <c r="X1097">
        <f t="shared" si="51"/>
        <v>0</v>
      </c>
      <c r="Y1097">
        <f t="shared" si="52"/>
        <v>1</v>
      </c>
      <c r="Z1097">
        <f t="shared" si="53"/>
        <v>1</v>
      </c>
    </row>
    <row r="1098" spans="1:26" ht="15.75" customHeight="1" x14ac:dyDescent="0.2">
      <c r="A1098" s="2" t="s">
        <v>23</v>
      </c>
      <c r="B1098" s="2" t="s">
        <v>35</v>
      </c>
      <c r="C1098" s="2" t="s">
        <v>32</v>
      </c>
      <c r="D1098" s="2" t="s">
        <v>33</v>
      </c>
      <c r="E1098" s="2">
        <v>162</v>
      </c>
      <c r="F1098" s="2">
        <v>203</v>
      </c>
      <c r="G1098" s="2">
        <v>355.33333329999999</v>
      </c>
      <c r="H1098" s="2">
        <v>914.66666669999995</v>
      </c>
      <c r="I1098" s="2">
        <v>2990.666667</v>
      </c>
      <c r="J1098" s="2">
        <v>1.99</v>
      </c>
      <c r="K1098" s="2">
        <v>3.58</v>
      </c>
      <c r="L1098" s="2">
        <v>8</v>
      </c>
      <c r="M1098" s="2">
        <v>15.67</v>
      </c>
      <c r="N1098" s="2">
        <v>4.8677586599999998</v>
      </c>
      <c r="O1098" s="2">
        <v>4.7650804820000001</v>
      </c>
      <c r="P1098" s="2">
        <v>3.3719800649999998</v>
      </c>
      <c r="Q1098" s="2">
        <v>3.402911365</v>
      </c>
      <c r="R1098" s="2">
        <v>0.66464399200000002</v>
      </c>
      <c r="S1098" s="2">
        <v>0.72624821699999997</v>
      </c>
      <c r="T1098" s="2">
        <v>3.3058278730000001</v>
      </c>
      <c r="U1098" s="2">
        <v>3.3245103829999998</v>
      </c>
      <c r="V1098" s="2">
        <v>0.566170697</v>
      </c>
      <c r="W1098" s="2">
        <v>8.7558448999999997E-2</v>
      </c>
      <c r="X1098">
        <f t="shared" si="51"/>
        <v>0</v>
      </c>
      <c r="Y1098">
        <f t="shared" si="52"/>
        <v>1</v>
      </c>
      <c r="Z1098">
        <f t="shared" si="53"/>
        <v>1</v>
      </c>
    </row>
    <row r="1099" spans="1:26" ht="15.75" customHeight="1" x14ac:dyDescent="0.2">
      <c r="A1099" s="2" t="s">
        <v>23</v>
      </c>
      <c r="B1099" s="2" t="s">
        <v>35</v>
      </c>
      <c r="C1099" s="2" t="s">
        <v>26</v>
      </c>
      <c r="D1099" s="2" t="s">
        <v>26</v>
      </c>
      <c r="E1099" s="2">
        <v>111</v>
      </c>
      <c r="F1099" s="2">
        <v>202.66666670000001</v>
      </c>
      <c r="G1099" s="2">
        <v>380</v>
      </c>
      <c r="H1099" s="2">
        <v>965.66666669999995</v>
      </c>
      <c r="I1099" s="2">
        <v>2791</v>
      </c>
      <c r="J1099" s="2">
        <v>1.98</v>
      </c>
      <c r="K1099" s="2">
        <v>3.82</v>
      </c>
      <c r="L1099" s="2">
        <v>8.32</v>
      </c>
      <c r="M1099" s="2">
        <v>15.22</v>
      </c>
      <c r="N1099" s="2">
        <v>0.48537058500000002</v>
      </c>
      <c r="O1099" s="2">
        <v>0.38968101700000002</v>
      </c>
      <c r="P1099" s="2">
        <v>3.017319031</v>
      </c>
      <c r="Q1099" s="2">
        <v>3.0450595489999999</v>
      </c>
      <c r="R1099" s="2">
        <v>0.425403896</v>
      </c>
      <c r="S1099" s="2">
        <v>0.48700811999999999</v>
      </c>
      <c r="T1099" s="2">
        <v>2.9871802189999999</v>
      </c>
      <c r="U1099" s="2">
        <v>3.00586273</v>
      </c>
      <c r="V1099" s="2">
        <v>0.80541079400000004</v>
      </c>
      <c r="W1099" s="2">
        <v>8.0906337999999994E-2</v>
      </c>
      <c r="X1099">
        <f t="shared" si="51"/>
        <v>0</v>
      </c>
      <c r="Y1099">
        <f t="shared" si="52"/>
        <v>1</v>
      </c>
      <c r="Z1099">
        <f t="shared" si="53"/>
        <v>0</v>
      </c>
    </row>
    <row r="1100" spans="1:26" ht="15.75" customHeight="1" x14ac:dyDescent="0.2">
      <c r="A1100" s="2" t="s">
        <v>23</v>
      </c>
      <c r="B1100" s="2" t="s">
        <v>35</v>
      </c>
      <c r="C1100" s="2" t="s">
        <v>25</v>
      </c>
      <c r="D1100" s="2" t="s">
        <v>25</v>
      </c>
      <c r="E1100" s="2">
        <v>265</v>
      </c>
      <c r="F1100" s="2">
        <v>174</v>
      </c>
      <c r="G1100" s="2">
        <v>750.33333330000005</v>
      </c>
      <c r="H1100" s="2">
        <v>1468.333333</v>
      </c>
      <c r="I1100" s="2">
        <v>2467.333333</v>
      </c>
      <c r="J1100" s="2">
        <v>1.66</v>
      </c>
      <c r="K1100" s="2">
        <v>6.89</v>
      </c>
      <c r="L1100" s="2">
        <v>10.95</v>
      </c>
      <c r="M1100" s="2">
        <v>14.41</v>
      </c>
      <c r="N1100" s="2">
        <v>0.43467852400000001</v>
      </c>
      <c r="O1100" s="2">
        <v>0.33869329500000001</v>
      </c>
      <c r="P1100" s="2">
        <v>2.6665281479999998</v>
      </c>
      <c r="Q1100" s="2">
        <v>2.6080832790000001</v>
      </c>
      <c r="R1100" s="2">
        <v>2.6429618499999998</v>
      </c>
      <c r="S1100" s="2">
        <v>2.581357626</v>
      </c>
      <c r="T1100" s="2">
        <v>0.35373015800000002</v>
      </c>
      <c r="U1100" s="2">
        <v>0.372412668</v>
      </c>
      <c r="V1100" s="2">
        <v>3.8737765400000002</v>
      </c>
      <c r="W1100" s="2">
        <v>7.6679380000000005E-2</v>
      </c>
      <c r="X1100">
        <f t="shared" si="51"/>
        <v>0</v>
      </c>
      <c r="Y1100">
        <f t="shared" si="52"/>
        <v>1</v>
      </c>
      <c r="Z1100">
        <f t="shared" si="53"/>
        <v>0</v>
      </c>
    </row>
    <row r="1101" spans="1:26" ht="15.75" customHeight="1" x14ac:dyDescent="0.2">
      <c r="A1101" s="2" t="s">
        <v>23</v>
      </c>
      <c r="B1101" s="2" t="s">
        <v>35</v>
      </c>
      <c r="C1101" s="2" t="s">
        <v>30</v>
      </c>
      <c r="D1101" s="2" t="s">
        <v>31</v>
      </c>
      <c r="E1101" s="2">
        <v>189</v>
      </c>
      <c r="F1101" s="2">
        <v>176.33333329999999</v>
      </c>
      <c r="G1101" s="2">
        <v>530.66666669999995</v>
      </c>
      <c r="H1101" s="2">
        <v>1211.333333</v>
      </c>
      <c r="I1101" s="2">
        <v>2205</v>
      </c>
      <c r="J1101" s="2">
        <v>1.68</v>
      </c>
      <c r="K1101" s="2">
        <v>5.18</v>
      </c>
      <c r="L1101" s="2">
        <v>9.7100000000000009</v>
      </c>
      <c r="M1101" s="2">
        <v>13.66</v>
      </c>
      <c r="N1101" s="2">
        <v>4.1150422960000004</v>
      </c>
      <c r="O1101" s="2">
        <v>4.2277289859999998</v>
      </c>
      <c r="P1101" s="2">
        <v>1.8485834029999999</v>
      </c>
      <c r="Q1101" s="2">
        <v>1.8346869509999999</v>
      </c>
      <c r="R1101" s="2">
        <v>0.93303028099999996</v>
      </c>
      <c r="S1101" s="2">
        <v>0.87142605699999998</v>
      </c>
      <c r="T1101" s="2">
        <v>1.595843066</v>
      </c>
      <c r="U1101" s="2">
        <v>1.6145255759999999</v>
      </c>
      <c r="V1101" s="2">
        <v>2.1638449710000001</v>
      </c>
      <c r="W1101" s="2">
        <v>7.8317028999999996E-2</v>
      </c>
      <c r="X1101">
        <f t="shared" si="51"/>
        <v>0</v>
      </c>
      <c r="Y1101">
        <f t="shared" si="52"/>
        <v>1</v>
      </c>
      <c r="Z1101">
        <f t="shared" si="53"/>
        <v>1</v>
      </c>
    </row>
    <row r="1102" spans="1:26" ht="15.75" customHeight="1" x14ac:dyDescent="0.2">
      <c r="A1102" s="2" t="s">
        <v>23</v>
      </c>
      <c r="B1102" s="2" t="s">
        <v>35</v>
      </c>
      <c r="C1102" s="2" t="s">
        <v>27</v>
      </c>
      <c r="D1102" s="2" t="s">
        <v>27</v>
      </c>
      <c r="E1102" s="2">
        <v>141</v>
      </c>
      <c r="F1102" s="2">
        <v>184</v>
      </c>
      <c r="G1102" s="2">
        <v>342</v>
      </c>
      <c r="H1102" s="2">
        <v>2084.333333</v>
      </c>
      <c r="I1102" s="2">
        <v>2651</v>
      </c>
      <c r="J1102" s="2">
        <v>1.77</v>
      </c>
      <c r="K1102" s="2">
        <v>3.45</v>
      </c>
      <c r="L1102" s="2">
        <v>13.29</v>
      </c>
      <c r="M1102" s="2">
        <v>14.88</v>
      </c>
      <c r="N1102" s="2">
        <v>0.42082717400000003</v>
      </c>
      <c r="O1102" s="2">
        <v>0.61992996</v>
      </c>
      <c r="P1102" s="2">
        <v>2.13481334</v>
      </c>
      <c r="Q1102" s="2">
        <v>2.1414118270000002</v>
      </c>
      <c r="R1102" s="2">
        <v>0.796097681</v>
      </c>
      <c r="S1102" s="2">
        <v>0.85770190599999996</v>
      </c>
      <c r="T1102" s="2">
        <v>1.9808221720000001</v>
      </c>
      <c r="U1102" s="2">
        <v>1.962139662</v>
      </c>
      <c r="V1102" s="2">
        <v>0.43471700800000002</v>
      </c>
      <c r="W1102" s="2">
        <v>5.8277571E-2</v>
      </c>
      <c r="X1102">
        <f t="shared" si="51"/>
        <v>0</v>
      </c>
      <c r="Y1102">
        <f t="shared" si="52"/>
        <v>1</v>
      </c>
      <c r="Z1102">
        <f t="shared" si="53"/>
        <v>0</v>
      </c>
    </row>
    <row r="1103" spans="1:26" ht="15.75" customHeight="1" x14ac:dyDescent="0.2">
      <c r="A1103" s="2" t="s">
        <v>23</v>
      </c>
      <c r="B1103" s="2" t="s">
        <v>35</v>
      </c>
      <c r="C1103" s="2" t="s">
        <v>30</v>
      </c>
      <c r="D1103" s="2" t="s">
        <v>31</v>
      </c>
      <c r="E1103" s="2">
        <v>134</v>
      </c>
      <c r="F1103" s="2">
        <v>174.66666670000001</v>
      </c>
      <c r="G1103" s="2">
        <v>538.33333330000005</v>
      </c>
      <c r="H1103" s="2">
        <v>1210.666667</v>
      </c>
      <c r="I1103" s="2">
        <v>3098.666667</v>
      </c>
      <c r="J1103" s="2">
        <v>1.66</v>
      </c>
      <c r="K1103" s="2">
        <v>5.25</v>
      </c>
      <c r="L1103" s="2">
        <v>9.7100000000000009</v>
      </c>
      <c r="M1103" s="2">
        <v>15.89</v>
      </c>
      <c r="N1103" s="2">
        <v>4.1410825750000004</v>
      </c>
      <c r="O1103" s="2">
        <v>4.2513696430000003</v>
      </c>
      <c r="P1103" s="2">
        <v>1.8850460339999999</v>
      </c>
      <c r="Q1103" s="2">
        <v>1.8693227219999999</v>
      </c>
      <c r="R1103" s="2">
        <v>0.99777337899999996</v>
      </c>
      <c r="S1103" s="2">
        <v>0.93616915499999998</v>
      </c>
      <c r="T1103" s="2">
        <v>1.5993269939999999</v>
      </c>
      <c r="U1103" s="2">
        <v>1.618009504</v>
      </c>
      <c r="V1103" s="2">
        <v>2.2285880690000002</v>
      </c>
      <c r="W1103" s="2">
        <v>6.1316275000000003E-2</v>
      </c>
      <c r="X1103">
        <f t="shared" si="51"/>
        <v>0</v>
      </c>
      <c r="Y1103">
        <f t="shared" si="52"/>
        <v>1</v>
      </c>
      <c r="Z1103">
        <f t="shared" si="53"/>
        <v>1</v>
      </c>
    </row>
    <row r="1104" spans="1:26" ht="15.75" customHeight="1" x14ac:dyDescent="0.2">
      <c r="A1104" s="2" t="s">
        <v>23</v>
      </c>
      <c r="B1104" s="2" t="s">
        <v>35</v>
      </c>
      <c r="C1104" s="2" t="s">
        <v>27</v>
      </c>
      <c r="D1104" s="2" t="s">
        <v>27</v>
      </c>
      <c r="E1104" s="2">
        <v>126</v>
      </c>
      <c r="F1104" s="2">
        <v>182.66666670000001</v>
      </c>
      <c r="G1104" s="2">
        <v>363.33333329999999</v>
      </c>
      <c r="H1104" s="2">
        <v>2271.666667</v>
      </c>
      <c r="I1104" s="2">
        <v>2975.333333</v>
      </c>
      <c r="J1104" s="2">
        <v>1.76</v>
      </c>
      <c r="K1104" s="2">
        <v>3.66</v>
      </c>
      <c r="L1104" s="2">
        <v>13.86</v>
      </c>
      <c r="M1104" s="2">
        <v>15.63</v>
      </c>
      <c r="N1104" s="2">
        <v>0.30620434699999999</v>
      </c>
      <c r="O1104" s="2">
        <v>0.255235394</v>
      </c>
      <c r="P1104" s="2">
        <v>2.6224347030000001</v>
      </c>
      <c r="Q1104" s="2">
        <v>2.6187905210000002</v>
      </c>
      <c r="R1104" s="2">
        <v>0.58649600000000002</v>
      </c>
      <c r="S1104" s="2">
        <v>0.648100224</v>
      </c>
      <c r="T1104" s="2">
        <v>2.5560098230000001</v>
      </c>
      <c r="U1104" s="2">
        <v>2.537327313</v>
      </c>
      <c r="V1104" s="2">
        <v>0.64431868999999997</v>
      </c>
      <c r="W1104" s="2">
        <v>8.7997152999999995E-2</v>
      </c>
      <c r="X1104">
        <f t="shared" si="51"/>
        <v>0</v>
      </c>
      <c r="Y1104">
        <f t="shared" si="52"/>
        <v>1</v>
      </c>
      <c r="Z1104">
        <f t="shared" si="53"/>
        <v>0</v>
      </c>
    </row>
    <row r="1105" spans="1:26" ht="15.75" customHeight="1" x14ac:dyDescent="0.2">
      <c r="A1105" s="2" t="s">
        <v>23</v>
      </c>
      <c r="B1105" s="2" t="s">
        <v>35</v>
      </c>
      <c r="C1105" s="2" t="s">
        <v>26</v>
      </c>
      <c r="D1105" s="2" t="s">
        <v>26</v>
      </c>
      <c r="E1105" s="2">
        <v>150</v>
      </c>
      <c r="F1105" s="2">
        <v>194.66666670000001</v>
      </c>
      <c r="G1105" s="2">
        <v>355.66666670000001</v>
      </c>
      <c r="H1105" s="2">
        <v>1021</v>
      </c>
      <c r="I1105" s="2">
        <v>2614.333333</v>
      </c>
      <c r="J1105" s="2">
        <v>1.89</v>
      </c>
      <c r="K1105" s="2">
        <v>3.59</v>
      </c>
      <c r="L1105" s="2">
        <v>8.65</v>
      </c>
      <c r="M1105" s="2">
        <v>14.79</v>
      </c>
      <c r="N1105" s="2">
        <v>0.83628761100000004</v>
      </c>
      <c r="O1105" s="2">
        <v>0.75901825199999995</v>
      </c>
      <c r="P1105" s="2">
        <v>2.7349626649999998</v>
      </c>
      <c r="Q1105" s="2">
        <v>2.7685395160000001</v>
      </c>
      <c r="R1105" s="2">
        <v>0.66137704500000005</v>
      </c>
      <c r="S1105" s="2">
        <v>0.72298127000000001</v>
      </c>
      <c r="T1105" s="2">
        <v>2.6537899660000002</v>
      </c>
      <c r="U1105" s="2">
        <v>2.6724724759999998</v>
      </c>
      <c r="V1105" s="2">
        <v>0.56943764399999997</v>
      </c>
      <c r="W1105" s="2">
        <v>8.4685755000000001E-2</v>
      </c>
      <c r="X1105">
        <f t="shared" si="51"/>
        <v>0</v>
      </c>
      <c r="Y1105">
        <f t="shared" si="52"/>
        <v>1</v>
      </c>
      <c r="Z1105">
        <f t="shared" si="53"/>
        <v>0</v>
      </c>
    </row>
    <row r="1106" spans="1:26" ht="15.75" customHeight="1" x14ac:dyDescent="0.2">
      <c r="A1106" s="2" t="s">
        <v>23</v>
      </c>
      <c r="B1106" s="2" t="s">
        <v>35</v>
      </c>
      <c r="C1106" s="2" t="s">
        <v>27</v>
      </c>
      <c r="D1106" s="2" t="s">
        <v>27</v>
      </c>
      <c r="E1106" s="2">
        <v>123</v>
      </c>
      <c r="F1106" s="2">
        <v>190.66666670000001</v>
      </c>
      <c r="G1106" s="2">
        <v>338</v>
      </c>
      <c r="H1106" s="2">
        <v>2387</v>
      </c>
      <c r="I1106" s="2">
        <v>2879.333333</v>
      </c>
      <c r="J1106" s="2">
        <v>1.85</v>
      </c>
      <c r="K1106" s="2">
        <v>3.41</v>
      </c>
      <c r="L1106" s="2">
        <v>14.19</v>
      </c>
      <c r="M1106" s="2">
        <v>15.42</v>
      </c>
      <c r="N1106" s="2">
        <v>0.71056603900000004</v>
      </c>
      <c r="O1106" s="2">
        <v>0.65617260499999996</v>
      </c>
      <c r="P1106" s="2">
        <v>3.0040917490000001</v>
      </c>
      <c r="Q1106" s="2">
        <v>3.0039768769999999</v>
      </c>
      <c r="R1106" s="2">
        <v>0.83583124600000003</v>
      </c>
      <c r="S1106" s="2">
        <v>0.89743547099999998</v>
      </c>
      <c r="T1106" s="2">
        <v>2.885472815</v>
      </c>
      <c r="U1106" s="2">
        <v>2.8667903049999999</v>
      </c>
      <c r="V1106" s="2">
        <v>0.39498344299999999</v>
      </c>
      <c r="W1106" s="2">
        <v>7.7040751000000005E-2</v>
      </c>
      <c r="X1106">
        <f t="shared" si="51"/>
        <v>0</v>
      </c>
      <c r="Y1106">
        <f t="shared" si="52"/>
        <v>1</v>
      </c>
      <c r="Z1106">
        <f t="shared" si="53"/>
        <v>0</v>
      </c>
    </row>
    <row r="1107" spans="1:26" ht="15.75" customHeight="1" x14ac:dyDescent="0.2">
      <c r="A1107" s="2" t="s">
        <v>23</v>
      </c>
      <c r="B1107" s="2" t="s">
        <v>35</v>
      </c>
      <c r="C1107" s="2" t="s">
        <v>30</v>
      </c>
      <c r="D1107" s="2" t="s">
        <v>31</v>
      </c>
      <c r="E1107" s="2">
        <v>154</v>
      </c>
      <c r="F1107" s="2">
        <v>193</v>
      </c>
      <c r="G1107" s="2">
        <v>493.66666670000001</v>
      </c>
      <c r="H1107" s="2">
        <v>1148.666667</v>
      </c>
      <c r="I1107" s="2">
        <v>2664.333333</v>
      </c>
      <c r="J1107" s="2">
        <v>1.87</v>
      </c>
      <c r="K1107" s="2">
        <v>4.8600000000000003</v>
      </c>
      <c r="L1107" s="2">
        <v>9.3800000000000008</v>
      </c>
      <c r="M1107" s="2">
        <v>14.92</v>
      </c>
      <c r="N1107" s="2">
        <v>4.3385423879999996</v>
      </c>
      <c r="O1107" s="2">
        <v>4.4662666529999999</v>
      </c>
      <c r="P1107" s="2">
        <v>2.0254529639999999</v>
      </c>
      <c r="Q1107" s="2">
        <v>2.0255749839999999</v>
      </c>
      <c r="R1107" s="2">
        <v>0.61488650099999997</v>
      </c>
      <c r="S1107" s="2">
        <v>0.55328227600000002</v>
      </c>
      <c r="T1107" s="2">
        <v>1.929863804</v>
      </c>
      <c r="U1107" s="2">
        <v>1.9485463139999999</v>
      </c>
      <c r="V1107" s="2">
        <v>1.84570119</v>
      </c>
      <c r="W1107" s="2">
        <v>3.6825667999999999E-2</v>
      </c>
      <c r="X1107">
        <f t="shared" si="51"/>
        <v>0</v>
      </c>
      <c r="Y1107">
        <f t="shared" si="52"/>
        <v>1</v>
      </c>
      <c r="Z1107">
        <f t="shared" si="53"/>
        <v>1</v>
      </c>
    </row>
    <row r="1108" spans="1:26" ht="15.75" customHeight="1" x14ac:dyDescent="0.2">
      <c r="A1108" s="2" t="s">
        <v>23</v>
      </c>
      <c r="B1108" s="2" t="s">
        <v>35</v>
      </c>
      <c r="C1108" s="2" t="s">
        <v>27</v>
      </c>
      <c r="D1108" s="2" t="s">
        <v>27</v>
      </c>
      <c r="E1108" s="2">
        <v>146</v>
      </c>
      <c r="F1108" s="2">
        <v>182</v>
      </c>
      <c r="G1108" s="2">
        <v>421</v>
      </c>
      <c r="H1108" s="2">
        <v>2321.333333</v>
      </c>
      <c r="I1108" s="2">
        <v>2981.333333</v>
      </c>
      <c r="J1108" s="2">
        <v>1.75</v>
      </c>
      <c r="K1108" s="2">
        <v>4.21</v>
      </c>
      <c r="L1108" s="2">
        <v>14.01</v>
      </c>
      <c r="M1108" s="2">
        <v>15.65</v>
      </c>
      <c r="N1108" s="2">
        <v>0.62371819399999995</v>
      </c>
      <c r="O1108" s="2">
        <v>0.426065849</v>
      </c>
      <c r="P1108" s="2">
        <v>2.7003420610000002</v>
      </c>
      <c r="Q1108" s="2">
        <v>2.6832579889999999</v>
      </c>
      <c r="R1108" s="2">
        <v>3.8715187999999998E-2</v>
      </c>
      <c r="S1108" s="2">
        <v>0.100319413</v>
      </c>
      <c r="T1108" s="2">
        <v>2.7000645140000001</v>
      </c>
      <c r="U1108" s="2">
        <v>2.681382004</v>
      </c>
      <c r="V1108" s="2">
        <v>1.192099501</v>
      </c>
      <c r="W1108" s="2">
        <v>7.7406481999999999E-2</v>
      </c>
      <c r="X1108">
        <f t="shared" si="51"/>
        <v>0</v>
      </c>
      <c r="Y1108">
        <f t="shared" si="52"/>
        <v>1</v>
      </c>
      <c r="Z1108">
        <f t="shared" si="53"/>
        <v>0</v>
      </c>
    </row>
    <row r="1109" spans="1:26" ht="15.75" customHeight="1" x14ac:dyDescent="0.2">
      <c r="A1109" s="2" t="s">
        <v>23</v>
      </c>
      <c r="B1109" s="2" t="s">
        <v>35</v>
      </c>
      <c r="C1109" s="2" t="s">
        <v>26</v>
      </c>
      <c r="D1109" s="2" t="s">
        <v>26</v>
      </c>
      <c r="E1109" s="2">
        <v>162</v>
      </c>
      <c r="F1109" s="2">
        <v>194.33333329999999</v>
      </c>
      <c r="G1109" s="2">
        <v>369.33333329999999</v>
      </c>
      <c r="H1109" s="2">
        <v>980.66666669999995</v>
      </c>
      <c r="I1109" s="2">
        <v>2774.666667</v>
      </c>
      <c r="J1109" s="2">
        <v>1.89</v>
      </c>
      <c r="K1109" s="2">
        <v>3.72</v>
      </c>
      <c r="L1109" s="2">
        <v>8.41</v>
      </c>
      <c r="M1109" s="2">
        <v>15.18</v>
      </c>
      <c r="N1109" s="2">
        <v>0.57634154699999995</v>
      </c>
      <c r="O1109" s="2">
        <v>0.49109743099999997</v>
      </c>
      <c r="P1109" s="2">
        <v>2.9433525290000002</v>
      </c>
      <c r="Q1109" s="2">
        <v>2.9733389180000001</v>
      </c>
      <c r="R1109" s="2">
        <v>0.52823727600000003</v>
      </c>
      <c r="S1109" s="2">
        <v>0.58984150000000002</v>
      </c>
      <c r="T1109" s="2">
        <v>2.8955637599999999</v>
      </c>
      <c r="U1109" s="2">
        <v>2.9142462710000001</v>
      </c>
      <c r="V1109" s="2">
        <v>0.70257741399999996</v>
      </c>
      <c r="W1109" s="2">
        <v>8.3196965999999997E-2</v>
      </c>
      <c r="X1109">
        <f t="shared" si="51"/>
        <v>0</v>
      </c>
      <c r="Y1109">
        <f t="shared" si="52"/>
        <v>1</v>
      </c>
      <c r="Z1109">
        <f t="shared" si="53"/>
        <v>0</v>
      </c>
    </row>
    <row r="1110" spans="1:26" ht="15.75" customHeight="1" x14ac:dyDescent="0.2">
      <c r="A1110" s="2" t="s">
        <v>23</v>
      </c>
      <c r="B1110" s="2" t="s">
        <v>35</v>
      </c>
      <c r="C1110" s="2" t="s">
        <v>30</v>
      </c>
      <c r="D1110" s="2" t="s">
        <v>31</v>
      </c>
      <c r="E1110" s="2">
        <v>152</v>
      </c>
      <c r="F1110" s="2">
        <v>169.66666670000001</v>
      </c>
      <c r="G1110" s="2">
        <v>565.33333330000005</v>
      </c>
      <c r="H1110" s="2">
        <v>1193.333333</v>
      </c>
      <c r="I1110" s="2">
        <v>3139</v>
      </c>
      <c r="J1110" s="2">
        <v>1.61</v>
      </c>
      <c r="K1110" s="2">
        <v>5.47</v>
      </c>
      <c r="L1110" s="2">
        <v>9.6199999999999992</v>
      </c>
      <c r="M1110" s="2">
        <v>15.97</v>
      </c>
      <c r="N1110" s="2">
        <v>4.3104013549999998</v>
      </c>
      <c r="O1110" s="2">
        <v>4.4136221920000001</v>
      </c>
      <c r="P1110" s="2">
        <v>2.0862449070000002</v>
      </c>
      <c r="Q1110" s="2">
        <v>2.0661761109999999</v>
      </c>
      <c r="R1110" s="2">
        <v>1.222651682</v>
      </c>
      <c r="S1110" s="2">
        <v>1.1610474580000001</v>
      </c>
      <c r="T1110" s="2">
        <v>1.6904261819999999</v>
      </c>
      <c r="U1110" s="2">
        <v>1.709108692</v>
      </c>
      <c r="V1110" s="2">
        <v>2.4534663719999998</v>
      </c>
      <c r="W1110" s="2">
        <v>5.5232228000000001E-2</v>
      </c>
      <c r="X1110">
        <f t="shared" si="51"/>
        <v>0</v>
      </c>
      <c r="Y1110">
        <f t="shared" si="52"/>
        <v>1</v>
      </c>
      <c r="Z1110">
        <f t="shared" si="53"/>
        <v>1</v>
      </c>
    </row>
    <row r="1111" spans="1:26" ht="15.75" customHeight="1" x14ac:dyDescent="0.2">
      <c r="A1111" s="2" t="s">
        <v>23</v>
      </c>
      <c r="B1111" s="2" t="s">
        <v>35</v>
      </c>
      <c r="C1111" s="2" t="s">
        <v>32</v>
      </c>
      <c r="D1111" s="2" t="s">
        <v>33</v>
      </c>
      <c r="E1111" s="2">
        <v>154</v>
      </c>
      <c r="F1111" s="2">
        <v>176.33333329999999</v>
      </c>
      <c r="G1111" s="2">
        <v>445.66666670000001</v>
      </c>
      <c r="H1111" s="2">
        <v>945.33333330000005</v>
      </c>
      <c r="I1111" s="2">
        <v>3084.333333</v>
      </c>
      <c r="J1111" s="2">
        <v>1.68</v>
      </c>
      <c r="K1111" s="2">
        <v>4.4400000000000004</v>
      </c>
      <c r="L1111" s="2">
        <v>8.19</v>
      </c>
      <c r="M1111" s="2">
        <v>15.86</v>
      </c>
      <c r="N1111" s="2">
        <v>4.1270994429999996</v>
      </c>
      <c r="O1111" s="2">
        <v>4.0307292410000004</v>
      </c>
      <c r="P1111" s="2">
        <v>3.1185281580000002</v>
      </c>
      <c r="Q1111" s="2">
        <v>3.1340969799999998</v>
      </c>
      <c r="R1111" s="2">
        <v>0.18757644900000001</v>
      </c>
      <c r="S1111" s="2">
        <v>0.12597222399999999</v>
      </c>
      <c r="T1111" s="2">
        <v>3.112881776</v>
      </c>
      <c r="U1111" s="2">
        <v>3.1315642860000001</v>
      </c>
      <c r="V1111" s="2">
        <v>1.4183911380000001</v>
      </c>
      <c r="W1111" s="2">
        <v>7.3856074999999993E-2</v>
      </c>
      <c r="X1111">
        <f t="shared" si="51"/>
        <v>0</v>
      </c>
      <c r="Y1111">
        <f t="shared" si="52"/>
        <v>1</v>
      </c>
      <c r="Z1111">
        <f t="shared" si="53"/>
        <v>1</v>
      </c>
    </row>
    <row r="1112" spans="1:26" ht="15.75" customHeight="1" x14ac:dyDescent="0.2">
      <c r="A1112" s="2" t="s">
        <v>23</v>
      </c>
      <c r="B1112" s="2" t="s">
        <v>35</v>
      </c>
      <c r="C1112" s="2" t="s">
        <v>28</v>
      </c>
      <c r="D1112" s="2" t="s">
        <v>29</v>
      </c>
      <c r="E1112" s="2">
        <v>183</v>
      </c>
      <c r="F1112" s="2">
        <v>185</v>
      </c>
      <c r="G1112" s="2">
        <v>323</v>
      </c>
      <c r="H1112" s="2">
        <v>1042.666667</v>
      </c>
      <c r="I1112" s="2">
        <v>2774.333333</v>
      </c>
      <c r="J1112" s="2">
        <v>1.78</v>
      </c>
      <c r="K1112" s="2">
        <v>3.26</v>
      </c>
      <c r="L1112" s="2">
        <v>8.7799999999999994</v>
      </c>
      <c r="M1112" s="2">
        <v>15.18</v>
      </c>
      <c r="N1112" s="2">
        <v>1.071303814</v>
      </c>
      <c r="O1112" s="2">
        <v>1.0156810679999999</v>
      </c>
      <c r="P1112" s="2">
        <v>2.7121968519999999</v>
      </c>
      <c r="Q1112" s="2">
        <v>2.752463353</v>
      </c>
      <c r="R1112" s="2">
        <v>0.98607215699999995</v>
      </c>
      <c r="S1112" s="2">
        <v>1.0476763819999999</v>
      </c>
      <c r="T1112" s="2">
        <v>2.5265932530000001</v>
      </c>
      <c r="U1112" s="2">
        <v>2.5452757629999998</v>
      </c>
      <c r="V1112" s="2">
        <v>0.24474253200000001</v>
      </c>
      <c r="W1112" s="2">
        <v>6.8214296999999993E-2</v>
      </c>
      <c r="X1112">
        <f t="shared" si="51"/>
        <v>0</v>
      </c>
      <c r="Y1112">
        <f t="shared" si="52"/>
        <v>1</v>
      </c>
      <c r="Z1112">
        <f t="shared" si="53"/>
        <v>1</v>
      </c>
    </row>
    <row r="1113" spans="1:26" ht="15.75" customHeight="1" x14ac:dyDescent="0.2">
      <c r="A1113" s="2" t="s">
        <v>23</v>
      </c>
      <c r="B1113" s="2" t="s">
        <v>35</v>
      </c>
      <c r="C1113" s="2" t="s">
        <v>28</v>
      </c>
      <c r="D1113" s="2" t="s">
        <v>29</v>
      </c>
      <c r="E1113" s="2">
        <v>200</v>
      </c>
      <c r="F1113" s="2">
        <v>196</v>
      </c>
      <c r="G1113" s="2">
        <v>355</v>
      </c>
      <c r="H1113" s="2">
        <v>1118.333333</v>
      </c>
      <c r="I1113" s="2">
        <v>2954</v>
      </c>
      <c r="J1113" s="2">
        <v>1.91</v>
      </c>
      <c r="K1113" s="2">
        <v>3.58</v>
      </c>
      <c r="L1113" s="2">
        <v>9.2100000000000009</v>
      </c>
      <c r="M1113" s="2">
        <v>15.59</v>
      </c>
      <c r="N1113" s="2">
        <v>1.3863572099999999</v>
      </c>
      <c r="O1113" s="2">
        <v>1.302232163</v>
      </c>
      <c r="P1113" s="2">
        <v>2.2002543399999999</v>
      </c>
      <c r="Q1113" s="2">
        <v>2.2373843569999998</v>
      </c>
      <c r="R1113" s="2">
        <v>0.66791188000000001</v>
      </c>
      <c r="S1113" s="2">
        <v>0.729516104</v>
      </c>
      <c r="T1113" s="2">
        <v>2.0964286009999999</v>
      </c>
      <c r="U1113" s="2">
        <v>2.1151111120000001</v>
      </c>
      <c r="V1113" s="2">
        <v>0.56290280999999998</v>
      </c>
      <c r="W1113" s="2">
        <v>0.105789193</v>
      </c>
      <c r="X1113">
        <f t="shared" si="51"/>
        <v>0</v>
      </c>
      <c r="Y1113">
        <f t="shared" si="52"/>
        <v>1</v>
      </c>
      <c r="Z1113">
        <f t="shared" si="53"/>
        <v>1</v>
      </c>
    </row>
    <row r="1114" spans="1:26" ht="15.75" customHeight="1" x14ac:dyDescent="0.2">
      <c r="A1114" s="2" t="s">
        <v>23</v>
      </c>
      <c r="B1114" s="2" t="s">
        <v>35</v>
      </c>
      <c r="C1114" s="2" t="s">
        <v>26</v>
      </c>
      <c r="D1114" s="2" t="s">
        <v>26</v>
      </c>
      <c r="E1114" s="2">
        <v>159</v>
      </c>
      <c r="F1114" s="2">
        <v>197.66666670000001</v>
      </c>
      <c r="G1114" s="2">
        <v>354.33333329999999</v>
      </c>
      <c r="H1114" s="2">
        <v>791</v>
      </c>
      <c r="I1114" s="2">
        <v>2712.333333</v>
      </c>
      <c r="J1114" s="2">
        <v>1.93</v>
      </c>
      <c r="K1114" s="2">
        <v>3.57</v>
      </c>
      <c r="L1114" s="2">
        <v>7.18</v>
      </c>
      <c r="M1114" s="2">
        <v>15.03</v>
      </c>
      <c r="N1114" s="2">
        <v>0.68658529300000004</v>
      </c>
      <c r="O1114" s="2">
        <v>0.78938116300000005</v>
      </c>
      <c r="P1114" s="2">
        <v>4.1822949569999999</v>
      </c>
      <c r="Q1114" s="2">
        <v>4.2110639259999996</v>
      </c>
      <c r="R1114" s="2">
        <v>0.67445047899999999</v>
      </c>
      <c r="S1114" s="2">
        <v>0.73605470299999998</v>
      </c>
      <c r="T1114" s="2">
        <v>4.1275546829999996</v>
      </c>
      <c r="U1114" s="2">
        <v>4.1462371930000002</v>
      </c>
      <c r="V1114" s="2">
        <v>0.55636421000000003</v>
      </c>
      <c r="W1114" s="2">
        <v>8.1118279000000001E-2</v>
      </c>
      <c r="X1114">
        <f t="shared" si="51"/>
        <v>0</v>
      </c>
      <c r="Y1114">
        <f t="shared" si="52"/>
        <v>1</v>
      </c>
      <c r="Z1114">
        <f t="shared" si="53"/>
        <v>0</v>
      </c>
    </row>
    <row r="1115" spans="1:26" ht="15.75" customHeight="1" x14ac:dyDescent="0.2">
      <c r="A1115" s="2" t="s">
        <v>23</v>
      </c>
      <c r="B1115" s="2" t="s">
        <v>35</v>
      </c>
      <c r="C1115" s="2" t="s">
        <v>25</v>
      </c>
      <c r="D1115" s="2" t="s">
        <v>25</v>
      </c>
      <c r="E1115" s="2">
        <v>140</v>
      </c>
      <c r="F1115" s="2">
        <v>178.66666670000001</v>
      </c>
      <c r="G1115" s="2">
        <v>788.33333330000005</v>
      </c>
      <c r="H1115" s="2">
        <v>1589</v>
      </c>
      <c r="I1115" s="2">
        <v>2953</v>
      </c>
      <c r="J1115" s="2">
        <v>1.71</v>
      </c>
      <c r="K1115" s="2">
        <v>7.16</v>
      </c>
      <c r="L1115" s="2">
        <v>11.47</v>
      </c>
      <c r="M1115" s="2">
        <v>15.58</v>
      </c>
      <c r="N1115" s="2">
        <v>0.22307758699999999</v>
      </c>
      <c r="O1115" s="2">
        <v>0.25683726600000001</v>
      </c>
      <c r="P1115" s="2">
        <v>2.9158390509999998</v>
      </c>
      <c r="Q1115" s="2">
        <v>2.8533038629999998</v>
      </c>
      <c r="R1115" s="2">
        <v>2.9110294780000001</v>
      </c>
      <c r="S1115" s="2">
        <v>2.8494252530000002</v>
      </c>
      <c r="T1115" s="2">
        <v>0.167405945</v>
      </c>
      <c r="U1115" s="2">
        <v>0.14872343399999999</v>
      </c>
      <c r="V1115" s="2">
        <v>4.1418441670000004</v>
      </c>
      <c r="W1115" s="2">
        <v>6.8451774000000007E-2</v>
      </c>
      <c r="X1115">
        <f t="shared" si="51"/>
        <v>0</v>
      </c>
      <c r="Y1115">
        <f t="shared" si="52"/>
        <v>1</v>
      </c>
      <c r="Z1115">
        <f t="shared" si="53"/>
        <v>0</v>
      </c>
    </row>
    <row r="1116" spans="1:26" ht="15.75" customHeight="1" x14ac:dyDescent="0.2">
      <c r="A1116" s="2" t="s">
        <v>23</v>
      </c>
      <c r="B1116" s="2" t="s">
        <v>35</v>
      </c>
      <c r="C1116" s="2" t="s">
        <v>30</v>
      </c>
      <c r="D1116" s="2" t="s">
        <v>31</v>
      </c>
      <c r="E1116" s="2">
        <v>144</v>
      </c>
      <c r="F1116" s="2">
        <v>169.33333329999999</v>
      </c>
      <c r="G1116" s="2">
        <v>767.33333330000005</v>
      </c>
      <c r="H1116" s="2">
        <v>1370</v>
      </c>
      <c r="I1116" s="2">
        <v>3322.333333</v>
      </c>
      <c r="J1116" s="2">
        <v>1.6</v>
      </c>
      <c r="K1116" s="2">
        <v>7.01</v>
      </c>
      <c r="L1116" s="2">
        <v>10.5</v>
      </c>
      <c r="M1116" s="2">
        <v>16.329999999999998</v>
      </c>
      <c r="N1116" s="2">
        <v>4.4732215379999998</v>
      </c>
      <c r="O1116" s="2">
        <v>4.5003163150000001</v>
      </c>
      <c r="P1116" s="2">
        <v>2.8790337359999998</v>
      </c>
      <c r="Q1116" s="2">
        <v>2.8253466340000002</v>
      </c>
      <c r="R1116" s="2">
        <v>2.763810243</v>
      </c>
      <c r="S1116" s="2">
        <v>2.7022060190000001</v>
      </c>
      <c r="T1116" s="2">
        <v>0.80634247800000003</v>
      </c>
      <c r="U1116" s="2">
        <v>0.82502498899999999</v>
      </c>
      <c r="V1116" s="2">
        <v>3.9946249329999999</v>
      </c>
      <c r="W1116" s="2">
        <v>9.1470849000000007E-2</v>
      </c>
      <c r="X1116">
        <f t="shared" si="51"/>
        <v>0</v>
      </c>
      <c r="Y1116">
        <f t="shared" si="52"/>
        <v>1</v>
      </c>
      <c r="Z1116">
        <f t="shared" si="53"/>
        <v>1</v>
      </c>
    </row>
    <row r="1117" spans="1:26" ht="15.75" customHeight="1" x14ac:dyDescent="0.2">
      <c r="A1117" s="2" t="s">
        <v>23</v>
      </c>
      <c r="B1117" s="2" t="s">
        <v>35</v>
      </c>
      <c r="C1117" s="2" t="s">
        <v>28</v>
      </c>
      <c r="D1117" s="2" t="s">
        <v>29</v>
      </c>
      <c r="E1117" s="2">
        <v>162</v>
      </c>
      <c r="F1117" s="2">
        <v>187.33333329999999</v>
      </c>
      <c r="G1117" s="2">
        <v>366</v>
      </c>
      <c r="H1117" s="2">
        <v>1054.666667</v>
      </c>
      <c r="I1117" s="2">
        <v>2922</v>
      </c>
      <c r="J1117" s="2">
        <v>1.81</v>
      </c>
      <c r="K1117" s="2">
        <v>3.69</v>
      </c>
      <c r="L1117" s="2">
        <v>8.85</v>
      </c>
      <c r="M1117" s="2">
        <v>15.52</v>
      </c>
      <c r="N1117" s="2">
        <v>1.0161384950000001</v>
      </c>
      <c r="O1117" s="2">
        <v>0.92905157299999996</v>
      </c>
      <c r="P1117" s="2">
        <v>2.5200698510000001</v>
      </c>
      <c r="Q1117" s="2">
        <v>2.5525998489999999</v>
      </c>
      <c r="R1117" s="2">
        <v>0.56056612699999997</v>
      </c>
      <c r="S1117" s="2">
        <v>0.62217035200000004</v>
      </c>
      <c r="T1117" s="2">
        <v>2.456932573</v>
      </c>
      <c r="U1117" s="2">
        <v>2.4756150830000001</v>
      </c>
      <c r="V1117" s="2">
        <v>0.67024856200000005</v>
      </c>
      <c r="W1117" s="2">
        <v>6.2852889999999995E-2</v>
      </c>
      <c r="X1117">
        <f t="shared" si="51"/>
        <v>0</v>
      </c>
      <c r="Y1117">
        <f t="shared" si="52"/>
        <v>1</v>
      </c>
      <c r="Z1117">
        <f t="shared" si="53"/>
        <v>1</v>
      </c>
    </row>
    <row r="1118" spans="1:26" ht="15.75" customHeight="1" x14ac:dyDescent="0.2">
      <c r="A1118" s="2" t="s">
        <v>23</v>
      </c>
      <c r="B1118" s="2" t="s">
        <v>35</v>
      </c>
      <c r="C1118" s="2" t="s">
        <v>28</v>
      </c>
      <c r="D1118" s="2" t="s">
        <v>29</v>
      </c>
      <c r="E1118" s="2">
        <v>170</v>
      </c>
      <c r="F1118" s="2">
        <v>196.33333329999999</v>
      </c>
      <c r="G1118" s="2">
        <v>368.66666670000001</v>
      </c>
      <c r="H1118" s="2">
        <v>1069.333333</v>
      </c>
      <c r="I1118" s="2">
        <v>2954.333333</v>
      </c>
      <c r="J1118" s="2">
        <v>1.91</v>
      </c>
      <c r="K1118" s="2">
        <v>3.71</v>
      </c>
      <c r="L1118" s="2">
        <v>8.93</v>
      </c>
      <c r="M1118" s="2">
        <v>15.59</v>
      </c>
      <c r="N1118" s="2">
        <v>1.098630845</v>
      </c>
      <c r="O1118" s="2">
        <v>1.0096824040000001</v>
      </c>
      <c r="P1118" s="2">
        <v>2.4320467259999998</v>
      </c>
      <c r="Q1118" s="2">
        <v>2.4644521629999998</v>
      </c>
      <c r="R1118" s="2">
        <v>0.53469564199999997</v>
      </c>
      <c r="S1118" s="2">
        <v>0.59629986599999996</v>
      </c>
      <c r="T1118" s="2">
        <v>2.3725412210000001</v>
      </c>
      <c r="U1118" s="2">
        <v>2.3912237310000002</v>
      </c>
      <c r="V1118" s="2">
        <v>0.69611904800000002</v>
      </c>
      <c r="W1118" s="2">
        <v>6.1050023000000002E-2</v>
      </c>
      <c r="X1118">
        <f t="shared" si="51"/>
        <v>0</v>
      </c>
      <c r="Y1118">
        <f t="shared" si="52"/>
        <v>1</v>
      </c>
      <c r="Z1118">
        <f t="shared" si="53"/>
        <v>1</v>
      </c>
    </row>
    <row r="1119" spans="1:26" ht="15.75" customHeight="1" x14ac:dyDescent="0.2">
      <c r="A1119" s="2" t="s">
        <v>23</v>
      </c>
      <c r="B1119" s="2" t="s">
        <v>35</v>
      </c>
      <c r="C1119" s="2" t="s">
        <v>32</v>
      </c>
      <c r="D1119" s="2" t="s">
        <v>33</v>
      </c>
      <c r="E1119" s="2">
        <v>253</v>
      </c>
      <c r="F1119" s="2">
        <v>173.66666670000001</v>
      </c>
      <c r="G1119" s="2">
        <v>442.33333329999999</v>
      </c>
      <c r="H1119" s="2">
        <v>934</v>
      </c>
      <c r="I1119" s="2">
        <v>2808.333333</v>
      </c>
      <c r="J1119" s="2">
        <v>1.65</v>
      </c>
      <c r="K1119" s="2">
        <v>4.41</v>
      </c>
      <c r="L1119" s="2">
        <v>8.1199999999999992</v>
      </c>
      <c r="M1119" s="2">
        <v>15.26</v>
      </c>
      <c r="N1119" s="2">
        <v>4.200042141</v>
      </c>
      <c r="O1119" s="2">
        <v>4.1040552520000002</v>
      </c>
      <c r="P1119" s="2">
        <v>3.1875935559999999</v>
      </c>
      <c r="Q1119" s="2">
        <v>3.203822637</v>
      </c>
      <c r="R1119" s="2">
        <v>0.15726805499999999</v>
      </c>
      <c r="S1119" s="2">
        <v>9.5663831000000005E-2</v>
      </c>
      <c r="T1119" s="2">
        <v>3.1837115819999999</v>
      </c>
      <c r="U1119" s="2">
        <v>3.202394092</v>
      </c>
      <c r="V1119" s="2">
        <v>1.388082745</v>
      </c>
      <c r="W1119" s="2">
        <v>8.8231816000000005E-2</v>
      </c>
      <c r="X1119">
        <f t="shared" si="51"/>
        <v>0</v>
      </c>
      <c r="Y1119">
        <f t="shared" si="52"/>
        <v>1</v>
      </c>
      <c r="Z1119">
        <f t="shared" si="53"/>
        <v>1</v>
      </c>
    </row>
    <row r="1120" spans="1:26" ht="15.75" customHeight="1" x14ac:dyDescent="0.2">
      <c r="A1120" s="2" t="s">
        <v>23</v>
      </c>
      <c r="B1120" s="2" t="s">
        <v>35</v>
      </c>
      <c r="C1120" s="2" t="s">
        <v>25</v>
      </c>
      <c r="D1120" s="2" t="s">
        <v>25</v>
      </c>
      <c r="E1120" s="2">
        <v>150</v>
      </c>
      <c r="F1120" s="2">
        <v>194.66666670000001</v>
      </c>
      <c r="G1120" s="2">
        <v>786.33333330000005</v>
      </c>
      <c r="H1120" s="2">
        <v>1696</v>
      </c>
      <c r="I1120" s="2">
        <v>2904</v>
      </c>
      <c r="J1120" s="2">
        <v>1.89</v>
      </c>
      <c r="K1120" s="2">
        <v>7.15</v>
      </c>
      <c r="L1120" s="2">
        <v>11.91</v>
      </c>
      <c r="M1120" s="2">
        <v>15.48</v>
      </c>
      <c r="N1120" s="2">
        <v>0.654585427</v>
      </c>
      <c r="O1120" s="2">
        <v>0.68307561500000002</v>
      </c>
      <c r="P1120" s="2">
        <v>2.9587347610000001</v>
      </c>
      <c r="Q1120" s="2">
        <v>2.8946262090000001</v>
      </c>
      <c r="R1120" s="2">
        <v>2.8971055990000001</v>
      </c>
      <c r="S1120" s="2">
        <v>2.8355013750000002</v>
      </c>
      <c r="T1120" s="2">
        <v>0.60074165199999996</v>
      </c>
      <c r="U1120" s="2">
        <v>0.58205914199999997</v>
      </c>
      <c r="V1120" s="2">
        <v>4.1279202880000003</v>
      </c>
      <c r="W1120" s="2">
        <v>5.6400988999999999E-2</v>
      </c>
      <c r="X1120">
        <f t="shared" si="51"/>
        <v>0</v>
      </c>
      <c r="Y1120">
        <f t="shared" si="52"/>
        <v>1</v>
      </c>
      <c r="Z1120">
        <f t="shared" si="53"/>
        <v>0</v>
      </c>
    </row>
    <row r="1121" spans="1:26" ht="15.75" customHeight="1" x14ac:dyDescent="0.2">
      <c r="A1121" s="2" t="s">
        <v>23</v>
      </c>
      <c r="B1121" s="2" t="s">
        <v>35</v>
      </c>
      <c r="C1121" s="2" t="s">
        <v>27</v>
      </c>
      <c r="D1121" s="2" t="s">
        <v>27</v>
      </c>
      <c r="E1121" s="2">
        <v>155</v>
      </c>
      <c r="F1121" s="2">
        <v>173.33333329999999</v>
      </c>
      <c r="G1121" s="2">
        <v>344</v>
      </c>
      <c r="H1121" s="2">
        <v>2390</v>
      </c>
      <c r="I1121" s="2">
        <v>3008.333333</v>
      </c>
      <c r="J1121" s="2">
        <v>1.65</v>
      </c>
      <c r="K1121" s="2">
        <v>3.47</v>
      </c>
      <c r="L1121" s="2">
        <v>14.2</v>
      </c>
      <c r="M1121" s="2">
        <v>15.7</v>
      </c>
      <c r="N1121" s="2">
        <v>0.69086789999999998</v>
      </c>
      <c r="O1121" s="2">
        <v>0.62118313999999997</v>
      </c>
      <c r="P1121" s="2">
        <v>2.9961222200000002</v>
      </c>
      <c r="Q1121" s="2">
        <v>2.9947303390000002</v>
      </c>
      <c r="R1121" s="2">
        <v>0.77628263500000005</v>
      </c>
      <c r="S1121" s="2">
        <v>0.83788685900000004</v>
      </c>
      <c r="T1121" s="2">
        <v>2.893809536</v>
      </c>
      <c r="U1121" s="2">
        <v>2.8751270259999999</v>
      </c>
      <c r="V1121" s="2">
        <v>0.45453205400000002</v>
      </c>
      <c r="W1121" s="2">
        <v>8.4093613999999997E-2</v>
      </c>
      <c r="X1121">
        <f t="shared" si="51"/>
        <v>0</v>
      </c>
      <c r="Y1121">
        <f t="shared" si="52"/>
        <v>1</v>
      </c>
      <c r="Z1121">
        <f t="shared" si="53"/>
        <v>0</v>
      </c>
    </row>
    <row r="1122" spans="1:26" ht="15.75" customHeight="1" x14ac:dyDescent="0.2">
      <c r="A1122" s="2" t="s">
        <v>23</v>
      </c>
      <c r="B1122" s="2" t="s">
        <v>35</v>
      </c>
      <c r="C1122" s="2" t="s">
        <v>32</v>
      </c>
      <c r="D1122" s="2" t="s">
        <v>33</v>
      </c>
      <c r="E1122" s="2">
        <v>192</v>
      </c>
      <c r="F1122" s="2">
        <v>201</v>
      </c>
      <c r="G1122" s="2">
        <v>331</v>
      </c>
      <c r="H1122" s="2">
        <v>1005.666667</v>
      </c>
      <c r="I1122" s="2">
        <v>2899.333333</v>
      </c>
      <c r="J1122" s="2">
        <v>1.96</v>
      </c>
      <c r="K1122" s="2">
        <v>3.34</v>
      </c>
      <c r="L1122" s="2">
        <v>8.56</v>
      </c>
      <c r="M1122" s="2">
        <v>15.47</v>
      </c>
      <c r="N1122" s="2">
        <v>4.7076497660000003</v>
      </c>
      <c r="O1122" s="2">
        <v>4.599027778</v>
      </c>
      <c r="P1122" s="2">
        <v>2.8904889640000002</v>
      </c>
      <c r="Q1122" s="2">
        <v>2.9280069420000001</v>
      </c>
      <c r="R1122" s="2">
        <v>0.905698844</v>
      </c>
      <c r="S1122" s="2">
        <v>0.96730306799999999</v>
      </c>
      <c r="T1122" s="2">
        <v>2.7449291530000002</v>
      </c>
      <c r="U1122" s="2">
        <v>2.7636116629999998</v>
      </c>
      <c r="V1122" s="2">
        <v>0.32511584500000001</v>
      </c>
      <c r="W1122" s="2">
        <v>4.7125327000000002E-2</v>
      </c>
      <c r="X1122">
        <f t="shared" si="51"/>
        <v>0</v>
      </c>
      <c r="Y1122">
        <f t="shared" si="52"/>
        <v>1</v>
      </c>
      <c r="Z1122">
        <f t="shared" si="53"/>
        <v>1</v>
      </c>
    </row>
    <row r="1123" spans="1:26" ht="15.75" customHeight="1" x14ac:dyDescent="0.2">
      <c r="A1123" s="2" t="s">
        <v>23</v>
      </c>
      <c r="B1123" s="2" t="s">
        <v>35</v>
      </c>
      <c r="C1123" s="2" t="s">
        <v>28</v>
      </c>
      <c r="D1123" s="2" t="s">
        <v>29</v>
      </c>
      <c r="E1123" s="2">
        <v>144</v>
      </c>
      <c r="F1123" s="2">
        <v>240</v>
      </c>
      <c r="G1123" s="2">
        <v>322.66666670000001</v>
      </c>
      <c r="H1123" s="2">
        <v>1045.333333</v>
      </c>
      <c r="I1123" s="2">
        <v>2569</v>
      </c>
      <c r="J1123" s="2">
        <v>2.39</v>
      </c>
      <c r="K1123" s="2">
        <v>3.26</v>
      </c>
      <c r="L1123" s="2">
        <v>8.8000000000000007</v>
      </c>
      <c r="M1123" s="2">
        <v>14.68</v>
      </c>
      <c r="N1123" s="2">
        <v>1.086577176</v>
      </c>
      <c r="O1123" s="2">
        <v>1.0305341889999999</v>
      </c>
      <c r="P1123" s="2">
        <v>2.6989675370000001</v>
      </c>
      <c r="Q1123" s="2">
        <v>2.7393981859999998</v>
      </c>
      <c r="R1123" s="2">
        <v>0.989433271</v>
      </c>
      <c r="S1123" s="2">
        <v>1.0510374950000001</v>
      </c>
      <c r="T1123" s="2">
        <v>2.5110650269999999</v>
      </c>
      <c r="U1123" s="2">
        <v>2.529747537</v>
      </c>
      <c r="V1123" s="2">
        <v>0.24138141799999999</v>
      </c>
      <c r="W1123" s="2">
        <v>5.8716826999999999E-2</v>
      </c>
      <c r="X1123">
        <f t="shared" si="51"/>
        <v>0</v>
      </c>
      <c r="Y1123">
        <f t="shared" si="52"/>
        <v>1</v>
      </c>
      <c r="Z1123">
        <f t="shared" si="53"/>
        <v>1</v>
      </c>
    </row>
    <row r="1124" spans="1:26" ht="15.75" customHeight="1" x14ac:dyDescent="0.2">
      <c r="A1124" s="2" t="s">
        <v>23</v>
      </c>
      <c r="B1124" s="2" t="s">
        <v>35</v>
      </c>
      <c r="C1124" s="2" t="s">
        <v>27</v>
      </c>
      <c r="D1124" s="2" t="s">
        <v>27</v>
      </c>
      <c r="E1124" s="2">
        <v>130</v>
      </c>
      <c r="F1124" s="2">
        <v>194</v>
      </c>
      <c r="G1124" s="2">
        <v>375.33333329999999</v>
      </c>
      <c r="H1124" s="2">
        <v>1850.666667</v>
      </c>
      <c r="I1124" s="2">
        <v>2609</v>
      </c>
      <c r="J1124" s="2">
        <v>1.88</v>
      </c>
      <c r="K1124" s="2">
        <v>3.78</v>
      </c>
      <c r="L1124" s="2">
        <v>12.49</v>
      </c>
      <c r="M1124" s="2">
        <v>14.78</v>
      </c>
      <c r="N1124" s="2">
        <v>1.0824357019999999</v>
      </c>
      <c r="O1124" s="2">
        <v>1.247596648</v>
      </c>
      <c r="P1124" s="2">
        <v>1.2740787010000001</v>
      </c>
      <c r="Q1124" s="2">
        <v>1.2810615089999999</v>
      </c>
      <c r="R1124" s="2">
        <v>0.47027791099999999</v>
      </c>
      <c r="S1124" s="2">
        <v>0.53188213500000003</v>
      </c>
      <c r="T1124" s="2">
        <v>1.1841094640000001</v>
      </c>
      <c r="U1124" s="2">
        <v>1.165426954</v>
      </c>
      <c r="V1124" s="2">
        <v>0.76053677799999997</v>
      </c>
      <c r="W1124" s="2">
        <v>5.7047475E-2</v>
      </c>
      <c r="X1124">
        <f t="shared" si="51"/>
        <v>0</v>
      </c>
      <c r="Y1124">
        <f t="shared" si="52"/>
        <v>1</v>
      </c>
      <c r="Z1124">
        <f t="shared" si="53"/>
        <v>0</v>
      </c>
    </row>
    <row r="1125" spans="1:26" ht="15.75" customHeight="1" x14ac:dyDescent="0.2">
      <c r="A1125" s="2" t="s">
        <v>23</v>
      </c>
      <c r="B1125" s="2" t="s">
        <v>35</v>
      </c>
      <c r="C1125" s="2" t="s">
        <v>26</v>
      </c>
      <c r="D1125" s="2" t="s">
        <v>26</v>
      </c>
      <c r="E1125" s="2">
        <v>175</v>
      </c>
      <c r="F1125" s="2">
        <v>199.66666670000001</v>
      </c>
      <c r="G1125" s="2">
        <v>357.33333329999999</v>
      </c>
      <c r="H1125" s="2">
        <v>813</v>
      </c>
      <c r="I1125" s="2">
        <v>2742.666667</v>
      </c>
      <c r="J1125" s="2">
        <v>1.95</v>
      </c>
      <c r="K1125" s="2">
        <v>3.6</v>
      </c>
      <c r="L1125" s="2">
        <v>7.33</v>
      </c>
      <c r="M1125" s="2">
        <v>15.11</v>
      </c>
      <c r="N1125" s="2">
        <v>0.533187313</v>
      </c>
      <c r="O1125" s="2">
        <v>0.63645401599999996</v>
      </c>
      <c r="P1125" s="2">
        <v>4.027998116</v>
      </c>
      <c r="Q1125" s="2">
        <v>4.0567170360000002</v>
      </c>
      <c r="R1125" s="2">
        <v>0.64505640900000005</v>
      </c>
      <c r="S1125" s="2">
        <v>0.70666063400000001</v>
      </c>
      <c r="T1125" s="2">
        <v>3.976011953</v>
      </c>
      <c r="U1125" s="2">
        <v>3.9946944630000001</v>
      </c>
      <c r="V1125" s="2">
        <v>0.58575827999999996</v>
      </c>
      <c r="W1125" s="2">
        <v>7.4713115999999996E-2</v>
      </c>
      <c r="X1125">
        <f t="shared" si="51"/>
        <v>0</v>
      </c>
      <c r="Y1125">
        <f t="shared" si="52"/>
        <v>1</v>
      </c>
      <c r="Z1125">
        <f t="shared" si="53"/>
        <v>0</v>
      </c>
    </row>
    <row r="1126" spans="1:26" ht="15.75" customHeight="1" x14ac:dyDescent="0.2">
      <c r="A1126" s="2" t="s">
        <v>23</v>
      </c>
      <c r="B1126" s="2" t="s">
        <v>35</v>
      </c>
      <c r="C1126" s="2" t="s">
        <v>27</v>
      </c>
      <c r="D1126" s="2" t="s">
        <v>27</v>
      </c>
      <c r="E1126" s="2">
        <v>145</v>
      </c>
      <c r="F1126" s="2">
        <v>194.66666670000001</v>
      </c>
      <c r="G1126" s="2">
        <v>373.66666670000001</v>
      </c>
      <c r="H1126" s="2">
        <v>2314.333333</v>
      </c>
      <c r="I1126" s="2">
        <v>2934.666667</v>
      </c>
      <c r="J1126" s="2">
        <v>1.89</v>
      </c>
      <c r="K1126" s="2">
        <v>3.76</v>
      </c>
      <c r="L1126" s="2">
        <v>13.99</v>
      </c>
      <c r="M1126" s="2">
        <v>15.54</v>
      </c>
      <c r="N1126" s="2">
        <v>0.41354895600000002</v>
      </c>
      <c r="O1126" s="2">
        <v>0.27979359399999998</v>
      </c>
      <c r="P1126" s="2">
        <v>2.723736803</v>
      </c>
      <c r="Q1126" s="2">
        <v>2.7171072000000001</v>
      </c>
      <c r="R1126" s="2">
        <v>0.486347839</v>
      </c>
      <c r="S1126" s="2">
        <v>0.54795206299999999</v>
      </c>
      <c r="T1126" s="2">
        <v>2.6799641699999999</v>
      </c>
      <c r="U1126" s="2">
        <v>2.6612816600000002</v>
      </c>
      <c r="V1126" s="2">
        <v>0.74446685000000001</v>
      </c>
      <c r="W1126" s="2">
        <v>6.7164666999999997E-2</v>
      </c>
      <c r="X1126">
        <f t="shared" si="51"/>
        <v>0</v>
      </c>
      <c r="Y1126">
        <f t="shared" si="52"/>
        <v>1</v>
      </c>
      <c r="Z1126">
        <f t="shared" si="53"/>
        <v>0</v>
      </c>
    </row>
    <row r="1127" spans="1:26" ht="15.75" customHeight="1" x14ac:dyDescent="0.2">
      <c r="A1127" s="2" t="s">
        <v>23</v>
      </c>
      <c r="B1127" s="2" t="s">
        <v>35</v>
      </c>
      <c r="C1127" s="2" t="s">
        <v>27</v>
      </c>
      <c r="D1127" s="2" t="s">
        <v>27</v>
      </c>
      <c r="E1127" s="2">
        <v>175</v>
      </c>
      <c r="F1127" s="2">
        <v>187.33333329999999</v>
      </c>
      <c r="G1127" s="2">
        <v>431.33333329999999</v>
      </c>
      <c r="H1127" s="2">
        <v>2430</v>
      </c>
      <c r="I1127" s="2">
        <v>3031.333333</v>
      </c>
      <c r="J1127" s="2">
        <v>1.81</v>
      </c>
      <c r="K1127" s="2">
        <v>4.3099999999999996</v>
      </c>
      <c r="L1127" s="2">
        <v>14.31</v>
      </c>
      <c r="M1127" s="2">
        <v>15.75</v>
      </c>
      <c r="N1127" s="2">
        <v>0.91619987999999997</v>
      </c>
      <c r="O1127" s="2">
        <v>0.71489530000000001</v>
      </c>
      <c r="P1127" s="2">
        <v>3.0044111839999998</v>
      </c>
      <c r="Q1127" s="2">
        <v>2.9851986340000001</v>
      </c>
      <c r="R1127" s="2">
        <v>5.6650865000000002E-2</v>
      </c>
      <c r="S1127" s="2">
        <v>4.9533590000000001E-3</v>
      </c>
      <c r="T1127" s="2">
        <v>3.0038770349999999</v>
      </c>
      <c r="U1127" s="2">
        <v>2.9851945249999998</v>
      </c>
      <c r="V1127" s="2">
        <v>1.287465555</v>
      </c>
      <c r="W1127" s="2">
        <v>6.1962508999999999E-2</v>
      </c>
      <c r="X1127">
        <f t="shared" si="51"/>
        <v>0</v>
      </c>
      <c r="Y1127">
        <f t="shared" si="52"/>
        <v>1</v>
      </c>
      <c r="Z1127">
        <f t="shared" si="53"/>
        <v>0</v>
      </c>
    </row>
    <row r="1128" spans="1:26" ht="15.75" customHeight="1" x14ac:dyDescent="0.2">
      <c r="A1128" s="2" t="s">
        <v>23</v>
      </c>
      <c r="B1128" s="2" t="s">
        <v>35</v>
      </c>
      <c r="C1128" s="2" t="s">
        <v>32</v>
      </c>
      <c r="D1128" s="2" t="s">
        <v>33</v>
      </c>
      <c r="E1128" s="2">
        <v>177</v>
      </c>
      <c r="F1128" s="2">
        <v>193.33333329999999</v>
      </c>
      <c r="G1128" s="2">
        <v>446.33333329999999</v>
      </c>
      <c r="H1128" s="2">
        <v>911.33333330000005</v>
      </c>
      <c r="I1128" s="2">
        <v>2426.333333</v>
      </c>
      <c r="J1128" s="2">
        <v>1.88</v>
      </c>
      <c r="K1128" s="2">
        <v>4.4400000000000004</v>
      </c>
      <c r="L1128" s="2">
        <v>7.98</v>
      </c>
      <c r="M1128" s="2">
        <v>14.3</v>
      </c>
      <c r="N1128" s="2">
        <v>4.2844778909999999</v>
      </c>
      <c r="O1128" s="2">
        <v>4.1904134239999999</v>
      </c>
      <c r="P1128" s="2">
        <v>3.332678247</v>
      </c>
      <c r="Q1128" s="2">
        <v>3.3483349649999998</v>
      </c>
      <c r="R1128" s="2">
        <v>0.193628051</v>
      </c>
      <c r="S1128" s="2">
        <v>0.13202382700000001</v>
      </c>
      <c r="T1128" s="2">
        <v>3.3270486130000001</v>
      </c>
      <c r="U1128" s="2">
        <v>3.3457311230000002</v>
      </c>
      <c r="V1128" s="2">
        <v>1.4244427399999999</v>
      </c>
      <c r="W1128" s="2">
        <v>7.8871940000000001E-2</v>
      </c>
      <c r="X1128">
        <f t="shared" si="51"/>
        <v>0</v>
      </c>
      <c r="Y1128">
        <f t="shared" si="52"/>
        <v>1</v>
      </c>
      <c r="Z1128">
        <f t="shared" si="53"/>
        <v>1</v>
      </c>
    </row>
    <row r="1129" spans="1:26" ht="15.75" customHeight="1" x14ac:dyDescent="0.2">
      <c r="A1129" s="2" t="s">
        <v>23</v>
      </c>
      <c r="B1129" s="2" t="s">
        <v>35</v>
      </c>
      <c r="C1129" s="2" t="s">
        <v>28</v>
      </c>
      <c r="D1129" s="2" t="s">
        <v>29</v>
      </c>
      <c r="E1129" s="2">
        <v>188</v>
      </c>
      <c r="F1129" s="2">
        <v>188.66666670000001</v>
      </c>
      <c r="G1129" s="2">
        <v>339.66666670000001</v>
      </c>
      <c r="H1129" s="2">
        <v>947.33333330000005</v>
      </c>
      <c r="I1129" s="2">
        <v>2731.333333</v>
      </c>
      <c r="J1129" s="2">
        <v>1.82</v>
      </c>
      <c r="K1129" s="2">
        <v>3.43</v>
      </c>
      <c r="L1129" s="2">
        <v>8.2100000000000009</v>
      </c>
      <c r="M1129" s="2">
        <v>15.08</v>
      </c>
      <c r="N1129" s="2">
        <v>0.50287079300000004</v>
      </c>
      <c r="O1129" s="2">
        <v>0.47702988400000002</v>
      </c>
      <c r="P1129" s="2">
        <v>3.2068538229999999</v>
      </c>
      <c r="Q1129" s="2">
        <v>3.241117579</v>
      </c>
      <c r="R1129" s="2">
        <v>0.81925879599999996</v>
      </c>
      <c r="S1129" s="2">
        <v>0.88086302000000005</v>
      </c>
      <c r="T1129" s="2">
        <v>3.100439722</v>
      </c>
      <c r="U1129" s="2">
        <v>3.1191222320000001</v>
      </c>
      <c r="V1129" s="2">
        <v>0.41155589300000001</v>
      </c>
      <c r="W1129" s="2">
        <v>7.9723020000000006E-2</v>
      </c>
      <c r="X1129">
        <f t="shared" si="51"/>
        <v>0</v>
      </c>
      <c r="Y1129">
        <f t="shared" si="52"/>
        <v>1</v>
      </c>
      <c r="Z1129">
        <f t="shared" si="53"/>
        <v>1</v>
      </c>
    </row>
    <row r="1130" spans="1:26" ht="15.75" customHeight="1" x14ac:dyDescent="0.2">
      <c r="A1130" s="2" t="s">
        <v>23</v>
      </c>
      <c r="B1130" s="2" t="s">
        <v>35</v>
      </c>
      <c r="C1130" s="2" t="s">
        <v>26</v>
      </c>
      <c r="D1130" s="2" t="s">
        <v>26</v>
      </c>
      <c r="E1130" s="2">
        <v>152</v>
      </c>
      <c r="F1130" s="2">
        <v>207</v>
      </c>
      <c r="G1130" s="2">
        <v>394.66666670000001</v>
      </c>
      <c r="H1130" s="2">
        <v>999</v>
      </c>
      <c r="I1130" s="2">
        <v>2751.333333</v>
      </c>
      <c r="J1130" s="2">
        <v>2.0299999999999998</v>
      </c>
      <c r="K1130" s="2">
        <v>3.96</v>
      </c>
      <c r="L1130" s="2">
        <v>8.52</v>
      </c>
      <c r="M1130" s="2">
        <v>15.13</v>
      </c>
      <c r="N1130" s="2">
        <v>0.71135952000000002</v>
      </c>
      <c r="O1130" s="2">
        <v>0.60946138500000002</v>
      </c>
      <c r="P1130" s="2">
        <v>2.7994488199999998</v>
      </c>
      <c r="Q1130" s="2">
        <v>2.824941307</v>
      </c>
      <c r="R1130" s="2">
        <v>0.28552924499999999</v>
      </c>
      <c r="S1130" s="2">
        <v>0.34713347</v>
      </c>
      <c r="T1130" s="2">
        <v>2.7848495020000001</v>
      </c>
      <c r="U1130" s="2">
        <v>2.8035320119999998</v>
      </c>
      <c r="V1130" s="2">
        <v>0.94528544400000003</v>
      </c>
      <c r="W1130" s="2">
        <v>7.5256066999999996E-2</v>
      </c>
      <c r="X1130">
        <f t="shared" si="51"/>
        <v>0</v>
      </c>
      <c r="Y1130">
        <f t="shared" si="52"/>
        <v>1</v>
      </c>
      <c r="Z1130">
        <f t="shared" si="53"/>
        <v>0</v>
      </c>
    </row>
    <row r="1131" spans="1:26" ht="15.75" customHeight="1" x14ac:dyDescent="0.2">
      <c r="A1131" s="2" t="s">
        <v>23</v>
      </c>
      <c r="B1131" s="2" t="s">
        <v>35</v>
      </c>
      <c r="C1131" s="2" t="s">
        <v>30</v>
      </c>
      <c r="D1131" s="2" t="s">
        <v>31</v>
      </c>
      <c r="E1131" s="2">
        <v>159</v>
      </c>
      <c r="F1131" s="2">
        <v>172.33333329999999</v>
      </c>
      <c r="G1131" s="2">
        <v>556.33333330000005</v>
      </c>
      <c r="H1131" s="2">
        <v>1230.333333</v>
      </c>
      <c r="I1131" s="2">
        <v>2344.333333</v>
      </c>
      <c r="J1131" s="2">
        <v>1.64</v>
      </c>
      <c r="K1131" s="2">
        <v>5.4</v>
      </c>
      <c r="L1131" s="2">
        <v>9.81</v>
      </c>
      <c r="M1131" s="2">
        <v>14.07</v>
      </c>
      <c r="N1131" s="2">
        <v>4.103480137</v>
      </c>
      <c r="O1131" s="2">
        <v>4.2065246849999998</v>
      </c>
      <c r="P1131" s="2">
        <v>1.8867766800000001</v>
      </c>
      <c r="Q1131" s="2">
        <v>1.865084567</v>
      </c>
      <c r="R1131" s="2">
        <v>1.148228453</v>
      </c>
      <c r="S1131" s="2">
        <v>1.086624228</v>
      </c>
      <c r="T1131" s="2">
        <v>1.497163204</v>
      </c>
      <c r="U1131" s="2">
        <v>1.5158457139999999</v>
      </c>
      <c r="V1131" s="2">
        <v>2.379043142</v>
      </c>
      <c r="W1131" s="2">
        <v>5.5166043999999997E-2</v>
      </c>
      <c r="X1131">
        <f t="shared" si="51"/>
        <v>0</v>
      </c>
      <c r="Y1131">
        <f t="shared" si="52"/>
        <v>1</v>
      </c>
      <c r="Z1131">
        <f t="shared" si="53"/>
        <v>1</v>
      </c>
    </row>
    <row r="1132" spans="1:26" ht="15.75" customHeight="1" x14ac:dyDescent="0.2">
      <c r="A1132" s="2" t="s">
        <v>23</v>
      </c>
      <c r="B1132" s="2" t="s">
        <v>35</v>
      </c>
      <c r="C1132" s="2" t="s">
        <v>27</v>
      </c>
      <c r="D1132" s="2" t="s">
        <v>27</v>
      </c>
      <c r="E1132" s="2">
        <v>168</v>
      </c>
      <c r="F1132" s="2">
        <v>214</v>
      </c>
      <c r="G1132" s="2">
        <v>386</v>
      </c>
      <c r="H1132" s="2">
        <v>2068</v>
      </c>
      <c r="I1132" s="2">
        <v>2838</v>
      </c>
      <c r="J1132" s="2">
        <v>2.11</v>
      </c>
      <c r="K1132" s="2">
        <v>3.88</v>
      </c>
      <c r="L1132" s="2">
        <v>13.23</v>
      </c>
      <c r="M1132" s="2">
        <v>15.33</v>
      </c>
      <c r="N1132" s="2">
        <v>0.358614449</v>
      </c>
      <c r="O1132" s="2">
        <v>0.49921282700000003</v>
      </c>
      <c r="P1132" s="2">
        <v>1.9629349540000001</v>
      </c>
      <c r="Q1132" s="2">
        <v>1.9571791000000001</v>
      </c>
      <c r="R1132" s="2">
        <v>0.36797105899999999</v>
      </c>
      <c r="S1132" s="2">
        <v>0.42957528299999997</v>
      </c>
      <c r="T1132" s="2">
        <v>1.928136648</v>
      </c>
      <c r="U1132" s="2">
        <v>1.9094541380000001</v>
      </c>
      <c r="V1132" s="2">
        <v>0.86284363100000006</v>
      </c>
      <c r="W1132" s="2">
        <v>4.2439880999999999E-2</v>
      </c>
      <c r="X1132">
        <f t="shared" si="51"/>
        <v>0</v>
      </c>
      <c r="Y1132">
        <f t="shared" si="52"/>
        <v>1</v>
      </c>
      <c r="Z1132">
        <f t="shared" si="53"/>
        <v>0</v>
      </c>
    </row>
    <row r="1133" spans="1:26" ht="15.75" customHeight="1" x14ac:dyDescent="0.2">
      <c r="A1133" s="2" t="s">
        <v>23</v>
      </c>
      <c r="B1133" s="2" t="s">
        <v>35</v>
      </c>
      <c r="C1133" s="2" t="s">
        <v>30</v>
      </c>
      <c r="D1133" s="2" t="s">
        <v>31</v>
      </c>
      <c r="E1133" s="2">
        <v>157</v>
      </c>
      <c r="F1133" s="2">
        <v>179.66666670000001</v>
      </c>
      <c r="G1133" s="2">
        <v>587</v>
      </c>
      <c r="H1133" s="2">
        <v>1332.333333</v>
      </c>
      <c r="I1133" s="2">
        <v>3186</v>
      </c>
      <c r="J1133" s="2">
        <v>1.72</v>
      </c>
      <c r="K1133" s="2">
        <v>5.65</v>
      </c>
      <c r="L1133" s="2">
        <v>10.32</v>
      </c>
      <c r="M1133" s="2">
        <v>16.07</v>
      </c>
      <c r="N1133" s="2">
        <v>3.7607803030000002</v>
      </c>
      <c r="O1133" s="2">
        <v>3.8437879439999998</v>
      </c>
      <c r="P1133" s="2">
        <v>1.7125945119999999</v>
      </c>
      <c r="Q1133" s="2">
        <v>1.6737827409999999</v>
      </c>
      <c r="R1133" s="2">
        <v>1.39966149</v>
      </c>
      <c r="S1133" s="2">
        <v>1.3380572660000001</v>
      </c>
      <c r="T1133" s="2">
        <v>0.98687774100000003</v>
      </c>
      <c r="U1133" s="2">
        <v>1.0055602509999999</v>
      </c>
      <c r="V1133" s="2">
        <v>2.6304761800000001</v>
      </c>
      <c r="W1133" s="2">
        <v>6.4716354000000004E-2</v>
      </c>
      <c r="X1133">
        <f t="shared" si="51"/>
        <v>0</v>
      </c>
      <c r="Y1133">
        <f t="shared" si="52"/>
        <v>1</v>
      </c>
      <c r="Z1133">
        <f t="shared" si="53"/>
        <v>1</v>
      </c>
    </row>
    <row r="1134" spans="1:26" ht="15.75" customHeight="1" x14ac:dyDescent="0.2">
      <c r="A1134" s="2" t="s">
        <v>23</v>
      </c>
      <c r="B1134" s="2" t="s">
        <v>35</v>
      </c>
      <c r="C1134" s="2" t="s">
        <v>26</v>
      </c>
      <c r="D1134" s="2" t="s">
        <v>26</v>
      </c>
      <c r="E1134" s="2">
        <v>164</v>
      </c>
      <c r="F1134" s="2">
        <v>190</v>
      </c>
      <c r="G1134" s="2">
        <v>349.33333329999999</v>
      </c>
      <c r="H1134" s="2">
        <v>907</v>
      </c>
      <c r="I1134" s="2">
        <v>2601</v>
      </c>
      <c r="J1134" s="2">
        <v>1.84</v>
      </c>
      <c r="K1134" s="2">
        <v>3.53</v>
      </c>
      <c r="L1134" s="2">
        <v>7.95</v>
      </c>
      <c r="M1134" s="2">
        <v>14.76</v>
      </c>
      <c r="N1134" s="2">
        <v>0.27128487699999998</v>
      </c>
      <c r="O1134" s="2">
        <v>0.29398650700000001</v>
      </c>
      <c r="P1134" s="2">
        <v>3.4318634399999999</v>
      </c>
      <c r="Q1134" s="2">
        <v>3.4635725009999998</v>
      </c>
      <c r="R1134" s="2">
        <v>0.72361030699999995</v>
      </c>
      <c r="S1134" s="2">
        <v>0.78521453100000005</v>
      </c>
      <c r="T1134" s="2">
        <v>3.3547093449999998</v>
      </c>
      <c r="U1134" s="2">
        <v>3.373391856</v>
      </c>
      <c r="V1134" s="2">
        <v>0.50720438199999995</v>
      </c>
      <c r="W1134" s="2">
        <v>9.4814242000000007E-2</v>
      </c>
      <c r="X1134">
        <f t="shared" si="51"/>
        <v>0</v>
      </c>
      <c r="Y1134">
        <f t="shared" si="52"/>
        <v>1</v>
      </c>
      <c r="Z1134">
        <f t="shared" si="53"/>
        <v>0</v>
      </c>
    </row>
    <row r="1135" spans="1:26" ht="15.75" customHeight="1" x14ac:dyDescent="0.2">
      <c r="A1135" s="2" t="s">
        <v>23</v>
      </c>
      <c r="B1135" s="2" t="s">
        <v>35</v>
      </c>
      <c r="C1135" s="2" t="s">
        <v>26</v>
      </c>
      <c r="D1135" s="2" t="s">
        <v>26</v>
      </c>
      <c r="E1135" s="2">
        <v>187</v>
      </c>
      <c r="F1135" s="2">
        <v>240.33333329999999</v>
      </c>
      <c r="G1135" s="2">
        <v>372.66666670000001</v>
      </c>
      <c r="H1135" s="2">
        <v>899</v>
      </c>
      <c r="I1135" s="2">
        <v>2761.333333</v>
      </c>
      <c r="J1135" s="2">
        <v>2.4</v>
      </c>
      <c r="K1135" s="2">
        <v>3.75</v>
      </c>
      <c r="L1135" s="2">
        <v>7.9</v>
      </c>
      <c r="M1135" s="2">
        <v>15.15</v>
      </c>
      <c r="N1135" s="2">
        <v>6.6228192000000005E-2</v>
      </c>
      <c r="O1135" s="2">
        <v>7.1740522000000001E-2</v>
      </c>
      <c r="P1135" s="2">
        <v>3.4419213919999998</v>
      </c>
      <c r="Q1135" s="2">
        <v>3.4697757239999998</v>
      </c>
      <c r="R1135" s="2">
        <v>0.49600081800000001</v>
      </c>
      <c r="S1135" s="2">
        <v>0.55760504300000002</v>
      </c>
      <c r="T1135" s="2">
        <v>3.4059956050000002</v>
      </c>
      <c r="U1135" s="2">
        <v>3.4246781149999999</v>
      </c>
      <c r="V1135" s="2">
        <v>0.73481387099999995</v>
      </c>
      <c r="W1135" s="2">
        <v>5.4249457000000001E-2</v>
      </c>
      <c r="X1135">
        <f t="shared" si="51"/>
        <v>0</v>
      </c>
      <c r="Y1135">
        <f t="shared" si="52"/>
        <v>1</v>
      </c>
      <c r="Z1135">
        <f t="shared" si="53"/>
        <v>0</v>
      </c>
    </row>
    <row r="1136" spans="1:26" ht="15.75" customHeight="1" x14ac:dyDescent="0.2">
      <c r="A1136" s="2" t="s">
        <v>23</v>
      </c>
      <c r="B1136" s="2" t="s">
        <v>35</v>
      </c>
      <c r="C1136" s="2" t="s">
        <v>26</v>
      </c>
      <c r="D1136" s="2" t="s">
        <v>26</v>
      </c>
      <c r="E1136" s="2">
        <v>160</v>
      </c>
      <c r="F1136" s="2">
        <v>238.66666670000001</v>
      </c>
      <c r="G1136" s="2">
        <v>446.33333329999999</v>
      </c>
      <c r="H1136" s="2">
        <v>747</v>
      </c>
      <c r="I1136" s="2">
        <v>2889</v>
      </c>
      <c r="J1136" s="2">
        <v>2.38</v>
      </c>
      <c r="K1136" s="2">
        <v>4.4400000000000004</v>
      </c>
      <c r="L1136" s="2">
        <v>6.87</v>
      </c>
      <c r="M1136" s="2">
        <v>15.44</v>
      </c>
      <c r="N1136" s="2">
        <v>1.178393297</v>
      </c>
      <c r="O1136" s="2">
        <v>1.2311094149999999</v>
      </c>
      <c r="P1136" s="2">
        <v>4.442251658</v>
      </c>
      <c r="Q1136" s="2">
        <v>4.458667331</v>
      </c>
      <c r="R1136" s="2">
        <v>0.193628051</v>
      </c>
      <c r="S1136" s="2">
        <v>0.13202382700000001</v>
      </c>
      <c r="T1136" s="2">
        <v>4.4380297400000002</v>
      </c>
      <c r="U1136" s="2">
        <v>4.4567122499999998</v>
      </c>
      <c r="V1136" s="2">
        <v>1.4244427399999999</v>
      </c>
      <c r="W1136" s="2">
        <v>7.6414119000000003E-2</v>
      </c>
      <c r="X1136">
        <f t="shared" si="51"/>
        <v>0</v>
      </c>
      <c r="Y1136">
        <f t="shared" si="52"/>
        <v>1</v>
      </c>
      <c r="Z1136">
        <f t="shared" si="53"/>
        <v>0</v>
      </c>
    </row>
    <row r="1137" spans="1:26" ht="15.75" customHeight="1" x14ac:dyDescent="0.2">
      <c r="A1137" s="2" t="s">
        <v>23</v>
      </c>
      <c r="B1137" s="2" t="s">
        <v>35</v>
      </c>
      <c r="C1137" s="2" t="s">
        <v>25</v>
      </c>
      <c r="D1137" s="2" t="s">
        <v>25</v>
      </c>
      <c r="E1137" s="2">
        <v>238</v>
      </c>
      <c r="F1137" s="2">
        <v>175.66666670000001</v>
      </c>
      <c r="G1137" s="2">
        <v>773.66666669999995</v>
      </c>
      <c r="H1137" s="2">
        <v>1380.333333</v>
      </c>
      <c r="I1137" s="2">
        <v>2595.666667</v>
      </c>
      <c r="J1137" s="2">
        <v>1.68</v>
      </c>
      <c r="K1137" s="2">
        <v>7.06</v>
      </c>
      <c r="L1137" s="2">
        <v>10.55</v>
      </c>
      <c r="M1137" s="2">
        <v>14.75</v>
      </c>
      <c r="N1137" s="2">
        <v>0.72133646900000004</v>
      </c>
      <c r="O1137" s="2">
        <v>0.67823010399999994</v>
      </c>
      <c r="P1137" s="2">
        <v>2.9088187470000002</v>
      </c>
      <c r="Q1137" s="2">
        <v>2.8544090660000001</v>
      </c>
      <c r="R1137" s="2">
        <v>2.8084479070000001</v>
      </c>
      <c r="S1137" s="2">
        <v>2.7468436820000002</v>
      </c>
      <c r="T1137" s="2">
        <v>0.75752680500000003</v>
      </c>
      <c r="U1137" s="2">
        <v>0.77620931500000001</v>
      </c>
      <c r="V1137" s="2">
        <v>4.0392625960000004</v>
      </c>
      <c r="W1137" s="2">
        <v>8.8951224999999995E-2</v>
      </c>
      <c r="X1137">
        <f t="shared" si="51"/>
        <v>0</v>
      </c>
      <c r="Y1137">
        <f t="shared" si="52"/>
        <v>1</v>
      </c>
      <c r="Z1137">
        <f t="shared" si="53"/>
        <v>0</v>
      </c>
    </row>
    <row r="1138" spans="1:26" ht="15.75" customHeight="1" x14ac:dyDescent="0.2">
      <c r="A1138" s="2" t="s">
        <v>23</v>
      </c>
      <c r="B1138" s="2" t="s">
        <v>35</v>
      </c>
      <c r="C1138" s="2" t="s">
        <v>25</v>
      </c>
      <c r="D1138" s="2" t="s">
        <v>25</v>
      </c>
      <c r="E1138" s="2">
        <v>211</v>
      </c>
      <c r="F1138" s="2">
        <v>209.33333329999999</v>
      </c>
      <c r="G1138" s="2">
        <v>779.66666669999995</v>
      </c>
      <c r="H1138" s="2">
        <v>1460</v>
      </c>
      <c r="I1138" s="2">
        <v>2968</v>
      </c>
      <c r="J1138" s="2">
        <v>2.06</v>
      </c>
      <c r="K1138" s="2">
        <v>7.1</v>
      </c>
      <c r="L1138" s="2">
        <v>10.92</v>
      </c>
      <c r="M1138" s="2">
        <v>15.62</v>
      </c>
      <c r="N1138" s="2">
        <v>0.35554770000000002</v>
      </c>
      <c r="O1138" s="2">
        <v>0.311018974</v>
      </c>
      <c r="P1138" s="2">
        <v>2.8772475439999998</v>
      </c>
      <c r="Q1138" s="2">
        <v>2.8188825519999998</v>
      </c>
      <c r="R1138" s="2">
        <v>2.8505458479999999</v>
      </c>
      <c r="S1138" s="2">
        <v>2.7889416229999999</v>
      </c>
      <c r="T1138" s="2">
        <v>0.39107774000000001</v>
      </c>
      <c r="U1138" s="2">
        <v>0.40976024999999999</v>
      </c>
      <c r="V1138" s="2">
        <v>4.0813605370000001</v>
      </c>
      <c r="W1138" s="2">
        <v>6.7102740999999994E-2</v>
      </c>
      <c r="X1138">
        <f t="shared" si="51"/>
        <v>0</v>
      </c>
      <c r="Y1138">
        <f t="shared" si="52"/>
        <v>1</v>
      </c>
      <c r="Z1138">
        <f t="shared" si="53"/>
        <v>0</v>
      </c>
    </row>
    <row r="1139" spans="1:26" ht="15.75" customHeight="1" x14ac:dyDescent="0.2">
      <c r="A1139" s="2" t="s">
        <v>23</v>
      </c>
      <c r="B1139" s="2" t="s">
        <v>35</v>
      </c>
      <c r="C1139" s="2" t="s">
        <v>25</v>
      </c>
      <c r="D1139" s="2" t="s">
        <v>25</v>
      </c>
      <c r="E1139" s="2">
        <v>239</v>
      </c>
      <c r="F1139" s="2">
        <v>188.66666670000001</v>
      </c>
      <c r="G1139" s="2">
        <v>807</v>
      </c>
      <c r="H1139" s="2">
        <v>1491</v>
      </c>
      <c r="I1139" s="2">
        <v>2932</v>
      </c>
      <c r="J1139" s="2">
        <v>1.82</v>
      </c>
      <c r="K1139" s="2">
        <v>7.29</v>
      </c>
      <c r="L1139" s="2">
        <v>11.05</v>
      </c>
      <c r="M1139" s="2">
        <v>15.54</v>
      </c>
      <c r="N1139" s="2">
        <v>0.21891168599999999</v>
      </c>
      <c r="O1139" s="2">
        <v>0.26239269399999998</v>
      </c>
      <c r="P1139" s="2">
        <v>3.050529365</v>
      </c>
      <c r="Q1139" s="2">
        <v>2.9907814159999999</v>
      </c>
      <c r="R1139" s="2">
        <v>3.0400150369999999</v>
      </c>
      <c r="S1139" s="2">
        <v>2.978410813</v>
      </c>
      <c r="T1139" s="2">
        <v>0.253057266</v>
      </c>
      <c r="U1139" s="2">
        <v>0.27173977599999999</v>
      </c>
      <c r="V1139" s="2">
        <v>4.2708297269999997</v>
      </c>
      <c r="W1139" s="2">
        <v>6.0636226000000001E-2</v>
      </c>
      <c r="X1139">
        <f t="shared" si="51"/>
        <v>0</v>
      </c>
      <c r="Y1139">
        <f t="shared" si="52"/>
        <v>1</v>
      </c>
      <c r="Z1139">
        <f t="shared" si="53"/>
        <v>0</v>
      </c>
    </row>
    <row r="1140" spans="1:26" ht="15.75" customHeight="1" x14ac:dyDescent="0.2">
      <c r="A1140" s="2" t="s">
        <v>23</v>
      </c>
      <c r="B1140" s="2" t="s">
        <v>35</v>
      </c>
      <c r="C1140" s="2" t="s">
        <v>28</v>
      </c>
      <c r="D1140" s="2" t="s">
        <v>29</v>
      </c>
      <c r="E1140" s="2">
        <v>164</v>
      </c>
      <c r="F1140" s="2">
        <v>197.33333329999999</v>
      </c>
      <c r="G1140" s="2">
        <v>345.33333329999999</v>
      </c>
      <c r="H1140" s="2">
        <v>1095</v>
      </c>
      <c r="I1140" s="2">
        <v>2924.666667</v>
      </c>
      <c r="J1140" s="2">
        <v>1.92</v>
      </c>
      <c r="K1140" s="2">
        <v>3.49</v>
      </c>
      <c r="L1140" s="2">
        <v>9.08</v>
      </c>
      <c r="M1140" s="2">
        <v>15.52</v>
      </c>
      <c r="N1140" s="2">
        <v>1.2751962299999999</v>
      </c>
      <c r="O1140" s="2">
        <v>1.197162115</v>
      </c>
      <c r="P1140" s="2">
        <v>2.3539274799999998</v>
      </c>
      <c r="Q1140" s="2">
        <v>2.3921418640000001</v>
      </c>
      <c r="R1140" s="2">
        <v>0.76309170500000001</v>
      </c>
      <c r="S1140" s="2">
        <v>0.82469592899999999</v>
      </c>
      <c r="T1140" s="2">
        <v>2.2268061499999998</v>
      </c>
      <c r="U1140" s="2">
        <v>2.2454886599999999</v>
      </c>
      <c r="V1140" s="2">
        <v>0.46772298400000001</v>
      </c>
      <c r="W1140" s="2">
        <v>5.7870735999999999E-2</v>
      </c>
      <c r="X1140">
        <f t="shared" si="51"/>
        <v>0</v>
      </c>
      <c r="Y1140">
        <f t="shared" si="52"/>
        <v>1</v>
      </c>
      <c r="Z1140">
        <f t="shared" si="53"/>
        <v>1</v>
      </c>
    </row>
    <row r="1141" spans="1:26" ht="15.75" customHeight="1" x14ac:dyDescent="0.2">
      <c r="A1141" s="2" t="s">
        <v>23</v>
      </c>
      <c r="B1141" s="2" t="s">
        <v>35</v>
      </c>
      <c r="C1141" s="2" t="s">
        <v>30</v>
      </c>
      <c r="D1141" s="2" t="s">
        <v>31</v>
      </c>
      <c r="E1141" s="2">
        <v>207</v>
      </c>
      <c r="F1141" s="2">
        <v>186.33333329999999</v>
      </c>
      <c r="G1141" s="2">
        <v>646.66666669999995</v>
      </c>
      <c r="H1141" s="2">
        <v>1206.333333</v>
      </c>
      <c r="I1141" s="2">
        <v>2991</v>
      </c>
      <c r="J1141" s="2">
        <v>1.8</v>
      </c>
      <c r="K1141" s="2">
        <v>6.12</v>
      </c>
      <c r="L1141" s="2">
        <v>9.68</v>
      </c>
      <c r="M1141" s="2">
        <v>15.67</v>
      </c>
      <c r="N1141" s="2">
        <v>4.5480071349999998</v>
      </c>
      <c r="O1141" s="2">
        <v>4.6266392009999997</v>
      </c>
      <c r="P1141" s="2">
        <v>2.4768844109999999</v>
      </c>
      <c r="Q1141" s="2">
        <v>2.4431683930000001</v>
      </c>
      <c r="R1141" s="2">
        <v>1.8719095889999999</v>
      </c>
      <c r="S1141" s="2">
        <v>1.8103053650000001</v>
      </c>
      <c r="T1141" s="2">
        <v>1.6220082840000001</v>
      </c>
      <c r="U1141" s="2">
        <v>1.640690794</v>
      </c>
      <c r="V1141" s="2">
        <v>3.1027242789999998</v>
      </c>
      <c r="W1141" s="2">
        <v>5.2196989999999999E-2</v>
      </c>
      <c r="X1141">
        <f t="shared" si="51"/>
        <v>0</v>
      </c>
      <c r="Y1141">
        <f t="shared" si="52"/>
        <v>1</v>
      </c>
      <c r="Z1141">
        <f t="shared" si="53"/>
        <v>1</v>
      </c>
    </row>
    <row r="1142" spans="1:26" ht="15.75" customHeight="1" x14ac:dyDescent="0.2">
      <c r="A1142" s="2" t="s">
        <v>23</v>
      </c>
      <c r="B1142" s="2" t="s">
        <v>35</v>
      </c>
      <c r="C1142" s="2" t="s">
        <v>32</v>
      </c>
      <c r="D1142" s="2" t="s">
        <v>33</v>
      </c>
      <c r="E1142" s="2">
        <v>164</v>
      </c>
      <c r="F1142" s="2">
        <v>194.66666670000001</v>
      </c>
      <c r="G1142" s="2">
        <v>412</v>
      </c>
      <c r="H1142" s="2">
        <v>872.66666669999995</v>
      </c>
      <c r="I1142" s="2">
        <v>2998</v>
      </c>
      <c r="J1142" s="2">
        <v>1.89</v>
      </c>
      <c r="K1142" s="2">
        <v>4.13</v>
      </c>
      <c r="L1142" s="2">
        <v>7.73</v>
      </c>
      <c r="M1142" s="2">
        <v>15.68</v>
      </c>
      <c r="N1142" s="2">
        <v>4.6798975389999997</v>
      </c>
      <c r="O1142" s="2">
        <v>4.5846151930000003</v>
      </c>
      <c r="P1142" s="2">
        <v>3.5789544850000001</v>
      </c>
      <c r="Q1142" s="2">
        <v>3.600249432</v>
      </c>
      <c r="R1142" s="2">
        <v>0.12245294399999999</v>
      </c>
      <c r="S1142" s="2">
        <v>0.18405716799999999</v>
      </c>
      <c r="T1142" s="2">
        <v>3.5768590250000001</v>
      </c>
      <c r="U1142" s="2">
        <v>3.5955415350000002</v>
      </c>
      <c r="V1142" s="2">
        <v>1.1083617459999999</v>
      </c>
      <c r="W1142" s="2">
        <v>0.102593922</v>
      </c>
      <c r="X1142">
        <f t="shared" si="51"/>
        <v>0</v>
      </c>
      <c r="Y1142">
        <f t="shared" si="52"/>
        <v>1</v>
      </c>
      <c r="Z1142">
        <f t="shared" si="53"/>
        <v>1</v>
      </c>
    </row>
    <row r="1143" spans="1:26" ht="15.75" customHeight="1" x14ac:dyDescent="0.2">
      <c r="A1143" s="2" t="s">
        <v>23</v>
      </c>
      <c r="B1143" s="2" t="s">
        <v>35</v>
      </c>
      <c r="C1143" s="2" t="s">
        <v>26</v>
      </c>
      <c r="D1143" s="2" t="s">
        <v>26</v>
      </c>
      <c r="E1143" s="2">
        <v>167</v>
      </c>
      <c r="F1143" s="2">
        <v>243.66666670000001</v>
      </c>
      <c r="G1143" s="2">
        <v>378.66666670000001</v>
      </c>
      <c r="H1143" s="2">
        <v>939</v>
      </c>
      <c r="I1143" s="2">
        <v>2850.666667</v>
      </c>
      <c r="J1143" s="2">
        <v>2.4300000000000002</v>
      </c>
      <c r="K1143" s="2">
        <v>3.81</v>
      </c>
      <c r="L1143" s="2">
        <v>8.15</v>
      </c>
      <c r="M1143" s="2">
        <v>15.36</v>
      </c>
      <c r="N1143" s="2">
        <v>0.31978177699999999</v>
      </c>
      <c r="O1143" s="2">
        <v>0.22456735799999999</v>
      </c>
      <c r="P1143" s="2">
        <v>3.1827061749999999</v>
      </c>
      <c r="Q1143" s="2">
        <v>3.2102247249999998</v>
      </c>
      <c r="R1143" s="2">
        <v>0.438206769</v>
      </c>
      <c r="S1143" s="2">
        <v>0.49981099299999998</v>
      </c>
      <c r="T1143" s="2">
        <v>3.1523948709999998</v>
      </c>
      <c r="U1143" s="2">
        <v>3.1710773809999999</v>
      </c>
      <c r="V1143" s="2">
        <v>0.79260792099999999</v>
      </c>
      <c r="W1143" s="2">
        <v>5.9153124000000001E-2</v>
      </c>
      <c r="X1143">
        <f t="shared" si="51"/>
        <v>0</v>
      </c>
      <c r="Y1143">
        <f t="shared" si="52"/>
        <v>1</v>
      </c>
      <c r="Z1143">
        <f t="shared" si="53"/>
        <v>0</v>
      </c>
    </row>
    <row r="1144" spans="1:26" ht="15.75" customHeight="1" x14ac:dyDescent="0.2">
      <c r="A1144" s="2" t="s">
        <v>23</v>
      </c>
      <c r="B1144" s="2" t="s">
        <v>35</v>
      </c>
      <c r="C1144" s="2" t="s">
        <v>32</v>
      </c>
      <c r="D1144" s="2" t="s">
        <v>33</v>
      </c>
      <c r="E1144" s="2">
        <v>191</v>
      </c>
      <c r="F1144" s="2">
        <v>198.66666670000001</v>
      </c>
      <c r="G1144" s="2">
        <v>341</v>
      </c>
      <c r="H1144" s="2">
        <v>896</v>
      </c>
      <c r="I1144" s="2">
        <v>2833.666667</v>
      </c>
      <c r="J1144" s="2">
        <v>1.94</v>
      </c>
      <c r="K1144" s="2">
        <v>3.44</v>
      </c>
      <c r="L1144" s="2">
        <v>7.88</v>
      </c>
      <c r="M1144" s="2">
        <v>15.32</v>
      </c>
      <c r="N1144" s="2">
        <v>5.0527712500000002</v>
      </c>
      <c r="O1144" s="2">
        <v>4.9500201759999998</v>
      </c>
      <c r="P1144" s="2">
        <v>3.518857653</v>
      </c>
      <c r="Q1144" s="2">
        <v>3.5515909140000002</v>
      </c>
      <c r="R1144" s="2">
        <v>0.80601812100000003</v>
      </c>
      <c r="S1144" s="2">
        <v>0.86762234599999999</v>
      </c>
      <c r="T1144" s="2">
        <v>3.4253020260000002</v>
      </c>
      <c r="U1144" s="2">
        <v>3.4439845359999999</v>
      </c>
      <c r="V1144" s="2">
        <v>0.42479656799999999</v>
      </c>
      <c r="W1144" s="2">
        <v>5.6032908999999999E-2</v>
      </c>
      <c r="X1144">
        <f t="shared" si="51"/>
        <v>0</v>
      </c>
      <c r="Y1144">
        <f t="shared" si="52"/>
        <v>1</v>
      </c>
      <c r="Z1144">
        <f t="shared" si="53"/>
        <v>1</v>
      </c>
    </row>
    <row r="1145" spans="1:26" ht="15.75" customHeight="1" x14ac:dyDescent="0.2">
      <c r="A1145" s="2" t="s">
        <v>23</v>
      </c>
      <c r="B1145" s="2" t="s">
        <v>35</v>
      </c>
      <c r="C1145" s="2" t="s">
        <v>28</v>
      </c>
      <c r="D1145" s="2" t="s">
        <v>29</v>
      </c>
      <c r="E1145" s="2">
        <v>152</v>
      </c>
      <c r="F1145" s="2">
        <v>179.66666670000001</v>
      </c>
      <c r="G1145" s="2">
        <v>362.33333329999999</v>
      </c>
      <c r="H1145" s="2">
        <v>1077.333333</v>
      </c>
      <c r="I1145" s="2">
        <v>3020</v>
      </c>
      <c r="J1145" s="2">
        <v>1.72</v>
      </c>
      <c r="K1145" s="2">
        <v>3.65</v>
      </c>
      <c r="L1145" s="2">
        <v>8.98</v>
      </c>
      <c r="M1145" s="2">
        <v>15.73</v>
      </c>
      <c r="N1145" s="2">
        <v>1.1489598400000001</v>
      </c>
      <c r="O1145" s="2">
        <v>1.06298195</v>
      </c>
      <c r="P1145" s="2">
        <v>2.4020286350000002</v>
      </c>
      <c r="Q1145" s="2">
        <v>2.4360397759999999</v>
      </c>
      <c r="R1145" s="2">
        <v>0.59623505499999996</v>
      </c>
      <c r="S1145" s="2">
        <v>0.65783927900000005</v>
      </c>
      <c r="T1145" s="2">
        <v>2.3268530940000001</v>
      </c>
      <c r="U1145" s="2">
        <v>2.3455356049999998</v>
      </c>
      <c r="V1145" s="2">
        <v>0.63457963500000003</v>
      </c>
      <c r="W1145" s="2">
        <v>6.2520872000000005E-2</v>
      </c>
      <c r="X1145">
        <f t="shared" si="51"/>
        <v>0</v>
      </c>
      <c r="Y1145">
        <f t="shared" si="52"/>
        <v>1</v>
      </c>
      <c r="Z1145">
        <f t="shared" si="53"/>
        <v>1</v>
      </c>
    </row>
    <row r="1146" spans="1:26" ht="15.75" customHeight="1" x14ac:dyDescent="0.2">
      <c r="A1146" s="2" t="s">
        <v>23</v>
      </c>
      <c r="B1146" s="2" t="s">
        <v>35</v>
      </c>
      <c r="C1146" s="2" t="s">
        <v>32</v>
      </c>
      <c r="D1146" s="2" t="s">
        <v>33</v>
      </c>
      <c r="E1146" s="2">
        <v>147</v>
      </c>
      <c r="F1146" s="2">
        <v>170.33333329999999</v>
      </c>
      <c r="G1146" s="2">
        <v>526</v>
      </c>
      <c r="H1146" s="2">
        <v>1013.666667</v>
      </c>
      <c r="I1146" s="2">
        <v>3088.666667</v>
      </c>
      <c r="J1146" s="2">
        <v>1.61</v>
      </c>
      <c r="K1146" s="2">
        <v>5.14</v>
      </c>
      <c r="L1146" s="2">
        <v>8.61</v>
      </c>
      <c r="M1146" s="2">
        <v>15.87</v>
      </c>
      <c r="N1146" s="2">
        <v>3.3543990090000002</v>
      </c>
      <c r="O1146" s="2">
        <v>3.2632291310000001</v>
      </c>
      <c r="P1146" s="2">
        <v>2.8413776300000002</v>
      </c>
      <c r="Q1146" s="2">
        <v>2.840471183</v>
      </c>
      <c r="R1146" s="2">
        <v>0.89342592700000001</v>
      </c>
      <c r="S1146" s="2">
        <v>0.83182170300000002</v>
      </c>
      <c r="T1146" s="2">
        <v>2.6972610079999999</v>
      </c>
      <c r="U1146" s="2">
        <v>2.715943518</v>
      </c>
      <c r="V1146" s="2">
        <v>2.1242406169999999</v>
      </c>
      <c r="W1146" s="2">
        <v>8.0522016000000002E-2</v>
      </c>
      <c r="X1146">
        <f t="shared" si="51"/>
        <v>0</v>
      </c>
      <c r="Y1146">
        <f t="shared" si="52"/>
        <v>1</v>
      </c>
      <c r="Z1146">
        <f t="shared" si="53"/>
        <v>1</v>
      </c>
    </row>
    <row r="1147" spans="1:26" ht="15.75" customHeight="1" x14ac:dyDescent="0.2">
      <c r="A1147" s="2" t="s">
        <v>23</v>
      </c>
      <c r="B1147" s="2" t="s">
        <v>35</v>
      </c>
      <c r="C1147" s="2" t="s">
        <v>25</v>
      </c>
      <c r="D1147" s="2" t="s">
        <v>25</v>
      </c>
      <c r="E1147" s="2">
        <v>304</v>
      </c>
      <c r="F1147" s="2">
        <v>177</v>
      </c>
      <c r="G1147" s="2">
        <v>721.33333330000005</v>
      </c>
      <c r="H1147" s="2">
        <v>1679.666667</v>
      </c>
      <c r="I1147" s="2">
        <v>2857</v>
      </c>
      <c r="J1147" s="2">
        <v>1.69</v>
      </c>
      <c r="K1147" s="2">
        <v>6.68</v>
      </c>
      <c r="L1147" s="2">
        <v>11.84</v>
      </c>
      <c r="M1147" s="2">
        <v>15.37</v>
      </c>
      <c r="N1147" s="2">
        <v>0.78582402600000001</v>
      </c>
      <c r="O1147" s="2">
        <v>0.73995514799999995</v>
      </c>
      <c r="P1147" s="2">
        <v>2.4916596470000001</v>
      </c>
      <c r="Q1147" s="2">
        <v>2.4274833810000001</v>
      </c>
      <c r="R1147" s="2">
        <v>2.4332720189999999</v>
      </c>
      <c r="S1147" s="2">
        <v>2.371667795</v>
      </c>
      <c r="T1147" s="2">
        <v>0.53624162200000003</v>
      </c>
      <c r="U1147" s="2">
        <v>0.51755911200000004</v>
      </c>
      <c r="V1147" s="2">
        <v>3.6640867090000002</v>
      </c>
      <c r="W1147" s="2">
        <v>7.0412387000000007E-2</v>
      </c>
      <c r="X1147">
        <f t="shared" si="51"/>
        <v>0</v>
      </c>
      <c r="Y1147">
        <f t="shared" si="52"/>
        <v>1</v>
      </c>
      <c r="Z1147">
        <f t="shared" si="53"/>
        <v>0</v>
      </c>
    </row>
    <row r="1148" spans="1:26" ht="15.75" customHeight="1" x14ac:dyDescent="0.2">
      <c r="A1148" s="2" t="s">
        <v>23</v>
      </c>
      <c r="B1148" s="2" t="s">
        <v>35</v>
      </c>
      <c r="C1148" s="2" t="s">
        <v>27</v>
      </c>
      <c r="D1148" s="2" t="s">
        <v>27</v>
      </c>
      <c r="E1148" s="2">
        <v>140</v>
      </c>
      <c r="F1148" s="2">
        <v>189</v>
      </c>
      <c r="G1148" s="2">
        <v>370.33333329999999</v>
      </c>
      <c r="H1148" s="2">
        <v>2022</v>
      </c>
      <c r="I1148" s="2">
        <v>2752.333333</v>
      </c>
      <c r="J1148" s="2">
        <v>1.83</v>
      </c>
      <c r="K1148" s="2">
        <v>3.73</v>
      </c>
      <c r="L1148" s="2">
        <v>13.08</v>
      </c>
      <c r="M1148" s="2">
        <v>15.13</v>
      </c>
      <c r="N1148" s="2">
        <v>0.489997654</v>
      </c>
      <c r="O1148" s="2">
        <v>0.66756219500000002</v>
      </c>
      <c r="P1148" s="2">
        <v>1.851532803</v>
      </c>
      <c r="Q1148" s="2">
        <v>1.8519704450000001</v>
      </c>
      <c r="R1148" s="2">
        <v>0.51855665500000003</v>
      </c>
      <c r="S1148" s="2">
        <v>0.58016087900000002</v>
      </c>
      <c r="T1148" s="2">
        <v>1.777434307</v>
      </c>
      <c r="U1148" s="2">
        <v>1.758751797</v>
      </c>
      <c r="V1148" s="2">
        <v>0.71225803399999998</v>
      </c>
      <c r="W1148" s="2">
        <v>5.0244496E-2</v>
      </c>
      <c r="X1148">
        <f t="shared" si="51"/>
        <v>0</v>
      </c>
      <c r="Y1148">
        <f t="shared" si="52"/>
        <v>1</v>
      </c>
      <c r="Z1148">
        <f t="shared" si="53"/>
        <v>0</v>
      </c>
    </row>
    <row r="1149" spans="1:26" ht="15.75" customHeight="1" x14ac:dyDescent="0.2">
      <c r="A1149" s="2" t="s">
        <v>23</v>
      </c>
      <c r="B1149" s="2" t="s">
        <v>35</v>
      </c>
      <c r="C1149" s="2" t="s">
        <v>30</v>
      </c>
      <c r="D1149" s="2" t="s">
        <v>31</v>
      </c>
      <c r="E1149" s="2">
        <v>175</v>
      </c>
      <c r="F1149" s="2">
        <v>174</v>
      </c>
      <c r="G1149" s="2">
        <v>579.33333330000005</v>
      </c>
      <c r="H1149" s="2">
        <v>1331.666667</v>
      </c>
      <c r="I1149" s="2">
        <v>3281.333333</v>
      </c>
      <c r="J1149" s="2">
        <v>1.66</v>
      </c>
      <c r="K1149" s="2">
        <v>5.59</v>
      </c>
      <c r="L1149" s="2">
        <v>10.32</v>
      </c>
      <c r="M1149" s="2">
        <v>16.25</v>
      </c>
      <c r="N1149" s="2">
        <v>3.7327407369999999</v>
      </c>
      <c r="O1149" s="2">
        <v>3.8184681610000002</v>
      </c>
      <c r="P1149" s="2">
        <v>1.6639963129999999</v>
      </c>
      <c r="Q1149" s="2">
        <v>1.626421758</v>
      </c>
      <c r="R1149" s="2">
        <v>1.337372569</v>
      </c>
      <c r="S1149" s="2">
        <v>1.2757683449999999</v>
      </c>
      <c r="T1149" s="2">
        <v>0.99011026599999996</v>
      </c>
      <c r="U1149" s="2">
        <v>1.008792777</v>
      </c>
      <c r="V1149" s="2">
        <v>2.5681872590000001</v>
      </c>
      <c r="W1149" s="2">
        <v>5.2234335E-2</v>
      </c>
      <c r="X1149">
        <f t="shared" si="51"/>
        <v>0</v>
      </c>
      <c r="Y1149">
        <f t="shared" si="52"/>
        <v>1</v>
      </c>
      <c r="Z1149">
        <f t="shared" si="53"/>
        <v>1</v>
      </c>
    </row>
    <row r="1150" spans="1:26" ht="15.75" customHeight="1" x14ac:dyDescent="0.2">
      <c r="A1150" s="2" t="s">
        <v>23</v>
      </c>
      <c r="B1150" s="2" t="s">
        <v>35</v>
      </c>
      <c r="C1150" s="2" t="s">
        <v>25</v>
      </c>
      <c r="D1150" s="2" t="s">
        <v>25</v>
      </c>
      <c r="E1150" s="2">
        <v>223</v>
      </c>
      <c r="F1150" s="2">
        <v>192.33333329999999</v>
      </c>
      <c r="G1150" s="2">
        <v>786.33333330000005</v>
      </c>
      <c r="H1150" s="2">
        <v>1514.666667</v>
      </c>
      <c r="I1150" s="2">
        <v>2989</v>
      </c>
      <c r="J1150" s="2">
        <v>1.87</v>
      </c>
      <c r="K1150" s="2">
        <v>7.15</v>
      </c>
      <c r="L1150" s="2">
        <v>11.16</v>
      </c>
      <c r="M1150" s="2">
        <v>15.66</v>
      </c>
      <c r="N1150" s="2">
        <v>0.113967131</v>
      </c>
      <c r="O1150" s="2">
        <v>8.8050661000000002E-2</v>
      </c>
      <c r="P1150" s="2">
        <v>2.9009523700000002</v>
      </c>
      <c r="Q1150" s="2">
        <v>2.8404755150000001</v>
      </c>
      <c r="R1150" s="2">
        <v>2.8971055990000001</v>
      </c>
      <c r="S1150" s="2">
        <v>2.8355013750000002</v>
      </c>
      <c r="T1150" s="2">
        <v>0.149344583</v>
      </c>
      <c r="U1150" s="2">
        <v>0.16802709299999999</v>
      </c>
      <c r="V1150" s="2">
        <v>4.1279202880000003</v>
      </c>
      <c r="W1150" s="2">
        <v>8.4554973000000005E-2</v>
      </c>
      <c r="X1150">
        <f t="shared" si="51"/>
        <v>0</v>
      </c>
      <c r="Y1150">
        <f t="shared" si="52"/>
        <v>1</v>
      </c>
      <c r="Z1150">
        <f t="shared" si="53"/>
        <v>0</v>
      </c>
    </row>
    <row r="1151" spans="1:26" ht="15.75" customHeight="1" x14ac:dyDescent="0.2">
      <c r="A1151" s="2" t="s">
        <v>23</v>
      </c>
      <c r="B1151" s="2" t="s">
        <v>35</v>
      </c>
      <c r="C1151" s="2" t="s">
        <v>30</v>
      </c>
      <c r="D1151" s="2" t="s">
        <v>31</v>
      </c>
      <c r="E1151" s="2">
        <v>210</v>
      </c>
      <c r="F1151" s="2">
        <v>189.33333329999999</v>
      </c>
      <c r="G1151" s="2">
        <v>562</v>
      </c>
      <c r="H1151" s="2">
        <v>1286.333333</v>
      </c>
      <c r="I1151" s="2">
        <v>2820.333333</v>
      </c>
      <c r="J1151" s="2">
        <v>1.83</v>
      </c>
      <c r="K1151" s="2">
        <v>5.44</v>
      </c>
      <c r="L1151" s="2">
        <v>10.09</v>
      </c>
      <c r="M1151" s="2">
        <v>15.29</v>
      </c>
      <c r="N1151" s="2">
        <v>3.8647468520000001</v>
      </c>
      <c r="O1151" s="2">
        <v>3.9610313690000001</v>
      </c>
      <c r="P1151" s="2">
        <v>1.7028917379999999</v>
      </c>
      <c r="Q1151" s="2">
        <v>1.6739345919999999</v>
      </c>
      <c r="R1151" s="2">
        <v>1.1951494570000001</v>
      </c>
      <c r="S1151" s="2">
        <v>1.133545233</v>
      </c>
      <c r="T1151" s="2">
        <v>1.2130367049999999</v>
      </c>
      <c r="U1151" s="2">
        <v>1.231719215</v>
      </c>
      <c r="V1151" s="2">
        <v>2.4259641460000001</v>
      </c>
      <c r="W1151" s="2">
        <v>7.3446358000000003E-2</v>
      </c>
      <c r="X1151">
        <f t="shared" si="51"/>
        <v>0</v>
      </c>
      <c r="Y1151">
        <f t="shared" si="52"/>
        <v>1</v>
      </c>
      <c r="Z1151">
        <f t="shared" si="53"/>
        <v>1</v>
      </c>
    </row>
    <row r="1152" spans="1:26" ht="15.75" customHeight="1" x14ac:dyDescent="0.2">
      <c r="A1152" s="2" t="s">
        <v>23</v>
      </c>
      <c r="B1152" s="2" t="s">
        <v>35</v>
      </c>
      <c r="C1152" s="2" t="s">
        <v>25</v>
      </c>
      <c r="D1152" s="2" t="s">
        <v>25</v>
      </c>
      <c r="E1152" s="2">
        <v>145</v>
      </c>
      <c r="F1152" s="2">
        <v>194</v>
      </c>
      <c r="G1152" s="2">
        <v>958</v>
      </c>
      <c r="H1152" s="2">
        <v>1630.666667</v>
      </c>
      <c r="I1152" s="2">
        <v>2782</v>
      </c>
      <c r="J1152" s="2">
        <v>1.88</v>
      </c>
      <c r="K1152" s="2">
        <v>8.27</v>
      </c>
      <c r="L1152" s="2">
        <v>11.65</v>
      </c>
      <c r="M1152" s="2">
        <v>15.2</v>
      </c>
      <c r="N1152" s="2">
        <v>0.62417868600000004</v>
      </c>
      <c r="O1152" s="2">
        <v>0.90116486799999995</v>
      </c>
      <c r="P1152" s="2">
        <v>3.694868348</v>
      </c>
      <c r="Q1152" s="2">
        <v>3.7880093609999999</v>
      </c>
      <c r="R1152" s="2">
        <v>3.6835596490000002</v>
      </c>
      <c r="S1152" s="2">
        <v>3.7821578979999999</v>
      </c>
      <c r="T1152" s="2">
        <v>0.28886055399999999</v>
      </c>
      <c r="U1152" s="2">
        <v>0.21046746</v>
      </c>
      <c r="V1152" s="2">
        <v>5.268817458</v>
      </c>
      <c r="W1152" s="2">
        <v>6.1751734000000003E-2</v>
      </c>
      <c r="X1152">
        <f t="shared" si="51"/>
        <v>0</v>
      </c>
      <c r="Y1152">
        <f t="shared" si="52"/>
        <v>1</v>
      </c>
      <c r="Z1152">
        <f t="shared" si="53"/>
        <v>0</v>
      </c>
    </row>
    <row r="1153" spans="1:26" ht="15.75" customHeight="1" x14ac:dyDescent="0.2">
      <c r="A1153" s="2" t="s">
        <v>23</v>
      </c>
      <c r="B1153" s="2" t="s">
        <v>35</v>
      </c>
      <c r="C1153" s="2" t="s">
        <v>26</v>
      </c>
      <c r="D1153" s="2" t="s">
        <v>26</v>
      </c>
      <c r="E1153" s="2">
        <v>130</v>
      </c>
      <c r="F1153" s="2">
        <v>229</v>
      </c>
      <c r="G1153" s="2">
        <v>428.33333329999999</v>
      </c>
      <c r="H1153" s="2">
        <v>1004.666667</v>
      </c>
      <c r="I1153" s="2">
        <v>2979.666667</v>
      </c>
      <c r="J1153" s="2">
        <v>2.27</v>
      </c>
      <c r="K1153" s="2">
        <v>4.28</v>
      </c>
      <c r="L1153" s="2">
        <v>8.56</v>
      </c>
      <c r="M1153" s="2">
        <v>15.64</v>
      </c>
      <c r="N1153" s="2">
        <v>0.79234354100000004</v>
      </c>
      <c r="O1153" s="2">
        <v>0.53675745900000005</v>
      </c>
      <c r="P1153" s="2">
        <v>2.8183820069999999</v>
      </c>
      <c r="Q1153" s="2">
        <v>2.887418518</v>
      </c>
      <c r="R1153" s="2">
        <v>0.31013908200000001</v>
      </c>
      <c r="S1153" s="2">
        <v>0.21154083300000001</v>
      </c>
      <c r="T1153" s="2">
        <v>2.8012659439999998</v>
      </c>
      <c r="U1153" s="2">
        <v>2.8796590379999998</v>
      </c>
      <c r="V1153" s="2">
        <v>1.275118727</v>
      </c>
      <c r="W1153" s="2">
        <v>7.5479589999999999E-2</v>
      </c>
      <c r="X1153">
        <f t="shared" si="51"/>
        <v>0</v>
      </c>
      <c r="Y1153">
        <f t="shared" si="52"/>
        <v>1</v>
      </c>
      <c r="Z1153">
        <f t="shared" si="53"/>
        <v>0</v>
      </c>
    </row>
    <row r="1154" spans="1:26" ht="15.75" customHeight="1" x14ac:dyDescent="0.2">
      <c r="A1154" s="2" t="s">
        <v>23</v>
      </c>
      <c r="B1154" s="2" t="s">
        <v>35</v>
      </c>
      <c r="C1154" s="2" t="s">
        <v>27</v>
      </c>
      <c r="D1154" s="2" t="s">
        <v>27</v>
      </c>
      <c r="E1154" s="2">
        <v>142</v>
      </c>
      <c r="F1154" s="2">
        <v>194</v>
      </c>
      <c r="G1154" s="2">
        <v>370.66666670000001</v>
      </c>
      <c r="H1154" s="2">
        <v>2679.666667</v>
      </c>
      <c r="I1154" s="2">
        <v>3214</v>
      </c>
      <c r="J1154" s="2">
        <v>1.88</v>
      </c>
      <c r="K1154" s="2">
        <v>3.73</v>
      </c>
      <c r="L1154" s="2">
        <v>14.95</v>
      </c>
      <c r="M1154" s="2">
        <v>16.12</v>
      </c>
      <c r="N1154" s="2">
        <v>0.75269419400000004</v>
      </c>
      <c r="O1154" s="2">
        <v>0.69703104500000002</v>
      </c>
      <c r="P1154" s="2">
        <v>3.6977216359999998</v>
      </c>
      <c r="Q1154" s="2">
        <v>3.5995062729999998</v>
      </c>
      <c r="R1154" s="2">
        <v>0.85451966800000001</v>
      </c>
      <c r="S1154" s="2">
        <v>0.75592141899999998</v>
      </c>
      <c r="T1154" s="2">
        <v>3.5976299749999998</v>
      </c>
      <c r="U1154" s="2">
        <v>3.5192368799999998</v>
      </c>
      <c r="V1154" s="2">
        <v>0.73073814100000001</v>
      </c>
      <c r="W1154" s="2">
        <v>7.4795523000000003E-2</v>
      </c>
      <c r="X1154">
        <f t="shared" si="51"/>
        <v>0</v>
      </c>
      <c r="Y1154">
        <f t="shared" si="52"/>
        <v>1</v>
      </c>
      <c r="Z1154">
        <f t="shared" si="53"/>
        <v>0</v>
      </c>
    </row>
    <row r="1155" spans="1:26" ht="15.75" customHeight="1" x14ac:dyDescent="0.2">
      <c r="A1155" s="2" t="s">
        <v>23</v>
      </c>
      <c r="B1155" s="2" t="s">
        <v>35</v>
      </c>
      <c r="C1155" s="2" t="s">
        <v>28</v>
      </c>
      <c r="D1155" s="2" t="s">
        <v>29</v>
      </c>
      <c r="E1155" s="2">
        <v>163</v>
      </c>
      <c r="F1155" s="2">
        <v>231.33333329999999</v>
      </c>
      <c r="G1155" s="2">
        <v>382.33333329999999</v>
      </c>
      <c r="H1155" s="2">
        <v>1566.666667</v>
      </c>
      <c r="I1155" s="2">
        <v>2486.333333</v>
      </c>
      <c r="J1155" s="2">
        <v>2.2999999999999998</v>
      </c>
      <c r="K1155" s="2">
        <v>3.85</v>
      </c>
      <c r="L1155" s="2">
        <v>11.38</v>
      </c>
      <c r="M1155" s="2">
        <v>14.46</v>
      </c>
      <c r="N1155" s="2">
        <v>3.3434921439999998</v>
      </c>
      <c r="O1155" s="2">
        <v>3.097739389</v>
      </c>
      <c r="P1155" s="2">
        <v>0.742587039</v>
      </c>
      <c r="Q1155" s="2">
        <v>0.64597892000000001</v>
      </c>
      <c r="R1155" s="2">
        <v>0.74222198100000003</v>
      </c>
      <c r="S1155" s="2">
        <v>0.643623732</v>
      </c>
      <c r="T1155" s="2">
        <v>2.3281784E-2</v>
      </c>
      <c r="U1155" s="2">
        <v>5.5111311000000003E-2</v>
      </c>
      <c r="V1155" s="2">
        <v>0.84303582799999999</v>
      </c>
      <c r="W1155" s="2">
        <v>6.9500520999999996E-2</v>
      </c>
      <c r="X1155">
        <f t="shared" ref="X1155:X1218" si="54">IF(B1155="normal",1,0)</f>
        <v>0</v>
      </c>
      <c r="Y1155">
        <f t="shared" ref="Y1155:Y1218" si="55">IF(A1155="lecture",1,0)</f>
        <v>1</v>
      </c>
      <c r="Z1155">
        <f t="shared" ref="Z1155:Z1218" si="56">IF(ISNUMBER(FIND("~",D1155)),1,0)</f>
        <v>1</v>
      </c>
    </row>
    <row r="1156" spans="1:26" ht="15.75" customHeight="1" x14ac:dyDescent="0.2">
      <c r="A1156" s="2" t="s">
        <v>23</v>
      </c>
      <c r="B1156" s="2" t="s">
        <v>35</v>
      </c>
      <c r="C1156" s="2" t="s">
        <v>30</v>
      </c>
      <c r="D1156" s="2" t="s">
        <v>31</v>
      </c>
      <c r="E1156" s="2">
        <v>150</v>
      </c>
      <c r="F1156" s="2">
        <v>245.33333329999999</v>
      </c>
      <c r="G1156" s="2">
        <v>442.33333329999999</v>
      </c>
      <c r="H1156" s="2">
        <v>1226.666667</v>
      </c>
      <c r="I1156" s="2">
        <v>2269</v>
      </c>
      <c r="J1156" s="2">
        <v>2.4500000000000002</v>
      </c>
      <c r="K1156" s="2">
        <v>4.41</v>
      </c>
      <c r="L1156" s="2">
        <v>9.7899999999999991</v>
      </c>
      <c r="M1156" s="2">
        <v>13.85</v>
      </c>
      <c r="N1156" s="2">
        <v>4.4992283300000002</v>
      </c>
      <c r="O1156" s="2">
        <v>4.5206826939999996</v>
      </c>
      <c r="P1156" s="2">
        <v>1.5770033459999999</v>
      </c>
      <c r="Q1156" s="2">
        <v>1.6469773350000001</v>
      </c>
      <c r="R1156" s="2">
        <v>0.18191998500000001</v>
      </c>
      <c r="S1156" s="2">
        <v>8.3321735999999993E-2</v>
      </c>
      <c r="T1156" s="2">
        <v>1.566475238</v>
      </c>
      <c r="U1156" s="2">
        <v>1.644868333</v>
      </c>
      <c r="V1156" s="2">
        <v>1.4033378240000001</v>
      </c>
      <c r="W1156" s="2">
        <v>6.9561972E-2</v>
      </c>
      <c r="X1156">
        <f t="shared" si="54"/>
        <v>0</v>
      </c>
      <c r="Y1156">
        <f t="shared" si="55"/>
        <v>1</v>
      </c>
      <c r="Z1156">
        <f t="shared" si="56"/>
        <v>1</v>
      </c>
    </row>
    <row r="1157" spans="1:26" ht="15.75" customHeight="1" x14ac:dyDescent="0.2">
      <c r="A1157" s="2" t="s">
        <v>23</v>
      </c>
      <c r="B1157" s="2" t="s">
        <v>35</v>
      </c>
      <c r="C1157" s="2" t="s">
        <v>26</v>
      </c>
      <c r="D1157" s="2" t="s">
        <v>26</v>
      </c>
      <c r="E1157" s="2">
        <v>126</v>
      </c>
      <c r="F1157" s="2">
        <v>185.33333329999999</v>
      </c>
      <c r="G1157" s="2">
        <v>343</v>
      </c>
      <c r="H1157" s="2">
        <v>797</v>
      </c>
      <c r="I1157" s="2">
        <v>2855</v>
      </c>
      <c r="J1157" s="2">
        <v>1.79</v>
      </c>
      <c r="K1157" s="2">
        <v>3.46</v>
      </c>
      <c r="L1157" s="2">
        <v>7.22</v>
      </c>
      <c r="M1157" s="2">
        <v>15.37</v>
      </c>
      <c r="N1157" s="2">
        <v>0.847612845</v>
      </c>
      <c r="O1157" s="2">
        <v>1.1191983459999999</v>
      </c>
      <c r="P1157" s="2">
        <v>4.2867024430000003</v>
      </c>
      <c r="Q1157" s="2">
        <v>4.338004948</v>
      </c>
      <c r="R1157" s="2">
        <v>1.125373897</v>
      </c>
      <c r="S1157" s="2">
        <v>1.026775647</v>
      </c>
      <c r="T1157" s="2">
        <v>4.1363451769999999</v>
      </c>
      <c r="U1157" s="2">
        <v>4.214738272</v>
      </c>
      <c r="V1157" s="2">
        <v>0.45988391200000001</v>
      </c>
      <c r="W1157" s="2">
        <v>5.8776253000000001E-2</v>
      </c>
      <c r="X1157">
        <f t="shared" si="54"/>
        <v>0</v>
      </c>
      <c r="Y1157">
        <f t="shared" si="55"/>
        <v>1</v>
      </c>
      <c r="Z1157">
        <f t="shared" si="56"/>
        <v>0</v>
      </c>
    </row>
    <row r="1158" spans="1:26" ht="15.75" customHeight="1" x14ac:dyDescent="0.2">
      <c r="A1158" s="2" t="s">
        <v>23</v>
      </c>
      <c r="B1158" s="2" t="s">
        <v>35</v>
      </c>
      <c r="C1158" s="2" t="s">
        <v>28</v>
      </c>
      <c r="D1158" s="2" t="s">
        <v>29</v>
      </c>
      <c r="E1158" s="2">
        <v>123</v>
      </c>
      <c r="F1158" s="2">
        <v>233</v>
      </c>
      <c r="G1158" s="2">
        <v>625</v>
      </c>
      <c r="H1158" s="2">
        <v>1779.333333</v>
      </c>
      <c r="I1158" s="2">
        <v>3043.333333</v>
      </c>
      <c r="J1158" s="2">
        <v>2.3199999999999998</v>
      </c>
      <c r="K1158" s="2">
        <v>5.95</v>
      </c>
      <c r="L1158" s="2">
        <v>12.23</v>
      </c>
      <c r="M1158" s="2">
        <v>15.78</v>
      </c>
      <c r="N1158" s="2">
        <v>4.7654164799999998</v>
      </c>
      <c r="O1158" s="2">
        <v>4.4861580119999998</v>
      </c>
      <c r="P1158" s="2">
        <v>1.6180031610000001</v>
      </c>
      <c r="Q1158" s="2">
        <v>1.663194721</v>
      </c>
      <c r="R1158" s="2">
        <v>1.363755697</v>
      </c>
      <c r="S1158" s="2">
        <v>1.4623539459999999</v>
      </c>
      <c r="T1158" s="2">
        <v>0.87069203900000003</v>
      </c>
      <c r="U1158" s="2">
        <v>0.792298944</v>
      </c>
      <c r="V1158" s="2">
        <v>2.949013506</v>
      </c>
      <c r="W1158" s="2">
        <v>5.0160728000000002E-2</v>
      </c>
      <c r="X1158">
        <f t="shared" si="54"/>
        <v>0</v>
      </c>
      <c r="Y1158">
        <f t="shared" si="55"/>
        <v>1</v>
      </c>
      <c r="Z1158">
        <f t="shared" si="56"/>
        <v>1</v>
      </c>
    </row>
    <row r="1159" spans="1:26" ht="15.75" customHeight="1" x14ac:dyDescent="0.2">
      <c r="A1159" s="2" t="s">
        <v>23</v>
      </c>
      <c r="B1159" s="2" t="s">
        <v>35</v>
      </c>
      <c r="C1159" s="2" t="s">
        <v>32</v>
      </c>
      <c r="D1159" s="2" t="s">
        <v>33</v>
      </c>
      <c r="E1159" s="2">
        <v>129</v>
      </c>
      <c r="F1159" s="2">
        <v>184.66666670000001</v>
      </c>
      <c r="G1159" s="2">
        <v>430</v>
      </c>
      <c r="H1159" s="2">
        <v>1055.666667</v>
      </c>
      <c r="I1159" s="2">
        <v>2376.666667</v>
      </c>
      <c r="J1159" s="2">
        <v>1.78</v>
      </c>
      <c r="K1159" s="2">
        <v>4.29</v>
      </c>
      <c r="L1159" s="2">
        <v>8.86</v>
      </c>
      <c r="M1159" s="2">
        <v>14.16</v>
      </c>
      <c r="N1159" s="2">
        <v>4.6081089710000001</v>
      </c>
      <c r="O1159" s="2">
        <v>4.3432705650000001</v>
      </c>
      <c r="P1159" s="2">
        <v>2.518823271</v>
      </c>
      <c r="Q1159" s="2">
        <v>2.5873553380000001</v>
      </c>
      <c r="R1159" s="2">
        <v>0.29479613500000001</v>
      </c>
      <c r="S1159" s="2">
        <v>0.19619788499999999</v>
      </c>
      <c r="T1159" s="2">
        <v>2.501512725</v>
      </c>
      <c r="U1159" s="2">
        <v>2.5799058189999999</v>
      </c>
      <c r="V1159" s="2">
        <v>1.2904616739999999</v>
      </c>
      <c r="W1159" s="2">
        <v>8.9984798000000005E-2</v>
      </c>
      <c r="X1159">
        <f t="shared" si="54"/>
        <v>0</v>
      </c>
      <c r="Y1159">
        <f t="shared" si="55"/>
        <v>1</v>
      </c>
      <c r="Z1159">
        <f t="shared" si="56"/>
        <v>1</v>
      </c>
    </row>
    <row r="1160" spans="1:26" ht="15.75" customHeight="1" x14ac:dyDescent="0.2">
      <c r="A1160" s="2" t="s">
        <v>23</v>
      </c>
      <c r="B1160" s="2" t="s">
        <v>35</v>
      </c>
      <c r="C1160" s="2" t="s">
        <v>32</v>
      </c>
      <c r="D1160" s="2" t="s">
        <v>33</v>
      </c>
      <c r="E1160" s="2">
        <v>126</v>
      </c>
      <c r="F1160" s="2">
        <v>168</v>
      </c>
      <c r="G1160" s="2">
        <v>826.66666669999995</v>
      </c>
      <c r="H1160" s="2">
        <v>1948.333333</v>
      </c>
      <c r="I1160" s="2">
        <v>3094.333333</v>
      </c>
      <c r="J1160" s="2">
        <v>1.59</v>
      </c>
      <c r="K1160" s="2">
        <v>7.42</v>
      </c>
      <c r="L1160" s="2">
        <v>12.83</v>
      </c>
      <c r="M1160" s="2">
        <v>15.88</v>
      </c>
      <c r="N1160" s="2">
        <v>0.94604655999999998</v>
      </c>
      <c r="O1160" s="2">
        <v>0.94835124199999998</v>
      </c>
      <c r="P1160" s="2">
        <v>3.1971688550000001</v>
      </c>
      <c r="Q1160" s="2">
        <v>3.2503838549999999</v>
      </c>
      <c r="R1160" s="2">
        <v>2.8348531220000002</v>
      </c>
      <c r="S1160" s="2">
        <v>2.9334513709999999</v>
      </c>
      <c r="T1160" s="2">
        <v>1.4783424730000001</v>
      </c>
      <c r="U1160" s="2">
        <v>1.3999493780000001</v>
      </c>
      <c r="V1160" s="2">
        <v>4.420110931</v>
      </c>
      <c r="W1160" s="2">
        <v>5.9213052000000002E-2</v>
      </c>
      <c r="X1160">
        <f t="shared" si="54"/>
        <v>0</v>
      </c>
      <c r="Y1160">
        <f t="shared" si="55"/>
        <v>1</v>
      </c>
      <c r="Z1160">
        <f t="shared" si="56"/>
        <v>1</v>
      </c>
    </row>
    <row r="1161" spans="1:26" ht="15.75" customHeight="1" x14ac:dyDescent="0.2">
      <c r="A1161" s="2" t="s">
        <v>23</v>
      </c>
      <c r="B1161" s="2" t="s">
        <v>35</v>
      </c>
      <c r="C1161" s="2" t="s">
        <v>25</v>
      </c>
      <c r="D1161" s="2" t="s">
        <v>25</v>
      </c>
      <c r="E1161" s="2">
        <v>284</v>
      </c>
      <c r="F1161" s="2">
        <v>178</v>
      </c>
      <c r="G1161" s="2">
        <v>929</v>
      </c>
      <c r="H1161" s="2">
        <v>1702</v>
      </c>
      <c r="I1161" s="2">
        <v>2874.666667</v>
      </c>
      <c r="J1161" s="2">
        <v>1.7</v>
      </c>
      <c r="K1161" s="2">
        <v>8.09</v>
      </c>
      <c r="L1161" s="2">
        <v>11.93</v>
      </c>
      <c r="M1161" s="2">
        <v>15.41</v>
      </c>
      <c r="N1161" s="2">
        <v>0.37141078399999999</v>
      </c>
      <c r="O1161" s="2">
        <v>0.68887274700000001</v>
      </c>
      <c r="P1161" s="2">
        <v>3.5495008330000002</v>
      </c>
      <c r="Q1161" s="2">
        <v>3.6353235559999999</v>
      </c>
      <c r="R1161" s="2">
        <v>3.5027931049999999</v>
      </c>
      <c r="S1161" s="2">
        <v>3.601391354</v>
      </c>
      <c r="T1161" s="2">
        <v>0.57393085499999996</v>
      </c>
      <c r="U1161" s="2">
        <v>0.49553775999999999</v>
      </c>
      <c r="V1161" s="2">
        <v>5.0880509140000001</v>
      </c>
      <c r="W1161" s="2">
        <v>6.2009161E-2</v>
      </c>
      <c r="X1161">
        <f t="shared" si="54"/>
        <v>0</v>
      </c>
      <c r="Y1161">
        <f t="shared" si="55"/>
        <v>1</v>
      </c>
      <c r="Z1161">
        <f t="shared" si="56"/>
        <v>0</v>
      </c>
    </row>
    <row r="1162" spans="1:26" ht="15.75" customHeight="1" x14ac:dyDescent="0.2">
      <c r="A1162" s="2" t="s">
        <v>23</v>
      </c>
      <c r="B1162" s="2" t="s">
        <v>35</v>
      </c>
      <c r="C1162" s="2" t="s">
        <v>32</v>
      </c>
      <c r="D1162" s="2" t="s">
        <v>33</v>
      </c>
      <c r="E1162" s="2">
        <v>188</v>
      </c>
      <c r="F1162" s="2">
        <v>201</v>
      </c>
      <c r="G1162" s="2">
        <v>638</v>
      </c>
      <c r="H1162" s="2">
        <v>1421.666667</v>
      </c>
      <c r="I1162" s="2">
        <v>2412</v>
      </c>
      <c r="J1162" s="2">
        <v>1.96</v>
      </c>
      <c r="K1162" s="2">
        <v>6.05</v>
      </c>
      <c r="L1162" s="2">
        <v>10.74</v>
      </c>
      <c r="M1162" s="2">
        <v>14.26</v>
      </c>
      <c r="N1162" s="2">
        <v>2.0505754920000001</v>
      </c>
      <c r="O1162" s="2">
        <v>1.7705698990000001</v>
      </c>
      <c r="P1162" s="2">
        <v>1.589523518</v>
      </c>
      <c r="Q1162" s="2">
        <v>1.7111274359999999</v>
      </c>
      <c r="R1162" s="2">
        <v>1.4654734</v>
      </c>
      <c r="S1162" s="2">
        <v>1.564071649</v>
      </c>
      <c r="T1162" s="2">
        <v>0.615607609</v>
      </c>
      <c r="U1162" s="2">
        <v>0.69400070400000002</v>
      </c>
      <c r="V1162" s="2">
        <v>3.0507312089999998</v>
      </c>
      <c r="W1162" s="2">
        <v>5.9214798999999999E-2</v>
      </c>
      <c r="X1162">
        <f t="shared" si="54"/>
        <v>0</v>
      </c>
      <c r="Y1162">
        <f t="shared" si="55"/>
        <v>1</v>
      </c>
      <c r="Z1162">
        <f t="shared" si="56"/>
        <v>1</v>
      </c>
    </row>
    <row r="1163" spans="1:26" ht="15.75" customHeight="1" x14ac:dyDescent="0.2">
      <c r="A1163" s="2" t="s">
        <v>23</v>
      </c>
      <c r="B1163" s="2" t="s">
        <v>35</v>
      </c>
      <c r="C1163" s="2" t="s">
        <v>32</v>
      </c>
      <c r="D1163" s="2" t="s">
        <v>33</v>
      </c>
      <c r="E1163" s="2">
        <v>137</v>
      </c>
      <c r="F1163" s="2">
        <v>176</v>
      </c>
      <c r="G1163" s="2">
        <v>829</v>
      </c>
      <c r="H1163" s="2">
        <v>1712</v>
      </c>
      <c r="I1163" s="2">
        <v>3379.666667</v>
      </c>
      <c r="J1163" s="2">
        <v>1.68</v>
      </c>
      <c r="K1163" s="2">
        <v>7.44</v>
      </c>
      <c r="L1163" s="2">
        <v>11.97</v>
      </c>
      <c r="M1163" s="2">
        <v>16.440000000000001</v>
      </c>
      <c r="N1163" s="2">
        <v>0.28273773899999999</v>
      </c>
      <c r="O1163" s="2">
        <v>9.0033002000000001E-2</v>
      </c>
      <c r="P1163" s="2">
        <v>2.9157959529999999</v>
      </c>
      <c r="Q1163" s="2">
        <v>2.9972914249999998</v>
      </c>
      <c r="R1163" s="2">
        <v>2.8506290939999999</v>
      </c>
      <c r="S1163" s="2">
        <v>2.949227343</v>
      </c>
      <c r="T1163" s="2">
        <v>0.61300881399999996</v>
      </c>
      <c r="U1163" s="2">
        <v>0.53461571900000004</v>
      </c>
      <c r="V1163" s="2">
        <v>4.4358869030000001</v>
      </c>
      <c r="W1163" s="2">
        <v>7.7057957999999996E-2</v>
      </c>
      <c r="X1163">
        <f t="shared" si="54"/>
        <v>0</v>
      </c>
      <c r="Y1163">
        <f t="shared" si="55"/>
        <v>1</v>
      </c>
      <c r="Z1163">
        <f t="shared" si="56"/>
        <v>1</v>
      </c>
    </row>
    <row r="1164" spans="1:26" ht="15.75" customHeight="1" x14ac:dyDescent="0.2">
      <c r="A1164" s="2" t="s">
        <v>23</v>
      </c>
      <c r="B1164" s="2" t="s">
        <v>35</v>
      </c>
      <c r="C1164" s="2" t="s">
        <v>25</v>
      </c>
      <c r="D1164" s="2" t="s">
        <v>25</v>
      </c>
      <c r="E1164" s="2">
        <v>94</v>
      </c>
      <c r="F1164" s="2">
        <v>188.33333329999999</v>
      </c>
      <c r="G1164" s="2">
        <v>857.66666669999995</v>
      </c>
      <c r="H1164" s="2">
        <v>1863.666667</v>
      </c>
      <c r="I1164" s="2">
        <v>2929.666667</v>
      </c>
      <c r="J1164" s="2">
        <v>1.82</v>
      </c>
      <c r="K1164" s="2">
        <v>7.63</v>
      </c>
      <c r="L1164" s="2">
        <v>12.54</v>
      </c>
      <c r="M1164" s="2">
        <v>15.53</v>
      </c>
      <c r="N1164" s="2">
        <v>0.60722169199999998</v>
      </c>
      <c r="O1164" s="2">
        <v>0.68891453499999999</v>
      </c>
      <c r="P1164" s="2">
        <v>3.263369097</v>
      </c>
      <c r="Q1164" s="2">
        <v>3.328704273</v>
      </c>
      <c r="R1164" s="2">
        <v>3.0423157820000002</v>
      </c>
      <c r="S1164" s="2">
        <v>3.1409140309999999</v>
      </c>
      <c r="T1164" s="2">
        <v>1.1806322650000001</v>
      </c>
      <c r="U1164" s="2">
        <v>1.10223917</v>
      </c>
      <c r="V1164" s="2">
        <v>4.627573591</v>
      </c>
      <c r="W1164" s="2">
        <v>7.4284609000000001E-2</v>
      </c>
      <c r="X1164">
        <f t="shared" si="54"/>
        <v>0</v>
      </c>
      <c r="Y1164">
        <f t="shared" si="55"/>
        <v>1</v>
      </c>
      <c r="Z1164">
        <f t="shared" si="56"/>
        <v>0</v>
      </c>
    </row>
    <row r="1165" spans="1:26" ht="15.75" customHeight="1" x14ac:dyDescent="0.2">
      <c r="A1165" s="2" t="s">
        <v>23</v>
      </c>
      <c r="B1165" s="2" t="s">
        <v>35</v>
      </c>
      <c r="C1165" s="2" t="s">
        <v>25</v>
      </c>
      <c r="D1165" s="2" t="s">
        <v>25</v>
      </c>
      <c r="E1165" s="2">
        <v>130</v>
      </c>
      <c r="F1165" s="2">
        <v>196</v>
      </c>
      <c r="G1165" s="2">
        <v>913.33333330000005</v>
      </c>
      <c r="H1165" s="2">
        <v>1451.333333</v>
      </c>
      <c r="I1165" s="2">
        <v>2482.666667</v>
      </c>
      <c r="J1165" s="2">
        <v>1.91</v>
      </c>
      <c r="K1165" s="2">
        <v>7.99</v>
      </c>
      <c r="L1165" s="2">
        <v>10.88</v>
      </c>
      <c r="M1165" s="2">
        <v>14.45</v>
      </c>
      <c r="N1165" s="2">
        <v>1.0948325880000001</v>
      </c>
      <c r="O1165" s="2">
        <v>1.1694240890000001</v>
      </c>
      <c r="P1165" s="2">
        <v>3.4373653040000001</v>
      </c>
      <c r="Q1165" s="2">
        <v>3.5465279789999999</v>
      </c>
      <c r="R1165" s="2">
        <v>3.4036195380000001</v>
      </c>
      <c r="S1165" s="2">
        <v>3.5022177870000002</v>
      </c>
      <c r="T1165" s="2">
        <v>0.48047297100000003</v>
      </c>
      <c r="U1165" s="2">
        <v>0.55886606599999999</v>
      </c>
      <c r="V1165" s="2">
        <v>4.9888773469999999</v>
      </c>
      <c r="W1165" s="2">
        <v>8.6029720000000004E-2</v>
      </c>
      <c r="X1165">
        <f t="shared" si="54"/>
        <v>0</v>
      </c>
      <c r="Y1165">
        <f t="shared" si="55"/>
        <v>1</v>
      </c>
      <c r="Z1165">
        <f t="shared" si="56"/>
        <v>0</v>
      </c>
    </row>
    <row r="1166" spans="1:26" ht="15.75" customHeight="1" x14ac:dyDescent="0.2">
      <c r="A1166" s="2" t="s">
        <v>23</v>
      </c>
      <c r="B1166" s="2" t="s">
        <v>35</v>
      </c>
      <c r="C1166" s="2" t="s">
        <v>27</v>
      </c>
      <c r="D1166" s="2" t="s">
        <v>27</v>
      </c>
      <c r="E1166" s="2">
        <v>172</v>
      </c>
      <c r="F1166" s="2">
        <v>258</v>
      </c>
      <c r="G1166" s="2">
        <v>463</v>
      </c>
      <c r="H1166" s="2">
        <v>1689.333333</v>
      </c>
      <c r="I1166" s="2">
        <v>2887.666667</v>
      </c>
      <c r="J1166" s="2">
        <v>2.59</v>
      </c>
      <c r="K1166" s="2">
        <v>4.59</v>
      </c>
      <c r="L1166" s="2">
        <v>11.88</v>
      </c>
      <c r="M1166" s="2">
        <v>15.44</v>
      </c>
      <c r="N1166" s="2">
        <v>2.4538149589999998</v>
      </c>
      <c r="O1166" s="2">
        <v>2.494398726</v>
      </c>
      <c r="P1166" s="2">
        <v>0.52414526900000002</v>
      </c>
      <c r="Q1166" s="2">
        <v>0.45753292200000001</v>
      </c>
      <c r="R1166" s="2">
        <v>4.6477929999999999E-3</v>
      </c>
      <c r="S1166" s="2">
        <v>0.103246042</v>
      </c>
      <c r="T1166" s="2">
        <v>0.52412466099999999</v>
      </c>
      <c r="U1166" s="2">
        <v>0.445731567</v>
      </c>
      <c r="V1166" s="2">
        <v>1.589905602</v>
      </c>
      <c r="W1166" s="2">
        <v>8.6932350000000005E-2</v>
      </c>
      <c r="X1166">
        <f t="shared" si="54"/>
        <v>0</v>
      </c>
      <c r="Y1166">
        <f t="shared" si="55"/>
        <v>1</v>
      </c>
      <c r="Z1166">
        <f t="shared" si="56"/>
        <v>0</v>
      </c>
    </row>
    <row r="1167" spans="1:26" ht="15.75" customHeight="1" x14ac:dyDescent="0.2">
      <c r="A1167" s="2" t="s">
        <v>23</v>
      </c>
      <c r="B1167" s="2" t="s">
        <v>35</v>
      </c>
      <c r="C1167" s="2" t="s">
        <v>30</v>
      </c>
      <c r="D1167" s="2" t="s">
        <v>31</v>
      </c>
      <c r="E1167" s="2">
        <v>122</v>
      </c>
      <c r="F1167" s="2">
        <v>199.33333329999999</v>
      </c>
      <c r="G1167" s="2">
        <v>452.66666670000001</v>
      </c>
      <c r="H1167" s="2">
        <v>1326.666667</v>
      </c>
      <c r="I1167" s="2">
        <v>2320</v>
      </c>
      <c r="J1167" s="2">
        <v>1.94</v>
      </c>
      <c r="K1167" s="2">
        <v>4.5</v>
      </c>
      <c r="L1167" s="2">
        <v>10.29</v>
      </c>
      <c r="M1167" s="2">
        <v>14</v>
      </c>
      <c r="N1167" s="2">
        <v>4.0083776980000003</v>
      </c>
      <c r="O1167" s="2">
        <v>4.0342249560000001</v>
      </c>
      <c r="P1167" s="2">
        <v>1.0684060280000001</v>
      </c>
      <c r="Q1167" s="2">
        <v>1.143196246</v>
      </c>
      <c r="R1167" s="2">
        <v>8.8236566000000002E-2</v>
      </c>
      <c r="S1167" s="2">
        <v>1.0361683E-2</v>
      </c>
      <c r="T1167" s="2">
        <v>1.0647561919999999</v>
      </c>
      <c r="U1167" s="2">
        <v>1.143149287</v>
      </c>
      <c r="V1167" s="2">
        <v>1.4970212430000001</v>
      </c>
      <c r="W1167" s="2">
        <v>7.3248704999999997E-2</v>
      </c>
      <c r="X1167">
        <f t="shared" si="54"/>
        <v>0</v>
      </c>
      <c r="Y1167">
        <f t="shared" si="55"/>
        <v>1</v>
      </c>
      <c r="Z1167">
        <f t="shared" si="56"/>
        <v>1</v>
      </c>
    </row>
    <row r="1168" spans="1:26" ht="15.75" customHeight="1" x14ac:dyDescent="0.2">
      <c r="A1168" s="2" t="s">
        <v>23</v>
      </c>
      <c r="B1168" s="2" t="s">
        <v>35</v>
      </c>
      <c r="C1168" s="2" t="s">
        <v>28</v>
      </c>
      <c r="D1168" s="2" t="s">
        <v>29</v>
      </c>
      <c r="E1168" s="2">
        <v>160</v>
      </c>
      <c r="F1168" s="2">
        <v>214</v>
      </c>
      <c r="G1168" s="2">
        <v>353</v>
      </c>
      <c r="H1168" s="2">
        <v>1229.333333</v>
      </c>
      <c r="I1168" s="2">
        <v>2025.333333</v>
      </c>
      <c r="J1168" s="2">
        <v>2.11</v>
      </c>
      <c r="K1168" s="2">
        <v>3.56</v>
      </c>
      <c r="L1168" s="2">
        <v>9.8000000000000007</v>
      </c>
      <c r="M1168" s="2">
        <v>13.09</v>
      </c>
      <c r="N1168" s="2">
        <v>1.7668649110000001</v>
      </c>
      <c r="O1168" s="2">
        <v>1.542755482</v>
      </c>
      <c r="P1168" s="2">
        <v>1.861453099</v>
      </c>
      <c r="Q1168" s="2">
        <v>1.8766586679999999</v>
      </c>
      <c r="R1168" s="2">
        <v>1.026727025</v>
      </c>
      <c r="S1168" s="2">
        <v>0.92812877599999999</v>
      </c>
      <c r="T1168" s="2">
        <v>1.552687752</v>
      </c>
      <c r="U1168" s="2">
        <v>1.631080847</v>
      </c>
      <c r="V1168" s="2">
        <v>0.55853078300000003</v>
      </c>
      <c r="W1168" s="2">
        <v>6.7447409E-2</v>
      </c>
      <c r="X1168">
        <f t="shared" si="54"/>
        <v>0</v>
      </c>
      <c r="Y1168">
        <f t="shared" si="55"/>
        <v>1</v>
      </c>
      <c r="Z1168">
        <f t="shared" si="56"/>
        <v>1</v>
      </c>
    </row>
    <row r="1169" spans="1:26" ht="15.75" customHeight="1" x14ac:dyDescent="0.2">
      <c r="A1169" s="2" t="s">
        <v>23</v>
      </c>
      <c r="B1169" s="2" t="s">
        <v>35</v>
      </c>
      <c r="C1169" s="2" t="s">
        <v>28</v>
      </c>
      <c r="D1169" s="2" t="s">
        <v>29</v>
      </c>
      <c r="E1169" s="2">
        <v>161</v>
      </c>
      <c r="F1169" s="2">
        <v>237</v>
      </c>
      <c r="G1169" s="2">
        <v>417</v>
      </c>
      <c r="H1169" s="2">
        <v>1669</v>
      </c>
      <c r="I1169" s="2">
        <v>2171.666667</v>
      </c>
      <c r="J1169" s="2">
        <v>2.36</v>
      </c>
      <c r="K1169" s="2">
        <v>4.17</v>
      </c>
      <c r="L1169" s="2">
        <v>11.8</v>
      </c>
      <c r="M1169" s="2">
        <v>13.56</v>
      </c>
      <c r="N1169" s="2">
        <v>3.7920983750000001</v>
      </c>
      <c r="O1169" s="2">
        <v>3.5358481460000002</v>
      </c>
      <c r="P1169" s="2">
        <v>0.60737435900000003</v>
      </c>
      <c r="Q1169" s="2">
        <v>0.48311467299999999</v>
      </c>
      <c r="R1169" s="2">
        <v>0.415041724</v>
      </c>
      <c r="S1169" s="2">
        <v>0.31644347499999997</v>
      </c>
      <c r="T1169" s="2">
        <v>0.44344557699999998</v>
      </c>
      <c r="U1169" s="2">
        <v>0.36505248200000001</v>
      </c>
      <c r="V1169" s="2">
        <v>1.1702160850000001</v>
      </c>
      <c r="W1169" s="2">
        <v>0.12720736799999999</v>
      </c>
      <c r="X1169">
        <f t="shared" si="54"/>
        <v>0</v>
      </c>
      <c r="Y1169">
        <f t="shared" si="55"/>
        <v>1</v>
      </c>
      <c r="Z1169">
        <f t="shared" si="56"/>
        <v>1</v>
      </c>
    </row>
    <row r="1170" spans="1:26" ht="15.75" customHeight="1" x14ac:dyDescent="0.2">
      <c r="A1170" s="2" t="s">
        <v>23</v>
      </c>
      <c r="B1170" s="2" t="s">
        <v>35</v>
      </c>
      <c r="C1170" s="2" t="s">
        <v>32</v>
      </c>
      <c r="D1170" s="2" t="s">
        <v>33</v>
      </c>
      <c r="E1170" s="2">
        <v>125</v>
      </c>
      <c r="F1170" s="2">
        <v>247.33333329999999</v>
      </c>
      <c r="G1170" s="2">
        <v>463.33333329999999</v>
      </c>
      <c r="H1170" s="2">
        <v>955.33333330000005</v>
      </c>
      <c r="I1170" s="2">
        <v>2397.666667</v>
      </c>
      <c r="J1170" s="2">
        <v>2.4700000000000002</v>
      </c>
      <c r="K1170" s="2">
        <v>4.5999999999999996</v>
      </c>
      <c r="L1170" s="2">
        <v>8.26</v>
      </c>
      <c r="M1170" s="2">
        <v>14.22</v>
      </c>
      <c r="N1170" s="2">
        <v>4.8279680799999998</v>
      </c>
      <c r="O1170" s="2">
        <v>4.5902171430000003</v>
      </c>
      <c r="P1170" s="2">
        <v>3.1012117890000002</v>
      </c>
      <c r="Q1170" s="2">
        <v>3.1813695389999999</v>
      </c>
      <c r="R1170" s="2">
        <v>7.6308740000000002E-3</v>
      </c>
      <c r="S1170" s="2">
        <v>0.10622912299999999</v>
      </c>
      <c r="T1170" s="2">
        <v>3.1012024010000001</v>
      </c>
      <c r="U1170" s="2">
        <v>3.179595495</v>
      </c>
      <c r="V1170" s="2">
        <v>1.592888683</v>
      </c>
      <c r="W1170" s="2">
        <v>8.4393065000000003E-2</v>
      </c>
      <c r="X1170">
        <f t="shared" si="54"/>
        <v>0</v>
      </c>
      <c r="Y1170">
        <f t="shared" si="55"/>
        <v>1</v>
      </c>
      <c r="Z1170">
        <f t="shared" si="56"/>
        <v>1</v>
      </c>
    </row>
    <row r="1171" spans="1:26" ht="15.75" customHeight="1" x14ac:dyDescent="0.2">
      <c r="A1171" s="2" t="s">
        <v>23</v>
      </c>
      <c r="B1171" s="2" t="s">
        <v>35</v>
      </c>
      <c r="C1171" s="2" t="s">
        <v>26</v>
      </c>
      <c r="D1171" s="2" t="s">
        <v>26</v>
      </c>
      <c r="E1171" s="2">
        <v>118</v>
      </c>
      <c r="F1171" s="2">
        <v>196</v>
      </c>
      <c r="G1171" s="2">
        <v>351</v>
      </c>
      <c r="H1171" s="2">
        <v>940.66666669999995</v>
      </c>
      <c r="I1171" s="2">
        <v>2791</v>
      </c>
      <c r="J1171" s="2">
        <v>1.91</v>
      </c>
      <c r="K1171" s="2">
        <v>3.54</v>
      </c>
      <c r="L1171" s="2">
        <v>8.16</v>
      </c>
      <c r="M1171" s="2">
        <v>15.22</v>
      </c>
      <c r="N1171" s="2">
        <v>0.182069758</v>
      </c>
      <c r="O1171" s="2">
        <v>0.29845877700000001</v>
      </c>
      <c r="P1171" s="2">
        <v>3.3594588330000001</v>
      </c>
      <c r="Q1171" s="2">
        <v>3.4052902249999999</v>
      </c>
      <c r="R1171" s="2">
        <v>1.0463881020000001</v>
      </c>
      <c r="S1171" s="2">
        <v>0.94778985299999996</v>
      </c>
      <c r="T1171" s="2">
        <v>3.192340143</v>
      </c>
      <c r="U1171" s="2">
        <v>3.270733238</v>
      </c>
      <c r="V1171" s="2">
        <v>0.53886970700000003</v>
      </c>
      <c r="W1171" s="2">
        <v>7.5722352000000007E-2</v>
      </c>
      <c r="X1171">
        <f t="shared" si="54"/>
        <v>0</v>
      </c>
      <c r="Y1171">
        <f t="shared" si="55"/>
        <v>1</v>
      </c>
      <c r="Z1171">
        <f t="shared" si="56"/>
        <v>0</v>
      </c>
    </row>
    <row r="1172" spans="1:26" ht="15.75" customHeight="1" x14ac:dyDescent="0.2">
      <c r="A1172" s="2" t="s">
        <v>23</v>
      </c>
      <c r="B1172" s="2" t="s">
        <v>35</v>
      </c>
      <c r="C1172" s="2" t="s">
        <v>25</v>
      </c>
      <c r="D1172" s="2" t="s">
        <v>25</v>
      </c>
      <c r="E1172" s="2">
        <v>212</v>
      </c>
      <c r="F1172" s="2">
        <v>149.66666670000001</v>
      </c>
      <c r="G1172" s="2">
        <v>831</v>
      </c>
      <c r="H1172" s="2">
        <v>1754.666667</v>
      </c>
      <c r="I1172" s="2">
        <v>2917.333333</v>
      </c>
      <c r="J1172" s="2">
        <v>1.37</v>
      </c>
      <c r="K1172" s="2">
        <v>7.45</v>
      </c>
      <c r="L1172" s="2">
        <v>12.13</v>
      </c>
      <c r="M1172" s="2">
        <v>15.51</v>
      </c>
      <c r="N1172" s="2">
        <v>0.332285412</v>
      </c>
      <c r="O1172" s="2">
        <v>0.25195985300000001</v>
      </c>
      <c r="P1172" s="2">
        <v>2.967753106</v>
      </c>
      <c r="Q1172" s="2">
        <v>3.0440663620000001</v>
      </c>
      <c r="R1172" s="2">
        <v>2.864130361</v>
      </c>
      <c r="S1172" s="2">
        <v>2.9627286100000001</v>
      </c>
      <c r="T1172" s="2">
        <v>0.77737749899999997</v>
      </c>
      <c r="U1172" s="2">
        <v>0.69898440399999995</v>
      </c>
      <c r="V1172" s="2">
        <v>4.4493881699999998</v>
      </c>
      <c r="W1172" s="2">
        <v>6.1764344999999998E-2</v>
      </c>
      <c r="X1172">
        <f t="shared" si="54"/>
        <v>0</v>
      </c>
      <c r="Y1172">
        <f t="shared" si="55"/>
        <v>1</v>
      </c>
      <c r="Z1172">
        <f t="shared" si="56"/>
        <v>0</v>
      </c>
    </row>
    <row r="1173" spans="1:26" ht="15.75" customHeight="1" x14ac:dyDescent="0.2">
      <c r="A1173" s="2" t="s">
        <v>23</v>
      </c>
      <c r="B1173" s="2" t="s">
        <v>35</v>
      </c>
      <c r="C1173" s="2" t="s">
        <v>30</v>
      </c>
      <c r="D1173" s="2" t="s">
        <v>31</v>
      </c>
      <c r="E1173" s="2">
        <v>174</v>
      </c>
      <c r="F1173" s="2">
        <v>242.33333329999999</v>
      </c>
      <c r="G1173" s="2">
        <v>394.33333329999999</v>
      </c>
      <c r="H1173" s="2">
        <v>1181.666667</v>
      </c>
      <c r="I1173" s="2">
        <v>1960.333333</v>
      </c>
      <c r="J1173" s="2">
        <v>2.42</v>
      </c>
      <c r="K1173" s="2">
        <v>3.96</v>
      </c>
      <c r="L1173" s="2">
        <v>9.5500000000000007</v>
      </c>
      <c r="M1173" s="2">
        <v>12.88</v>
      </c>
      <c r="N1173" s="2">
        <v>4.7231428209999997</v>
      </c>
      <c r="O1173" s="2">
        <v>4.73193617</v>
      </c>
      <c r="P1173" s="2">
        <v>1.908885902</v>
      </c>
      <c r="Q1173" s="2">
        <v>1.9541061829999999</v>
      </c>
      <c r="R1173" s="2">
        <v>0.62787690100000004</v>
      </c>
      <c r="S1173" s="2">
        <v>0.52927865200000002</v>
      </c>
      <c r="T1173" s="2">
        <v>1.8026691269999999</v>
      </c>
      <c r="U1173" s="2">
        <v>1.881062222</v>
      </c>
      <c r="V1173" s="2">
        <v>0.95738090799999997</v>
      </c>
      <c r="W1173" s="2">
        <v>7.9105925999999993E-2</v>
      </c>
      <c r="X1173">
        <f t="shared" si="54"/>
        <v>0</v>
      </c>
      <c r="Y1173">
        <f t="shared" si="55"/>
        <v>1</v>
      </c>
      <c r="Z1173">
        <f t="shared" si="56"/>
        <v>1</v>
      </c>
    </row>
    <row r="1174" spans="1:26" ht="15.75" customHeight="1" x14ac:dyDescent="0.2">
      <c r="A1174" s="2" t="s">
        <v>23</v>
      </c>
      <c r="B1174" s="2" t="s">
        <v>35</v>
      </c>
      <c r="C1174" s="2" t="s">
        <v>27</v>
      </c>
      <c r="D1174" s="2" t="s">
        <v>27</v>
      </c>
      <c r="E1174" s="2">
        <v>110</v>
      </c>
      <c r="F1174" s="2">
        <v>215.33333329999999</v>
      </c>
      <c r="G1174" s="2">
        <v>370.33333329999999</v>
      </c>
      <c r="H1174" s="2">
        <v>2214</v>
      </c>
      <c r="I1174" s="2">
        <v>3268</v>
      </c>
      <c r="J1174" s="2">
        <v>2.12</v>
      </c>
      <c r="K1174" s="2">
        <v>3.73</v>
      </c>
      <c r="L1174" s="2">
        <v>13.69</v>
      </c>
      <c r="M1174" s="2">
        <v>16.23</v>
      </c>
      <c r="N1174" s="2">
        <v>0.67179116500000002</v>
      </c>
      <c r="O1174" s="2">
        <v>0.62804207499999998</v>
      </c>
      <c r="P1174" s="2">
        <v>2.4867055439999999</v>
      </c>
      <c r="Q1174" s="2">
        <v>2.380015577</v>
      </c>
      <c r="R1174" s="2">
        <v>0.85774469499999995</v>
      </c>
      <c r="S1174" s="2">
        <v>0.75914644600000003</v>
      </c>
      <c r="T1174" s="2">
        <v>2.3340905080000001</v>
      </c>
      <c r="U1174" s="2">
        <v>2.255697413</v>
      </c>
      <c r="V1174" s="2">
        <v>0.72751311399999996</v>
      </c>
      <c r="W1174" s="2">
        <v>7.0253570000000001E-2</v>
      </c>
      <c r="X1174">
        <f t="shared" si="54"/>
        <v>0</v>
      </c>
      <c r="Y1174">
        <f t="shared" si="55"/>
        <v>1</v>
      </c>
      <c r="Z1174">
        <f t="shared" si="56"/>
        <v>0</v>
      </c>
    </row>
    <row r="1175" spans="1:26" ht="15.75" customHeight="1" x14ac:dyDescent="0.2">
      <c r="A1175" s="2" t="s">
        <v>23</v>
      </c>
      <c r="B1175" s="2" t="s">
        <v>35</v>
      </c>
      <c r="C1175" s="2" t="s">
        <v>30</v>
      </c>
      <c r="D1175" s="2" t="s">
        <v>31</v>
      </c>
      <c r="E1175" s="2">
        <v>137</v>
      </c>
      <c r="F1175" s="2">
        <v>240.66666670000001</v>
      </c>
      <c r="G1175" s="2">
        <v>526.66666669999995</v>
      </c>
      <c r="H1175" s="2">
        <v>1190.666667</v>
      </c>
      <c r="I1175" s="2">
        <v>2394</v>
      </c>
      <c r="J1175" s="2">
        <v>2.4</v>
      </c>
      <c r="K1175" s="2">
        <v>5.15</v>
      </c>
      <c r="L1175" s="2">
        <v>9.6</v>
      </c>
      <c r="M1175" s="2">
        <v>14.21</v>
      </c>
      <c r="N1175" s="2">
        <v>4.7992528539999997</v>
      </c>
      <c r="O1175" s="2">
        <v>4.8395549730000003</v>
      </c>
      <c r="P1175" s="2">
        <v>1.842046232</v>
      </c>
      <c r="Q1175" s="2">
        <v>1.9479618270000001</v>
      </c>
      <c r="R1175" s="2">
        <v>0.55990475299999998</v>
      </c>
      <c r="S1175" s="2">
        <v>0.658503002</v>
      </c>
      <c r="T1175" s="2">
        <v>1.754890592</v>
      </c>
      <c r="U1175" s="2">
        <v>1.833283687</v>
      </c>
      <c r="V1175" s="2">
        <v>2.1451625619999999</v>
      </c>
      <c r="W1175" s="2">
        <v>7.6538335999999998E-2</v>
      </c>
      <c r="X1175">
        <f t="shared" si="54"/>
        <v>0</v>
      </c>
      <c r="Y1175">
        <f t="shared" si="55"/>
        <v>1</v>
      </c>
      <c r="Z1175">
        <f t="shared" si="56"/>
        <v>1</v>
      </c>
    </row>
    <row r="1176" spans="1:26" ht="15.75" customHeight="1" x14ac:dyDescent="0.2">
      <c r="A1176" s="2" t="s">
        <v>23</v>
      </c>
      <c r="B1176" s="2" t="s">
        <v>35</v>
      </c>
      <c r="C1176" s="2" t="s">
        <v>27</v>
      </c>
      <c r="D1176" s="2" t="s">
        <v>27</v>
      </c>
      <c r="E1176" s="2">
        <v>139</v>
      </c>
      <c r="F1176" s="2">
        <v>196.66666670000001</v>
      </c>
      <c r="G1176" s="2">
        <v>363.33333329999999</v>
      </c>
      <c r="H1176" s="2">
        <v>2643</v>
      </c>
      <c r="I1176" s="2">
        <v>3357</v>
      </c>
      <c r="J1176" s="2">
        <v>1.91</v>
      </c>
      <c r="K1176" s="2">
        <v>3.66</v>
      </c>
      <c r="L1176" s="2">
        <v>14.86</v>
      </c>
      <c r="M1176" s="2">
        <v>16.399999999999999</v>
      </c>
      <c r="N1176" s="2">
        <v>0.70981880500000005</v>
      </c>
      <c r="O1176" s="2">
        <v>0.637619359</v>
      </c>
      <c r="P1176" s="2">
        <v>3.6275094490000002</v>
      </c>
      <c r="Q1176" s="2">
        <v>3.527355467</v>
      </c>
      <c r="R1176" s="2">
        <v>0.92568404000000004</v>
      </c>
      <c r="S1176" s="2">
        <v>0.82708579100000001</v>
      </c>
      <c r="T1176" s="2">
        <v>3.507411276</v>
      </c>
      <c r="U1176" s="2">
        <v>3.429018181</v>
      </c>
      <c r="V1176" s="2">
        <v>0.65957376899999998</v>
      </c>
      <c r="W1176" s="2">
        <v>8.0322253999999996E-2</v>
      </c>
      <c r="X1176">
        <f t="shared" si="54"/>
        <v>0</v>
      </c>
      <c r="Y1176">
        <f t="shared" si="55"/>
        <v>1</v>
      </c>
      <c r="Z1176">
        <f t="shared" si="56"/>
        <v>0</v>
      </c>
    </row>
    <row r="1177" spans="1:26" ht="15.75" customHeight="1" x14ac:dyDescent="0.2">
      <c r="A1177" s="2" t="s">
        <v>23</v>
      </c>
      <c r="B1177" s="2" t="s">
        <v>35</v>
      </c>
      <c r="C1177" s="2" t="s">
        <v>26</v>
      </c>
      <c r="D1177" s="2" t="s">
        <v>26</v>
      </c>
      <c r="E1177" s="2">
        <v>137</v>
      </c>
      <c r="F1177" s="2">
        <v>182.66666670000001</v>
      </c>
      <c r="G1177" s="2">
        <v>315</v>
      </c>
      <c r="H1177" s="2">
        <v>924.33333330000005</v>
      </c>
      <c r="I1177" s="2">
        <v>2678.333333</v>
      </c>
      <c r="J1177" s="2">
        <v>1.76</v>
      </c>
      <c r="K1177" s="2">
        <v>3.18</v>
      </c>
      <c r="L1177" s="2">
        <v>8.06</v>
      </c>
      <c r="M1177" s="2">
        <v>14.95</v>
      </c>
      <c r="N1177" s="2">
        <v>0.494012012</v>
      </c>
      <c r="O1177" s="2">
        <v>0.67123050799999995</v>
      </c>
      <c r="P1177" s="2">
        <v>3.5824471500000001</v>
      </c>
      <c r="Q1177" s="2">
        <v>3.6178855670000001</v>
      </c>
      <c r="R1177" s="2">
        <v>1.4061987739999999</v>
      </c>
      <c r="S1177" s="2">
        <v>1.307600525</v>
      </c>
      <c r="T1177" s="2">
        <v>3.2949252790000001</v>
      </c>
      <c r="U1177" s="2">
        <v>3.373318373</v>
      </c>
      <c r="V1177" s="2">
        <v>0.17905903500000001</v>
      </c>
      <c r="W1177" s="2">
        <v>8.2544603999999994E-2</v>
      </c>
      <c r="X1177">
        <f t="shared" si="54"/>
        <v>0</v>
      </c>
      <c r="Y1177">
        <f t="shared" si="55"/>
        <v>1</v>
      </c>
      <c r="Z1177">
        <f t="shared" si="56"/>
        <v>0</v>
      </c>
    </row>
    <row r="1178" spans="1:26" ht="15.75" customHeight="1" x14ac:dyDescent="0.2">
      <c r="A1178" s="2" t="s">
        <v>23</v>
      </c>
      <c r="B1178" s="2" t="s">
        <v>35</v>
      </c>
      <c r="C1178" s="2" t="s">
        <v>27</v>
      </c>
      <c r="D1178" s="2" t="s">
        <v>27</v>
      </c>
      <c r="E1178" s="2">
        <v>135</v>
      </c>
      <c r="F1178" s="2">
        <v>249.66666670000001</v>
      </c>
      <c r="G1178" s="2">
        <v>487.66666670000001</v>
      </c>
      <c r="H1178" s="2">
        <v>2483.333333</v>
      </c>
      <c r="I1178" s="2">
        <v>3167</v>
      </c>
      <c r="J1178" s="2">
        <v>2.5</v>
      </c>
      <c r="K1178" s="2">
        <v>4.8099999999999996</v>
      </c>
      <c r="L1178" s="2">
        <v>14.45</v>
      </c>
      <c r="M1178" s="2">
        <v>16.03</v>
      </c>
      <c r="N1178" s="2">
        <v>0.77200475499999999</v>
      </c>
      <c r="O1178" s="2">
        <v>0.89606903699999996</v>
      </c>
      <c r="P1178" s="2">
        <v>3.1052230189999999</v>
      </c>
      <c r="Q1178" s="2">
        <v>3.0359009929999998</v>
      </c>
      <c r="R1178" s="2">
        <v>0.22320124099999999</v>
      </c>
      <c r="S1178" s="2">
        <v>0.32179949000000002</v>
      </c>
      <c r="T1178" s="2">
        <v>3.0971908560000001</v>
      </c>
      <c r="U1178" s="2">
        <v>3.0187977620000002</v>
      </c>
      <c r="V1178" s="2">
        <v>1.80845905</v>
      </c>
      <c r="W1178" s="2">
        <v>6.8752176999999998E-2</v>
      </c>
      <c r="X1178">
        <f t="shared" si="54"/>
        <v>0</v>
      </c>
      <c r="Y1178">
        <f t="shared" si="55"/>
        <v>1</v>
      </c>
      <c r="Z1178">
        <f t="shared" si="56"/>
        <v>0</v>
      </c>
    </row>
    <row r="1179" spans="1:26" ht="15.75" customHeight="1" x14ac:dyDescent="0.2">
      <c r="A1179" s="2" t="s">
        <v>23</v>
      </c>
      <c r="B1179" s="2" t="s">
        <v>35</v>
      </c>
      <c r="C1179" s="2" t="s">
        <v>30</v>
      </c>
      <c r="D1179" s="2" t="s">
        <v>31</v>
      </c>
      <c r="E1179" s="2">
        <v>108</v>
      </c>
      <c r="F1179" s="2">
        <v>208</v>
      </c>
      <c r="G1179" s="2">
        <v>497</v>
      </c>
      <c r="H1179" s="2">
        <v>1272.333333</v>
      </c>
      <c r="I1179" s="2">
        <v>2409</v>
      </c>
      <c r="J1179" s="2">
        <v>2.04</v>
      </c>
      <c r="K1179" s="2">
        <v>4.8899999999999997</v>
      </c>
      <c r="L1179" s="2">
        <v>10.02</v>
      </c>
      <c r="M1179" s="2">
        <v>14.25</v>
      </c>
      <c r="N1179" s="2">
        <v>4.333697817</v>
      </c>
      <c r="O1179" s="2">
        <v>4.3698270990000001</v>
      </c>
      <c r="P1179" s="2">
        <v>1.3678857099999999</v>
      </c>
      <c r="Q1179" s="2">
        <v>1.4683834120000001</v>
      </c>
      <c r="R1179" s="2">
        <v>0.30475279300000002</v>
      </c>
      <c r="S1179" s="2">
        <v>0.40335104199999999</v>
      </c>
      <c r="T1179" s="2">
        <v>1.3335055490000001</v>
      </c>
      <c r="U1179" s="2">
        <v>1.4118986440000001</v>
      </c>
      <c r="V1179" s="2">
        <v>1.890010602</v>
      </c>
      <c r="W1179" s="2">
        <v>3.3864381999999998E-2</v>
      </c>
      <c r="X1179">
        <f t="shared" si="54"/>
        <v>0</v>
      </c>
      <c r="Y1179">
        <f t="shared" si="55"/>
        <v>1</v>
      </c>
      <c r="Z1179">
        <f t="shared" si="56"/>
        <v>1</v>
      </c>
    </row>
    <row r="1180" spans="1:26" ht="15.75" customHeight="1" x14ac:dyDescent="0.2">
      <c r="A1180" s="2" t="s">
        <v>23</v>
      </c>
      <c r="B1180" s="2" t="s">
        <v>35</v>
      </c>
      <c r="C1180" s="2" t="s">
        <v>27</v>
      </c>
      <c r="D1180" s="2" t="s">
        <v>27</v>
      </c>
      <c r="E1180" s="2">
        <v>137</v>
      </c>
      <c r="F1180" s="2">
        <v>249.66666670000001</v>
      </c>
      <c r="G1180" s="2">
        <v>507.66666670000001</v>
      </c>
      <c r="H1180" s="2">
        <v>2380</v>
      </c>
      <c r="I1180" s="2">
        <v>3168.666667</v>
      </c>
      <c r="J1180" s="2">
        <v>2.5</v>
      </c>
      <c r="K1180" s="2">
        <v>4.99</v>
      </c>
      <c r="L1180" s="2">
        <v>14.17</v>
      </c>
      <c r="M1180" s="2">
        <v>16.03</v>
      </c>
      <c r="N1180" s="2">
        <v>0.93106041100000003</v>
      </c>
      <c r="O1180" s="2">
        <v>1.0602739299999999</v>
      </c>
      <c r="P1180" s="2">
        <v>2.8434939109999999</v>
      </c>
      <c r="Q1180" s="2">
        <v>2.7817622800000001</v>
      </c>
      <c r="R1180" s="2">
        <v>0.39719918300000001</v>
      </c>
      <c r="S1180" s="2">
        <v>0.49579743199999998</v>
      </c>
      <c r="T1180" s="2">
        <v>2.8156154629999999</v>
      </c>
      <c r="U1180" s="2">
        <v>2.7372223679999999</v>
      </c>
      <c r="V1180" s="2">
        <v>1.9824569919999999</v>
      </c>
      <c r="W1180" s="2">
        <v>8.2432140000000001E-2</v>
      </c>
      <c r="X1180">
        <f t="shared" si="54"/>
        <v>0</v>
      </c>
      <c r="Y1180">
        <f t="shared" si="55"/>
        <v>1</v>
      </c>
      <c r="Z1180">
        <f t="shared" si="56"/>
        <v>0</v>
      </c>
    </row>
    <row r="1181" spans="1:26" ht="15.75" customHeight="1" x14ac:dyDescent="0.2">
      <c r="A1181" s="2" t="s">
        <v>23</v>
      </c>
      <c r="B1181" s="2" t="s">
        <v>35</v>
      </c>
      <c r="C1181" s="2" t="s">
        <v>26</v>
      </c>
      <c r="D1181" s="2" t="s">
        <v>26</v>
      </c>
      <c r="E1181" s="2">
        <v>135</v>
      </c>
      <c r="F1181" s="2">
        <v>185</v>
      </c>
      <c r="G1181" s="2">
        <v>312.33333329999999</v>
      </c>
      <c r="H1181" s="2">
        <v>973.33333330000005</v>
      </c>
      <c r="I1181" s="2">
        <v>2744.333333</v>
      </c>
      <c r="J1181" s="2">
        <v>1.78</v>
      </c>
      <c r="K1181" s="2">
        <v>3.16</v>
      </c>
      <c r="L1181" s="2">
        <v>8.3699999999999992</v>
      </c>
      <c r="M1181" s="2">
        <v>15.11</v>
      </c>
      <c r="N1181" s="2">
        <v>0.61392241800000003</v>
      </c>
      <c r="O1181" s="2">
        <v>0.66632609700000001</v>
      </c>
      <c r="P1181" s="2">
        <v>3.316328446</v>
      </c>
      <c r="Q1181" s="2">
        <v>3.3466614809999999</v>
      </c>
      <c r="R1181" s="2">
        <v>1.4333049449999999</v>
      </c>
      <c r="S1181" s="2">
        <v>1.334706696</v>
      </c>
      <c r="T1181" s="2">
        <v>2.9905971469999999</v>
      </c>
      <c r="U1181" s="2">
        <v>3.0689902419999999</v>
      </c>
      <c r="V1181" s="2">
        <v>0.15195286399999999</v>
      </c>
      <c r="W1181" s="2">
        <v>9.2058020000000004E-2</v>
      </c>
      <c r="X1181">
        <f t="shared" si="54"/>
        <v>0</v>
      </c>
      <c r="Y1181">
        <f t="shared" si="55"/>
        <v>1</v>
      </c>
      <c r="Z1181">
        <f t="shared" si="56"/>
        <v>0</v>
      </c>
    </row>
    <row r="1182" spans="1:26" ht="15.75" customHeight="1" x14ac:dyDescent="0.2">
      <c r="A1182" s="2" t="s">
        <v>23</v>
      </c>
      <c r="B1182" s="2" t="s">
        <v>35</v>
      </c>
      <c r="C1182" s="2" t="s">
        <v>30</v>
      </c>
      <c r="D1182" s="2" t="s">
        <v>31</v>
      </c>
      <c r="E1182" s="2">
        <v>130</v>
      </c>
      <c r="F1182" s="2">
        <v>226.33333329999999</v>
      </c>
      <c r="G1182" s="2">
        <v>422.33333329999999</v>
      </c>
      <c r="H1182" s="2">
        <v>1322.666667</v>
      </c>
      <c r="I1182" s="2">
        <v>2318.333333</v>
      </c>
      <c r="J1182" s="2">
        <v>2.25</v>
      </c>
      <c r="K1182" s="2">
        <v>4.22</v>
      </c>
      <c r="L1182" s="2">
        <v>10.27</v>
      </c>
      <c r="M1182" s="2">
        <v>14</v>
      </c>
      <c r="N1182" s="2">
        <v>4.0069534349999998</v>
      </c>
      <c r="O1182" s="2">
        <v>4.0239822329999999</v>
      </c>
      <c r="P1182" s="2">
        <v>1.1442027850000001</v>
      </c>
      <c r="Q1182" s="2">
        <v>1.192885239</v>
      </c>
      <c r="R1182" s="2">
        <v>0.36555144499999997</v>
      </c>
      <c r="S1182" s="2">
        <v>0.266953196</v>
      </c>
      <c r="T1182" s="2">
        <v>1.084238053</v>
      </c>
      <c r="U1182" s="2">
        <v>1.162631148</v>
      </c>
      <c r="V1182" s="2">
        <v>1.2197063640000001</v>
      </c>
      <c r="W1182" s="2">
        <v>5.2666193E-2</v>
      </c>
      <c r="X1182">
        <f t="shared" si="54"/>
        <v>0</v>
      </c>
      <c r="Y1182">
        <f t="shared" si="55"/>
        <v>1</v>
      </c>
      <c r="Z1182">
        <f t="shared" si="56"/>
        <v>1</v>
      </c>
    </row>
    <row r="1183" spans="1:26" ht="15.75" customHeight="1" x14ac:dyDescent="0.2">
      <c r="A1183" s="2" t="s">
        <v>23</v>
      </c>
      <c r="B1183" s="2" t="s">
        <v>35</v>
      </c>
      <c r="C1183" s="2" t="s">
        <v>32</v>
      </c>
      <c r="D1183" s="2" t="s">
        <v>33</v>
      </c>
      <c r="E1183" s="2">
        <v>143</v>
      </c>
      <c r="F1183" s="2">
        <v>240</v>
      </c>
      <c r="G1183" s="2">
        <v>496</v>
      </c>
      <c r="H1183" s="2">
        <v>1079.333333</v>
      </c>
      <c r="I1183" s="2">
        <v>2466.333333</v>
      </c>
      <c r="J1183" s="2">
        <v>2.39</v>
      </c>
      <c r="K1183" s="2">
        <v>4.88</v>
      </c>
      <c r="L1183" s="2">
        <v>8.99</v>
      </c>
      <c r="M1183" s="2">
        <v>14.41</v>
      </c>
      <c r="N1183" s="2">
        <v>4.0886722669999997</v>
      </c>
      <c r="O1183" s="2">
        <v>3.8384422489999999</v>
      </c>
      <c r="P1183" s="2">
        <v>2.3842794610000002</v>
      </c>
      <c r="Q1183" s="2">
        <v>2.4758763940000001</v>
      </c>
      <c r="R1183" s="2">
        <v>0.29604477400000001</v>
      </c>
      <c r="S1183" s="2">
        <v>0.39464302299999998</v>
      </c>
      <c r="T1183" s="2">
        <v>2.3658288270000001</v>
      </c>
      <c r="U1183" s="2">
        <v>2.4442219220000001</v>
      </c>
      <c r="V1183" s="2">
        <v>1.8813025830000001</v>
      </c>
      <c r="W1183" s="2">
        <v>0.10651372200000001</v>
      </c>
      <c r="X1183">
        <f t="shared" si="54"/>
        <v>0</v>
      </c>
      <c r="Y1183">
        <f t="shared" si="55"/>
        <v>1</v>
      </c>
      <c r="Z1183">
        <f t="shared" si="56"/>
        <v>1</v>
      </c>
    </row>
    <row r="1184" spans="1:26" ht="15.75" customHeight="1" x14ac:dyDescent="0.2">
      <c r="A1184" s="2" t="s">
        <v>23</v>
      </c>
      <c r="B1184" s="2" t="s">
        <v>35</v>
      </c>
      <c r="C1184" s="2" t="s">
        <v>28</v>
      </c>
      <c r="D1184" s="2" t="s">
        <v>29</v>
      </c>
      <c r="E1184" s="2">
        <v>120</v>
      </c>
      <c r="F1184" s="2">
        <v>189.66666670000001</v>
      </c>
      <c r="G1184" s="2">
        <v>466</v>
      </c>
      <c r="H1184" s="2">
        <v>1838</v>
      </c>
      <c r="I1184" s="2">
        <v>2652.333333</v>
      </c>
      <c r="J1184" s="2">
        <v>1.84</v>
      </c>
      <c r="K1184" s="2">
        <v>4.62</v>
      </c>
      <c r="L1184" s="2">
        <v>12.44</v>
      </c>
      <c r="M1184" s="2">
        <v>14.89</v>
      </c>
      <c r="N1184" s="2">
        <v>4.5036905340000004</v>
      </c>
      <c r="O1184" s="2">
        <v>4.2389637899999997</v>
      </c>
      <c r="P1184" s="2">
        <v>1.0882147339999999</v>
      </c>
      <c r="Q1184" s="2">
        <v>1.0177119859999999</v>
      </c>
      <c r="R1184" s="2">
        <v>3.1466012000000002E-2</v>
      </c>
      <c r="S1184" s="2">
        <v>0.13006426099999999</v>
      </c>
      <c r="T1184" s="2">
        <v>1.087759715</v>
      </c>
      <c r="U1184" s="2">
        <v>1.00936662</v>
      </c>
      <c r="V1184" s="2">
        <v>1.6167238209999999</v>
      </c>
      <c r="W1184" s="2">
        <v>6.9450406000000006E-2</v>
      </c>
      <c r="X1184">
        <f t="shared" si="54"/>
        <v>0</v>
      </c>
      <c r="Y1184">
        <f t="shared" si="55"/>
        <v>1</v>
      </c>
      <c r="Z1184">
        <f t="shared" si="56"/>
        <v>1</v>
      </c>
    </row>
    <row r="1185" spans="1:26" ht="15.75" customHeight="1" x14ac:dyDescent="0.2">
      <c r="A1185" s="2" t="s">
        <v>23</v>
      </c>
      <c r="B1185" s="2" t="s">
        <v>35</v>
      </c>
      <c r="C1185" s="2" t="s">
        <v>28</v>
      </c>
      <c r="D1185" s="2" t="s">
        <v>29</v>
      </c>
      <c r="E1185" s="2">
        <v>120</v>
      </c>
      <c r="F1185" s="2">
        <v>199.33333329999999</v>
      </c>
      <c r="G1185" s="2">
        <v>367</v>
      </c>
      <c r="H1185" s="2">
        <v>1512.333333</v>
      </c>
      <c r="I1185" s="2">
        <v>2361</v>
      </c>
      <c r="J1185" s="2">
        <v>1.94</v>
      </c>
      <c r="K1185" s="2">
        <v>3.7</v>
      </c>
      <c r="L1185" s="2">
        <v>11.15</v>
      </c>
      <c r="M1185" s="2">
        <v>14.12</v>
      </c>
      <c r="N1185" s="2">
        <v>3.106079872</v>
      </c>
      <c r="O1185" s="2">
        <v>2.8668655489999999</v>
      </c>
      <c r="P1185" s="2">
        <v>0.91445378200000005</v>
      </c>
      <c r="Q1185" s="2">
        <v>0.84230823799999999</v>
      </c>
      <c r="R1185" s="2">
        <v>0.89004578700000003</v>
      </c>
      <c r="S1185" s="2">
        <v>0.79144753800000001</v>
      </c>
      <c r="T1185" s="2">
        <v>0.20986713900000001</v>
      </c>
      <c r="U1185" s="2">
        <v>0.288260234</v>
      </c>
      <c r="V1185" s="2">
        <v>0.69521202199999999</v>
      </c>
      <c r="W1185" s="2">
        <v>9.1204558000000005E-2</v>
      </c>
      <c r="X1185">
        <f t="shared" si="54"/>
        <v>0</v>
      </c>
      <c r="Y1185">
        <f t="shared" si="55"/>
        <v>1</v>
      </c>
      <c r="Z1185">
        <f t="shared" si="56"/>
        <v>1</v>
      </c>
    </row>
    <row r="1186" spans="1:26" ht="15.75" customHeight="1" x14ac:dyDescent="0.2">
      <c r="A1186" s="2" t="s">
        <v>23</v>
      </c>
      <c r="B1186" s="2" t="s">
        <v>35</v>
      </c>
      <c r="C1186" s="2" t="s">
        <v>26</v>
      </c>
      <c r="D1186" s="2" t="s">
        <v>26</v>
      </c>
      <c r="E1186" s="2">
        <v>133</v>
      </c>
      <c r="F1186" s="2">
        <v>194.66666670000001</v>
      </c>
      <c r="G1186" s="2">
        <v>334.66666670000001</v>
      </c>
      <c r="H1186" s="2">
        <v>839.66666669999995</v>
      </c>
      <c r="I1186" s="2">
        <v>2623</v>
      </c>
      <c r="J1186" s="2">
        <v>1.89</v>
      </c>
      <c r="K1186" s="2">
        <v>3.38</v>
      </c>
      <c r="L1186" s="2">
        <v>7.51</v>
      </c>
      <c r="M1186" s="2">
        <v>14.81</v>
      </c>
      <c r="N1186" s="2">
        <v>0.60687360499999998</v>
      </c>
      <c r="O1186" s="2">
        <v>0.88622192399999999</v>
      </c>
      <c r="P1186" s="2">
        <v>4.0312039620000002</v>
      </c>
      <c r="Q1186" s="2">
        <v>4.0781359579999998</v>
      </c>
      <c r="R1186" s="2">
        <v>1.2082364080000001</v>
      </c>
      <c r="S1186" s="2">
        <v>1.109638159</v>
      </c>
      <c r="T1186" s="2">
        <v>3.845877035</v>
      </c>
      <c r="U1186" s="2">
        <v>3.9242701289999999</v>
      </c>
      <c r="V1186" s="2">
        <v>0.37702140099999998</v>
      </c>
      <c r="W1186" s="2">
        <v>8.3638569999999995E-2</v>
      </c>
      <c r="X1186">
        <f t="shared" si="54"/>
        <v>0</v>
      </c>
      <c r="Y1186">
        <f t="shared" si="55"/>
        <v>1</v>
      </c>
      <c r="Z1186">
        <f t="shared" si="56"/>
        <v>0</v>
      </c>
    </row>
    <row r="1187" spans="1:26" ht="15.75" customHeight="1" x14ac:dyDescent="0.2">
      <c r="A1187" s="2" t="s">
        <v>23</v>
      </c>
      <c r="B1187" s="2" t="s">
        <v>35</v>
      </c>
      <c r="C1187" s="2" t="s">
        <v>25</v>
      </c>
      <c r="D1187" s="2" t="s">
        <v>25</v>
      </c>
      <c r="E1187" s="2">
        <v>140</v>
      </c>
      <c r="F1187" s="2">
        <v>179</v>
      </c>
      <c r="G1187" s="2">
        <v>882.33333330000005</v>
      </c>
      <c r="H1187" s="2">
        <v>1647.666667</v>
      </c>
      <c r="I1187" s="2">
        <v>2657.666667</v>
      </c>
      <c r="J1187" s="2">
        <v>1.71</v>
      </c>
      <c r="K1187" s="2">
        <v>7.79</v>
      </c>
      <c r="L1187" s="2">
        <v>11.71</v>
      </c>
      <c r="M1187" s="2">
        <v>14.9</v>
      </c>
      <c r="N1187" s="2">
        <v>0.23376599100000001</v>
      </c>
      <c r="O1187" s="2">
        <v>0.42534281000000002</v>
      </c>
      <c r="P1187" s="2">
        <v>3.2240782989999999</v>
      </c>
      <c r="Q1187" s="2">
        <v>3.3145581630000001</v>
      </c>
      <c r="R1187" s="2">
        <v>3.2041605729999998</v>
      </c>
      <c r="S1187" s="2">
        <v>3.302758823</v>
      </c>
      <c r="T1187" s="2">
        <v>0.35782103999999998</v>
      </c>
      <c r="U1187" s="2">
        <v>0.27942794599999998</v>
      </c>
      <c r="V1187" s="2">
        <v>4.789418382</v>
      </c>
      <c r="W1187" s="2">
        <v>7.3571493000000002E-2</v>
      </c>
      <c r="X1187">
        <f t="shared" si="54"/>
        <v>0</v>
      </c>
      <c r="Y1187">
        <f t="shared" si="55"/>
        <v>1</v>
      </c>
      <c r="Z1187">
        <f t="shared" si="56"/>
        <v>0</v>
      </c>
    </row>
    <row r="1188" spans="1:26" ht="15.75" customHeight="1" x14ac:dyDescent="0.2">
      <c r="A1188" s="2" t="s">
        <v>23</v>
      </c>
      <c r="B1188" s="2" t="s">
        <v>35</v>
      </c>
      <c r="C1188" s="2" t="s">
        <v>30</v>
      </c>
      <c r="D1188" s="2" t="s">
        <v>31</v>
      </c>
      <c r="E1188" s="2">
        <v>121</v>
      </c>
      <c r="F1188" s="2">
        <v>185.66666670000001</v>
      </c>
      <c r="G1188" s="2">
        <v>600.33333330000005</v>
      </c>
      <c r="H1188" s="2">
        <v>1508.666667</v>
      </c>
      <c r="I1188" s="2">
        <v>2768.333333</v>
      </c>
      <c r="J1188" s="2">
        <v>1.79</v>
      </c>
      <c r="K1188" s="2">
        <v>5.76</v>
      </c>
      <c r="L1188" s="2">
        <v>11.13</v>
      </c>
      <c r="M1188" s="2">
        <v>15.17</v>
      </c>
      <c r="N1188" s="2">
        <v>3.573390501</v>
      </c>
      <c r="O1188" s="2">
        <v>3.6447920069999999</v>
      </c>
      <c r="P1188" s="2">
        <v>1.189553093</v>
      </c>
      <c r="Q1188" s="2">
        <v>1.3025453899999999</v>
      </c>
      <c r="R1188" s="2">
        <v>1.167913491</v>
      </c>
      <c r="S1188" s="2">
        <v>1.2665117400000001</v>
      </c>
      <c r="T1188" s="2">
        <v>0.22586420500000001</v>
      </c>
      <c r="U1188" s="2">
        <v>0.30425730000000001</v>
      </c>
      <c r="V1188" s="2">
        <v>2.7531713</v>
      </c>
      <c r="W1188" s="2">
        <v>0.104284661</v>
      </c>
      <c r="X1188">
        <f t="shared" si="54"/>
        <v>0</v>
      </c>
      <c r="Y1188">
        <f t="shared" si="55"/>
        <v>1</v>
      </c>
      <c r="Z1188">
        <f t="shared" si="56"/>
        <v>1</v>
      </c>
    </row>
    <row r="1189" spans="1:26" ht="15.75" customHeight="1" x14ac:dyDescent="0.2">
      <c r="A1189" s="2" t="s">
        <v>23</v>
      </c>
      <c r="B1189" s="2" t="s">
        <v>35</v>
      </c>
      <c r="C1189" s="2" t="s">
        <v>28</v>
      </c>
      <c r="D1189" s="2" t="s">
        <v>29</v>
      </c>
      <c r="E1189" s="2">
        <v>130</v>
      </c>
      <c r="F1189" s="2">
        <v>169.66666670000001</v>
      </c>
      <c r="G1189" s="2">
        <v>313.33333329999999</v>
      </c>
      <c r="H1189" s="2">
        <v>1627</v>
      </c>
      <c r="I1189" s="2">
        <v>2490.333333</v>
      </c>
      <c r="J1189" s="2">
        <v>1.61</v>
      </c>
      <c r="K1189" s="2">
        <v>3.17</v>
      </c>
      <c r="L1189" s="2">
        <v>11.63</v>
      </c>
      <c r="M1189" s="2">
        <v>14.47</v>
      </c>
      <c r="N1189" s="2">
        <v>3.6258835669999998</v>
      </c>
      <c r="O1189" s="2">
        <v>3.4108895370000001</v>
      </c>
      <c r="P1189" s="2">
        <v>1.4492509769999999</v>
      </c>
      <c r="Q1189" s="2">
        <v>1.338885659</v>
      </c>
      <c r="R1189" s="2">
        <v>1.4231326790000001</v>
      </c>
      <c r="S1189" s="2">
        <v>1.3245344290000001</v>
      </c>
      <c r="T1189" s="2">
        <v>0.27390102799999999</v>
      </c>
      <c r="U1189" s="2">
        <v>0.19550793299999999</v>
      </c>
      <c r="V1189" s="2">
        <v>0.16212513000000001</v>
      </c>
      <c r="W1189" s="2">
        <v>4.7071070999999999E-2</v>
      </c>
      <c r="X1189">
        <f t="shared" si="54"/>
        <v>0</v>
      </c>
      <c r="Y1189">
        <f t="shared" si="55"/>
        <v>1</v>
      </c>
      <c r="Z1189">
        <f t="shared" si="56"/>
        <v>1</v>
      </c>
    </row>
    <row r="1190" spans="1:26" ht="15.75" customHeight="1" x14ac:dyDescent="0.2">
      <c r="A1190" s="2" t="s">
        <v>23</v>
      </c>
      <c r="B1190" s="2" t="s">
        <v>35</v>
      </c>
      <c r="C1190" s="2" t="s">
        <v>28</v>
      </c>
      <c r="D1190" s="2" t="s">
        <v>29</v>
      </c>
      <c r="E1190" s="2">
        <v>112</v>
      </c>
      <c r="F1190" s="2">
        <v>190.66666670000001</v>
      </c>
      <c r="G1190" s="2">
        <v>461.66666670000001</v>
      </c>
      <c r="H1190" s="2">
        <v>1332.333333</v>
      </c>
      <c r="I1190" s="2">
        <v>2256</v>
      </c>
      <c r="J1190" s="2">
        <v>1.85</v>
      </c>
      <c r="K1190" s="2">
        <v>4.58</v>
      </c>
      <c r="L1190" s="2">
        <v>10.32</v>
      </c>
      <c r="M1190" s="2">
        <v>13.82</v>
      </c>
      <c r="N1190" s="2">
        <v>2.4518926940000001</v>
      </c>
      <c r="O1190" s="2">
        <v>2.1759695400000001</v>
      </c>
      <c r="P1190" s="2">
        <v>1.0372635619999999</v>
      </c>
      <c r="Q1190" s="2">
        <v>1.1193610970000001</v>
      </c>
      <c r="R1190" s="2">
        <v>7.2927440000000003E-3</v>
      </c>
      <c r="S1190" s="2">
        <v>9.1305504999999995E-2</v>
      </c>
      <c r="T1190" s="2">
        <v>1.037237924</v>
      </c>
      <c r="U1190" s="2">
        <v>1.1156310190000001</v>
      </c>
      <c r="V1190" s="2">
        <v>1.5779650649999999</v>
      </c>
      <c r="W1190" s="2">
        <v>6.1719075999999998E-2</v>
      </c>
      <c r="X1190">
        <f t="shared" si="54"/>
        <v>0</v>
      </c>
      <c r="Y1190">
        <f t="shared" si="55"/>
        <v>1</v>
      </c>
      <c r="Z1190">
        <f t="shared" si="56"/>
        <v>1</v>
      </c>
    </row>
    <row r="1191" spans="1:26" ht="15.75" customHeight="1" x14ac:dyDescent="0.2">
      <c r="A1191" s="2" t="s">
        <v>23</v>
      </c>
      <c r="B1191" s="2" t="s">
        <v>35</v>
      </c>
      <c r="C1191" s="2" t="s">
        <v>32</v>
      </c>
      <c r="D1191" s="2" t="s">
        <v>33</v>
      </c>
      <c r="E1191" s="2">
        <v>170</v>
      </c>
      <c r="F1191" s="2">
        <v>244.66666670000001</v>
      </c>
      <c r="G1191" s="2">
        <v>609.33333330000005</v>
      </c>
      <c r="H1191" s="2">
        <v>931.66666669999995</v>
      </c>
      <c r="I1191" s="2">
        <v>2484.333333</v>
      </c>
      <c r="J1191" s="2">
        <v>2.4500000000000002</v>
      </c>
      <c r="K1191" s="2">
        <v>5.83</v>
      </c>
      <c r="L1191" s="2">
        <v>8.11</v>
      </c>
      <c r="M1191" s="2">
        <v>14.46</v>
      </c>
      <c r="N1191" s="2">
        <v>4.2705107370000004</v>
      </c>
      <c r="O1191" s="2">
        <v>4.0941936810000001</v>
      </c>
      <c r="P1191" s="2">
        <v>3.4772575140000002</v>
      </c>
      <c r="Q1191" s="2">
        <v>3.5862274169999999</v>
      </c>
      <c r="R1191" s="2">
        <v>1.2398051379999999</v>
      </c>
      <c r="S1191" s="2">
        <v>1.3384033870000001</v>
      </c>
      <c r="T1191" s="2">
        <v>3.2487232939999999</v>
      </c>
      <c r="U1191" s="2">
        <v>3.3271163879999999</v>
      </c>
      <c r="V1191" s="2">
        <v>2.8250629470000002</v>
      </c>
      <c r="W1191" s="2">
        <v>7.1057619000000002E-2</v>
      </c>
      <c r="X1191">
        <f t="shared" si="54"/>
        <v>0</v>
      </c>
      <c r="Y1191">
        <f t="shared" si="55"/>
        <v>1</v>
      </c>
      <c r="Z1191">
        <f t="shared" si="56"/>
        <v>1</v>
      </c>
    </row>
    <row r="1192" spans="1:26" ht="15.75" customHeight="1" x14ac:dyDescent="0.2">
      <c r="A1192" s="2" t="s">
        <v>23</v>
      </c>
      <c r="B1192" s="2" t="s">
        <v>35</v>
      </c>
      <c r="C1192" s="2" t="s">
        <v>25</v>
      </c>
      <c r="D1192" s="2" t="s">
        <v>25</v>
      </c>
      <c r="E1192" s="2">
        <v>140</v>
      </c>
      <c r="F1192" s="2">
        <v>206.33333329999999</v>
      </c>
      <c r="G1192" s="2">
        <v>853.66666669999995</v>
      </c>
      <c r="H1192" s="2">
        <v>1836.333333</v>
      </c>
      <c r="I1192" s="2">
        <v>2862</v>
      </c>
      <c r="J1192" s="2">
        <v>2.02</v>
      </c>
      <c r="K1192" s="2">
        <v>7.6</v>
      </c>
      <c r="L1192" s="2">
        <v>12.44</v>
      </c>
      <c r="M1192" s="2">
        <v>15.38</v>
      </c>
      <c r="N1192" s="2">
        <v>0.51485233600000002</v>
      </c>
      <c r="O1192" s="2">
        <v>0.58680658500000005</v>
      </c>
      <c r="P1192" s="2">
        <v>3.2039215369999998</v>
      </c>
      <c r="Q1192" s="2">
        <v>3.2720166239999999</v>
      </c>
      <c r="R1192" s="2">
        <v>3.0158032860000001</v>
      </c>
      <c r="S1192" s="2">
        <v>3.1144015349999998</v>
      </c>
      <c r="T1192" s="2">
        <v>1.081685609</v>
      </c>
      <c r="U1192" s="2">
        <v>1.0032925150000001</v>
      </c>
      <c r="V1192" s="2">
        <v>4.6010610950000004</v>
      </c>
      <c r="W1192" s="2">
        <v>5.6557854999999997E-2</v>
      </c>
      <c r="X1192">
        <f t="shared" si="54"/>
        <v>0</v>
      </c>
      <c r="Y1192">
        <f t="shared" si="55"/>
        <v>1</v>
      </c>
      <c r="Z1192">
        <f t="shared" si="56"/>
        <v>0</v>
      </c>
    </row>
    <row r="1193" spans="1:26" ht="15.75" customHeight="1" x14ac:dyDescent="0.2">
      <c r="A1193" s="2" t="s">
        <v>23</v>
      </c>
      <c r="B1193" s="2" t="s">
        <v>35</v>
      </c>
      <c r="C1193" s="2" t="s">
        <v>27</v>
      </c>
      <c r="D1193" s="2" t="s">
        <v>27</v>
      </c>
      <c r="E1193" s="2">
        <v>102</v>
      </c>
      <c r="F1193" s="2">
        <v>216</v>
      </c>
      <c r="G1193" s="2">
        <v>373.33333329999999</v>
      </c>
      <c r="H1193" s="2">
        <v>2512.666667</v>
      </c>
      <c r="I1193" s="2">
        <v>3049</v>
      </c>
      <c r="J1193" s="2">
        <v>2.13</v>
      </c>
      <c r="K1193" s="2">
        <v>3.76</v>
      </c>
      <c r="L1193" s="2">
        <v>14.53</v>
      </c>
      <c r="M1193" s="2">
        <v>15.79</v>
      </c>
      <c r="N1193" s="2">
        <v>0.39447768100000002</v>
      </c>
      <c r="O1193" s="2">
        <v>0.29968930599999999</v>
      </c>
      <c r="P1193" s="2">
        <v>3.2811393029999998</v>
      </c>
      <c r="Q1193" s="2">
        <v>3.1812824430000002</v>
      </c>
      <c r="R1193" s="2">
        <v>0.82875262000000005</v>
      </c>
      <c r="S1193" s="2">
        <v>0.73015437100000002</v>
      </c>
      <c r="T1193" s="2">
        <v>3.1747510480000001</v>
      </c>
      <c r="U1193" s="2">
        <v>3.0963579540000001</v>
      </c>
      <c r="V1193" s="2">
        <v>0.75650518899999997</v>
      </c>
      <c r="W1193" s="2">
        <v>9.6974092999999997E-2</v>
      </c>
      <c r="X1193">
        <f t="shared" si="54"/>
        <v>0</v>
      </c>
      <c r="Y1193">
        <f t="shared" si="55"/>
        <v>1</v>
      </c>
      <c r="Z1193">
        <f t="shared" si="56"/>
        <v>0</v>
      </c>
    </row>
    <row r="1194" spans="1:26" ht="15.75" customHeight="1" x14ac:dyDescent="0.2">
      <c r="A1194" s="2" t="s">
        <v>23</v>
      </c>
      <c r="B1194" s="2" t="s">
        <v>35</v>
      </c>
      <c r="C1194" s="2" t="s">
        <v>32</v>
      </c>
      <c r="D1194" s="2" t="s">
        <v>33</v>
      </c>
      <c r="E1194" s="2">
        <v>167</v>
      </c>
      <c r="F1194" s="2">
        <v>166.66666670000001</v>
      </c>
      <c r="G1194" s="2">
        <v>657.33333330000005</v>
      </c>
      <c r="H1194" s="2">
        <v>1611.666667</v>
      </c>
      <c r="I1194" s="2">
        <v>3011</v>
      </c>
      <c r="J1194" s="2">
        <v>1.57</v>
      </c>
      <c r="K1194" s="2">
        <v>6.2</v>
      </c>
      <c r="L1194" s="2">
        <v>11.57</v>
      </c>
      <c r="M1194" s="2">
        <v>15.71</v>
      </c>
      <c r="N1194" s="2">
        <v>1.56079481</v>
      </c>
      <c r="O1194" s="2">
        <v>1.242142165</v>
      </c>
      <c r="P1194" s="2">
        <v>1.6286047589999999</v>
      </c>
      <c r="Q1194" s="2">
        <v>1.718599773</v>
      </c>
      <c r="R1194" s="2">
        <v>1.61487713</v>
      </c>
      <c r="S1194" s="2">
        <v>1.71347538</v>
      </c>
      <c r="T1194" s="2">
        <v>0.211010221</v>
      </c>
      <c r="U1194" s="2">
        <v>0.132617126</v>
      </c>
      <c r="V1194" s="2">
        <v>3.2001349389999998</v>
      </c>
      <c r="W1194" s="2">
        <v>4.1175427000000001E-2</v>
      </c>
      <c r="X1194">
        <f t="shared" si="54"/>
        <v>0</v>
      </c>
      <c r="Y1194">
        <f t="shared" si="55"/>
        <v>1</v>
      </c>
      <c r="Z1194">
        <f t="shared" si="56"/>
        <v>1</v>
      </c>
    </row>
    <row r="1195" spans="1:26" ht="15.75" customHeight="1" x14ac:dyDescent="0.2">
      <c r="A1195" s="2" t="s">
        <v>23</v>
      </c>
      <c r="B1195" s="2" t="s">
        <v>35</v>
      </c>
      <c r="C1195" s="2" t="s">
        <v>28</v>
      </c>
      <c r="D1195" s="2" t="s">
        <v>29</v>
      </c>
      <c r="E1195" s="2">
        <v>133</v>
      </c>
      <c r="F1195" s="2">
        <v>214.33333329999999</v>
      </c>
      <c r="G1195" s="2">
        <v>278.66666670000001</v>
      </c>
      <c r="H1195" s="2">
        <v>1177.666667</v>
      </c>
      <c r="I1195" s="2">
        <v>2128.666667</v>
      </c>
      <c r="J1195" s="2">
        <v>2.11</v>
      </c>
      <c r="K1195" s="2">
        <v>2.81</v>
      </c>
      <c r="L1195" s="2">
        <v>9.5299999999999994</v>
      </c>
      <c r="M1195" s="2">
        <v>13.43</v>
      </c>
      <c r="N1195" s="2">
        <v>1.7262326699999999</v>
      </c>
      <c r="O1195" s="2">
        <v>1.6065520639999999</v>
      </c>
      <c r="P1195" s="2">
        <v>2.549347595</v>
      </c>
      <c r="Q1195" s="2">
        <v>2.5396447310000001</v>
      </c>
      <c r="R1195" s="2">
        <v>1.7810744780000001</v>
      </c>
      <c r="S1195" s="2">
        <v>1.6824762289999999</v>
      </c>
      <c r="T1195" s="2">
        <v>1.8239920119999999</v>
      </c>
      <c r="U1195" s="2">
        <v>1.902385107</v>
      </c>
      <c r="V1195" s="2">
        <v>-0.195816669</v>
      </c>
      <c r="W1195" s="2">
        <v>4.5819247E-2</v>
      </c>
      <c r="X1195">
        <f t="shared" si="54"/>
        <v>0</v>
      </c>
      <c r="Y1195">
        <f t="shared" si="55"/>
        <v>1</v>
      </c>
      <c r="Z1195">
        <f t="shared" si="56"/>
        <v>1</v>
      </c>
    </row>
    <row r="1196" spans="1:26" ht="15.75" customHeight="1" x14ac:dyDescent="0.2">
      <c r="A1196" s="2" t="s">
        <v>23</v>
      </c>
      <c r="B1196" s="2" t="s">
        <v>35</v>
      </c>
      <c r="C1196" s="2" t="s">
        <v>27</v>
      </c>
      <c r="D1196" s="2" t="s">
        <v>27</v>
      </c>
      <c r="E1196" s="2">
        <v>110</v>
      </c>
      <c r="F1196" s="2">
        <v>199</v>
      </c>
      <c r="G1196" s="2">
        <v>335</v>
      </c>
      <c r="H1196" s="2">
        <v>2611.333333</v>
      </c>
      <c r="I1196" s="2">
        <v>3144.333333</v>
      </c>
      <c r="J1196" s="2">
        <v>1.94</v>
      </c>
      <c r="K1196" s="2">
        <v>3.38</v>
      </c>
      <c r="L1196" s="2">
        <v>14.78</v>
      </c>
      <c r="M1196" s="2">
        <v>15.99</v>
      </c>
      <c r="N1196" s="2">
        <v>0.84683056499999998</v>
      </c>
      <c r="O1196" s="2">
        <v>0.74120582099999999</v>
      </c>
      <c r="P1196" s="2">
        <v>3.633904019</v>
      </c>
      <c r="Q1196" s="2">
        <v>3.527889815</v>
      </c>
      <c r="R1196" s="2">
        <v>1.2049103539999999</v>
      </c>
      <c r="S1196" s="2">
        <v>1.106312105</v>
      </c>
      <c r="T1196" s="2">
        <v>3.4283304179999998</v>
      </c>
      <c r="U1196" s="2">
        <v>3.3499373239999999</v>
      </c>
      <c r="V1196" s="2">
        <v>0.380347455</v>
      </c>
      <c r="W1196" s="2">
        <v>6.1748033000000001E-2</v>
      </c>
      <c r="X1196">
        <f t="shared" si="54"/>
        <v>0</v>
      </c>
      <c r="Y1196">
        <f t="shared" si="55"/>
        <v>1</v>
      </c>
      <c r="Z1196">
        <f t="shared" si="56"/>
        <v>0</v>
      </c>
    </row>
    <row r="1197" spans="1:26" ht="15.75" customHeight="1" x14ac:dyDescent="0.2">
      <c r="A1197" s="2" t="s">
        <v>23</v>
      </c>
      <c r="B1197" s="2" t="s">
        <v>35</v>
      </c>
      <c r="C1197" s="2" t="s">
        <v>26</v>
      </c>
      <c r="D1197" s="2" t="s">
        <v>26</v>
      </c>
      <c r="E1197" s="2">
        <v>132</v>
      </c>
      <c r="F1197" s="2">
        <v>197.33333329999999</v>
      </c>
      <c r="G1197" s="2">
        <v>333.33333329999999</v>
      </c>
      <c r="H1197" s="2">
        <v>876</v>
      </c>
      <c r="I1197" s="2">
        <v>2786.333333</v>
      </c>
      <c r="J1197" s="2">
        <v>1.92</v>
      </c>
      <c r="K1197" s="2">
        <v>3.37</v>
      </c>
      <c r="L1197" s="2">
        <v>7.75</v>
      </c>
      <c r="M1197" s="2">
        <v>15.21</v>
      </c>
      <c r="N1197" s="2">
        <v>0.42340388699999998</v>
      </c>
      <c r="O1197" s="2">
        <v>0.69565365999999995</v>
      </c>
      <c r="P1197" s="2">
        <v>3.8067316959999999</v>
      </c>
      <c r="Q1197" s="2">
        <v>3.8511643979999999</v>
      </c>
      <c r="R1197" s="2">
        <v>1.221550294</v>
      </c>
      <c r="S1197" s="2">
        <v>1.1229520449999999</v>
      </c>
      <c r="T1197" s="2">
        <v>3.6054155219999999</v>
      </c>
      <c r="U1197" s="2">
        <v>3.6838086159999999</v>
      </c>
      <c r="V1197" s="2">
        <v>0.36370751499999998</v>
      </c>
      <c r="W1197" s="2">
        <v>0.118998431</v>
      </c>
      <c r="X1197">
        <f t="shared" si="54"/>
        <v>0</v>
      </c>
      <c r="Y1197">
        <f t="shared" si="55"/>
        <v>1</v>
      </c>
      <c r="Z1197">
        <f t="shared" si="56"/>
        <v>0</v>
      </c>
    </row>
    <row r="1198" spans="1:26" ht="15.75" customHeight="1" x14ac:dyDescent="0.2">
      <c r="A1198" s="2" t="s">
        <v>23</v>
      </c>
      <c r="B1198" s="2" t="s">
        <v>35</v>
      </c>
      <c r="C1198" s="2" t="s">
        <v>27</v>
      </c>
      <c r="D1198" s="2" t="s">
        <v>27</v>
      </c>
      <c r="E1198" s="2">
        <v>98</v>
      </c>
      <c r="F1198" s="2">
        <v>202</v>
      </c>
      <c r="G1198" s="2">
        <v>385.33333329999999</v>
      </c>
      <c r="H1198" s="2">
        <v>2599.666667</v>
      </c>
      <c r="I1198" s="2">
        <v>3326.333333</v>
      </c>
      <c r="J1198" s="2">
        <v>1.97</v>
      </c>
      <c r="K1198" s="2">
        <v>3.87</v>
      </c>
      <c r="L1198" s="2">
        <v>14.76</v>
      </c>
      <c r="M1198" s="2">
        <v>16.34</v>
      </c>
      <c r="N1198" s="2">
        <v>0.51411949999999995</v>
      </c>
      <c r="O1198" s="2">
        <v>0.47313261099999998</v>
      </c>
      <c r="P1198" s="2">
        <v>3.4730053540000001</v>
      </c>
      <c r="Q1198" s="2">
        <v>3.3769845969999999</v>
      </c>
      <c r="R1198" s="2">
        <v>0.71352601400000004</v>
      </c>
      <c r="S1198" s="2">
        <v>0.61492776500000002</v>
      </c>
      <c r="T1198" s="2">
        <v>3.398918477</v>
      </c>
      <c r="U1198" s="2">
        <v>3.320525382</v>
      </c>
      <c r="V1198" s="2">
        <v>0.87173179499999998</v>
      </c>
      <c r="W1198" s="2">
        <v>7.6183504999999999E-2</v>
      </c>
      <c r="X1198">
        <f t="shared" si="54"/>
        <v>0</v>
      </c>
      <c r="Y1198">
        <f t="shared" si="55"/>
        <v>1</v>
      </c>
      <c r="Z1198">
        <f t="shared" si="56"/>
        <v>0</v>
      </c>
    </row>
    <row r="1199" spans="1:26" ht="15.75" customHeight="1" x14ac:dyDescent="0.2">
      <c r="A1199" s="2" t="s">
        <v>23</v>
      </c>
      <c r="B1199" s="2" t="s">
        <v>35</v>
      </c>
      <c r="C1199" s="2" t="s">
        <v>27</v>
      </c>
      <c r="D1199" s="2" t="s">
        <v>27</v>
      </c>
      <c r="E1199" s="2">
        <v>131</v>
      </c>
      <c r="F1199" s="2">
        <v>230.33333329999999</v>
      </c>
      <c r="G1199" s="2">
        <v>450.66666670000001</v>
      </c>
      <c r="H1199" s="2">
        <v>2502</v>
      </c>
      <c r="I1199" s="2">
        <v>3161.666667</v>
      </c>
      <c r="J1199" s="2">
        <v>2.29</v>
      </c>
      <c r="K1199" s="2">
        <v>4.4800000000000004</v>
      </c>
      <c r="L1199" s="2">
        <v>14.5</v>
      </c>
      <c r="M1199" s="2">
        <v>16.02</v>
      </c>
      <c r="N1199" s="2">
        <v>0.47907669899999999</v>
      </c>
      <c r="O1199" s="2">
        <v>0.59206228299999997</v>
      </c>
      <c r="P1199" s="2">
        <v>3.1484605299999999</v>
      </c>
      <c r="Q1199" s="2">
        <v>3.0682819189999999</v>
      </c>
      <c r="R1199" s="2">
        <v>0.10630616</v>
      </c>
      <c r="S1199" s="2">
        <v>7.7079109999999996E-3</v>
      </c>
      <c r="T1199" s="2">
        <v>3.146665332</v>
      </c>
      <c r="U1199" s="2">
        <v>3.068272237</v>
      </c>
      <c r="V1199" s="2">
        <v>1.4789516490000001</v>
      </c>
      <c r="W1199" s="2">
        <v>7.3820048999999999E-2</v>
      </c>
      <c r="X1199">
        <f t="shared" si="54"/>
        <v>0</v>
      </c>
      <c r="Y1199">
        <f t="shared" si="55"/>
        <v>1</v>
      </c>
      <c r="Z1199">
        <f t="shared" si="56"/>
        <v>0</v>
      </c>
    </row>
    <row r="1200" spans="1:26" ht="15.75" customHeight="1" x14ac:dyDescent="0.2">
      <c r="A1200" s="2" t="s">
        <v>23</v>
      </c>
      <c r="B1200" s="2" t="s">
        <v>35</v>
      </c>
      <c r="C1200" s="2" t="s">
        <v>32</v>
      </c>
      <c r="D1200" s="2" t="s">
        <v>33</v>
      </c>
      <c r="E1200" s="2">
        <v>113</v>
      </c>
      <c r="F1200" s="2">
        <v>181</v>
      </c>
      <c r="G1200" s="2">
        <v>533.66666669999995</v>
      </c>
      <c r="H1200" s="2">
        <v>1272.333333</v>
      </c>
      <c r="I1200" s="2">
        <v>2517.666667</v>
      </c>
      <c r="J1200" s="2">
        <v>1.74</v>
      </c>
      <c r="K1200" s="2">
        <v>5.21</v>
      </c>
      <c r="L1200" s="2">
        <v>10.02</v>
      </c>
      <c r="M1200" s="2">
        <v>14.54</v>
      </c>
      <c r="N1200" s="2">
        <v>3.1579480439999998</v>
      </c>
      <c r="O1200" s="2">
        <v>2.8803066190000002</v>
      </c>
      <c r="P1200" s="2">
        <v>1.470263683</v>
      </c>
      <c r="Q1200" s="2">
        <v>1.583895965</v>
      </c>
      <c r="R1200" s="2">
        <v>0.61922390699999996</v>
      </c>
      <c r="S1200" s="2">
        <v>0.71782215599999999</v>
      </c>
      <c r="T1200" s="2">
        <v>1.3335055490000001</v>
      </c>
      <c r="U1200" s="2">
        <v>1.4118986440000001</v>
      </c>
      <c r="V1200" s="2">
        <v>2.2044817160000001</v>
      </c>
      <c r="W1200" s="2">
        <v>8.6990379000000007E-2</v>
      </c>
      <c r="X1200">
        <f t="shared" si="54"/>
        <v>0</v>
      </c>
      <c r="Y1200">
        <f t="shared" si="55"/>
        <v>1</v>
      </c>
      <c r="Z1200">
        <f t="shared" si="56"/>
        <v>1</v>
      </c>
    </row>
    <row r="1201" spans="1:26" ht="15.75" customHeight="1" x14ac:dyDescent="0.2">
      <c r="A1201" s="2" t="s">
        <v>23</v>
      </c>
      <c r="B1201" s="2" t="s">
        <v>35</v>
      </c>
      <c r="C1201" s="2" t="s">
        <v>28</v>
      </c>
      <c r="D1201" s="2" t="s">
        <v>29</v>
      </c>
      <c r="E1201" s="2">
        <v>143</v>
      </c>
      <c r="F1201" s="2">
        <v>190</v>
      </c>
      <c r="G1201" s="2">
        <v>351</v>
      </c>
      <c r="H1201" s="2">
        <v>1513</v>
      </c>
      <c r="I1201" s="2">
        <v>2247.666667</v>
      </c>
      <c r="J1201" s="2">
        <v>1.84</v>
      </c>
      <c r="K1201" s="2">
        <v>3.54</v>
      </c>
      <c r="L1201" s="2">
        <v>11.15</v>
      </c>
      <c r="M1201" s="2">
        <v>13.79</v>
      </c>
      <c r="N1201" s="2">
        <v>3.1117787460000002</v>
      </c>
      <c r="O1201" s="2">
        <v>2.8804238739999999</v>
      </c>
      <c r="P1201" s="2">
        <v>1.0666589980000001</v>
      </c>
      <c r="Q1201" s="2">
        <v>0.98981475900000004</v>
      </c>
      <c r="R1201" s="2">
        <v>1.0463881020000001</v>
      </c>
      <c r="S1201" s="2">
        <v>0.94778985299999996</v>
      </c>
      <c r="T1201" s="2">
        <v>0.20696221000000001</v>
      </c>
      <c r="U1201" s="2">
        <v>0.285355305</v>
      </c>
      <c r="V1201" s="2">
        <v>0.53886970700000003</v>
      </c>
      <c r="W1201" s="2">
        <v>8.6630262E-2</v>
      </c>
      <c r="X1201">
        <f t="shared" si="54"/>
        <v>0</v>
      </c>
      <c r="Y1201">
        <f t="shared" si="55"/>
        <v>1</v>
      </c>
      <c r="Z1201">
        <f t="shared" si="56"/>
        <v>1</v>
      </c>
    </row>
    <row r="1202" spans="1:26" ht="15.75" customHeight="1" x14ac:dyDescent="0.2">
      <c r="A1202" s="2" t="s">
        <v>23</v>
      </c>
      <c r="B1202" s="2" t="s">
        <v>35</v>
      </c>
      <c r="C1202" s="2" t="s">
        <v>26</v>
      </c>
      <c r="D1202" s="2" t="s">
        <v>26</v>
      </c>
      <c r="E1202" s="2">
        <v>111</v>
      </c>
      <c r="F1202" s="2">
        <v>171</v>
      </c>
      <c r="G1202" s="2">
        <v>331.66666670000001</v>
      </c>
      <c r="H1202" s="2">
        <v>1111.333333</v>
      </c>
      <c r="I1202" s="2">
        <v>2788</v>
      </c>
      <c r="J1202" s="2">
        <v>1.62</v>
      </c>
      <c r="K1202" s="2">
        <v>3.35</v>
      </c>
      <c r="L1202" s="2">
        <v>9.17</v>
      </c>
      <c r="M1202" s="2">
        <v>15.21</v>
      </c>
      <c r="N1202" s="2">
        <v>1.176133879</v>
      </c>
      <c r="O1202" s="2">
        <v>1.0033726599999999</v>
      </c>
      <c r="P1202" s="2">
        <v>2.5120576140000002</v>
      </c>
      <c r="Q1202" s="2">
        <v>2.5347220039999998</v>
      </c>
      <c r="R1202" s="2">
        <v>1.238214438</v>
      </c>
      <c r="S1202" s="2">
        <v>1.1396161890000001</v>
      </c>
      <c r="T1202" s="2">
        <v>2.185694045</v>
      </c>
      <c r="U1202" s="2">
        <v>2.26408714</v>
      </c>
      <c r="V1202" s="2">
        <v>0.34704337099999999</v>
      </c>
      <c r="W1202" s="2">
        <v>6.7159194000000005E-2</v>
      </c>
      <c r="X1202">
        <f t="shared" si="54"/>
        <v>0</v>
      </c>
      <c r="Y1202">
        <f t="shared" si="55"/>
        <v>1</v>
      </c>
      <c r="Z1202">
        <f t="shared" si="56"/>
        <v>0</v>
      </c>
    </row>
    <row r="1203" spans="1:26" ht="15.75" customHeight="1" x14ac:dyDescent="0.2">
      <c r="A1203" s="2" t="s">
        <v>23</v>
      </c>
      <c r="B1203" s="2" t="s">
        <v>35</v>
      </c>
      <c r="C1203" s="2" t="s">
        <v>30</v>
      </c>
      <c r="D1203" s="2" t="s">
        <v>31</v>
      </c>
      <c r="E1203" s="2">
        <v>135</v>
      </c>
      <c r="F1203" s="2">
        <v>256.66666670000001</v>
      </c>
      <c r="G1203" s="2">
        <v>544.33333330000005</v>
      </c>
      <c r="H1203" s="2">
        <v>1178.333333</v>
      </c>
      <c r="I1203" s="2">
        <v>2091.666667</v>
      </c>
      <c r="J1203" s="2">
        <v>2.57</v>
      </c>
      <c r="K1203" s="2">
        <v>5.3</v>
      </c>
      <c r="L1203" s="2">
        <v>9.5399999999999991</v>
      </c>
      <c r="M1203" s="2">
        <v>13.31</v>
      </c>
      <c r="N1203" s="2">
        <v>4.8986183069999996</v>
      </c>
      <c r="O1203" s="2">
        <v>4.9421292499999998</v>
      </c>
      <c r="P1203" s="2">
        <v>1.95361981</v>
      </c>
      <c r="Q1203" s="2">
        <v>2.063425375</v>
      </c>
      <c r="R1203" s="2">
        <v>0.70897734099999998</v>
      </c>
      <c r="S1203" s="2">
        <v>0.80757559099999998</v>
      </c>
      <c r="T1203" s="2">
        <v>1.8204344240000001</v>
      </c>
      <c r="U1203" s="2">
        <v>1.898827518</v>
      </c>
      <c r="V1203" s="2">
        <v>2.29423515</v>
      </c>
      <c r="W1203" s="2">
        <v>6.3746550999999999E-2</v>
      </c>
      <c r="X1203">
        <f t="shared" si="54"/>
        <v>0</v>
      </c>
      <c r="Y1203">
        <f t="shared" si="55"/>
        <v>1</v>
      </c>
      <c r="Z1203">
        <f t="shared" si="56"/>
        <v>1</v>
      </c>
    </row>
    <row r="1204" spans="1:26" ht="15.75" customHeight="1" x14ac:dyDescent="0.2">
      <c r="A1204" s="2" t="s">
        <v>23</v>
      </c>
      <c r="B1204" s="2" t="s">
        <v>35</v>
      </c>
      <c r="C1204" s="2" t="s">
        <v>27</v>
      </c>
      <c r="D1204" s="2" t="s">
        <v>27</v>
      </c>
      <c r="E1204" s="2">
        <v>90</v>
      </c>
      <c r="F1204" s="2">
        <v>193</v>
      </c>
      <c r="G1204" s="2">
        <v>398</v>
      </c>
      <c r="H1204" s="2">
        <v>2617.666667</v>
      </c>
      <c r="I1204" s="2">
        <v>3293</v>
      </c>
      <c r="J1204" s="2">
        <v>1.87</v>
      </c>
      <c r="K1204" s="2">
        <v>4</v>
      </c>
      <c r="L1204" s="2">
        <v>14.8</v>
      </c>
      <c r="M1204" s="2">
        <v>16.28</v>
      </c>
      <c r="N1204" s="2">
        <v>0.52883923899999996</v>
      </c>
      <c r="O1204" s="2">
        <v>0.51899360800000005</v>
      </c>
      <c r="P1204" s="2">
        <v>3.4949391439999999</v>
      </c>
      <c r="Q1204" s="2">
        <v>3.401982844</v>
      </c>
      <c r="R1204" s="2">
        <v>0.593170262</v>
      </c>
      <c r="S1204" s="2">
        <v>0.49457201299999998</v>
      </c>
      <c r="T1204" s="2">
        <v>3.4442341179999998</v>
      </c>
      <c r="U1204" s="2">
        <v>3.3658410239999998</v>
      </c>
      <c r="V1204" s="2">
        <v>0.99208754700000001</v>
      </c>
      <c r="W1204" s="2">
        <v>3.7970222999999997E-2</v>
      </c>
      <c r="X1204">
        <f t="shared" si="54"/>
        <v>0</v>
      </c>
      <c r="Y1204">
        <f t="shared" si="55"/>
        <v>1</v>
      </c>
      <c r="Z1204">
        <f t="shared" si="56"/>
        <v>0</v>
      </c>
    </row>
    <row r="1205" spans="1:26" ht="15.75" customHeight="1" x14ac:dyDescent="0.2">
      <c r="A1205" s="2" t="s">
        <v>23</v>
      </c>
      <c r="B1205" s="2" t="s">
        <v>35</v>
      </c>
      <c r="C1205" s="2" t="s">
        <v>30</v>
      </c>
      <c r="D1205" s="2" t="s">
        <v>31</v>
      </c>
      <c r="E1205" s="2">
        <v>151</v>
      </c>
      <c r="F1205" s="2">
        <v>228</v>
      </c>
      <c r="G1205" s="2">
        <v>513.66666669999995</v>
      </c>
      <c r="H1205" s="2">
        <v>1236</v>
      </c>
      <c r="I1205" s="2">
        <v>2466.666667</v>
      </c>
      <c r="J1205" s="2">
        <v>2.2599999999999998</v>
      </c>
      <c r="K1205" s="2">
        <v>5.04</v>
      </c>
      <c r="L1205" s="2">
        <v>9.84</v>
      </c>
      <c r="M1205" s="2">
        <v>14.41</v>
      </c>
      <c r="N1205" s="2">
        <v>4.5439926359999996</v>
      </c>
      <c r="O1205" s="2">
        <v>4.5829119580000004</v>
      </c>
      <c r="P1205" s="2">
        <v>1.583275387</v>
      </c>
      <c r="Q1205" s="2">
        <v>1.687954749</v>
      </c>
      <c r="R1205" s="2">
        <v>0.44884991299999999</v>
      </c>
      <c r="S1205" s="2">
        <v>0.54744816299999999</v>
      </c>
      <c r="T1205" s="2">
        <v>1.518319698</v>
      </c>
      <c r="U1205" s="2">
        <v>1.596712793</v>
      </c>
      <c r="V1205" s="2">
        <v>2.0341077219999999</v>
      </c>
      <c r="W1205" s="2">
        <v>8.2964708999999998E-2</v>
      </c>
      <c r="X1205">
        <f t="shared" si="54"/>
        <v>0</v>
      </c>
      <c r="Y1205">
        <f t="shared" si="55"/>
        <v>1</v>
      </c>
      <c r="Z1205">
        <f t="shared" si="56"/>
        <v>1</v>
      </c>
    </row>
    <row r="1206" spans="1:26" ht="15.75" customHeight="1" x14ac:dyDescent="0.2">
      <c r="A1206" s="2" t="s">
        <v>23</v>
      </c>
      <c r="B1206" s="2" t="s">
        <v>35</v>
      </c>
      <c r="C1206" s="2" t="s">
        <v>26</v>
      </c>
      <c r="D1206" s="2" t="s">
        <v>26</v>
      </c>
      <c r="E1206" s="2">
        <v>104</v>
      </c>
      <c r="F1206" s="2">
        <v>208.66666670000001</v>
      </c>
      <c r="G1206" s="2">
        <v>375.66666670000001</v>
      </c>
      <c r="H1206" s="2">
        <v>941.33333330000005</v>
      </c>
      <c r="I1206" s="2">
        <v>2747</v>
      </c>
      <c r="J1206" s="2">
        <v>2.0499999999999998</v>
      </c>
      <c r="K1206" s="2">
        <v>3.78</v>
      </c>
      <c r="L1206" s="2">
        <v>8.17</v>
      </c>
      <c r="M1206" s="2">
        <v>15.12</v>
      </c>
      <c r="N1206" s="2">
        <v>0.166192429</v>
      </c>
      <c r="O1206" s="2">
        <v>0.11883223599999999</v>
      </c>
      <c r="P1206" s="2">
        <v>3.2885441489999998</v>
      </c>
      <c r="Q1206" s="2">
        <v>3.342343686</v>
      </c>
      <c r="R1206" s="2">
        <v>0.80625471800000004</v>
      </c>
      <c r="S1206" s="2">
        <v>0.70765646900000001</v>
      </c>
      <c r="T1206" s="2">
        <v>3.1881775280000002</v>
      </c>
      <c r="U1206" s="2">
        <v>3.2665706229999998</v>
      </c>
      <c r="V1206" s="2">
        <v>0.77900309099999998</v>
      </c>
      <c r="W1206" s="2">
        <v>9.4766740000000002E-2</v>
      </c>
      <c r="X1206">
        <f t="shared" si="54"/>
        <v>0</v>
      </c>
      <c r="Y1206">
        <f t="shared" si="55"/>
        <v>1</v>
      </c>
      <c r="Z1206">
        <f t="shared" si="56"/>
        <v>0</v>
      </c>
    </row>
    <row r="1207" spans="1:26" ht="15.75" customHeight="1" x14ac:dyDescent="0.2">
      <c r="A1207" s="2" t="s">
        <v>23</v>
      </c>
      <c r="B1207" s="2" t="s">
        <v>35</v>
      </c>
      <c r="C1207" s="2" t="s">
        <v>26</v>
      </c>
      <c r="D1207" s="2" t="s">
        <v>26</v>
      </c>
      <c r="E1207" s="2">
        <v>105</v>
      </c>
      <c r="F1207" s="2">
        <v>199</v>
      </c>
      <c r="G1207" s="2">
        <v>339.66666670000001</v>
      </c>
      <c r="H1207" s="2">
        <v>873</v>
      </c>
      <c r="I1207" s="2">
        <v>2802</v>
      </c>
      <c r="J1207" s="2">
        <v>1.94</v>
      </c>
      <c r="K1207" s="2">
        <v>3.43</v>
      </c>
      <c r="L1207" s="2">
        <v>7.73</v>
      </c>
      <c r="M1207" s="2">
        <v>15.25</v>
      </c>
      <c r="N1207" s="2">
        <v>0.39498436599999998</v>
      </c>
      <c r="O1207" s="2">
        <v>0.67263578499999999</v>
      </c>
      <c r="P1207" s="2">
        <v>3.8056390950000001</v>
      </c>
      <c r="Q1207" s="2">
        <v>3.85209943</v>
      </c>
      <c r="R1207" s="2">
        <v>1.158446836</v>
      </c>
      <c r="S1207" s="2">
        <v>1.0598485870000001</v>
      </c>
      <c r="T1207" s="2">
        <v>3.6250365310000001</v>
      </c>
      <c r="U1207" s="2">
        <v>3.7034296250000001</v>
      </c>
      <c r="V1207" s="2">
        <v>0.42681097200000001</v>
      </c>
      <c r="W1207" s="2">
        <v>5.6286841999999997E-2</v>
      </c>
      <c r="X1207">
        <f t="shared" si="54"/>
        <v>0</v>
      </c>
      <c r="Y1207">
        <f t="shared" si="55"/>
        <v>1</v>
      </c>
      <c r="Z1207">
        <f t="shared" si="56"/>
        <v>0</v>
      </c>
    </row>
    <row r="1208" spans="1:26" ht="15.75" customHeight="1" x14ac:dyDescent="0.2">
      <c r="A1208" s="2" t="s">
        <v>23</v>
      </c>
      <c r="B1208" s="2" t="s">
        <v>35</v>
      </c>
      <c r="C1208" s="2" t="s">
        <v>26</v>
      </c>
      <c r="D1208" s="2" t="s">
        <v>26</v>
      </c>
      <c r="E1208" s="2">
        <v>149</v>
      </c>
      <c r="F1208" s="2">
        <v>259.33333329999999</v>
      </c>
      <c r="G1208" s="2">
        <v>452.33333329999999</v>
      </c>
      <c r="H1208" s="2">
        <v>775.33333330000005</v>
      </c>
      <c r="I1208" s="2">
        <v>2974.333333</v>
      </c>
      <c r="J1208" s="2">
        <v>2.6</v>
      </c>
      <c r="K1208" s="2">
        <v>4.5</v>
      </c>
      <c r="L1208" s="2">
        <v>7.07</v>
      </c>
      <c r="M1208" s="2">
        <v>15.63</v>
      </c>
      <c r="N1208" s="2">
        <v>1.2721608929999999</v>
      </c>
      <c r="O1208" s="2">
        <v>1.391100622</v>
      </c>
      <c r="P1208" s="2">
        <v>4.2882885929999999</v>
      </c>
      <c r="Q1208" s="2">
        <v>4.3657170030000003</v>
      </c>
      <c r="R1208" s="2">
        <v>9.1246084000000005E-2</v>
      </c>
      <c r="S1208" s="2">
        <v>7.3521649999999999E-3</v>
      </c>
      <c r="T1208" s="2">
        <v>4.2873177179999997</v>
      </c>
      <c r="U1208" s="2">
        <v>4.3657108129999997</v>
      </c>
      <c r="V1208" s="2">
        <v>1.494011725</v>
      </c>
      <c r="W1208" s="2">
        <v>8.4317473000000004E-2</v>
      </c>
      <c r="X1208">
        <f t="shared" si="54"/>
        <v>0</v>
      </c>
      <c r="Y1208">
        <f t="shared" si="55"/>
        <v>1</v>
      </c>
      <c r="Z1208">
        <f t="shared" si="56"/>
        <v>0</v>
      </c>
    </row>
    <row r="1209" spans="1:26" ht="15.75" customHeight="1" x14ac:dyDescent="0.2">
      <c r="A1209" s="2" t="s">
        <v>23</v>
      </c>
      <c r="B1209" s="2" t="s">
        <v>35</v>
      </c>
      <c r="C1209" s="2" t="s">
        <v>25</v>
      </c>
      <c r="D1209" s="2" t="s">
        <v>25</v>
      </c>
      <c r="E1209" s="2">
        <v>220</v>
      </c>
      <c r="F1209" s="2">
        <v>149.66666670000001</v>
      </c>
      <c r="G1209" s="2">
        <v>843.33333330000005</v>
      </c>
      <c r="H1209" s="2">
        <v>1674</v>
      </c>
      <c r="I1209" s="2">
        <v>2760</v>
      </c>
      <c r="J1209" s="2">
        <v>1.37</v>
      </c>
      <c r="K1209" s="2">
        <v>7.54</v>
      </c>
      <c r="L1209" s="2">
        <v>11.82</v>
      </c>
      <c r="M1209" s="2">
        <v>15.15</v>
      </c>
      <c r="N1209" s="2">
        <v>0.21823938600000001</v>
      </c>
      <c r="O1209" s="2">
        <v>0.14764069699999999</v>
      </c>
      <c r="P1209" s="2">
        <v>2.9831691440000001</v>
      </c>
      <c r="Q1209" s="2">
        <v>3.069795783</v>
      </c>
      <c r="R1209" s="2">
        <v>2.9469624809999999</v>
      </c>
      <c r="S1209" s="2">
        <v>3.04556073</v>
      </c>
      <c r="T1209" s="2">
        <v>0.46336840499999998</v>
      </c>
      <c r="U1209" s="2">
        <v>0.38497531000000001</v>
      </c>
      <c r="V1209" s="2">
        <v>4.5322202899999997</v>
      </c>
      <c r="W1209" s="2">
        <v>6.2807104000000002E-2</v>
      </c>
      <c r="X1209">
        <f t="shared" si="54"/>
        <v>0</v>
      </c>
      <c r="Y1209">
        <f t="shared" si="55"/>
        <v>1</v>
      </c>
      <c r="Z1209">
        <f t="shared" si="56"/>
        <v>0</v>
      </c>
    </row>
    <row r="1210" spans="1:26" ht="15.75" customHeight="1" x14ac:dyDescent="0.2">
      <c r="A1210" s="2" t="s">
        <v>23</v>
      </c>
      <c r="B1210" s="2" t="s">
        <v>35</v>
      </c>
      <c r="C1210" s="2" t="s">
        <v>25</v>
      </c>
      <c r="D1210" s="2" t="s">
        <v>25</v>
      </c>
      <c r="E1210" s="2">
        <v>110</v>
      </c>
      <c r="F1210" s="2">
        <v>194.33333329999999</v>
      </c>
      <c r="G1210" s="2">
        <v>839.33333330000005</v>
      </c>
      <c r="H1210" s="2">
        <v>1827.666667</v>
      </c>
      <c r="I1210" s="2">
        <v>3002.666667</v>
      </c>
      <c r="J1210" s="2">
        <v>1.89</v>
      </c>
      <c r="K1210" s="2">
        <v>7.51</v>
      </c>
      <c r="L1210" s="2">
        <v>12.41</v>
      </c>
      <c r="M1210" s="2">
        <v>15.69</v>
      </c>
      <c r="N1210" s="2">
        <v>0.51532029000000001</v>
      </c>
      <c r="O1210" s="2">
        <v>0.53029388300000002</v>
      </c>
      <c r="P1210" s="2">
        <v>3.1032191419999999</v>
      </c>
      <c r="Q1210" s="2">
        <v>3.1712863790000001</v>
      </c>
      <c r="R1210" s="2">
        <v>2.9201779829999999</v>
      </c>
      <c r="S1210" s="2">
        <v>3.018776232</v>
      </c>
      <c r="T1210" s="2">
        <v>1.050014091</v>
      </c>
      <c r="U1210" s="2">
        <v>0.97162099599999996</v>
      </c>
      <c r="V1210" s="2">
        <v>4.5054357920000001</v>
      </c>
      <c r="W1210" s="2">
        <v>4.8630449999999999E-2</v>
      </c>
      <c r="X1210">
        <f t="shared" si="54"/>
        <v>0</v>
      </c>
      <c r="Y1210">
        <f t="shared" si="55"/>
        <v>1</v>
      </c>
      <c r="Z1210">
        <f t="shared" si="56"/>
        <v>0</v>
      </c>
    </row>
    <row r="1211" spans="1:26" ht="15.75" customHeight="1" x14ac:dyDescent="0.2">
      <c r="A1211" s="2" t="s">
        <v>23</v>
      </c>
      <c r="B1211" s="2" t="s">
        <v>35</v>
      </c>
      <c r="C1211" s="2" t="s">
        <v>25</v>
      </c>
      <c r="D1211" s="2" t="s">
        <v>25</v>
      </c>
      <c r="E1211" s="2">
        <v>184</v>
      </c>
      <c r="F1211" s="2">
        <v>173</v>
      </c>
      <c r="G1211" s="2">
        <v>907.66666669999995</v>
      </c>
      <c r="H1211" s="2">
        <v>1895.333333</v>
      </c>
      <c r="I1211" s="2">
        <v>2931</v>
      </c>
      <c r="J1211" s="2">
        <v>1.64</v>
      </c>
      <c r="K1211" s="2">
        <v>7.96</v>
      </c>
      <c r="L1211" s="2">
        <v>12.65</v>
      </c>
      <c r="M1211" s="2">
        <v>15.54</v>
      </c>
      <c r="N1211" s="2">
        <v>0.75155740800000004</v>
      </c>
      <c r="O1211" s="2">
        <v>0.94209784200000002</v>
      </c>
      <c r="P1211" s="2">
        <v>3.607367794</v>
      </c>
      <c r="Q1211" s="2">
        <v>3.6729035269999999</v>
      </c>
      <c r="R1211" s="2">
        <v>3.3674813910000001</v>
      </c>
      <c r="S1211" s="2">
        <v>3.4660796409999999</v>
      </c>
      <c r="T1211" s="2">
        <v>1.293511297</v>
      </c>
      <c r="U1211" s="2">
        <v>1.2151182030000001</v>
      </c>
      <c r="V1211" s="2">
        <v>4.9527391999999999</v>
      </c>
      <c r="W1211" s="2">
        <v>5.2847892E-2</v>
      </c>
      <c r="X1211">
        <f t="shared" si="54"/>
        <v>0</v>
      </c>
      <c r="Y1211">
        <f t="shared" si="55"/>
        <v>1</v>
      </c>
      <c r="Z1211">
        <f t="shared" si="56"/>
        <v>0</v>
      </c>
    </row>
    <row r="1212" spans="1:26" ht="15.75" customHeight="1" x14ac:dyDescent="0.2">
      <c r="A1212" s="2" t="s">
        <v>23</v>
      </c>
      <c r="B1212" s="2" t="s">
        <v>35</v>
      </c>
      <c r="C1212" s="2" t="s">
        <v>28</v>
      </c>
      <c r="D1212" s="2" t="s">
        <v>29</v>
      </c>
      <c r="E1212" s="2">
        <v>127</v>
      </c>
      <c r="F1212" s="2">
        <v>229.33333329999999</v>
      </c>
      <c r="G1212" s="2">
        <v>397</v>
      </c>
      <c r="H1212" s="2">
        <v>1430</v>
      </c>
      <c r="I1212" s="2">
        <v>2241.666667</v>
      </c>
      <c r="J1212" s="2">
        <v>2.2799999999999998</v>
      </c>
      <c r="K1212" s="2">
        <v>3.99</v>
      </c>
      <c r="L1212" s="2">
        <v>10.78</v>
      </c>
      <c r="M1212" s="2">
        <v>13.77</v>
      </c>
      <c r="N1212" s="2">
        <v>2.7559465140000001</v>
      </c>
      <c r="O1212" s="2">
        <v>2.5026580329999999</v>
      </c>
      <c r="P1212" s="2">
        <v>0.83460091999999997</v>
      </c>
      <c r="Q1212" s="2">
        <v>0.82711552499999996</v>
      </c>
      <c r="R1212" s="2">
        <v>0.60262499999999997</v>
      </c>
      <c r="S1212" s="2">
        <v>0.50402675100000005</v>
      </c>
      <c r="T1212" s="2">
        <v>0.57740956399999999</v>
      </c>
      <c r="U1212" s="2">
        <v>0.65580265800000004</v>
      </c>
      <c r="V1212" s="2">
        <v>0.98263280900000005</v>
      </c>
      <c r="W1212" s="2">
        <v>7.0050296999999997E-2</v>
      </c>
      <c r="X1212">
        <f t="shared" si="54"/>
        <v>0</v>
      </c>
      <c r="Y1212">
        <f t="shared" si="55"/>
        <v>1</v>
      </c>
      <c r="Z1212">
        <f t="shared" si="56"/>
        <v>1</v>
      </c>
    </row>
    <row r="1213" spans="1:26" ht="15.75" customHeight="1" x14ac:dyDescent="0.2">
      <c r="A1213" s="2" t="s">
        <v>23</v>
      </c>
      <c r="B1213" s="2" t="s">
        <v>35</v>
      </c>
      <c r="C1213" s="2" t="s">
        <v>30</v>
      </c>
      <c r="D1213" s="2" t="s">
        <v>31</v>
      </c>
      <c r="E1213" s="2">
        <v>135</v>
      </c>
      <c r="F1213" s="2">
        <v>192</v>
      </c>
      <c r="G1213" s="2">
        <v>486.33333329999999</v>
      </c>
      <c r="H1213" s="2">
        <v>1246.333333</v>
      </c>
      <c r="I1213" s="2">
        <v>2229.333333</v>
      </c>
      <c r="J1213" s="2">
        <v>1.86</v>
      </c>
      <c r="K1213" s="2">
        <v>4.8</v>
      </c>
      <c r="L1213" s="2">
        <v>9.89</v>
      </c>
      <c r="M1213" s="2">
        <v>13.74</v>
      </c>
      <c r="N1213" s="2">
        <v>4.4466819749999997</v>
      </c>
      <c r="O1213" s="2">
        <v>4.4795046139999997</v>
      </c>
      <c r="P1213" s="2">
        <v>1.480516532</v>
      </c>
      <c r="Q1213" s="2">
        <v>1.574562531</v>
      </c>
      <c r="R1213" s="2">
        <v>0.21150022099999999</v>
      </c>
      <c r="S1213" s="2">
        <v>0.31009847000000001</v>
      </c>
      <c r="T1213" s="2">
        <v>1.465331655</v>
      </c>
      <c r="U1213" s="2">
        <v>1.54372475</v>
      </c>
      <c r="V1213" s="2">
        <v>1.7967580299999999</v>
      </c>
      <c r="W1213" s="2">
        <v>5.9865360999999999E-2</v>
      </c>
      <c r="X1213">
        <f t="shared" si="54"/>
        <v>0</v>
      </c>
      <c r="Y1213">
        <f t="shared" si="55"/>
        <v>1</v>
      </c>
      <c r="Z1213">
        <f t="shared" si="56"/>
        <v>1</v>
      </c>
    </row>
    <row r="1214" spans="1:26" ht="15.75" customHeight="1" x14ac:dyDescent="0.2">
      <c r="A1214" s="2" t="s">
        <v>23</v>
      </c>
      <c r="B1214" s="2" t="s">
        <v>35</v>
      </c>
      <c r="C1214" s="2" t="s">
        <v>32</v>
      </c>
      <c r="D1214" s="2" t="s">
        <v>33</v>
      </c>
      <c r="E1214" s="2">
        <v>142</v>
      </c>
      <c r="F1214" s="2">
        <v>176.33333329999999</v>
      </c>
      <c r="G1214" s="2">
        <v>623.33333330000005</v>
      </c>
      <c r="H1214" s="2">
        <v>1340.666667</v>
      </c>
      <c r="I1214" s="2">
        <v>2899.666667</v>
      </c>
      <c r="J1214" s="2">
        <v>1.68</v>
      </c>
      <c r="K1214" s="2">
        <v>5.94</v>
      </c>
      <c r="L1214" s="2">
        <v>10.36</v>
      </c>
      <c r="M1214" s="2">
        <v>15.47</v>
      </c>
      <c r="N1214" s="2">
        <v>2.3786371169999998</v>
      </c>
      <c r="O1214" s="2">
        <v>2.1159855909999998</v>
      </c>
      <c r="P1214" s="2">
        <v>1.6787266999999999</v>
      </c>
      <c r="Q1214" s="2">
        <v>1.804615957</v>
      </c>
      <c r="R1214" s="2">
        <v>1.350640928</v>
      </c>
      <c r="S1214" s="2">
        <v>1.449239178</v>
      </c>
      <c r="T1214" s="2">
        <v>0.99694153100000005</v>
      </c>
      <c r="U1214" s="2">
        <v>1.0753346260000001</v>
      </c>
      <c r="V1214" s="2">
        <v>2.935898737</v>
      </c>
      <c r="W1214" s="2">
        <v>0.10578053</v>
      </c>
      <c r="X1214">
        <f t="shared" si="54"/>
        <v>0</v>
      </c>
      <c r="Y1214">
        <f t="shared" si="55"/>
        <v>1</v>
      </c>
      <c r="Z1214">
        <f t="shared" si="56"/>
        <v>1</v>
      </c>
    </row>
    <row r="1215" spans="1:26" ht="15.75" customHeight="1" x14ac:dyDescent="0.2">
      <c r="A1215" s="2" t="s">
        <v>23</v>
      </c>
      <c r="B1215" s="2" t="s">
        <v>35</v>
      </c>
      <c r="C1215" s="2" t="s">
        <v>26</v>
      </c>
      <c r="D1215" s="2" t="s">
        <v>26</v>
      </c>
      <c r="E1215" s="2">
        <v>128</v>
      </c>
      <c r="F1215" s="2">
        <v>243.33333329999999</v>
      </c>
      <c r="G1215" s="2">
        <v>473</v>
      </c>
      <c r="H1215" s="2">
        <v>1032.333333</v>
      </c>
      <c r="I1215" s="2">
        <v>2970.666667</v>
      </c>
      <c r="J1215" s="2">
        <v>2.4300000000000002</v>
      </c>
      <c r="K1215" s="2">
        <v>4.68</v>
      </c>
      <c r="L1215" s="2">
        <v>8.7200000000000006</v>
      </c>
      <c r="M1215" s="2">
        <v>15.62</v>
      </c>
      <c r="N1215" s="2">
        <v>1.2137563979999999</v>
      </c>
      <c r="O1215" s="2">
        <v>0.970017821</v>
      </c>
      <c r="P1215" s="2">
        <v>2.6390536760000001</v>
      </c>
      <c r="Q1215" s="2">
        <v>2.722585392</v>
      </c>
      <c r="R1215" s="2">
        <v>9.3784659000000006E-2</v>
      </c>
      <c r="S1215" s="2">
        <v>0.19238290799999999</v>
      </c>
      <c r="T1215" s="2">
        <v>2.6373867259999999</v>
      </c>
      <c r="U1215" s="2">
        <v>2.7157798209999999</v>
      </c>
      <c r="V1215" s="2">
        <v>1.679042468</v>
      </c>
      <c r="W1215" s="2">
        <v>8.3750039999999998E-2</v>
      </c>
      <c r="X1215">
        <f t="shared" si="54"/>
        <v>0</v>
      </c>
      <c r="Y1215">
        <f t="shared" si="55"/>
        <v>1</v>
      </c>
      <c r="Z1215">
        <f t="shared" si="56"/>
        <v>0</v>
      </c>
    </row>
    <row r="1216" spans="1:26" ht="15.75" customHeight="1" x14ac:dyDescent="0.2">
      <c r="A1216" s="2" t="s">
        <v>23</v>
      </c>
      <c r="B1216" s="2" t="s">
        <v>35</v>
      </c>
      <c r="C1216" s="2" t="s">
        <v>32</v>
      </c>
      <c r="D1216" s="2" t="s">
        <v>33</v>
      </c>
      <c r="E1216" s="2">
        <v>145</v>
      </c>
      <c r="F1216" s="2">
        <v>218.66666670000001</v>
      </c>
      <c r="G1216" s="2">
        <v>446</v>
      </c>
      <c r="H1216" s="2">
        <v>1069</v>
      </c>
      <c r="I1216" s="2">
        <v>2308.666667</v>
      </c>
      <c r="J1216" s="2">
        <v>2.16</v>
      </c>
      <c r="K1216" s="2">
        <v>4.4400000000000004</v>
      </c>
      <c r="L1216" s="2">
        <v>8.93</v>
      </c>
      <c r="M1216" s="2">
        <v>13.97</v>
      </c>
      <c r="N1216" s="2">
        <v>4.4482928959999999</v>
      </c>
      <c r="O1216" s="2">
        <v>4.185298049</v>
      </c>
      <c r="P1216" s="2">
        <v>2.4293584899999998</v>
      </c>
      <c r="Q1216" s="2">
        <v>2.5037024620000001</v>
      </c>
      <c r="R1216" s="2">
        <v>0.14858537099999999</v>
      </c>
      <c r="S1216" s="2">
        <v>4.9987122000000002E-2</v>
      </c>
      <c r="T1216" s="2">
        <v>2.4248103140000001</v>
      </c>
      <c r="U1216" s="2">
        <v>2.5032034090000002</v>
      </c>
      <c r="V1216" s="2">
        <v>1.436672438</v>
      </c>
      <c r="W1216" s="2">
        <v>5.2619409999999998E-2</v>
      </c>
      <c r="X1216">
        <f t="shared" si="54"/>
        <v>0</v>
      </c>
      <c r="Y1216">
        <f t="shared" si="55"/>
        <v>1</v>
      </c>
      <c r="Z1216">
        <f t="shared" si="56"/>
        <v>1</v>
      </c>
    </row>
    <row r="1217" spans="1:26" ht="15.75" customHeight="1" x14ac:dyDescent="0.2">
      <c r="A1217" s="2" t="s">
        <v>23</v>
      </c>
      <c r="B1217" s="2" t="s">
        <v>35</v>
      </c>
      <c r="C1217" s="2" t="s">
        <v>28</v>
      </c>
      <c r="D1217" s="2" t="s">
        <v>29</v>
      </c>
      <c r="E1217" s="2">
        <v>120</v>
      </c>
      <c r="F1217" s="2">
        <v>190.33333329999999</v>
      </c>
      <c r="G1217" s="2">
        <v>381</v>
      </c>
      <c r="H1217" s="2">
        <v>1521.333333</v>
      </c>
      <c r="I1217" s="2">
        <v>2294.333333</v>
      </c>
      <c r="J1217" s="2">
        <v>1.84</v>
      </c>
      <c r="K1217" s="2">
        <v>3.83</v>
      </c>
      <c r="L1217" s="2">
        <v>11.19</v>
      </c>
      <c r="M1217" s="2">
        <v>13.93</v>
      </c>
      <c r="N1217" s="2">
        <v>3.1490681349999998</v>
      </c>
      <c r="O1217" s="2">
        <v>2.903618797</v>
      </c>
      <c r="P1217" s="2">
        <v>0.77406569400000003</v>
      </c>
      <c r="Q1217" s="2">
        <v>0.70209111800000001</v>
      </c>
      <c r="R1217" s="2">
        <v>0.75499935200000001</v>
      </c>
      <c r="S1217" s="2">
        <v>0.65640110299999999</v>
      </c>
      <c r="T1217" s="2">
        <v>0.170744479</v>
      </c>
      <c r="U1217" s="2">
        <v>0.249137573</v>
      </c>
      <c r="V1217" s="2">
        <v>0.83025845700000001</v>
      </c>
      <c r="W1217" s="2">
        <v>3.5636010000000003E-2</v>
      </c>
      <c r="X1217">
        <f t="shared" si="54"/>
        <v>0</v>
      </c>
      <c r="Y1217">
        <f t="shared" si="55"/>
        <v>1</v>
      </c>
      <c r="Z1217">
        <f t="shared" si="56"/>
        <v>1</v>
      </c>
    </row>
    <row r="1218" spans="1:26" ht="15.75" customHeight="1" x14ac:dyDescent="0.2">
      <c r="A1218" s="2" t="s">
        <v>23</v>
      </c>
      <c r="B1218" s="2" t="s">
        <v>35</v>
      </c>
      <c r="C1218" s="2" t="s">
        <v>32</v>
      </c>
      <c r="D1218" s="2" t="s">
        <v>33</v>
      </c>
      <c r="E1218" s="2">
        <v>100</v>
      </c>
      <c r="F1218" s="2">
        <v>176</v>
      </c>
      <c r="G1218" s="2">
        <v>689.33333330000005</v>
      </c>
      <c r="H1218" s="2">
        <v>1335</v>
      </c>
      <c r="I1218" s="2">
        <v>2751.333333</v>
      </c>
      <c r="J1218" s="2">
        <v>1.68</v>
      </c>
      <c r="K1218" s="2">
        <v>6.45</v>
      </c>
      <c r="L1218" s="2">
        <v>10.33</v>
      </c>
      <c r="M1218" s="2">
        <v>15.13</v>
      </c>
      <c r="N1218" s="2">
        <v>2.0486630849999998</v>
      </c>
      <c r="O1218" s="2">
        <v>1.8259663290000001</v>
      </c>
      <c r="P1218" s="2">
        <v>2.1211020110000001</v>
      </c>
      <c r="Q1218" s="2">
        <v>2.2453970640000001</v>
      </c>
      <c r="R1218" s="2">
        <v>1.8573746069999999</v>
      </c>
      <c r="S1218" s="2">
        <v>1.955972856</v>
      </c>
      <c r="T1218" s="2">
        <v>1.0243209019999999</v>
      </c>
      <c r="U1218" s="2">
        <v>1.1027139969999999</v>
      </c>
      <c r="V1218" s="2">
        <v>3.4426324159999999</v>
      </c>
      <c r="W1218" s="2">
        <v>4.2246435999999998E-2</v>
      </c>
      <c r="X1218">
        <f t="shared" si="54"/>
        <v>0</v>
      </c>
      <c r="Y1218">
        <f t="shared" si="55"/>
        <v>1</v>
      </c>
      <c r="Z1218">
        <f t="shared" si="56"/>
        <v>1</v>
      </c>
    </row>
    <row r="1219" spans="1:26" ht="15.75" customHeight="1" x14ac:dyDescent="0.2">
      <c r="A1219" s="2" t="s">
        <v>23</v>
      </c>
      <c r="B1219" s="2" t="s">
        <v>35</v>
      </c>
      <c r="C1219" s="2" t="s">
        <v>25</v>
      </c>
      <c r="D1219" s="2" t="s">
        <v>25</v>
      </c>
      <c r="E1219" s="2">
        <v>287</v>
      </c>
      <c r="F1219" s="2">
        <v>174.66666670000001</v>
      </c>
      <c r="G1219" s="2">
        <v>856.33333330000005</v>
      </c>
      <c r="H1219" s="2">
        <v>1821</v>
      </c>
      <c r="I1219" s="2">
        <v>2919</v>
      </c>
      <c r="J1219" s="2">
        <v>1.66</v>
      </c>
      <c r="K1219" s="2">
        <v>7.62</v>
      </c>
      <c r="L1219" s="2">
        <v>12.38</v>
      </c>
      <c r="M1219" s="2">
        <v>15.51</v>
      </c>
      <c r="N1219" s="2">
        <v>0.45620527999999999</v>
      </c>
      <c r="O1219" s="2">
        <v>0.54127851199999999</v>
      </c>
      <c r="P1219" s="2">
        <v>3.2021554249999999</v>
      </c>
      <c r="Q1219" s="2">
        <v>3.2721654789999999</v>
      </c>
      <c r="R1219" s="2">
        <v>3.033486651</v>
      </c>
      <c r="S1219" s="2">
        <v>3.1320849000000002</v>
      </c>
      <c r="T1219" s="2">
        <v>1.0255525839999999</v>
      </c>
      <c r="U1219" s="2">
        <v>0.94715948999999999</v>
      </c>
      <c r="V1219" s="2">
        <v>4.6187444600000003</v>
      </c>
      <c r="W1219" s="2">
        <v>4.9297863999999997E-2</v>
      </c>
      <c r="X1219">
        <f t="shared" ref="X1219:X1282" si="57">IF(B1219="normal",1,0)</f>
        <v>0</v>
      </c>
      <c r="Y1219">
        <f t="shared" ref="Y1219:Y1282" si="58">IF(A1219="lecture",1,0)</f>
        <v>1</v>
      </c>
      <c r="Z1219">
        <f t="shared" ref="Z1219:Z1282" si="59">IF(ISNUMBER(FIND("~",D1219)),1,0)</f>
        <v>0</v>
      </c>
    </row>
    <row r="1220" spans="1:26" ht="15.75" customHeight="1" x14ac:dyDescent="0.2">
      <c r="A1220" s="2" t="s">
        <v>23</v>
      </c>
      <c r="B1220" s="2" t="s">
        <v>35</v>
      </c>
      <c r="C1220" s="2" t="s">
        <v>27</v>
      </c>
      <c r="D1220" s="2" t="s">
        <v>27</v>
      </c>
      <c r="E1220" s="2">
        <v>102</v>
      </c>
      <c r="F1220" s="2">
        <v>193.33333329999999</v>
      </c>
      <c r="G1220" s="2">
        <v>368.33333329999999</v>
      </c>
      <c r="H1220" s="2">
        <v>2291.666667</v>
      </c>
      <c r="I1220" s="2">
        <v>3023.666667</v>
      </c>
      <c r="J1220" s="2">
        <v>1.88</v>
      </c>
      <c r="K1220" s="2">
        <v>3.71</v>
      </c>
      <c r="L1220" s="2">
        <v>13.92</v>
      </c>
      <c r="M1220" s="2">
        <v>15.74</v>
      </c>
      <c r="N1220" s="2">
        <v>0.49811536899999997</v>
      </c>
      <c r="O1220" s="2">
        <v>0.42634455399999999</v>
      </c>
      <c r="P1220" s="2">
        <v>2.7099351459999999</v>
      </c>
      <c r="Q1220" s="2">
        <v>2.6047345470000001</v>
      </c>
      <c r="R1220" s="2">
        <v>0.87711425200000004</v>
      </c>
      <c r="S1220" s="2">
        <v>0.77851600300000001</v>
      </c>
      <c r="T1220" s="2">
        <v>2.5640630039999999</v>
      </c>
      <c r="U1220" s="2">
        <v>2.4856699089999998</v>
      </c>
      <c r="V1220" s="2">
        <v>0.70814355699999998</v>
      </c>
      <c r="W1220" s="2">
        <v>5.3508155000000002E-2</v>
      </c>
      <c r="X1220">
        <f t="shared" si="57"/>
        <v>0</v>
      </c>
      <c r="Y1220">
        <f t="shared" si="58"/>
        <v>1</v>
      </c>
      <c r="Z1220">
        <f t="shared" si="59"/>
        <v>0</v>
      </c>
    </row>
    <row r="1221" spans="1:26" ht="15.75" customHeight="1" x14ac:dyDescent="0.2">
      <c r="A1221" s="2" t="s">
        <v>23</v>
      </c>
      <c r="B1221" s="2" t="s">
        <v>35</v>
      </c>
      <c r="C1221" s="2" t="s">
        <v>30</v>
      </c>
      <c r="D1221" s="2" t="s">
        <v>31</v>
      </c>
      <c r="E1221" s="2">
        <v>116</v>
      </c>
      <c r="F1221" s="2">
        <v>192.33333329999999</v>
      </c>
      <c r="G1221" s="2">
        <v>475.66666670000001</v>
      </c>
      <c r="H1221" s="2">
        <v>1292.666667</v>
      </c>
      <c r="I1221" s="2">
        <v>2238.333333</v>
      </c>
      <c r="J1221" s="2">
        <v>1.87</v>
      </c>
      <c r="K1221" s="2">
        <v>4.71</v>
      </c>
      <c r="L1221" s="2">
        <v>10.119999999999999</v>
      </c>
      <c r="M1221" s="2">
        <v>13.76</v>
      </c>
      <c r="N1221" s="2">
        <v>4.2011819770000001</v>
      </c>
      <c r="O1221" s="2">
        <v>4.2325051599999997</v>
      </c>
      <c r="P1221" s="2">
        <v>1.237463816</v>
      </c>
      <c r="Q1221" s="2">
        <v>1.3279617509999999</v>
      </c>
      <c r="R1221" s="2">
        <v>0.117430875</v>
      </c>
      <c r="S1221" s="2">
        <v>0.21602912399999999</v>
      </c>
      <c r="T1221" s="2">
        <v>1.231879331</v>
      </c>
      <c r="U1221" s="2">
        <v>1.310272426</v>
      </c>
      <c r="V1221" s="2">
        <v>1.702688684</v>
      </c>
      <c r="W1221" s="2">
        <v>7.0296400999999994E-2</v>
      </c>
      <c r="X1221">
        <f t="shared" si="57"/>
        <v>0</v>
      </c>
      <c r="Y1221">
        <f t="shared" si="58"/>
        <v>1</v>
      </c>
      <c r="Z1221">
        <f t="shared" si="59"/>
        <v>1</v>
      </c>
    </row>
    <row r="1222" spans="1:26" ht="15.75" customHeight="1" x14ac:dyDescent="0.2">
      <c r="A1222" s="2" t="s">
        <v>23</v>
      </c>
      <c r="B1222" s="2" t="s">
        <v>35</v>
      </c>
      <c r="C1222" s="2" t="s">
        <v>25</v>
      </c>
      <c r="D1222" s="2" t="s">
        <v>25</v>
      </c>
      <c r="E1222" s="2">
        <v>139</v>
      </c>
      <c r="F1222" s="2">
        <v>206.33333329999999</v>
      </c>
      <c r="G1222" s="2">
        <v>791.33333330000005</v>
      </c>
      <c r="H1222" s="2">
        <v>1413.666667</v>
      </c>
      <c r="I1222" s="2">
        <v>2506.666667</v>
      </c>
      <c r="J1222" s="2">
        <v>2.02</v>
      </c>
      <c r="K1222" s="2">
        <v>7.18</v>
      </c>
      <c r="L1222" s="2">
        <v>10.7</v>
      </c>
      <c r="M1222" s="2">
        <v>14.52</v>
      </c>
      <c r="N1222" s="2">
        <v>1.345047801</v>
      </c>
      <c r="O1222" s="2">
        <v>1.2034185120000001</v>
      </c>
      <c r="P1222" s="2">
        <v>2.6735249539999999</v>
      </c>
      <c r="Q1222" s="2">
        <v>2.7887574289999999</v>
      </c>
      <c r="R1222" s="2">
        <v>2.5926892989999999</v>
      </c>
      <c r="S1222" s="2">
        <v>2.691287548</v>
      </c>
      <c r="T1222" s="2">
        <v>0.65245526899999995</v>
      </c>
      <c r="U1222" s="2">
        <v>0.730848363</v>
      </c>
      <c r="V1222" s="2">
        <v>4.1779471079999997</v>
      </c>
      <c r="W1222" s="2">
        <v>8.9245055000000004E-2</v>
      </c>
      <c r="X1222">
        <f t="shared" si="57"/>
        <v>0</v>
      </c>
      <c r="Y1222">
        <f t="shared" si="58"/>
        <v>1</v>
      </c>
      <c r="Z1222">
        <f t="shared" si="59"/>
        <v>0</v>
      </c>
    </row>
    <row r="1223" spans="1:26" ht="15.75" customHeight="1" x14ac:dyDescent="0.2">
      <c r="A1223" s="2" t="s">
        <v>23</v>
      </c>
      <c r="B1223" s="2" t="s">
        <v>35</v>
      </c>
      <c r="C1223" s="2" t="s">
        <v>30</v>
      </c>
      <c r="D1223" s="2" t="s">
        <v>31</v>
      </c>
      <c r="E1223" s="2">
        <v>146</v>
      </c>
      <c r="F1223" s="2">
        <v>196</v>
      </c>
      <c r="G1223" s="2">
        <v>452.66666670000001</v>
      </c>
      <c r="H1223" s="2">
        <v>1260.333333</v>
      </c>
      <c r="I1223" s="2">
        <v>2414.666667</v>
      </c>
      <c r="J1223" s="2">
        <v>1.91</v>
      </c>
      <c r="K1223" s="2">
        <v>4.5</v>
      </c>
      <c r="L1223" s="2">
        <v>9.9600000000000009</v>
      </c>
      <c r="M1223" s="2">
        <v>14.27</v>
      </c>
      <c r="N1223" s="2">
        <v>4.3358674539999997</v>
      </c>
      <c r="O1223" s="2">
        <v>4.3605106920000001</v>
      </c>
      <c r="P1223" s="2">
        <v>1.3968734739999999</v>
      </c>
      <c r="Q1223" s="2">
        <v>1.4725134120000001</v>
      </c>
      <c r="R1223" s="2">
        <v>8.8236566000000002E-2</v>
      </c>
      <c r="S1223" s="2">
        <v>1.0361683E-2</v>
      </c>
      <c r="T1223" s="2">
        <v>1.3940838609999999</v>
      </c>
      <c r="U1223" s="2">
        <v>1.4724769550000001</v>
      </c>
      <c r="V1223" s="2">
        <v>1.4970212430000001</v>
      </c>
      <c r="W1223" s="2">
        <v>9.2102191999999999E-2</v>
      </c>
      <c r="X1223">
        <f t="shared" si="57"/>
        <v>0</v>
      </c>
      <c r="Y1223">
        <f t="shared" si="58"/>
        <v>1</v>
      </c>
      <c r="Z1223">
        <f t="shared" si="59"/>
        <v>1</v>
      </c>
    </row>
    <row r="1224" spans="1:26" ht="15.75" customHeight="1" x14ac:dyDescent="0.2">
      <c r="A1224" s="2" t="s">
        <v>23</v>
      </c>
      <c r="B1224" s="2" t="s">
        <v>35</v>
      </c>
      <c r="C1224" s="2" t="s">
        <v>25</v>
      </c>
      <c r="D1224" s="2" t="s">
        <v>25</v>
      </c>
      <c r="E1224" s="2">
        <v>145</v>
      </c>
      <c r="F1224" s="2">
        <v>245.66666670000001</v>
      </c>
      <c r="G1224" s="2">
        <v>802</v>
      </c>
      <c r="H1224" s="2">
        <v>1451</v>
      </c>
      <c r="I1224" s="2">
        <v>3031</v>
      </c>
      <c r="J1224" s="2">
        <v>2.46</v>
      </c>
      <c r="K1224" s="2">
        <v>7.25</v>
      </c>
      <c r="L1224" s="2">
        <v>10.87</v>
      </c>
      <c r="M1224" s="2">
        <v>15.75</v>
      </c>
      <c r="N1224" s="2">
        <v>0.71409911699999995</v>
      </c>
      <c r="O1224" s="2">
        <v>0.92573442900000003</v>
      </c>
      <c r="P1224" s="2">
        <v>2.676219261</v>
      </c>
      <c r="Q1224" s="2">
        <v>2.7564786680000002</v>
      </c>
      <c r="R1224" s="2">
        <v>2.6490214710000002</v>
      </c>
      <c r="S1224" s="2">
        <v>2.6526229539999999</v>
      </c>
      <c r="T1224" s="2">
        <v>0.38057165199999998</v>
      </c>
      <c r="U1224" s="2">
        <v>0.74951058199999998</v>
      </c>
      <c r="V1224" s="2">
        <v>3.9461701200000001</v>
      </c>
      <c r="W1224" s="2">
        <v>6.3836617999999998E-2</v>
      </c>
      <c r="X1224">
        <f t="shared" si="57"/>
        <v>0</v>
      </c>
      <c r="Y1224">
        <f t="shared" si="58"/>
        <v>1</v>
      </c>
      <c r="Z1224">
        <f t="shared" si="59"/>
        <v>0</v>
      </c>
    </row>
    <row r="1225" spans="1:26" ht="15.75" customHeight="1" x14ac:dyDescent="0.2">
      <c r="A1225" s="2" t="s">
        <v>23</v>
      </c>
      <c r="B1225" s="2" t="s">
        <v>35</v>
      </c>
      <c r="C1225" s="2" t="s">
        <v>26</v>
      </c>
      <c r="D1225" s="2" t="s">
        <v>26</v>
      </c>
      <c r="E1225" s="2">
        <v>129</v>
      </c>
      <c r="F1225" s="2">
        <v>248.66666670000001</v>
      </c>
      <c r="G1225" s="2">
        <v>404</v>
      </c>
      <c r="H1225" s="2">
        <v>932</v>
      </c>
      <c r="I1225" s="2">
        <v>2878</v>
      </c>
      <c r="J1225" s="2">
        <v>2.4900000000000002</v>
      </c>
      <c r="K1225" s="2">
        <v>4.05</v>
      </c>
      <c r="L1225" s="2">
        <v>8.11</v>
      </c>
      <c r="M1225" s="2">
        <v>15.42</v>
      </c>
      <c r="N1225" s="2">
        <v>0.27004853299999998</v>
      </c>
      <c r="O1225" s="2">
        <v>0.66892801999999996</v>
      </c>
      <c r="P1225" s="2">
        <v>3.1936466399999999</v>
      </c>
      <c r="Q1225" s="2">
        <v>3.5570081309999999</v>
      </c>
      <c r="R1225" s="2">
        <v>0.55403658899999997</v>
      </c>
      <c r="S1225" s="2">
        <v>0.55043510600000001</v>
      </c>
      <c r="T1225" s="2">
        <v>3.1452221420000002</v>
      </c>
      <c r="U1225" s="2">
        <v>3.5141610719999998</v>
      </c>
      <c r="V1225" s="2">
        <v>0.74311205999999996</v>
      </c>
      <c r="W1225" s="2">
        <v>5.1102511000000003E-2</v>
      </c>
      <c r="X1225">
        <f t="shared" si="57"/>
        <v>0</v>
      </c>
      <c r="Y1225">
        <f t="shared" si="58"/>
        <v>1</v>
      </c>
      <c r="Z1225">
        <f t="shared" si="59"/>
        <v>0</v>
      </c>
    </row>
    <row r="1226" spans="1:26" ht="15.75" customHeight="1" x14ac:dyDescent="0.2">
      <c r="A1226" s="2" t="s">
        <v>23</v>
      </c>
      <c r="B1226" s="2" t="s">
        <v>35</v>
      </c>
      <c r="C1226" s="2" t="s">
        <v>27</v>
      </c>
      <c r="D1226" s="2" t="s">
        <v>27</v>
      </c>
      <c r="E1226" s="2">
        <v>124</v>
      </c>
      <c r="F1226" s="2">
        <v>246.33333329999999</v>
      </c>
      <c r="G1226" s="2">
        <v>468.33333329999999</v>
      </c>
      <c r="H1226" s="2">
        <v>2325.666667</v>
      </c>
      <c r="I1226" s="2">
        <v>3213.666667</v>
      </c>
      <c r="J1226" s="2">
        <v>2.46</v>
      </c>
      <c r="K1226" s="2">
        <v>4.6399999999999997</v>
      </c>
      <c r="L1226" s="2">
        <v>14.02</v>
      </c>
      <c r="M1226" s="2">
        <v>16.12</v>
      </c>
      <c r="N1226" s="2">
        <v>0.28279116999999998</v>
      </c>
      <c r="O1226" s="2">
        <v>0.34848560499999998</v>
      </c>
      <c r="P1226" s="2">
        <v>2.7637408830000001</v>
      </c>
      <c r="Q1226" s="2">
        <v>2.3948909280000001</v>
      </c>
      <c r="R1226" s="2">
        <v>3.4852036000000003E-2</v>
      </c>
      <c r="S1226" s="2">
        <v>3.8453519999999998E-2</v>
      </c>
      <c r="T1226" s="2">
        <v>2.7635211239999999</v>
      </c>
      <c r="U1226" s="2">
        <v>2.3945821939999998</v>
      </c>
      <c r="V1226" s="2">
        <v>1.332000686</v>
      </c>
      <c r="W1226" s="2">
        <v>5.8096952E-2</v>
      </c>
      <c r="X1226">
        <f t="shared" si="57"/>
        <v>0</v>
      </c>
      <c r="Y1226">
        <f t="shared" si="58"/>
        <v>1</v>
      </c>
      <c r="Z1226">
        <f t="shared" si="59"/>
        <v>0</v>
      </c>
    </row>
    <row r="1227" spans="1:26" ht="15.75" customHeight="1" x14ac:dyDescent="0.2">
      <c r="A1227" s="2" t="s">
        <v>23</v>
      </c>
      <c r="B1227" s="2" t="s">
        <v>35</v>
      </c>
      <c r="C1227" s="2" t="s">
        <v>28</v>
      </c>
      <c r="D1227" s="2" t="s">
        <v>29</v>
      </c>
      <c r="E1227" s="2">
        <v>150</v>
      </c>
      <c r="F1227" s="2">
        <v>244.33333329999999</v>
      </c>
      <c r="G1227" s="2">
        <v>324.66666670000001</v>
      </c>
      <c r="H1227" s="2">
        <v>1163.333333</v>
      </c>
      <c r="I1227" s="2">
        <v>2175.666667</v>
      </c>
      <c r="J1227" s="2">
        <v>2.44</v>
      </c>
      <c r="K1227" s="2">
        <v>3.28</v>
      </c>
      <c r="L1227" s="2">
        <v>9.4600000000000009</v>
      </c>
      <c r="M1227" s="2">
        <v>13.57</v>
      </c>
      <c r="N1227" s="2">
        <v>1.8214453669999999</v>
      </c>
      <c r="O1227" s="2">
        <v>1.1197459160000001</v>
      </c>
      <c r="P1227" s="2">
        <v>2.2351706880000002</v>
      </c>
      <c r="Q1227" s="2">
        <v>2.5397507969999999</v>
      </c>
      <c r="R1227" s="2">
        <v>1.325896118</v>
      </c>
      <c r="S1227" s="2">
        <v>1.322294635</v>
      </c>
      <c r="T1227" s="2">
        <v>1.7994408820000001</v>
      </c>
      <c r="U1227" s="2">
        <v>2.168379812</v>
      </c>
      <c r="V1227" s="2">
        <v>-2.8747469000000001E-2</v>
      </c>
      <c r="W1227" s="2">
        <v>5.8995826000000001E-2</v>
      </c>
      <c r="X1227">
        <f t="shared" si="57"/>
        <v>0</v>
      </c>
      <c r="Y1227">
        <f t="shared" si="58"/>
        <v>1</v>
      </c>
      <c r="Z1227">
        <f t="shared" si="59"/>
        <v>1</v>
      </c>
    </row>
    <row r="1228" spans="1:26" ht="15.75" customHeight="1" x14ac:dyDescent="0.2">
      <c r="A1228" s="2" t="s">
        <v>23</v>
      </c>
      <c r="B1228" s="2" t="s">
        <v>35</v>
      </c>
      <c r="C1228" s="2" t="s">
        <v>30</v>
      </c>
      <c r="D1228" s="2" t="s">
        <v>31</v>
      </c>
      <c r="E1228" s="2">
        <v>165</v>
      </c>
      <c r="F1228" s="2">
        <v>228</v>
      </c>
      <c r="G1228" s="2">
        <v>651.66666669999995</v>
      </c>
      <c r="H1228" s="2">
        <v>1412.333333</v>
      </c>
      <c r="I1228" s="2">
        <v>2942</v>
      </c>
      <c r="J1228" s="2">
        <v>2.2599999999999998</v>
      </c>
      <c r="K1228" s="2">
        <v>6.16</v>
      </c>
      <c r="L1228" s="2">
        <v>10.7</v>
      </c>
      <c r="M1228" s="2">
        <v>15.56</v>
      </c>
      <c r="N1228" s="2">
        <v>3.9284879180000001</v>
      </c>
      <c r="O1228" s="2">
        <v>3.875390887</v>
      </c>
      <c r="P1228" s="2">
        <v>1.65077249</v>
      </c>
      <c r="Q1228" s="2">
        <v>1.8120491089999999</v>
      </c>
      <c r="R1228" s="2">
        <v>1.553888758</v>
      </c>
      <c r="S1228" s="2">
        <v>1.557490241</v>
      </c>
      <c r="T1228" s="2">
        <v>0.55720691300000003</v>
      </c>
      <c r="U1228" s="2">
        <v>0.92614584300000002</v>
      </c>
      <c r="V1228" s="2">
        <v>2.8510374070000002</v>
      </c>
      <c r="W1228" s="2">
        <v>5.1174952000000003E-2</v>
      </c>
      <c r="X1228">
        <f t="shared" si="57"/>
        <v>0</v>
      </c>
      <c r="Y1228">
        <f t="shared" si="58"/>
        <v>1</v>
      </c>
      <c r="Z1228">
        <f t="shared" si="59"/>
        <v>1</v>
      </c>
    </row>
    <row r="1229" spans="1:26" ht="15.75" customHeight="1" x14ac:dyDescent="0.2">
      <c r="A1229" s="2" t="s">
        <v>23</v>
      </c>
      <c r="B1229" s="2" t="s">
        <v>35</v>
      </c>
      <c r="C1229" s="2" t="s">
        <v>26</v>
      </c>
      <c r="D1229" s="2" t="s">
        <v>26</v>
      </c>
      <c r="E1229" s="2">
        <v>175</v>
      </c>
      <c r="F1229" s="2">
        <v>256.66666670000001</v>
      </c>
      <c r="G1229" s="2">
        <v>444</v>
      </c>
      <c r="H1229" s="2">
        <v>730.66666669999995</v>
      </c>
      <c r="I1229" s="2">
        <v>3227</v>
      </c>
      <c r="J1229" s="2">
        <v>2.57</v>
      </c>
      <c r="K1229" s="2">
        <v>4.42</v>
      </c>
      <c r="L1229" s="2">
        <v>6.75</v>
      </c>
      <c r="M1229" s="2">
        <v>16.149999999999999</v>
      </c>
      <c r="N1229" s="2">
        <v>1.148645436</v>
      </c>
      <c r="O1229" s="2">
        <v>2.0352420439999999</v>
      </c>
      <c r="P1229" s="2">
        <v>4.5085833400000004</v>
      </c>
      <c r="Q1229" s="2">
        <v>4.8771029019999999</v>
      </c>
      <c r="R1229" s="2">
        <v>0.18418206000000001</v>
      </c>
      <c r="S1229" s="2">
        <v>0.18058057699999999</v>
      </c>
      <c r="T1229" s="2">
        <v>4.5048197190000003</v>
      </c>
      <c r="U1229" s="2">
        <v>4.873758649</v>
      </c>
      <c r="V1229" s="2">
        <v>1.112966589</v>
      </c>
      <c r="W1229" s="2">
        <v>7.2119184000000003E-2</v>
      </c>
      <c r="X1229">
        <f t="shared" si="57"/>
        <v>0</v>
      </c>
      <c r="Y1229">
        <f t="shared" si="58"/>
        <v>1</v>
      </c>
      <c r="Z1229">
        <f t="shared" si="59"/>
        <v>0</v>
      </c>
    </row>
    <row r="1230" spans="1:26" ht="15.75" customHeight="1" x14ac:dyDescent="0.2">
      <c r="A1230" s="2" t="s">
        <v>23</v>
      </c>
      <c r="B1230" s="2" t="s">
        <v>35</v>
      </c>
      <c r="C1230" s="2" t="s">
        <v>28</v>
      </c>
      <c r="D1230" s="2" t="s">
        <v>29</v>
      </c>
      <c r="E1230" s="2">
        <v>219</v>
      </c>
      <c r="F1230" s="2">
        <v>226.33333329999999</v>
      </c>
      <c r="G1230" s="2">
        <v>298.33333329999999</v>
      </c>
      <c r="H1230" s="2">
        <v>1337</v>
      </c>
      <c r="I1230" s="2">
        <v>2307.666667</v>
      </c>
      <c r="J1230" s="2">
        <v>2.25</v>
      </c>
      <c r="K1230" s="2">
        <v>3.01</v>
      </c>
      <c r="L1230" s="2">
        <v>10.34</v>
      </c>
      <c r="M1230" s="2">
        <v>13.97</v>
      </c>
      <c r="N1230" s="2">
        <v>2.7318351089999999</v>
      </c>
      <c r="O1230" s="2">
        <v>1.9499413510000001</v>
      </c>
      <c r="P1230" s="2">
        <v>1.837152304</v>
      </c>
      <c r="Q1230" s="2">
        <v>2.04294764</v>
      </c>
      <c r="R1230" s="2">
        <v>1.594089361</v>
      </c>
      <c r="S1230" s="2">
        <v>1.590487878</v>
      </c>
      <c r="T1230" s="2">
        <v>0.91324021899999996</v>
      </c>
      <c r="U1230" s="2">
        <v>1.2821791490000001</v>
      </c>
      <c r="V1230" s="2">
        <v>-0.296940712</v>
      </c>
      <c r="W1230" s="2">
        <v>5.4202779999999999E-2</v>
      </c>
      <c r="X1230">
        <f t="shared" si="57"/>
        <v>0</v>
      </c>
      <c r="Y1230">
        <f t="shared" si="58"/>
        <v>1</v>
      </c>
      <c r="Z1230">
        <f t="shared" si="59"/>
        <v>1</v>
      </c>
    </row>
    <row r="1231" spans="1:26" ht="15.75" customHeight="1" x14ac:dyDescent="0.2">
      <c r="A1231" s="2" t="s">
        <v>23</v>
      </c>
      <c r="B1231" s="2" t="s">
        <v>35</v>
      </c>
      <c r="C1231" s="2" t="s">
        <v>32</v>
      </c>
      <c r="D1231" s="2" t="s">
        <v>33</v>
      </c>
      <c r="E1231" s="2">
        <v>153</v>
      </c>
      <c r="F1231" s="2">
        <v>237.33333329999999</v>
      </c>
      <c r="G1231" s="2">
        <v>534.33333330000005</v>
      </c>
      <c r="H1231" s="2">
        <v>1356.333333</v>
      </c>
      <c r="I1231" s="2">
        <v>2832.333333</v>
      </c>
      <c r="J1231" s="2">
        <v>2.37</v>
      </c>
      <c r="K1231" s="2">
        <v>5.21</v>
      </c>
      <c r="L1231" s="2">
        <v>10.43</v>
      </c>
      <c r="M1231" s="2">
        <v>15.32</v>
      </c>
      <c r="N1231" s="2">
        <v>2.532815603</v>
      </c>
      <c r="O1231" s="2">
        <v>2.4508069830000001</v>
      </c>
      <c r="P1231" s="2">
        <v>1.020737418</v>
      </c>
      <c r="Q1231" s="2">
        <v>1.337052511</v>
      </c>
      <c r="R1231" s="2">
        <v>0.607429208</v>
      </c>
      <c r="S1231" s="2">
        <v>0.61103069099999996</v>
      </c>
      <c r="T1231" s="2">
        <v>0.82032593200000004</v>
      </c>
      <c r="U1231" s="2">
        <v>1.1892648619999999</v>
      </c>
      <c r="V1231" s="2">
        <v>1.904577857</v>
      </c>
      <c r="W1231" s="2">
        <v>9.5177192999999993E-2</v>
      </c>
      <c r="X1231">
        <f t="shared" si="57"/>
        <v>0</v>
      </c>
      <c r="Y1231">
        <f t="shared" si="58"/>
        <v>1</v>
      </c>
      <c r="Z1231">
        <f t="shared" si="59"/>
        <v>1</v>
      </c>
    </row>
    <row r="1232" spans="1:26" ht="15.75" customHeight="1" x14ac:dyDescent="0.2">
      <c r="A1232" s="2" t="s">
        <v>23</v>
      </c>
      <c r="B1232" s="2" t="s">
        <v>35</v>
      </c>
      <c r="C1232" s="2" t="s">
        <v>32</v>
      </c>
      <c r="D1232" s="2" t="s">
        <v>33</v>
      </c>
      <c r="E1232" s="2">
        <v>171</v>
      </c>
      <c r="F1232" s="2">
        <v>188</v>
      </c>
      <c r="G1232" s="2">
        <v>658.33333330000005</v>
      </c>
      <c r="H1232" s="2">
        <v>1398.333333</v>
      </c>
      <c r="I1232" s="2">
        <v>2830.666667</v>
      </c>
      <c r="J1232" s="2">
        <v>1.82</v>
      </c>
      <c r="K1232" s="2">
        <v>6.21</v>
      </c>
      <c r="L1232" s="2">
        <v>10.63</v>
      </c>
      <c r="M1232" s="2">
        <v>15.31</v>
      </c>
      <c r="N1232" s="2">
        <v>1.571616736</v>
      </c>
      <c r="O1232" s="2">
        <v>1.561725636</v>
      </c>
      <c r="P1232" s="2">
        <v>1.7214796649999999</v>
      </c>
      <c r="Q1232" s="2">
        <v>1.8895141710000001</v>
      </c>
      <c r="R1232" s="2">
        <v>1.6051181189999999</v>
      </c>
      <c r="S1232" s="2">
        <v>1.6087196029999999</v>
      </c>
      <c r="T1232" s="2">
        <v>0.62216401300000002</v>
      </c>
      <c r="U1232" s="2">
        <v>0.99110294300000001</v>
      </c>
      <c r="V1232" s="2">
        <v>2.9022667690000001</v>
      </c>
      <c r="W1232" s="2">
        <v>7.4561624000000007E-2</v>
      </c>
      <c r="X1232">
        <f t="shared" si="57"/>
        <v>0</v>
      </c>
      <c r="Y1232">
        <f t="shared" si="58"/>
        <v>1</v>
      </c>
      <c r="Z1232">
        <f t="shared" si="59"/>
        <v>1</v>
      </c>
    </row>
    <row r="1233" spans="1:26" ht="15.75" customHeight="1" x14ac:dyDescent="0.2">
      <c r="A1233" s="2" t="s">
        <v>23</v>
      </c>
      <c r="B1233" s="2" t="s">
        <v>35</v>
      </c>
      <c r="C1233" s="2" t="s">
        <v>25</v>
      </c>
      <c r="D1233" s="2" t="s">
        <v>25</v>
      </c>
      <c r="E1233" s="2">
        <v>241</v>
      </c>
      <c r="F1233" s="2">
        <v>229.66666670000001</v>
      </c>
      <c r="G1233" s="2">
        <v>958</v>
      </c>
      <c r="H1233" s="2">
        <v>1708</v>
      </c>
      <c r="I1233" s="2">
        <v>2966.333333</v>
      </c>
      <c r="J1233" s="2">
        <v>2.2799999999999998</v>
      </c>
      <c r="K1233" s="2">
        <v>8.27</v>
      </c>
      <c r="L1233" s="2">
        <v>11.95</v>
      </c>
      <c r="M1233" s="2">
        <v>15.61</v>
      </c>
      <c r="N1233" s="2">
        <v>0.88249369899999996</v>
      </c>
      <c r="O1233" s="2">
        <v>1.0349955049999999</v>
      </c>
      <c r="P1233" s="2">
        <v>3.7321395210000001</v>
      </c>
      <c r="Q1233" s="2">
        <v>3.684530504</v>
      </c>
      <c r="R1233" s="2">
        <v>3.6661328709999998</v>
      </c>
      <c r="S1233" s="2">
        <v>3.669734354</v>
      </c>
      <c r="T1233" s="2">
        <v>0.69880982800000002</v>
      </c>
      <c r="U1233" s="2">
        <v>0.329870899</v>
      </c>
      <c r="V1233" s="2">
        <v>4.9632815199999998</v>
      </c>
      <c r="W1233" s="2">
        <v>4.9459715000000001E-2</v>
      </c>
      <c r="X1233">
        <f t="shared" si="57"/>
        <v>0</v>
      </c>
      <c r="Y1233">
        <f t="shared" si="58"/>
        <v>1</v>
      </c>
      <c r="Z1233">
        <f t="shared" si="59"/>
        <v>0</v>
      </c>
    </row>
    <row r="1234" spans="1:26" ht="15.75" customHeight="1" x14ac:dyDescent="0.2">
      <c r="A1234" s="2" t="s">
        <v>23</v>
      </c>
      <c r="B1234" s="2" t="s">
        <v>35</v>
      </c>
      <c r="C1234" s="2" t="s">
        <v>32</v>
      </c>
      <c r="D1234" s="2" t="s">
        <v>33</v>
      </c>
      <c r="E1234" s="2">
        <v>185</v>
      </c>
      <c r="F1234" s="2">
        <v>237.33333329999999</v>
      </c>
      <c r="G1234" s="2">
        <v>474</v>
      </c>
      <c r="H1234" s="2">
        <v>1339.666667</v>
      </c>
      <c r="I1234" s="2">
        <v>2775</v>
      </c>
      <c r="J1234" s="2">
        <v>2.37</v>
      </c>
      <c r="K1234" s="2">
        <v>4.6900000000000004</v>
      </c>
      <c r="L1234" s="2">
        <v>10.35</v>
      </c>
      <c r="M1234" s="2">
        <v>15.18</v>
      </c>
      <c r="N1234" s="2">
        <v>3.0410386620000001</v>
      </c>
      <c r="O1234" s="2">
        <v>2.9376267669999998</v>
      </c>
      <c r="P1234" s="2">
        <v>0.90438487499999998</v>
      </c>
      <c r="Q1234" s="2">
        <v>1.272403368</v>
      </c>
      <c r="R1234" s="2">
        <v>8.5231284000000004E-2</v>
      </c>
      <c r="S1234" s="2">
        <v>8.8832767000000007E-2</v>
      </c>
      <c r="T1234" s="2">
        <v>0.900359723</v>
      </c>
      <c r="U1234" s="2">
        <v>1.2692986530000001</v>
      </c>
      <c r="V1234" s="2">
        <v>1.3823799329999999</v>
      </c>
      <c r="W1234" s="2">
        <v>5.4920001000000003E-2</v>
      </c>
      <c r="X1234">
        <f t="shared" si="57"/>
        <v>0</v>
      </c>
      <c r="Y1234">
        <f t="shared" si="58"/>
        <v>1</v>
      </c>
      <c r="Z1234">
        <f t="shared" si="59"/>
        <v>1</v>
      </c>
    </row>
    <row r="1235" spans="1:26" ht="15.75" customHeight="1" x14ac:dyDescent="0.2">
      <c r="A1235" s="2" t="s">
        <v>23</v>
      </c>
      <c r="B1235" s="2" t="s">
        <v>35</v>
      </c>
      <c r="C1235" s="2" t="s">
        <v>32</v>
      </c>
      <c r="D1235" s="2" t="s">
        <v>33</v>
      </c>
      <c r="E1235" s="2">
        <v>148</v>
      </c>
      <c r="F1235" s="2">
        <v>246.33333329999999</v>
      </c>
      <c r="G1235" s="2">
        <v>474.33333329999999</v>
      </c>
      <c r="H1235" s="2">
        <v>1220.333333</v>
      </c>
      <c r="I1235" s="2">
        <v>2752.333333</v>
      </c>
      <c r="J1235" s="2">
        <v>2.46</v>
      </c>
      <c r="K1235" s="2">
        <v>4.6900000000000004</v>
      </c>
      <c r="L1235" s="2">
        <v>9.76</v>
      </c>
      <c r="M1235" s="2">
        <v>15.13</v>
      </c>
      <c r="N1235" s="2">
        <v>3.3191118070000001</v>
      </c>
      <c r="O1235" s="2">
        <v>3.2709494129999999</v>
      </c>
      <c r="P1235" s="2">
        <v>1.5005002730000001</v>
      </c>
      <c r="Q1235" s="2">
        <v>1.8691006569999999</v>
      </c>
      <c r="R1235" s="2">
        <v>8.8187465000000007E-2</v>
      </c>
      <c r="S1235" s="2">
        <v>9.1788947999999995E-2</v>
      </c>
      <c r="T1235" s="2">
        <v>1.497906553</v>
      </c>
      <c r="U1235" s="2">
        <v>1.8668454830000001</v>
      </c>
      <c r="V1235" s="2">
        <v>1.385336114</v>
      </c>
      <c r="W1235" s="2">
        <v>6.2289426000000002E-2</v>
      </c>
      <c r="X1235">
        <f t="shared" si="57"/>
        <v>0</v>
      </c>
      <c r="Y1235">
        <f t="shared" si="58"/>
        <v>1</v>
      </c>
      <c r="Z1235">
        <f t="shared" si="59"/>
        <v>1</v>
      </c>
    </row>
    <row r="1236" spans="1:26" ht="15.75" customHeight="1" x14ac:dyDescent="0.2">
      <c r="A1236" s="2" t="s">
        <v>23</v>
      </c>
      <c r="B1236" s="2" t="s">
        <v>35</v>
      </c>
      <c r="C1236" s="2" t="s">
        <v>25</v>
      </c>
      <c r="D1236" s="2" t="s">
        <v>25</v>
      </c>
      <c r="E1236" s="2">
        <v>90</v>
      </c>
      <c r="F1236" s="2">
        <v>249.33333329999999</v>
      </c>
      <c r="G1236" s="2">
        <v>813.66666669999995</v>
      </c>
      <c r="H1236" s="2">
        <v>1642</v>
      </c>
      <c r="I1236" s="2">
        <v>3025.666667</v>
      </c>
      <c r="J1236" s="2">
        <v>2.5</v>
      </c>
      <c r="K1236" s="2">
        <v>7.33</v>
      </c>
      <c r="L1236" s="2">
        <v>11.69</v>
      </c>
      <c r="M1236" s="2">
        <v>15.74</v>
      </c>
      <c r="N1236" s="2">
        <v>0.20829273500000001</v>
      </c>
      <c r="O1236" s="2">
        <v>0.13897748800000001</v>
      </c>
      <c r="P1236" s="2">
        <v>2.763704009</v>
      </c>
      <c r="Q1236" s="2">
        <v>2.7334776660000002</v>
      </c>
      <c r="R1236" s="2">
        <v>2.7290457429999999</v>
      </c>
      <c r="S1236" s="2">
        <v>2.7326472260000001</v>
      </c>
      <c r="T1236" s="2">
        <v>0.43631316599999997</v>
      </c>
      <c r="U1236" s="2">
        <v>6.7374236000000004E-2</v>
      </c>
      <c r="V1236" s="2">
        <v>4.0261943919999998</v>
      </c>
      <c r="W1236" s="2">
        <v>4.2433312000000001E-2</v>
      </c>
      <c r="X1236">
        <f t="shared" si="57"/>
        <v>0</v>
      </c>
      <c r="Y1236">
        <f t="shared" si="58"/>
        <v>1</v>
      </c>
      <c r="Z1236">
        <f t="shared" si="59"/>
        <v>0</v>
      </c>
    </row>
    <row r="1237" spans="1:26" ht="15.75" customHeight="1" x14ac:dyDescent="0.2">
      <c r="A1237" s="2" t="s">
        <v>23</v>
      </c>
      <c r="B1237" s="2" t="s">
        <v>35</v>
      </c>
      <c r="C1237" s="2" t="s">
        <v>25</v>
      </c>
      <c r="D1237" s="2" t="s">
        <v>25</v>
      </c>
      <c r="E1237" s="2">
        <v>167</v>
      </c>
      <c r="F1237" s="2">
        <v>255</v>
      </c>
      <c r="G1237" s="2">
        <v>712.33333330000005</v>
      </c>
      <c r="H1237" s="2">
        <v>1500.666667</v>
      </c>
      <c r="I1237" s="2">
        <v>3000.666667</v>
      </c>
      <c r="J1237" s="2">
        <v>2.56</v>
      </c>
      <c r="K1237" s="2">
        <v>6.62</v>
      </c>
      <c r="L1237" s="2">
        <v>11.1</v>
      </c>
      <c r="M1237" s="2">
        <v>15.69</v>
      </c>
      <c r="N1237" s="2">
        <v>0.98225342199999999</v>
      </c>
      <c r="O1237" s="2">
        <v>0.94649459499999999</v>
      </c>
      <c r="P1237" s="2">
        <v>2.0169703669999999</v>
      </c>
      <c r="Q1237" s="2">
        <v>2.0824159739999999</v>
      </c>
      <c r="R1237" s="2">
        <v>2.0106556769999999</v>
      </c>
      <c r="S1237" s="2">
        <v>2.0142571610000002</v>
      </c>
      <c r="T1237" s="2">
        <v>0.15947792999999999</v>
      </c>
      <c r="U1237" s="2">
        <v>0.52841685999999999</v>
      </c>
      <c r="V1237" s="2">
        <v>3.3078043269999999</v>
      </c>
      <c r="W1237" s="2">
        <v>6.8030194000000002E-2</v>
      </c>
      <c r="X1237">
        <f t="shared" si="57"/>
        <v>0</v>
      </c>
      <c r="Y1237">
        <f t="shared" si="58"/>
        <v>1</v>
      </c>
      <c r="Z1237">
        <f t="shared" si="59"/>
        <v>0</v>
      </c>
    </row>
    <row r="1238" spans="1:26" ht="15.75" customHeight="1" x14ac:dyDescent="0.2">
      <c r="A1238" s="2" t="s">
        <v>23</v>
      </c>
      <c r="B1238" s="2" t="s">
        <v>35</v>
      </c>
      <c r="C1238" s="2" t="s">
        <v>27</v>
      </c>
      <c r="D1238" s="2" t="s">
        <v>27</v>
      </c>
      <c r="E1238" s="2">
        <v>139</v>
      </c>
      <c r="F1238" s="2">
        <v>244.66666670000001</v>
      </c>
      <c r="G1238" s="2">
        <v>446.66666670000001</v>
      </c>
      <c r="H1238" s="2">
        <v>2413</v>
      </c>
      <c r="I1238" s="2">
        <v>3251.333333</v>
      </c>
      <c r="J1238" s="2">
        <v>2.4500000000000002</v>
      </c>
      <c r="K1238" s="2">
        <v>4.45</v>
      </c>
      <c r="L1238" s="2">
        <v>14.26</v>
      </c>
      <c r="M1238" s="2">
        <v>16.2</v>
      </c>
      <c r="N1238" s="2">
        <v>3.1357296E-2</v>
      </c>
      <c r="O1238" s="2">
        <v>0.21902860099999999</v>
      </c>
      <c r="P1238" s="2">
        <v>3.0126405840000001</v>
      </c>
      <c r="Q1238" s="2">
        <v>2.644079235</v>
      </c>
      <c r="R1238" s="2">
        <v>0.15996222399999999</v>
      </c>
      <c r="S1238" s="2">
        <v>0.15636074</v>
      </c>
      <c r="T1238" s="2">
        <v>3.008390828</v>
      </c>
      <c r="U1238" s="2">
        <v>2.6394518979999999</v>
      </c>
      <c r="V1238" s="2">
        <v>1.137186426</v>
      </c>
      <c r="W1238" s="2">
        <v>6.8866674000000003E-2</v>
      </c>
      <c r="X1238">
        <f t="shared" si="57"/>
        <v>0</v>
      </c>
      <c r="Y1238">
        <f t="shared" si="58"/>
        <v>1</v>
      </c>
      <c r="Z1238">
        <f t="shared" si="59"/>
        <v>0</v>
      </c>
    </row>
    <row r="1239" spans="1:26" ht="15.75" customHeight="1" x14ac:dyDescent="0.2">
      <c r="A1239" s="2" t="s">
        <v>23</v>
      </c>
      <c r="B1239" s="2" t="s">
        <v>35</v>
      </c>
      <c r="C1239" s="2" t="s">
        <v>30</v>
      </c>
      <c r="D1239" s="2" t="s">
        <v>31</v>
      </c>
      <c r="E1239" s="2">
        <v>160</v>
      </c>
      <c r="F1239" s="2">
        <v>240</v>
      </c>
      <c r="G1239" s="2">
        <v>944</v>
      </c>
      <c r="H1239" s="2">
        <v>1501.666667</v>
      </c>
      <c r="I1239" s="2">
        <v>3356</v>
      </c>
      <c r="J1239" s="2">
        <v>2.39</v>
      </c>
      <c r="K1239" s="2">
        <v>8.19</v>
      </c>
      <c r="L1239" s="2">
        <v>11.1</v>
      </c>
      <c r="M1239" s="2">
        <v>16.399999999999999</v>
      </c>
      <c r="N1239" s="2">
        <v>4.8666634320000002</v>
      </c>
      <c r="O1239" s="2">
        <v>4.9066165120000003</v>
      </c>
      <c r="P1239" s="2">
        <v>3.5826754969999999</v>
      </c>
      <c r="Q1239" s="2">
        <v>3.621037549</v>
      </c>
      <c r="R1239" s="2">
        <v>3.579317021</v>
      </c>
      <c r="S1239" s="2">
        <v>3.5829185039999998</v>
      </c>
      <c r="T1239" s="2">
        <v>0.155091534</v>
      </c>
      <c r="U1239" s="2">
        <v>0.52403046399999997</v>
      </c>
      <c r="V1239" s="2">
        <v>4.87646567</v>
      </c>
      <c r="W1239" s="2">
        <v>7.3455459000000001E-2</v>
      </c>
      <c r="X1239">
        <f t="shared" si="57"/>
        <v>0</v>
      </c>
      <c r="Y1239">
        <f t="shared" si="58"/>
        <v>1</v>
      </c>
      <c r="Z1239">
        <f t="shared" si="59"/>
        <v>1</v>
      </c>
    </row>
    <row r="1240" spans="1:26" ht="15.75" customHeight="1" x14ac:dyDescent="0.2">
      <c r="A1240" s="2" t="s">
        <v>23</v>
      </c>
      <c r="B1240" s="2" t="s">
        <v>35</v>
      </c>
      <c r="C1240" s="2" t="s">
        <v>28</v>
      </c>
      <c r="D1240" s="2" t="s">
        <v>29</v>
      </c>
      <c r="E1240" s="2">
        <v>155</v>
      </c>
      <c r="F1240" s="2">
        <v>254.33333329999999</v>
      </c>
      <c r="G1240" s="2">
        <v>299.33333329999999</v>
      </c>
      <c r="H1240" s="2">
        <v>1170</v>
      </c>
      <c r="I1240" s="2">
        <v>2219.333333</v>
      </c>
      <c r="J1240" s="2">
        <v>2.5499999999999998</v>
      </c>
      <c r="K1240" s="2">
        <v>3.02</v>
      </c>
      <c r="L1240" s="2">
        <v>9.49</v>
      </c>
      <c r="M1240" s="2">
        <v>13.71</v>
      </c>
      <c r="N1240" s="2">
        <v>1.991139244</v>
      </c>
      <c r="O1240" s="2">
        <v>1.3517110880000001</v>
      </c>
      <c r="P1240" s="2">
        <v>2.3703799000000001</v>
      </c>
      <c r="Q1240" s="2">
        <v>2.6541944220000002</v>
      </c>
      <c r="R1240" s="2">
        <v>1.583790611</v>
      </c>
      <c r="S1240" s="2">
        <v>1.580189128</v>
      </c>
      <c r="T1240" s="2">
        <v>1.76360658</v>
      </c>
      <c r="U1240" s="2">
        <v>2.1325455099999999</v>
      </c>
      <c r="V1240" s="2">
        <v>-0.28664196199999997</v>
      </c>
      <c r="W1240" s="2">
        <v>5.6025124000000003E-2</v>
      </c>
      <c r="X1240">
        <f t="shared" si="57"/>
        <v>0</v>
      </c>
      <c r="Y1240">
        <f t="shared" si="58"/>
        <v>1</v>
      </c>
      <c r="Z1240">
        <f t="shared" si="59"/>
        <v>1</v>
      </c>
    </row>
    <row r="1241" spans="1:26" ht="15.75" customHeight="1" x14ac:dyDescent="0.2">
      <c r="A1241" s="2" t="s">
        <v>23</v>
      </c>
      <c r="B1241" s="2" t="s">
        <v>35</v>
      </c>
      <c r="C1241" s="2" t="s">
        <v>28</v>
      </c>
      <c r="D1241" s="2" t="s">
        <v>29</v>
      </c>
      <c r="E1241" s="2">
        <v>169</v>
      </c>
      <c r="F1241" s="2">
        <v>243.33333329999999</v>
      </c>
      <c r="G1241" s="2">
        <v>311.66666670000001</v>
      </c>
      <c r="H1241" s="2">
        <v>1223.666667</v>
      </c>
      <c r="I1241" s="2">
        <v>2057</v>
      </c>
      <c r="J1241" s="2">
        <v>2.4300000000000002</v>
      </c>
      <c r="K1241" s="2">
        <v>3.15</v>
      </c>
      <c r="L1241" s="2">
        <v>9.77</v>
      </c>
      <c r="M1241" s="2">
        <v>13.2</v>
      </c>
      <c r="N1241" s="2">
        <v>2.1640324139999998</v>
      </c>
      <c r="O1241" s="2">
        <v>1.4294792380000001</v>
      </c>
      <c r="P1241" s="2">
        <v>2.077632506</v>
      </c>
      <c r="Q1241" s="2">
        <v>2.3525931450000002</v>
      </c>
      <c r="R1241" s="2">
        <v>1.4575182099999999</v>
      </c>
      <c r="S1241" s="2">
        <v>1.4539167260000001</v>
      </c>
      <c r="T1241" s="2">
        <v>1.4806071380000001</v>
      </c>
      <c r="U1241" s="2">
        <v>1.849546068</v>
      </c>
      <c r="V1241" s="2">
        <v>-0.16036955999999999</v>
      </c>
      <c r="W1241" s="2">
        <v>8.0413725000000005E-2</v>
      </c>
      <c r="X1241">
        <f t="shared" si="57"/>
        <v>0</v>
      </c>
      <c r="Y1241">
        <f t="shared" si="58"/>
        <v>1</v>
      </c>
      <c r="Z1241">
        <f t="shared" si="59"/>
        <v>1</v>
      </c>
    </row>
    <row r="1242" spans="1:26" ht="15.75" customHeight="1" x14ac:dyDescent="0.2">
      <c r="A1242" s="2" t="s">
        <v>23</v>
      </c>
      <c r="B1242" s="2" t="s">
        <v>35</v>
      </c>
      <c r="C1242" s="2" t="s">
        <v>32</v>
      </c>
      <c r="D1242" s="2" t="s">
        <v>33</v>
      </c>
      <c r="E1242" s="2">
        <v>150</v>
      </c>
      <c r="F1242" s="2">
        <v>237.66666670000001</v>
      </c>
      <c r="G1242" s="2">
        <v>472</v>
      </c>
      <c r="H1242" s="2">
        <v>1347</v>
      </c>
      <c r="I1242" s="2">
        <v>2335.666667</v>
      </c>
      <c r="J1242" s="2">
        <v>2.37</v>
      </c>
      <c r="K1242" s="2">
        <v>4.67</v>
      </c>
      <c r="L1242" s="2">
        <v>10.39</v>
      </c>
      <c r="M1242" s="2">
        <v>14.05</v>
      </c>
      <c r="N1242" s="2">
        <v>3.0437442460000002</v>
      </c>
      <c r="O1242" s="2">
        <v>2.9359713350000001</v>
      </c>
      <c r="P1242" s="2">
        <v>0.86767322899999999</v>
      </c>
      <c r="Q1242" s="2">
        <v>1.236029802</v>
      </c>
      <c r="R1242" s="2">
        <v>6.7477180999999997E-2</v>
      </c>
      <c r="S1242" s="2">
        <v>7.1078664E-2</v>
      </c>
      <c r="T1242" s="2">
        <v>0.86504546800000004</v>
      </c>
      <c r="U1242" s="2">
        <v>1.233984398</v>
      </c>
      <c r="V1242" s="2">
        <v>1.36462583</v>
      </c>
      <c r="W1242" s="2">
        <v>7.2305088000000003E-2</v>
      </c>
      <c r="X1242">
        <f t="shared" si="57"/>
        <v>0</v>
      </c>
      <c r="Y1242">
        <f t="shared" si="58"/>
        <v>1</v>
      </c>
      <c r="Z1242">
        <f t="shared" si="59"/>
        <v>1</v>
      </c>
    </row>
    <row r="1243" spans="1:26" ht="15.75" customHeight="1" x14ac:dyDescent="0.2">
      <c r="A1243" s="2" t="s">
        <v>23</v>
      </c>
      <c r="B1243" s="2" t="s">
        <v>35</v>
      </c>
      <c r="C1243" s="2" t="s">
        <v>26</v>
      </c>
      <c r="D1243" s="2" t="s">
        <v>26</v>
      </c>
      <c r="E1243" s="2">
        <v>124</v>
      </c>
      <c r="F1243" s="2">
        <v>261.33333329999999</v>
      </c>
      <c r="G1243" s="2">
        <v>431.33333329999999</v>
      </c>
      <c r="H1243" s="2">
        <v>842.66666669999995</v>
      </c>
      <c r="I1243" s="2">
        <v>2857.666667</v>
      </c>
      <c r="J1243" s="2">
        <v>2.62</v>
      </c>
      <c r="K1243" s="2">
        <v>4.3099999999999996</v>
      </c>
      <c r="L1243" s="2">
        <v>7.53</v>
      </c>
      <c r="M1243" s="2">
        <v>15.37</v>
      </c>
      <c r="N1243" s="2">
        <v>0.36446835300000002</v>
      </c>
      <c r="O1243" s="2">
        <v>1.2465348700000001</v>
      </c>
      <c r="P1243" s="2">
        <v>3.7364397650000001</v>
      </c>
      <c r="Q1243" s="2">
        <v>4.1040330989999996</v>
      </c>
      <c r="R1243" s="2">
        <v>0.29996395399999998</v>
      </c>
      <c r="S1243" s="2">
        <v>0.29636246999999999</v>
      </c>
      <c r="T1243" s="2">
        <v>3.724379646</v>
      </c>
      <c r="U1243" s="2">
        <v>4.0933185759999997</v>
      </c>
      <c r="V1243" s="2">
        <v>0.99718469600000004</v>
      </c>
      <c r="W1243" s="2">
        <v>8.0333858999999994E-2</v>
      </c>
      <c r="X1243">
        <f t="shared" si="57"/>
        <v>0</v>
      </c>
      <c r="Y1243">
        <f t="shared" si="58"/>
        <v>1</v>
      </c>
      <c r="Z1243">
        <f t="shared" si="59"/>
        <v>0</v>
      </c>
    </row>
    <row r="1244" spans="1:26" ht="15.75" customHeight="1" x14ac:dyDescent="0.2">
      <c r="A1244" s="2" t="s">
        <v>23</v>
      </c>
      <c r="B1244" s="2" t="s">
        <v>35</v>
      </c>
      <c r="C1244" s="2" t="s">
        <v>25</v>
      </c>
      <c r="D1244" s="2" t="s">
        <v>25</v>
      </c>
      <c r="E1244" s="2">
        <v>249</v>
      </c>
      <c r="F1244" s="2">
        <v>232.33333329999999</v>
      </c>
      <c r="G1244" s="2">
        <v>850</v>
      </c>
      <c r="H1244" s="2">
        <v>1662</v>
      </c>
      <c r="I1244" s="2">
        <v>2869.333333</v>
      </c>
      <c r="J1244" s="2">
        <v>2.31</v>
      </c>
      <c r="K1244" s="2">
        <v>7.58</v>
      </c>
      <c r="L1244" s="2">
        <v>11.77</v>
      </c>
      <c r="M1244" s="2">
        <v>15.4</v>
      </c>
      <c r="N1244" s="2">
        <v>0.24071521800000001</v>
      </c>
      <c r="O1244" s="2">
        <v>0.33260208000000002</v>
      </c>
      <c r="P1244" s="2">
        <v>3.0185874949999998</v>
      </c>
      <c r="Q1244" s="2">
        <v>2.9812808839999998</v>
      </c>
      <c r="R1244" s="2">
        <v>2.9740070790000002</v>
      </c>
      <c r="S1244" s="2">
        <v>2.9776085619999999</v>
      </c>
      <c r="T1244" s="2">
        <v>0.51686783700000005</v>
      </c>
      <c r="U1244" s="2">
        <v>0.147928907</v>
      </c>
      <c r="V1244" s="2">
        <v>4.2711557280000001</v>
      </c>
      <c r="W1244" s="2">
        <v>7.7864533E-2</v>
      </c>
      <c r="X1244">
        <f t="shared" si="57"/>
        <v>0</v>
      </c>
      <c r="Y1244">
        <f t="shared" si="58"/>
        <v>1</v>
      </c>
      <c r="Z1244">
        <f t="shared" si="59"/>
        <v>0</v>
      </c>
    </row>
    <row r="1245" spans="1:26" ht="15.75" customHeight="1" x14ac:dyDescent="0.2">
      <c r="A1245" s="2" t="s">
        <v>23</v>
      </c>
      <c r="B1245" s="2" t="s">
        <v>35</v>
      </c>
      <c r="C1245" s="2" t="s">
        <v>30</v>
      </c>
      <c r="D1245" s="2" t="s">
        <v>31</v>
      </c>
      <c r="E1245" s="2">
        <v>213</v>
      </c>
      <c r="F1245" s="2">
        <v>262.33333329999999</v>
      </c>
      <c r="G1245" s="2">
        <v>632.33333330000005</v>
      </c>
      <c r="H1245" s="2">
        <v>1512</v>
      </c>
      <c r="I1245" s="2">
        <v>3104.666667</v>
      </c>
      <c r="J1245" s="2">
        <v>2.63</v>
      </c>
      <c r="K1245" s="2">
        <v>6.01</v>
      </c>
      <c r="L1245" s="2">
        <v>11.15</v>
      </c>
      <c r="M1245" s="2">
        <v>15.9</v>
      </c>
      <c r="N1245" s="2">
        <v>3.4605888939999998</v>
      </c>
      <c r="O1245" s="2">
        <v>3.4119236339999999</v>
      </c>
      <c r="P1245" s="2">
        <v>1.4081298330000001</v>
      </c>
      <c r="Q1245" s="2">
        <v>1.4866650450000001</v>
      </c>
      <c r="R1245" s="2">
        <v>1.4038335630000001</v>
      </c>
      <c r="S1245" s="2">
        <v>1.407435046</v>
      </c>
      <c r="T1245" s="2">
        <v>0.109913392</v>
      </c>
      <c r="U1245" s="2">
        <v>0.478852322</v>
      </c>
      <c r="V1245" s="2">
        <v>2.700982212</v>
      </c>
      <c r="W1245" s="2">
        <v>6.9781124E-2</v>
      </c>
      <c r="X1245">
        <f t="shared" si="57"/>
        <v>0</v>
      </c>
      <c r="Y1245">
        <f t="shared" si="58"/>
        <v>1</v>
      </c>
      <c r="Z1245">
        <f t="shared" si="59"/>
        <v>1</v>
      </c>
    </row>
    <row r="1246" spans="1:26" ht="15.75" customHeight="1" x14ac:dyDescent="0.2">
      <c r="A1246" s="2" t="s">
        <v>23</v>
      </c>
      <c r="B1246" s="2" t="s">
        <v>35</v>
      </c>
      <c r="C1246" s="2" t="s">
        <v>27</v>
      </c>
      <c r="D1246" s="2" t="s">
        <v>27</v>
      </c>
      <c r="E1246" s="2">
        <v>152</v>
      </c>
      <c r="F1246" s="2">
        <v>239</v>
      </c>
      <c r="G1246" s="2">
        <v>445.66666670000001</v>
      </c>
      <c r="H1246" s="2">
        <v>2403.333333</v>
      </c>
      <c r="I1246" s="2">
        <v>3319</v>
      </c>
      <c r="J1246" s="2">
        <v>2.38</v>
      </c>
      <c r="K1246" s="2">
        <v>4.4400000000000004</v>
      </c>
      <c r="L1246" s="2">
        <v>14.24</v>
      </c>
      <c r="M1246" s="2">
        <v>16.329999999999998</v>
      </c>
      <c r="N1246" s="2">
        <v>3.5335107999999997E-2</v>
      </c>
      <c r="O1246" s="2">
        <v>0.19332120999999999</v>
      </c>
      <c r="P1246" s="2">
        <v>2.9865569760000001</v>
      </c>
      <c r="Q1246" s="2">
        <v>2.6180626990000002</v>
      </c>
      <c r="R1246" s="2">
        <v>0.16903836999999999</v>
      </c>
      <c r="S1246" s="2">
        <v>0.165436887</v>
      </c>
      <c r="T1246" s="2">
        <v>2.9817693749999998</v>
      </c>
      <c r="U1246" s="2">
        <v>2.6128304450000002</v>
      </c>
      <c r="V1246" s="2">
        <v>1.1281102789999999</v>
      </c>
      <c r="W1246" s="2">
        <v>5.1858275000000002E-2</v>
      </c>
      <c r="X1246">
        <f t="shared" si="57"/>
        <v>0</v>
      </c>
      <c r="Y1246">
        <f t="shared" si="58"/>
        <v>1</v>
      </c>
      <c r="Z1246">
        <f t="shared" si="59"/>
        <v>0</v>
      </c>
    </row>
    <row r="1247" spans="1:26" ht="15.75" customHeight="1" x14ac:dyDescent="0.2">
      <c r="A1247" s="2" t="s">
        <v>23</v>
      </c>
      <c r="B1247" s="2" t="s">
        <v>35</v>
      </c>
      <c r="C1247" s="2" t="s">
        <v>30</v>
      </c>
      <c r="D1247" s="2" t="s">
        <v>31</v>
      </c>
      <c r="E1247" s="2">
        <v>257</v>
      </c>
      <c r="F1247" s="2">
        <v>258</v>
      </c>
      <c r="G1247" s="2">
        <v>458.66666670000001</v>
      </c>
      <c r="H1247" s="2">
        <v>1359.666667</v>
      </c>
      <c r="I1247" s="2">
        <v>2453.333333</v>
      </c>
      <c r="J1247" s="2">
        <v>2.59</v>
      </c>
      <c r="K1247" s="2">
        <v>4.55</v>
      </c>
      <c r="L1247" s="2">
        <v>10.45</v>
      </c>
      <c r="M1247" s="2">
        <v>14.37</v>
      </c>
      <c r="N1247" s="2">
        <v>3.7952086600000001</v>
      </c>
      <c r="O1247" s="2">
        <v>3.6568006359999998</v>
      </c>
      <c r="P1247" s="2">
        <v>0.80607104399999996</v>
      </c>
      <c r="Q1247" s="2">
        <v>1.1743372540000001</v>
      </c>
      <c r="R1247" s="2">
        <v>5.1633863000000002E-2</v>
      </c>
      <c r="S1247" s="2">
        <v>4.803238E-2</v>
      </c>
      <c r="T1247" s="2">
        <v>0.80441560999999995</v>
      </c>
      <c r="U1247" s="2">
        <v>1.1733545400000001</v>
      </c>
      <c r="V1247" s="2">
        <v>1.245514786</v>
      </c>
      <c r="W1247" s="2">
        <v>5.9594007999999997E-2</v>
      </c>
      <c r="X1247">
        <f t="shared" si="57"/>
        <v>0</v>
      </c>
      <c r="Y1247">
        <f t="shared" si="58"/>
        <v>1</v>
      </c>
      <c r="Z1247">
        <f t="shared" si="59"/>
        <v>1</v>
      </c>
    </row>
    <row r="1248" spans="1:26" ht="15.75" customHeight="1" x14ac:dyDescent="0.2">
      <c r="A1248" s="2" t="s">
        <v>23</v>
      </c>
      <c r="B1248" s="2" t="s">
        <v>35</v>
      </c>
      <c r="C1248" s="2" t="s">
        <v>27</v>
      </c>
      <c r="D1248" s="2" t="s">
        <v>27</v>
      </c>
      <c r="E1248" s="2">
        <v>146</v>
      </c>
      <c r="F1248" s="2">
        <v>246</v>
      </c>
      <c r="G1248" s="2">
        <v>445.33333329999999</v>
      </c>
      <c r="H1248" s="2">
        <v>2488.666667</v>
      </c>
      <c r="I1248" s="2">
        <v>3475.333333</v>
      </c>
      <c r="J1248" s="2">
        <v>2.46</v>
      </c>
      <c r="K1248" s="2">
        <v>4.43</v>
      </c>
      <c r="L1248" s="2">
        <v>14.47</v>
      </c>
      <c r="M1248" s="2">
        <v>16.61</v>
      </c>
      <c r="N1248" s="2">
        <v>0.22600927200000001</v>
      </c>
      <c r="O1248" s="2">
        <v>0.39209938599999999</v>
      </c>
      <c r="P1248" s="2">
        <v>3.2173797390000001</v>
      </c>
      <c r="Q1248" s="2">
        <v>2.8488218719999998</v>
      </c>
      <c r="R1248" s="2">
        <v>0.17206542899999999</v>
      </c>
      <c r="S1248" s="2">
        <v>0.168463946</v>
      </c>
      <c r="T1248" s="2">
        <v>3.2127754159999999</v>
      </c>
      <c r="U1248" s="2">
        <v>2.8438364859999998</v>
      </c>
      <c r="V1248" s="2">
        <v>1.1250832200000001</v>
      </c>
      <c r="W1248" s="2">
        <v>7.7852787000000007E-2</v>
      </c>
      <c r="X1248">
        <f t="shared" si="57"/>
        <v>0</v>
      </c>
      <c r="Y1248">
        <f t="shared" si="58"/>
        <v>1</v>
      </c>
      <c r="Z1248">
        <f t="shared" si="59"/>
        <v>0</v>
      </c>
    </row>
    <row r="1249" spans="1:26" ht="15.75" customHeight="1" x14ac:dyDescent="0.2">
      <c r="A1249" s="2" t="s">
        <v>23</v>
      </c>
      <c r="B1249" s="2" t="s">
        <v>35</v>
      </c>
      <c r="C1249" s="2" t="s">
        <v>26</v>
      </c>
      <c r="D1249" s="2" t="s">
        <v>26</v>
      </c>
      <c r="E1249" s="2">
        <v>115</v>
      </c>
      <c r="F1249" s="2">
        <v>271.33333329999999</v>
      </c>
      <c r="G1249" s="2">
        <v>408.66666670000001</v>
      </c>
      <c r="H1249" s="2">
        <v>926.66666669999995</v>
      </c>
      <c r="I1249" s="2">
        <v>3209</v>
      </c>
      <c r="J1249" s="2">
        <v>2.73</v>
      </c>
      <c r="K1249" s="2">
        <v>4.0999999999999996</v>
      </c>
      <c r="L1249" s="2">
        <v>8.08</v>
      </c>
      <c r="M1249" s="2">
        <v>16.11</v>
      </c>
      <c r="N1249" s="2">
        <v>0.220521034</v>
      </c>
      <c r="O1249" s="2">
        <v>0.69634620300000005</v>
      </c>
      <c r="P1249" s="2">
        <v>3.2194829189999998</v>
      </c>
      <c r="Q1249" s="2">
        <v>3.5837249550000001</v>
      </c>
      <c r="R1249" s="2">
        <v>0.51024323199999999</v>
      </c>
      <c r="S1249" s="2">
        <v>0.50664174799999995</v>
      </c>
      <c r="T1249" s="2">
        <v>3.1787925549999998</v>
      </c>
      <c r="U1249" s="2">
        <v>3.5477314849999999</v>
      </c>
      <c r="V1249" s="2">
        <v>0.78690541800000002</v>
      </c>
      <c r="W1249" s="2">
        <v>9.4682737000000003E-2</v>
      </c>
      <c r="X1249">
        <f t="shared" si="57"/>
        <v>0</v>
      </c>
      <c r="Y1249">
        <f t="shared" si="58"/>
        <v>1</v>
      </c>
      <c r="Z1249">
        <f t="shared" si="59"/>
        <v>0</v>
      </c>
    </row>
    <row r="1250" spans="1:26" ht="15.75" customHeight="1" x14ac:dyDescent="0.2">
      <c r="A1250" s="2" t="s">
        <v>23</v>
      </c>
      <c r="B1250" s="2" t="s">
        <v>35</v>
      </c>
      <c r="C1250" s="2" t="s">
        <v>27</v>
      </c>
      <c r="D1250" s="2" t="s">
        <v>27</v>
      </c>
      <c r="E1250" s="2">
        <v>144</v>
      </c>
      <c r="F1250" s="2">
        <v>258.33333329999999</v>
      </c>
      <c r="G1250" s="2">
        <v>462</v>
      </c>
      <c r="H1250" s="2">
        <v>2435.333333</v>
      </c>
      <c r="I1250" s="2">
        <v>3247</v>
      </c>
      <c r="J1250" s="2">
        <v>2.59</v>
      </c>
      <c r="K1250" s="2">
        <v>4.58</v>
      </c>
      <c r="L1250" s="2">
        <v>14.32</v>
      </c>
      <c r="M1250" s="2">
        <v>16.190000000000001</v>
      </c>
      <c r="N1250" s="2">
        <v>0.13813024500000001</v>
      </c>
      <c r="O1250" s="2">
        <v>0.361702933</v>
      </c>
      <c r="P1250" s="2">
        <v>3.0695247220000001</v>
      </c>
      <c r="Q1250" s="2">
        <v>2.7005697209999999</v>
      </c>
      <c r="R1250" s="2">
        <v>2.1733155000000001E-2</v>
      </c>
      <c r="S1250" s="2">
        <v>1.8131672000000001E-2</v>
      </c>
      <c r="T1250" s="2">
        <v>3.0694477820000001</v>
      </c>
      <c r="U1250" s="2">
        <v>2.700508852</v>
      </c>
      <c r="V1250" s="2">
        <v>1.275415494</v>
      </c>
      <c r="W1250" s="2">
        <v>5.3860163000000003E-2</v>
      </c>
      <c r="X1250">
        <f t="shared" si="57"/>
        <v>0</v>
      </c>
      <c r="Y1250">
        <f t="shared" si="58"/>
        <v>1</v>
      </c>
      <c r="Z1250">
        <f t="shared" si="59"/>
        <v>0</v>
      </c>
    </row>
    <row r="1251" spans="1:26" ht="15.75" customHeight="1" x14ac:dyDescent="0.2">
      <c r="A1251" s="2" t="s">
        <v>23</v>
      </c>
      <c r="B1251" s="2" t="s">
        <v>35</v>
      </c>
      <c r="C1251" s="2" t="s">
        <v>30</v>
      </c>
      <c r="D1251" s="2" t="s">
        <v>31</v>
      </c>
      <c r="E1251" s="2">
        <v>171</v>
      </c>
      <c r="F1251" s="2">
        <v>242.66666670000001</v>
      </c>
      <c r="G1251" s="2">
        <v>748.66666669999995</v>
      </c>
      <c r="H1251" s="2">
        <v>1302</v>
      </c>
      <c r="I1251" s="2">
        <v>2382.666667</v>
      </c>
      <c r="J1251" s="2">
        <v>2.42</v>
      </c>
      <c r="K1251" s="2">
        <v>6.88</v>
      </c>
      <c r="L1251" s="2">
        <v>10.17</v>
      </c>
      <c r="M1251" s="2">
        <v>14.18</v>
      </c>
      <c r="N1251" s="2">
        <v>4.7330923269999996</v>
      </c>
      <c r="O1251" s="2">
        <v>4.6987366689999996</v>
      </c>
      <c r="P1251" s="2">
        <v>2.5196369839999999</v>
      </c>
      <c r="Q1251" s="2">
        <v>2.7020594390000001</v>
      </c>
      <c r="R1251" s="2">
        <v>2.2744175009999998</v>
      </c>
      <c r="S1251" s="2">
        <v>2.278018984</v>
      </c>
      <c r="T1251" s="2">
        <v>1.084248849</v>
      </c>
      <c r="U1251" s="2">
        <v>1.4531877790000001</v>
      </c>
      <c r="V1251" s="2">
        <v>3.5715661500000002</v>
      </c>
      <c r="W1251" s="2">
        <v>5.0273900000000003E-2</v>
      </c>
      <c r="X1251">
        <f t="shared" si="57"/>
        <v>0</v>
      </c>
      <c r="Y1251">
        <f t="shared" si="58"/>
        <v>1</v>
      </c>
      <c r="Z1251">
        <f t="shared" si="59"/>
        <v>1</v>
      </c>
    </row>
    <row r="1252" spans="1:26" ht="15.75" customHeight="1" x14ac:dyDescent="0.2">
      <c r="A1252" s="2" t="s">
        <v>23</v>
      </c>
      <c r="B1252" s="2" t="s">
        <v>35</v>
      </c>
      <c r="C1252" s="2" t="s">
        <v>27</v>
      </c>
      <c r="D1252" s="2" t="s">
        <v>27</v>
      </c>
      <c r="E1252" s="2">
        <v>184</v>
      </c>
      <c r="F1252" s="2">
        <v>244.33333329999999</v>
      </c>
      <c r="G1252" s="2">
        <v>458.66666670000001</v>
      </c>
      <c r="H1252" s="2">
        <v>2340</v>
      </c>
      <c r="I1252" s="2">
        <v>3244</v>
      </c>
      <c r="J1252" s="2">
        <v>2.44</v>
      </c>
      <c r="K1252" s="2">
        <v>4.55</v>
      </c>
      <c r="L1252" s="2">
        <v>14.06</v>
      </c>
      <c r="M1252" s="2">
        <v>16.18</v>
      </c>
      <c r="N1252" s="2">
        <v>0.203221605</v>
      </c>
      <c r="O1252" s="2">
        <v>0.25569447299999998</v>
      </c>
      <c r="P1252" s="2">
        <v>2.8048672290000001</v>
      </c>
      <c r="Q1252" s="2">
        <v>2.435926609</v>
      </c>
      <c r="R1252" s="2">
        <v>5.1633863000000002E-2</v>
      </c>
      <c r="S1252" s="2">
        <v>4.803238E-2</v>
      </c>
      <c r="T1252" s="2">
        <v>2.8043919339999999</v>
      </c>
      <c r="U1252" s="2">
        <v>2.4354530040000002</v>
      </c>
      <c r="V1252" s="2">
        <v>1.245514786</v>
      </c>
      <c r="W1252" s="2">
        <v>6.117471E-2</v>
      </c>
      <c r="X1252">
        <f t="shared" si="57"/>
        <v>0</v>
      </c>
      <c r="Y1252">
        <f t="shared" si="58"/>
        <v>1</v>
      </c>
      <c r="Z1252">
        <f t="shared" si="59"/>
        <v>0</v>
      </c>
    </row>
    <row r="1253" spans="1:26" ht="15.75" customHeight="1" x14ac:dyDescent="0.2">
      <c r="A1253" s="2" t="s">
        <v>23</v>
      </c>
      <c r="B1253" s="2" t="s">
        <v>35</v>
      </c>
      <c r="C1253" s="2" t="s">
        <v>26</v>
      </c>
      <c r="D1253" s="2" t="s">
        <v>26</v>
      </c>
      <c r="E1253" s="2">
        <v>133</v>
      </c>
      <c r="F1253" s="2">
        <v>243</v>
      </c>
      <c r="G1253" s="2">
        <v>427.33333329999999</v>
      </c>
      <c r="H1253" s="2">
        <v>1043.333333</v>
      </c>
      <c r="I1253" s="2">
        <v>3056</v>
      </c>
      <c r="J1253" s="2">
        <v>2.4300000000000002</v>
      </c>
      <c r="K1253" s="2">
        <v>4.2699999999999996</v>
      </c>
      <c r="L1253" s="2">
        <v>8.7799999999999994</v>
      </c>
      <c r="M1253" s="2">
        <v>15.8</v>
      </c>
      <c r="N1253" s="2">
        <v>0.91362471099999998</v>
      </c>
      <c r="O1253" s="2">
        <v>0.105407826</v>
      </c>
      <c r="P1253" s="2">
        <v>2.4945011359999998</v>
      </c>
      <c r="Q1253" s="2">
        <v>2.8600740870000001</v>
      </c>
      <c r="R1253" s="2">
        <v>0.33678191099999999</v>
      </c>
      <c r="S1253" s="2">
        <v>0.33318042799999997</v>
      </c>
      <c r="T1253" s="2">
        <v>2.4716621660000002</v>
      </c>
      <c r="U1253" s="2">
        <v>2.8406010959999999</v>
      </c>
      <c r="V1253" s="2">
        <v>0.96036673800000005</v>
      </c>
      <c r="W1253" s="2">
        <v>7.0682519999999999E-2</v>
      </c>
      <c r="X1253">
        <f t="shared" si="57"/>
        <v>0</v>
      </c>
      <c r="Y1253">
        <f t="shared" si="58"/>
        <v>1</v>
      </c>
      <c r="Z1253">
        <f t="shared" si="59"/>
        <v>0</v>
      </c>
    </row>
    <row r="1254" spans="1:26" ht="15.75" customHeight="1" x14ac:dyDescent="0.2">
      <c r="A1254" s="2" t="s">
        <v>23</v>
      </c>
      <c r="B1254" s="2" t="s">
        <v>35</v>
      </c>
      <c r="C1254" s="2" t="s">
        <v>30</v>
      </c>
      <c r="D1254" s="2" t="s">
        <v>31</v>
      </c>
      <c r="E1254" s="2">
        <v>167</v>
      </c>
      <c r="F1254" s="2">
        <v>247</v>
      </c>
      <c r="G1254" s="2">
        <v>447.66666670000001</v>
      </c>
      <c r="H1254" s="2">
        <v>1240</v>
      </c>
      <c r="I1254" s="2">
        <v>2444.666667</v>
      </c>
      <c r="J1254" s="2">
        <v>2.4700000000000002</v>
      </c>
      <c r="K1254" s="2">
        <v>4.45</v>
      </c>
      <c r="L1254" s="2">
        <v>9.86</v>
      </c>
      <c r="M1254" s="2">
        <v>14.35</v>
      </c>
      <c r="N1254" s="2">
        <v>4.3862761020000001</v>
      </c>
      <c r="O1254" s="2">
        <v>4.242780947</v>
      </c>
      <c r="P1254" s="2">
        <v>1.4044902459999999</v>
      </c>
      <c r="Q1254" s="2">
        <v>1.771434086</v>
      </c>
      <c r="R1254" s="2">
        <v>0.15089361700000001</v>
      </c>
      <c r="S1254" s="2">
        <v>0.14729213299999999</v>
      </c>
      <c r="T1254" s="2">
        <v>1.3963609729999999</v>
      </c>
      <c r="U1254" s="2">
        <v>1.7652999030000001</v>
      </c>
      <c r="V1254" s="2">
        <v>1.1462550330000001</v>
      </c>
      <c r="W1254" s="2">
        <v>4.7304089000000001E-2</v>
      </c>
      <c r="X1254">
        <f t="shared" si="57"/>
        <v>0</v>
      </c>
      <c r="Y1254">
        <f t="shared" si="58"/>
        <v>1</v>
      </c>
      <c r="Z1254">
        <f t="shared" si="59"/>
        <v>1</v>
      </c>
    </row>
    <row r="1255" spans="1:26" ht="15.75" customHeight="1" x14ac:dyDescent="0.2">
      <c r="A1255" s="2" t="s">
        <v>23</v>
      </c>
      <c r="B1255" s="2" t="s">
        <v>35</v>
      </c>
      <c r="C1255" s="2" t="s">
        <v>32</v>
      </c>
      <c r="D1255" s="2" t="s">
        <v>33</v>
      </c>
      <c r="E1255" s="2">
        <v>163</v>
      </c>
      <c r="F1255" s="2">
        <v>224</v>
      </c>
      <c r="G1255" s="2">
        <v>675.33333330000005</v>
      </c>
      <c r="H1255" s="2">
        <v>1295</v>
      </c>
      <c r="I1255" s="2">
        <v>3092.333333</v>
      </c>
      <c r="J1255" s="2">
        <v>2.2200000000000002</v>
      </c>
      <c r="K1255" s="2">
        <v>6.34</v>
      </c>
      <c r="L1255" s="2">
        <v>10.14</v>
      </c>
      <c r="M1255" s="2">
        <v>15.88</v>
      </c>
      <c r="N1255" s="2">
        <v>1.820351896</v>
      </c>
      <c r="O1255" s="2">
        <v>1.8956583789999999</v>
      </c>
      <c r="P1255" s="2">
        <v>2.0641429740000001</v>
      </c>
      <c r="Q1255" s="2">
        <v>2.2879936170000001</v>
      </c>
      <c r="R1255" s="2">
        <v>1.734579823</v>
      </c>
      <c r="S1255" s="2">
        <v>1.738181306</v>
      </c>
      <c r="T1255" s="2">
        <v>1.118891887</v>
      </c>
      <c r="U1255" s="2">
        <v>1.4878308170000001</v>
      </c>
      <c r="V1255" s="2">
        <v>3.0317284720000002</v>
      </c>
      <c r="W1255" s="2">
        <v>6.3324491999999996E-2</v>
      </c>
      <c r="X1255">
        <f t="shared" si="57"/>
        <v>0</v>
      </c>
      <c r="Y1255">
        <f t="shared" si="58"/>
        <v>1</v>
      </c>
      <c r="Z1255">
        <f t="shared" si="59"/>
        <v>1</v>
      </c>
    </row>
    <row r="1256" spans="1:26" ht="15.75" customHeight="1" x14ac:dyDescent="0.2">
      <c r="A1256" s="2" t="s">
        <v>23</v>
      </c>
      <c r="B1256" s="2" t="s">
        <v>35</v>
      </c>
      <c r="C1256" s="2" t="s">
        <v>28</v>
      </c>
      <c r="D1256" s="2" t="s">
        <v>29</v>
      </c>
      <c r="E1256" s="2">
        <v>188</v>
      </c>
      <c r="F1256" s="2">
        <v>238</v>
      </c>
      <c r="G1256" s="2">
        <v>317.33333329999999</v>
      </c>
      <c r="H1256" s="2">
        <v>1243.333333</v>
      </c>
      <c r="I1256" s="2">
        <v>2168</v>
      </c>
      <c r="J1256" s="2">
        <v>2.37</v>
      </c>
      <c r="K1256" s="2">
        <v>3.21</v>
      </c>
      <c r="L1256" s="2">
        <v>9.8800000000000008</v>
      </c>
      <c r="M1256" s="2">
        <v>13.55</v>
      </c>
      <c r="N1256" s="2">
        <v>2.227711132</v>
      </c>
      <c r="O1256" s="2">
        <v>1.4641499469999999</v>
      </c>
      <c r="P1256" s="2">
        <v>1.9652690500000001</v>
      </c>
      <c r="Q1256" s="2">
        <v>2.2374232529999998</v>
      </c>
      <c r="R1256" s="2">
        <v>1.3999597260000001</v>
      </c>
      <c r="S1256" s="2">
        <v>1.3963582430000001</v>
      </c>
      <c r="T1256" s="2">
        <v>1.3792734339999999</v>
      </c>
      <c r="U1256" s="2">
        <v>1.748212364</v>
      </c>
      <c r="V1256" s="2">
        <v>-0.102811077</v>
      </c>
      <c r="W1256" s="2">
        <v>6.4667028000000001E-2</v>
      </c>
      <c r="X1256">
        <f t="shared" si="57"/>
        <v>0</v>
      </c>
      <c r="Y1256">
        <f t="shared" si="58"/>
        <v>1</v>
      </c>
      <c r="Z1256">
        <f t="shared" si="59"/>
        <v>1</v>
      </c>
    </row>
    <row r="1257" spans="1:26" ht="15.75" customHeight="1" x14ac:dyDescent="0.2">
      <c r="A1257" s="2" t="s">
        <v>23</v>
      </c>
      <c r="B1257" s="2" t="s">
        <v>35</v>
      </c>
      <c r="C1257" s="2" t="s">
        <v>28</v>
      </c>
      <c r="D1257" s="2" t="s">
        <v>29</v>
      </c>
      <c r="E1257" s="2">
        <v>190</v>
      </c>
      <c r="F1257" s="2">
        <v>271</v>
      </c>
      <c r="G1257" s="2">
        <v>339.33333329999999</v>
      </c>
      <c r="H1257" s="2">
        <v>1031.666667</v>
      </c>
      <c r="I1257" s="2">
        <v>2156</v>
      </c>
      <c r="J1257" s="2">
        <v>2.73</v>
      </c>
      <c r="K1257" s="2">
        <v>3.43</v>
      </c>
      <c r="L1257" s="2">
        <v>8.7200000000000006</v>
      </c>
      <c r="M1257" s="2">
        <v>13.51</v>
      </c>
      <c r="N1257" s="2">
        <v>1.1313653370000001</v>
      </c>
      <c r="O1257" s="2">
        <v>0.73993346400000004</v>
      </c>
      <c r="P1257" s="2">
        <v>2.8002746840000001</v>
      </c>
      <c r="Q1257" s="2">
        <v>3.1374041250000002</v>
      </c>
      <c r="R1257" s="2">
        <v>1.1791861830000001</v>
      </c>
      <c r="S1257" s="2">
        <v>1.1755846990000001</v>
      </c>
      <c r="T1257" s="2">
        <v>2.5398933549999998</v>
      </c>
      <c r="U1257" s="2">
        <v>2.9088322849999999</v>
      </c>
      <c r="V1257" s="2">
        <v>0.117962467</v>
      </c>
      <c r="W1257" s="2">
        <v>8.6098754E-2</v>
      </c>
      <c r="X1257">
        <f t="shared" si="57"/>
        <v>0</v>
      </c>
      <c r="Y1257">
        <f t="shared" si="58"/>
        <v>1</v>
      </c>
      <c r="Z1257">
        <f t="shared" si="59"/>
        <v>1</v>
      </c>
    </row>
    <row r="1258" spans="1:26" ht="15.75" customHeight="1" x14ac:dyDescent="0.2">
      <c r="A1258" s="2" t="s">
        <v>23</v>
      </c>
      <c r="B1258" s="2" t="s">
        <v>35</v>
      </c>
      <c r="C1258" s="2" t="s">
        <v>26</v>
      </c>
      <c r="D1258" s="2" t="s">
        <v>26</v>
      </c>
      <c r="E1258" s="2">
        <v>183</v>
      </c>
      <c r="F1258" s="2">
        <v>255.66666670000001</v>
      </c>
      <c r="G1258" s="2">
        <v>409.66666670000001</v>
      </c>
      <c r="H1258" s="2">
        <v>756.33333330000005</v>
      </c>
      <c r="I1258" s="2">
        <v>2920.666667</v>
      </c>
      <c r="J1258" s="2">
        <v>2.56</v>
      </c>
      <c r="K1258" s="2">
        <v>4.0999999999999996</v>
      </c>
      <c r="L1258" s="2">
        <v>6.93</v>
      </c>
      <c r="M1258" s="2">
        <v>15.51</v>
      </c>
      <c r="N1258" s="2">
        <v>0.94229634100000004</v>
      </c>
      <c r="O1258" s="2">
        <v>1.8353792090000001</v>
      </c>
      <c r="P1258" s="2">
        <v>4.3492229010000001</v>
      </c>
      <c r="Q1258" s="2">
        <v>4.7155172739999998</v>
      </c>
      <c r="R1258" s="2">
        <v>0.50088138199999999</v>
      </c>
      <c r="S1258" s="2">
        <v>0.497279898</v>
      </c>
      <c r="T1258" s="2">
        <v>4.3202844450000004</v>
      </c>
      <c r="U1258" s="2">
        <v>4.6892233750000001</v>
      </c>
      <c r="V1258" s="2">
        <v>0.79626726800000003</v>
      </c>
      <c r="W1258" s="2">
        <v>9.9102440999999999E-2</v>
      </c>
      <c r="X1258">
        <f t="shared" si="57"/>
        <v>0</v>
      </c>
      <c r="Y1258">
        <f t="shared" si="58"/>
        <v>1</v>
      </c>
      <c r="Z1258">
        <f t="shared" si="59"/>
        <v>0</v>
      </c>
    </row>
    <row r="1259" spans="1:26" ht="15.75" customHeight="1" x14ac:dyDescent="0.2">
      <c r="A1259" s="2" t="s">
        <v>23</v>
      </c>
      <c r="B1259" s="2" t="s">
        <v>35</v>
      </c>
      <c r="C1259" s="2" t="s">
        <v>25</v>
      </c>
      <c r="D1259" s="2" t="s">
        <v>25</v>
      </c>
      <c r="E1259" s="2">
        <v>182</v>
      </c>
      <c r="F1259" s="2">
        <v>239.66666670000001</v>
      </c>
      <c r="G1259" s="2">
        <v>790.33333330000005</v>
      </c>
      <c r="H1259" s="2">
        <v>1583</v>
      </c>
      <c r="I1259" s="2">
        <v>3090.666667</v>
      </c>
      <c r="J1259" s="2">
        <v>2.39</v>
      </c>
      <c r="K1259" s="2">
        <v>7.17</v>
      </c>
      <c r="L1259" s="2">
        <v>11.45</v>
      </c>
      <c r="M1259" s="2">
        <v>15.88</v>
      </c>
      <c r="N1259" s="2">
        <v>0.32928421400000002</v>
      </c>
      <c r="O1259" s="2">
        <v>0.35952169699999997</v>
      </c>
      <c r="P1259" s="2">
        <v>2.575588078</v>
      </c>
      <c r="Q1259" s="2">
        <v>2.5779047450000001</v>
      </c>
      <c r="R1259" s="2">
        <v>2.5683182869999999</v>
      </c>
      <c r="S1259" s="2">
        <v>2.57191977</v>
      </c>
      <c r="T1259" s="2">
        <v>0.193378196</v>
      </c>
      <c r="U1259" s="2">
        <v>0.175560734</v>
      </c>
      <c r="V1259" s="2">
        <v>3.8654669359999998</v>
      </c>
      <c r="W1259" s="2">
        <v>6.9677356999999995E-2</v>
      </c>
      <c r="X1259">
        <f t="shared" si="57"/>
        <v>0</v>
      </c>
      <c r="Y1259">
        <f t="shared" si="58"/>
        <v>1</v>
      </c>
      <c r="Z1259">
        <f t="shared" si="59"/>
        <v>0</v>
      </c>
    </row>
    <row r="1260" spans="1:26" ht="15.75" customHeight="1" x14ac:dyDescent="0.2">
      <c r="A1260" s="2" t="s">
        <v>23</v>
      </c>
      <c r="B1260" s="2" t="s">
        <v>35</v>
      </c>
      <c r="C1260" s="2" t="s">
        <v>30</v>
      </c>
      <c r="D1260" s="2" t="s">
        <v>31</v>
      </c>
      <c r="E1260" s="2">
        <v>191</v>
      </c>
      <c r="F1260" s="2">
        <v>249</v>
      </c>
      <c r="G1260" s="2">
        <v>431.33333329999999</v>
      </c>
      <c r="H1260" s="2">
        <v>1274.333333</v>
      </c>
      <c r="I1260" s="2">
        <v>2571.666667</v>
      </c>
      <c r="J1260" s="2">
        <v>2.4900000000000002</v>
      </c>
      <c r="K1260" s="2">
        <v>4.3099999999999996</v>
      </c>
      <c r="L1260" s="2">
        <v>10.029999999999999</v>
      </c>
      <c r="M1260" s="2">
        <v>14.68</v>
      </c>
      <c r="N1260" s="2">
        <v>4.2151743169999998</v>
      </c>
      <c r="O1260" s="2">
        <v>4.0656943529999996</v>
      </c>
      <c r="P1260" s="2">
        <v>1.2583224470000001</v>
      </c>
      <c r="Q1260" s="2">
        <v>1.6183524090000001</v>
      </c>
      <c r="R1260" s="2">
        <v>0.29996395399999998</v>
      </c>
      <c r="S1260" s="2">
        <v>0.29636246999999999</v>
      </c>
      <c r="T1260" s="2">
        <v>1.2220462379999999</v>
      </c>
      <c r="U1260" s="2">
        <v>1.590985168</v>
      </c>
      <c r="V1260" s="2">
        <v>0.99718469600000004</v>
      </c>
      <c r="W1260" s="2">
        <v>6.7852786999999998E-2</v>
      </c>
      <c r="X1260">
        <f t="shared" si="57"/>
        <v>0</v>
      </c>
      <c r="Y1260">
        <f t="shared" si="58"/>
        <v>1</v>
      </c>
      <c r="Z1260">
        <f t="shared" si="59"/>
        <v>1</v>
      </c>
    </row>
    <row r="1261" spans="1:26" ht="15.75" customHeight="1" x14ac:dyDescent="0.2">
      <c r="A1261" s="2" t="s">
        <v>23</v>
      </c>
      <c r="B1261" s="2" t="s">
        <v>35</v>
      </c>
      <c r="C1261" s="2" t="s">
        <v>28</v>
      </c>
      <c r="D1261" s="2" t="s">
        <v>29</v>
      </c>
      <c r="E1261" s="2">
        <v>146</v>
      </c>
      <c r="F1261" s="2">
        <v>242.33333329999999</v>
      </c>
      <c r="G1261" s="2">
        <v>290.33333329999999</v>
      </c>
      <c r="H1261" s="2">
        <v>1182.666667</v>
      </c>
      <c r="I1261" s="2">
        <v>2205</v>
      </c>
      <c r="J1261" s="2">
        <v>2.42</v>
      </c>
      <c r="K1261" s="2">
        <v>2.93</v>
      </c>
      <c r="L1261" s="2">
        <v>9.56</v>
      </c>
      <c r="M1261" s="2">
        <v>13.66</v>
      </c>
      <c r="N1261" s="2">
        <v>2.10066014</v>
      </c>
      <c r="O1261" s="2">
        <v>1.4665125379999999</v>
      </c>
      <c r="P1261" s="2">
        <v>2.3849321510000001</v>
      </c>
      <c r="Q1261" s="2">
        <v>2.6576961899999998</v>
      </c>
      <c r="R1261" s="2">
        <v>1.6768088750000001</v>
      </c>
      <c r="S1261" s="2">
        <v>1.6732073919999999</v>
      </c>
      <c r="T1261" s="2">
        <v>1.695940258</v>
      </c>
      <c r="U1261" s="2">
        <v>2.0648791879999999</v>
      </c>
      <c r="V1261" s="2">
        <v>-0.37966022599999999</v>
      </c>
      <c r="W1261" s="2">
        <v>6.377787E-2</v>
      </c>
      <c r="X1261">
        <f t="shared" si="57"/>
        <v>0</v>
      </c>
      <c r="Y1261">
        <f t="shared" si="58"/>
        <v>1</v>
      </c>
      <c r="Z1261">
        <f t="shared" si="59"/>
        <v>1</v>
      </c>
    </row>
    <row r="1262" spans="1:26" ht="15.75" customHeight="1" x14ac:dyDescent="0.2">
      <c r="A1262" s="2" t="s">
        <v>23</v>
      </c>
      <c r="B1262" s="2" t="s">
        <v>35</v>
      </c>
      <c r="C1262" s="2" t="s">
        <v>28</v>
      </c>
      <c r="D1262" s="2" t="s">
        <v>29</v>
      </c>
      <c r="E1262" s="2">
        <v>160</v>
      </c>
      <c r="F1262" s="2">
        <v>256.66666670000001</v>
      </c>
      <c r="G1262" s="2">
        <v>365.33333329999999</v>
      </c>
      <c r="H1262" s="2">
        <v>1235.333333</v>
      </c>
      <c r="I1262" s="2">
        <v>2108.666667</v>
      </c>
      <c r="J1262" s="2">
        <v>2.57</v>
      </c>
      <c r="K1262" s="2">
        <v>3.68</v>
      </c>
      <c r="L1262" s="2">
        <v>9.83</v>
      </c>
      <c r="M1262" s="2">
        <v>13.36</v>
      </c>
      <c r="N1262" s="2">
        <v>2.0238447499999999</v>
      </c>
      <c r="O1262" s="2">
        <v>1.169656703</v>
      </c>
      <c r="P1262" s="2">
        <v>1.6942606760000001</v>
      </c>
      <c r="Q1262" s="2">
        <v>2.0119729199999998</v>
      </c>
      <c r="R1262" s="2">
        <v>0.92365783899999998</v>
      </c>
      <c r="S1262" s="2">
        <v>0.92005635500000005</v>
      </c>
      <c r="T1262" s="2">
        <v>1.4203434210000001</v>
      </c>
      <c r="U1262" s="2">
        <v>1.789282351</v>
      </c>
      <c r="V1262" s="2">
        <v>0.37349081099999998</v>
      </c>
      <c r="W1262" s="2">
        <v>5.6420731000000002E-2</v>
      </c>
      <c r="X1262">
        <f t="shared" si="57"/>
        <v>0</v>
      </c>
      <c r="Y1262">
        <f t="shared" si="58"/>
        <v>1</v>
      </c>
      <c r="Z1262">
        <f t="shared" si="59"/>
        <v>1</v>
      </c>
    </row>
    <row r="1263" spans="1:26" ht="15.75" customHeight="1" x14ac:dyDescent="0.2">
      <c r="A1263" s="2" t="s">
        <v>23</v>
      </c>
      <c r="B1263" s="2" t="s">
        <v>35</v>
      </c>
      <c r="C1263" s="2" t="s">
        <v>32</v>
      </c>
      <c r="D1263" s="2" t="s">
        <v>33</v>
      </c>
      <c r="E1263" s="2">
        <v>229</v>
      </c>
      <c r="F1263" s="2">
        <v>240.66666670000001</v>
      </c>
      <c r="G1263" s="2">
        <v>530.33333330000005</v>
      </c>
      <c r="H1263" s="2">
        <v>1179.666667</v>
      </c>
      <c r="I1263" s="2">
        <v>2482.333333</v>
      </c>
      <c r="J1263" s="2">
        <v>2.4</v>
      </c>
      <c r="K1263" s="2">
        <v>5.18</v>
      </c>
      <c r="L1263" s="2">
        <v>9.5399999999999991</v>
      </c>
      <c r="M1263" s="2">
        <v>14.45</v>
      </c>
      <c r="N1263" s="2">
        <v>3.058300644</v>
      </c>
      <c r="O1263" s="2">
        <v>3.0618854070000001</v>
      </c>
      <c r="P1263" s="2">
        <v>1.8054549390000001</v>
      </c>
      <c r="Q1263" s="2">
        <v>2.1594244059999999</v>
      </c>
      <c r="R1263" s="2">
        <v>0.57359150299999995</v>
      </c>
      <c r="S1263" s="2">
        <v>0.57719298600000002</v>
      </c>
      <c r="T1263" s="2">
        <v>1.711917149</v>
      </c>
      <c r="U1263" s="2">
        <v>2.0808560790000001</v>
      </c>
      <c r="V1263" s="2">
        <v>1.870740152</v>
      </c>
      <c r="W1263" s="2">
        <v>5.2407492E-2</v>
      </c>
      <c r="X1263">
        <f t="shared" si="57"/>
        <v>0</v>
      </c>
      <c r="Y1263">
        <f t="shared" si="58"/>
        <v>1</v>
      </c>
      <c r="Z1263">
        <f t="shared" si="59"/>
        <v>1</v>
      </c>
    </row>
    <row r="1264" spans="1:26" ht="15.75" customHeight="1" x14ac:dyDescent="0.2">
      <c r="A1264" s="2" t="s">
        <v>23</v>
      </c>
      <c r="B1264" s="2" t="s">
        <v>35</v>
      </c>
      <c r="C1264" s="2" t="s">
        <v>25</v>
      </c>
      <c r="D1264" s="2" t="s">
        <v>25</v>
      </c>
      <c r="E1264" s="2">
        <v>170</v>
      </c>
      <c r="F1264" s="2">
        <v>229</v>
      </c>
      <c r="G1264" s="2">
        <v>911</v>
      </c>
      <c r="H1264" s="2">
        <v>1652.666667</v>
      </c>
      <c r="I1264" s="2">
        <v>2951.333333</v>
      </c>
      <c r="J1264" s="2">
        <v>2.27</v>
      </c>
      <c r="K1264" s="2">
        <v>7.98</v>
      </c>
      <c r="L1264" s="2">
        <v>11.73</v>
      </c>
      <c r="M1264" s="2">
        <v>15.58</v>
      </c>
      <c r="N1264" s="2">
        <v>0.52337885500000003</v>
      </c>
      <c r="O1264" s="2">
        <v>0.73168132799999996</v>
      </c>
      <c r="P1264" s="2">
        <v>3.40524228</v>
      </c>
      <c r="Q1264" s="2">
        <v>3.3767378739999998</v>
      </c>
      <c r="R1264" s="2">
        <v>3.3713296229999998</v>
      </c>
      <c r="S1264" s="2">
        <v>3.374931106</v>
      </c>
      <c r="T1264" s="2">
        <v>0.479386651</v>
      </c>
      <c r="U1264" s="2">
        <v>0.110447721</v>
      </c>
      <c r="V1264" s="2">
        <v>4.6684782719999998</v>
      </c>
      <c r="W1264" s="2">
        <v>5.4206703000000002E-2</v>
      </c>
      <c r="X1264">
        <f t="shared" si="57"/>
        <v>0</v>
      </c>
      <c r="Y1264">
        <f t="shared" si="58"/>
        <v>1</v>
      </c>
      <c r="Z1264">
        <f t="shared" si="59"/>
        <v>0</v>
      </c>
    </row>
    <row r="1265" spans="1:26" ht="15.75" customHeight="1" x14ac:dyDescent="0.2">
      <c r="A1265" s="2" t="s">
        <v>23</v>
      </c>
      <c r="B1265" s="2" t="s">
        <v>35</v>
      </c>
      <c r="C1265" s="2" t="s">
        <v>27</v>
      </c>
      <c r="D1265" s="2" t="s">
        <v>27</v>
      </c>
      <c r="E1265" s="2">
        <v>146</v>
      </c>
      <c r="F1265" s="2">
        <v>247.66666670000001</v>
      </c>
      <c r="G1265" s="2">
        <v>477.66666670000001</v>
      </c>
      <c r="H1265" s="2">
        <v>2446.333333</v>
      </c>
      <c r="I1265" s="2">
        <v>3223</v>
      </c>
      <c r="J1265" s="2">
        <v>2.48</v>
      </c>
      <c r="K1265" s="2">
        <v>4.72</v>
      </c>
      <c r="L1265" s="2">
        <v>14.35</v>
      </c>
      <c r="M1265" s="2">
        <v>16.14</v>
      </c>
      <c r="N1265" s="2">
        <v>0.27504909599999999</v>
      </c>
      <c r="O1265" s="2">
        <v>0.49339770999999999</v>
      </c>
      <c r="P1265" s="2">
        <v>3.1015274019999999</v>
      </c>
      <c r="Q1265" s="2">
        <v>2.7330475999999999</v>
      </c>
      <c r="R1265" s="2">
        <v>0.11770480799999999</v>
      </c>
      <c r="S1265" s="2">
        <v>0.121306291</v>
      </c>
      <c r="T1265" s="2">
        <v>3.099293114</v>
      </c>
      <c r="U1265" s="2">
        <v>2.7303541839999999</v>
      </c>
      <c r="V1265" s="2">
        <v>1.414853457</v>
      </c>
      <c r="W1265" s="2">
        <v>8.6240776000000005E-2</v>
      </c>
      <c r="X1265">
        <f t="shared" si="57"/>
        <v>0</v>
      </c>
      <c r="Y1265">
        <f t="shared" si="58"/>
        <v>1</v>
      </c>
      <c r="Z1265">
        <f t="shared" si="59"/>
        <v>0</v>
      </c>
    </row>
    <row r="1266" spans="1:26" ht="15.75" customHeight="1" x14ac:dyDescent="0.2">
      <c r="A1266" s="2" t="s">
        <v>23</v>
      </c>
      <c r="B1266" s="2" t="s">
        <v>35</v>
      </c>
      <c r="C1266" s="2" t="s">
        <v>32</v>
      </c>
      <c r="D1266" s="2" t="s">
        <v>33</v>
      </c>
      <c r="E1266" s="2">
        <v>222</v>
      </c>
      <c r="F1266" s="2">
        <v>243.33333329999999</v>
      </c>
      <c r="G1266" s="2">
        <v>827</v>
      </c>
      <c r="H1266" s="2">
        <v>1575</v>
      </c>
      <c r="I1266" s="2">
        <v>3615.333333</v>
      </c>
      <c r="J1266" s="2">
        <v>2.4300000000000002</v>
      </c>
      <c r="K1266" s="2">
        <v>7.43</v>
      </c>
      <c r="L1266" s="2">
        <v>11.42</v>
      </c>
      <c r="M1266" s="2">
        <v>16.850000000000001</v>
      </c>
      <c r="N1266" s="2">
        <v>0.148327446</v>
      </c>
      <c r="O1266" s="2">
        <v>0.42406569399999999</v>
      </c>
      <c r="P1266" s="2">
        <v>2.8242069839999999</v>
      </c>
      <c r="Q1266" s="2">
        <v>2.8310176970000001</v>
      </c>
      <c r="R1266" s="2">
        <v>2.8196816710000001</v>
      </c>
      <c r="S1266" s="2">
        <v>2.8232831539999999</v>
      </c>
      <c r="T1266" s="2">
        <v>0.15981353200000001</v>
      </c>
      <c r="U1266" s="2">
        <v>0.20912539799999999</v>
      </c>
      <c r="V1266" s="2">
        <v>4.11683032</v>
      </c>
      <c r="W1266" s="2">
        <v>7.3733656999999994E-2</v>
      </c>
      <c r="X1266">
        <f t="shared" si="57"/>
        <v>0</v>
      </c>
      <c r="Y1266">
        <f t="shared" si="58"/>
        <v>1</v>
      </c>
      <c r="Z1266">
        <f t="shared" si="59"/>
        <v>1</v>
      </c>
    </row>
    <row r="1267" spans="1:26" ht="15.75" customHeight="1" x14ac:dyDescent="0.2">
      <c r="A1267" s="2" t="s">
        <v>23</v>
      </c>
      <c r="B1267" s="2" t="s">
        <v>35</v>
      </c>
      <c r="C1267" s="2" t="s">
        <v>28</v>
      </c>
      <c r="D1267" s="2" t="s">
        <v>29</v>
      </c>
      <c r="E1267" s="2">
        <v>133</v>
      </c>
      <c r="F1267" s="2">
        <v>238</v>
      </c>
      <c r="G1267" s="2">
        <v>317</v>
      </c>
      <c r="H1267" s="2">
        <v>1194</v>
      </c>
      <c r="I1267" s="2">
        <v>2186.666667</v>
      </c>
      <c r="J1267" s="2">
        <v>2.37</v>
      </c>
      <c r="K1267" s="2">
        <v>3.2</v>
      </c>
      <c r="L1267" s="2">
        <v>9.6199999999999992</v>
      </c>
      <c r="M1267" s="2">
        <v>13.61</v>
      </c>
      <c r="N1267" s="2">
        <v>2.0019503740000002</v>
      </c>
      <c r="O1267" s="2">
        <v>1.283817091</v>
      </c>
      <c r="P1267" s="2">
        <v>2.1553157170000001</v>
      </c>
      <c r="Q1267" s="2">
        <v>2.4450909009999999</v>
      </c>
      <c r="R1267" s="2">
        <v>1.4033375889999999</v>
      </c>
      <c r="S1267" s="2">
        <v>1.3997361049999999</v>
      </c>
      <c r="T1267" s="2">
        <v>1.635857406</v>
      </c>
      <c r="U1267" s="2">
        <v>2.0047963360000001</v>
      </c>
      <c r="V1267" s="2">
        <v>-0.10618894</v>
      </c>
      <c r="W1267" s="2">
        <v>3.8682937000000001E-2</v>
      </c>
      <c r="X1267">
        <f t="shared" si="57"/>
        <v>0</v>
      </c>
      <c r="Y1267">
        <f t="shared" si="58"/>
        <v>1</v>
      </c>
      <c r="Z1267">
        <f t="shared" si="59"/>
        <v>1</v>
      </c>
    </row>
    <row r="1268" spans="1:26" ht="15.75" customHeight="1" x14ac:dyDescent="0.2">
      <c r="A1268" s="2" t="s">
        <v>23</v>
      </c>
      <c r="B1268" s="2" t="s">
        <v>35</v>
      </c>
      <c r="C1268" s="2" t="s">
        <v>27</v>
      </c>
      <c r="D1268" s="2" t="s">
        <v>27</v>
      </c>
      <c r="E1268" s="2">
        <v>130</v>
      </c>
      <c r="F1268" s="2">
        <v>220</v>
      </c>
      <c r="G1268" s="2">
        <v>412</v>
      </c>
      <c r="H1268" s="2">
        <v>2489.333333</v>
      </c>
      <c r="I1268" s="2">
        <v>3246.333333</v>
      </c>
      <c r="J1268" s="2">
        <v>2.1800000000000002</v>
      </c>
      <c r="K1268" s="2">
        <v>4.13</v>
      </c>
      <c r="L1268" s="2">
        <v>14.47</v>
      </c>
      <c r="M1268" s="2">
        <v>16.190000000000001</v>
      </c>
      <c r="N1268" s="2">
        <v>0.41121438599999999</v>
      </c>
      <c r="O1268" s="2">
        <v>0.41001357999999999</v>
      </c>
      <c r="P1268" s="2">
        <v>3.2500472610000002</v>
      </c>
      <c r="Q1268" s="2">
        <v>2.8850552180000002</v>
      </c>
      <c r="R1268" s="2">
        <v>0.47906776200000001</v>
      </c>
      <c r="S1268" s="2">
        <v>0.47546627899999999</v>
      </c>
      <c r="T1268" s="2">
        <v>3.2145452680000002</v>
      </c>
      <c r="U1268" s="2">
        <v>2.8456063380000001</v>
      </c>
      <c r="V1268" s="2">
        <v>0.81808088700000003</v>
      </c>
      <c r="W1268" s="2">
        <v>4.8039121999999997E-2</v>
      </c>
      <c r="X1268">
        <f t="shared" si="57"/>
        <v>0</v>
      </c>
      <c r="Y1268">
        <f t="shared" si="58"/>
        <v>1</v>
      </c>
      <c r="Z1268">
        <f t="shared" si="59"/>
        <v>0</v>
      </c>
    </row>
    <row r="1269" spans="1:26" ht="15.75" customHeight="1" x14ac:dyDescent="0.2">
      <c r="A1269" s="2" t="s">
        <v>23</v>
      </c>
      <c r="B1269" s="2" t="s">
        <v>35</v>
      </c>
      <c r="C1269" s="2" t="s">
        <v>26</v>
      </c>
      <c r="D1269" s="2" t="s">
        <v>26</v>
      </c>
      <c r="E1269" s="2">
        <v>175</v>
      </c>
      <c r="F1269" s="2">
        <v>232.33333329999999</v>
      </c>
      <c r="G1269" s="2">
        <v>403.66666670000001</v>
      </c>
      <c r="H1269" s="2">
        <v>921.33333330000005</v>
      </c>
      <c r="I1269" s="2">
        <v>2995.666667</v>
      </c>
      <c r="J1269" s="2">
        <v>2.31</v>
      </c>
      <c r="K1269" s="2">
        <v>4.05</v>
      </c>
      <c r="L1269" s="2">
        <v>8.0399999999999991</v>
      </c>
      <c r="M1269" s="2">
        <v>15.68</v>
      </c>
      <c r="N1269" s="2">
        <v>0.21571585800000001</v>
      </c>
      <c r="O1269" s="2">
        <v>0.73580464999999995</v>
      </c>
      <c r="P1269" s="2">
        <v>3.2604469269999998</v>
      </c>
      <c r="Q1269" s="2">
        <v>3.6239554350000001</v>
      </c>
      <c r="R1269" s="2">
        <v>0.55717130299999995</v>
      </c>
      <c r="S1269" s="2">
        <v>0.55356981999999999</v>
      </c>
      <c r="T1269" s="2">
        <v>3.2124872459999998</v>
      </c>
      <c r="U1269" s="2">
        <v>3.5814261759999999</v>
      </c>
      <c r="V1269" s="2">
        <v>0.73997734599999998</v>
      </c>
      <c r="W1269" s="2">
        <v>5.7592785000000001E-2</v>
      </c>
      <c r="X1269">
        <f t="shared" si="57"/>
        <v>0</v>
      </c>
      <c r="Y1269">
        <f t="shared" si="58"/>
        <v>1</v>
      </c>
      <c r="Z1269">
        <f t="shared" si="59"/>
        <v>0</v>
      </c>
    </row>
    <row r="1270" spans="1:26" ht="15.75" customHeight="1" x14ac:dyDescent="0.2">
      <c r="A1270" s="2" t="s">
        <v>23</v>
      </c>
      <c r="B1270" s="2" t="s">
        <v>35</v>
      </c>
      <c r="C1270" s="2" t="s">
        <v>27</v>
      </c>
      <c r="D1270" s="2" t="s">
        <v>27</v>
      </c>
      <c r="E1270" s="2">
        <v>147</v>
      </c>
      <c r="F1270" s="2">
        <v>243</v>
      </c>
      <c r="G1270" s="2">
        <v>439.66666670000001</v>
      </c>
      <c r="H1270" s="2">
        <v>2460.333333</v>
      </c>
      <c r="I1270" s="2">
        <v>3389</v>
      </c>
      <c r="J1270" s="2">
        <v>2.4300000000000002</v>
      </c>
      <c r="K1270" s="2">
        <v>4.38</v>
      </c>
      <c r="L1270" s="2">
        <v>14.39</v>
      </c>
      <c r="M1270" s="2">
        <v>16.46</v>
      </c>
      <c r="N1270" s="2">
        <v>0.17199864000000001</v>
      </c>
      <c r="O1270" s="2">
        <v>0.30429774399999998</v>
      </c>
      <c r="P1270" s="2">
        <v>3.1450257540000002</v>
      </c>
      <c r="Q1270" s="2">
        <v>2.7768571099999999</v>
      </c>
      <c r="R1270" s="2">
        <v>0.22365410299999999</v>
      </c>
      <c r="S1270" s="2">
        <v>0.22005262</v>
      </c>
      <c r="T1270" s="2">
        <v>3.1370632500000002</v>
      </c>
      <c r="U1270" s="2">
        <v>2.7681243200000001</v>
      </c>
      <c r="V1270" s="2">
        <v>1.073494546</v>
      </c>
      <c r="W1270" s="2">
        <v>6.3617886999999998E-2</v>
      </c>
      <c r="X1270">
        <f t="shared" si="57"/>
        <v>0</v>
      </c>
      <c r="Y1270">
        <f t="shared" si="58"/>
        <v>1</v>
      </c>
      <c r="Z1270">
        <f t="shared" si="59"/>
        <v>0</v>
      </c>
    </row>
    <row r="1271" spans="1:26" ht="15.75" customHeight="1" x14ac:dyDescent="0.2">
      <c r="A1271" s="2" t="s">
        <v>23</v>
      </c>
      <c r="B1271" s="2" t="s">
        <v>35</v>
      </c>
      <c r="C1271" s="2" t="s">
        <v>27</v>
      </c>
      <c r="D1271" s="2" t="s">
        <v>27</v>
      </c>
      <c r="E1271" s="2">
        <v>181</v>
      </c>
      <c r="F1271" s="2">
        <v>242.33333329999999</v>
      </c>
      <c r="G1271" s="2">
        <v>411</v>
      </c>
      <c r="H1271" s="2">
        <v>2373.666667</v>
      </c>
      <c r="I1271" s="2">
        <v>3259.666667</v>
      </c>
      <c r="J1271" s="2">
        <v>2.42</v>
      </c>
      <c r="K1271" s="2">
        <v>4.12</v>
      </c>
      <c r="L1271" s="2">
        <v>14.15</v>
      </c>
      <c r="M1271" s="2">
        <v>16.21</v>
      </c>
      <c r="N1271" s="2">
        <v>0.36517002999999998</v>
      </c>
      <c r="O1271" s="2">
        <v>0.192349662</v>
      </c>
      <c r="P1271" s="2">
        <v>2.9401778140000001</v>
      </c>
      <c r="Q1271" s="2">
        <v>2.5764135709999998</v>
      </c>
      <c r="R1271" s="2">
        <v>0.48841119900000002</v>
      </c>
      <c r="S1271" s="2">
        <v>0.484809716</v>
      </c>
      <c r="T1271" s="2">
        <v>2.8993275220000001</v>
      </c>
      <c r="U1271" s="2">
        <v>2.530388592</v>
      </c>
      <c r="V1271" s="2">
        <v>0.80873744999999997</v>
      </c>
      <c r="W1271" s="2">
        <v>6.3550111000000006E-2</v>
      </c>
      <c r="X1271">
        <f t="shared" si="57"/>
        <v>0</v>
      </c>
      <c r="Y1271">
        <f t="shared" si="58"/>
        <v>1</v>
      </c>
      <c r="Z1271">
        <f t="shared" si="59"/>
        <v>0</v>
      </c>
    </row>
    <row r="1272" spans="1:26" ht="15.75" customHeight="1" x14ac:dyDescent="0.2">
      <c r="A1272" s="2" t="s">
        <v>23</v>
      </c>
      <c r="B1272" s="2" t="s">
        <v>35</v>
      </c>
      <c r="C1272" s="2" t="s">
        <v>32</v>
      </c>
      <c r="D1272" s="2" t="s">
        <v>33</v>
      </c>
      <c r="E1272" s="2">
        <v>170</v>
      </c>
      <c r="F1272" s="2">
        <v>219</v>
      </c>
      <c r="G1272" s="2">
        <v>548.33333330000005</v>
      </c>
      <c r="H1272" s="2">
        <v>942.33333330000005</v>
      </c>
      <c r="I1272" s="2">
        <v>2045</v>
      </c>
      <c r="J1272" s="2">
        <v>2.16</v>
      </c>
      <c r="K1272" s="2">
        <v>5.33</v>
      </c>
      <c r="L1272" s="2">
        <v>8.17</v>
      </c>
      <c r="M1272" s="2">
        <v>13.16</v>
      </c>
      <c r="N1272" s="2">
        <v>4.0053038609999998</v>
      </c>
      <c r="O1272" s="2">
        <v>4.1015450070000004</v>
      </c>
      <c r="P1272" s="2">
        <v>3.1646974480000001</v>
      </c>
      <c r="Q1272" s="2">
        <v>3.5255802890000001</v>
      </c>
      <c r="R1272" s="2">
        <v>0.72501129900000005</v>
      </c>
      <c r="S1272" s="2">
        <v>0.72861278299999999</v>
      </c>
      <c r="T1272" s="2">
        <v>3.080530564</v>
      </c>
      <c r="U1272" s="2">
        <v>3.4494694940000001</v>
      </c>
      <c r="V1272" s="2">
        <v>2.0221599490000002</v>
      </c>
      <c r="W1272" s="2">
        <v>9.7978904000000006E-2</v>
      </c>
      <c r="X1272">
        <f t="shared" si="57"/>
        <v>0</v>
      </c>
      <c r="Y1272">
        <f t="shared" si="58"/>
        <v>1</v>
      </c>
      <c r="Z1272">
        <f t="shared" si="59"/>
        <v>1</v>
      </c>
    </row>
    <row r="1273" spans="1:26" ht="15.75" customHeight="1" x14ac:dyDescent="0.2">
      <c r="A1273" s="2" t="s">
        <v>23</v>
      </c>
      <c r="B1273" s="2" t="s">
        <v>35</v>
      </c>
      <c r="C1273" s="2" t="s">
        <v>28</v>
      </c>
      <c r="D1273" s="2" t="s">
        <v>29</v>
      </c>
      <c r="E1273" s="2">
        <v>226</v>
      </c>
      <c r="F1273" s="2">
        <v>273</v>
      </c>
      <c r="G1273" s="2">
        <v>337.66666670000001</v>
      </c>
      <c r="H1273" s="2">
        <v>1069</v>
      </c>
      <c r="I1273" s="2">
        <v>2295.333333</v>
      </c>
      <c r="J1273" s="2">
        <v>2.75</v>
      </c>
      <c r="K1273" s="2">
        <v>3.41</v>
      </c>
      <c r="L1273" s="2">
        <v>8.93</v>
      </c>
      <c r="M1273" s="2">
        <v>13.93</v>
      </c>
      <c r="N1273" s="2">
        <v>1.310148648</v>
      </c>
      <c r="O1273" s="2">
        <v>0.771830248</v>
      </c>
      <c r="P1273" s="2">
        <v>2.6130547040000001</v>
      </c>
      <c r="Q1273" s="2">
        <v>2.9444793919999999</v>
      </c>
      <c r="R1273" s="2">
        <v>1.1957634399999999</v>
      </c>
      <c r="S1273" s="2">
        <v>1.1921619569999999</v>
      </c>
      <c r="T1273" s="2">
        <v>2.3234036850000002</v>
      </c>
      <c r="U1273" s="2">
        <v>2.6923426149999998</v>
      </c>
      <c r="V1273" s="2">
        <v>0.101385209</v>
      </c>
      <c r="W1273" s="2">
        <v>8.5503667000000005E-2</v>
      </c>
      <c r="X1273">
        <f t="shared" si="57"/>
        <v>0</v>
      </c>
      <c r="Y1273">
        <f t="shared" si="58"/>
        <v>1</v>
      </c>
      <c r="Z1273">
        <f t="shared" si="59"/>
        <v>1</v>
      </c>
    </row>
    <row r="1274" spans="1:26" ht="15.75" customHeight="1" x14ac:dyDescent="0.2">
      <c r="A1274" s="2" t="s">
        <v>23</v>
      </c>
      <c r="B1274" s="2" t="s">
        <v>35</v>
      </c>
      <c r="C1274" s="2" t="s">
        <v>26</v>
      </c>
      <c r="D1274" s="2" t="s">
        <v>26</v>
      </c>
      <c r="E1274" s="2">
        <v>148</v>
      </c>
      <c r="F1274" s="2">
        <v>247</v>
      </c>
      <c r="G1274" s="2">
        <v>416.33333329999999</v>
      </c>
      <c r="H1274" s="2">
        <v>1002.666667</v>
      </c>
      <c r="I1274" s="2">
        <v>3067.333333</v>
      </c>
      <c r="J1274" s="2">
        <v>2.4700000000000002</v>
      </c>
      <c r="K1274" s="2">
        <v>4.17</v>
      </c>
      <c r="L1274" s="2">
        <v>8.5399999999999991</v>
      </c>
      <c r="M1274" s="2">
        <v>15.83</v>
      </c>
      <c r="N1274" s="2">
        <v>0.66959361399999995</v>
      </c>
      <c r="O1274" s="2">
        <v>0.225964152</v>
      </c>
      <c r="P1274" s="2">
        <v>2.7470756380000001</v>
      </c>
      <c r="Q1274" s="2">
        <v>3.1113323660000001</v>
      </c>
      <c r="R1274" s="2">
        <v>0.43867040699999998</v>
      </c>
      <c r="S1274" s="2">
        <v>0.435068923</v>
      </c>
      <c r="T1274" s="2">
        <v>2.7118246319999999</v>
      </c>
      <c r="U1274" s="2">
        <v>3.080763562</v>
      </c>
      <c r="V1274" s="2">
        <v>0.85847824299999997</v>
      </c>
      <c r="W1274" s="2">
        <v>6.3526648000000005E-2</v>
      </c>
      <c r="X1274">
        <f t="shared" si="57"/>
        <v>0</v>
      </c>
      <c r="Y1274">
        <f t="shared" si="58"/>
        <v>1</v>
      </c>
      <c r="Z1274">
        <f t="shared" si="59"/>
        <v>0</v>
      </c>
    </row>
    <row r="1275" spans="1:26" ht="15.75" customHeight="1" x14ac:dyDescent="0.2">
      <c r="A1275" s="2" t="s">
        <v>23</v>
      </c>
      <c r="B1275" s="2" t="s">
        <v>35</v>
      </c>
      <c r="C1275" s="2" t="s">
        <v>30</v>
      </c>
      <c r="D1275" s="2" t="s">
        <v>31</v>
      </c>
      <c r="E1275" s="2">
        <v>160</v>
      </c>
      <c r="F1275" s="2">
        <v>232</v>
      </c>
      <c r="G1275" s="2">
        <v>720</v>
      </c>
      <c r="H1275" s="2">
        <v>1290.666667</v>
      </c>
      <c r="I1275" s="2">
        <v>3021.333333</v>
      </c>
      <c r="J1275" s="2">
        <v>2.31</v>
      </c>
      <c r="K1275" s="2">
        <v>6.67</v>
      </c>
      <c r="L1275" s="2">
        <v>10.11</v>
      </c>
      <c r="M1275" s="2">
        <v>15.73</v>
      </c>
      <c r="N1275" s="2">
        <v>4.68040609</v>
      </c>
      <c r="O1275" s="2">
        <v>4.6363056260000004</v>
      </c>
      <c r="P1275" s="2">
        <v>2.3606451590000002</v>
      </c>
      <c r="Q1275" s="2">
        <v>2.562254351</v>
      </c>
      <c r="R1275" s="2">
        <v>2.0669071689999998</v>
      </c>
      <c r="S1275" s="2">
        <v>2.070508652</v>
      </c>
      <c r="T1275" s="2">
        <v>1.140412347</v>
      </c>
      <c r="U1275" s="2">
        <v>1.5093512769999999</v>
      </c>
      <c r="V1275" s="2">
        <v>3.3640558180000002</v>
      </c>
      <c r="W1275" s="2">
        <v>4.5655480999999998E-2</v>
      </c>
      <c r="X1275">
        <f t="shared" si="57"/>
        <v>0</v>
      </c>
      <c r="Y1275">
        <f t="shared" si="58"/>
        <v>1</v>
      </c>
      <c r="Z1275">
        <f t="shared" si="59"/>
        <v>1</v>
      </c>
    </row>
    <row r="1276" spans="1:26" ht="15.75" customHeight="1" x14ac:dyDescent="0.2">
      <c r="A1276" s="2" t="s">
        <v>23</v>
      </c>
      <c r="B1276" s="2" t="s">
        <v>35</v>
      </c>
      <c r="C1276" s="2" t="s">
        <v>27</v>
      </c>
      <c r="D1276" s="2" t="s">
        <v>27</v>
      </c>
      <c r="E1276" s="2">
        <v>151</v>
      </c>
      <c r="F1276" s="2">
        <v>244.66666670000001</v>
      </c>
      <c r="G1276" s="2">
        <v>452.33333329999999</v>
      </c>
      <c r="H1276" s="2">
        <v>2352</v>
      </c>
      <c r="I1276" s="2">
        <v>3295</v>
      </c>
      <c r="J1276" s="2">
        <v>2.4500000000000002</v>
      </c>
      <c r="K1276" s="2">
        <v>4.5</v>
      </c>
      <c r="L1276" s="2">
        <v>14.09</v>
      </c>
      <c r="M1276" s="2">
        <v>16.28</v>
      </c>
      <c r="N1276" s="2">
        <v>0.15369548299999999</v>
      </c>
      <c r="O1276" s="2">
        <v>0.19569471999999999</v>
      </c>
      <c r="P1276" s="2">
        <v>2.8404799889999999</v>
      </c>
      <c r="Q1276" s="2">
        <v>2.4716957540000002</v>
      </c>
      <c r="R1276" s="2">
        <v>0.108672862</v>
      </c>
      <c r="S1276" s="2">
        <v>0.10507137900000001</v>
      </c>
      <c r="T1276" s="2">
        <v>2.838400391</v>
      </c>
      <c r="U1276" s="2">
        <v>2.4694614609999999</v>
      </c>
      <c r="V1276" s="2">
        <v>1.188475787</v>
      </c>
      <c r="W1276" s="2">
        <v>5.1517939999999998E-2</v>
      </c>
      <c r="X1276">
        <f t="shared" si="57"/>
        <v>0</v>
      </c>
      <c r="Y1276">
        <f t="shared" si="58"/>
        <v>1</v>
      </c>
      <c r="Z1276">
        <f t="shared" si="59"/>
        <v>0</v>
      </c>
    </row>
    <row r="1277" spans="1:26" ht="15.75" customHeight="1" x14ac:dyDescent="0.2">
      <c r="A1277" s="2" t="s">
        <v>23</v>
      </c>
      <c r="B1277" s="2" t="s">
        <v>35</v>
      </c>
      <c r="C1277" s="2" t="s">
        <v>30</v>
      </c>
      <c r="D1277" s="2" t="s">
        <v>31</v>
      </c>
      <c r="E1277" s="2">
        <v>186</v>
      </c>
      <c r="F1277" s="2">
        <v>248.66666670000001</v>
      </c>
      <c r="G1277" s="2">
        <v>657.33333330000005</v>
      </c>
      <c r="H1277" s="2">
        <v>1465.666667</v>
      </c>
      <c r="I1277" s="2">
        <v>3302.666667</v>
      </c>
      <c r="J1277" s="2">
        <v>2.4900000000000002</v>
      </c>
      <c r="K1277" s="2">
        <v>6.2</v>
      </c>
      <c r="L1277" s="2">
        <v>10.94</v>
      </c>
      <c r="M1277" s="2">
        <v>16.3</v>
      </c>
      <c r="N1277" s="2">
        <v>3.7309363360000001</v>
      </c>
      <c r="O1277" s="2">
        <v>3.6866321219999998</v>
      </c>
      <c r="P1277" s="2">
        <v>1.6281370740000001</v>
      </c>
      <c r="Q1277" s="2">
        <v>1.740865643</v>
      </c>
      <c r="R1277" s="2">
        <v>1.5974503520000001</v>
      </c>
      <c r="S1277" s="2">
        <v>1.6010518359999999</v>
      </c>
      <c r="T1277" s="2">
        <v>0.31461516899999997</v>
      </c>
      <c r="U1277" s="2">
        <v>0.68355409899999997</v>
      </c>
      <c r="V1277" s="2">
        <v>2.894599001</v>
      </c>
      <c r="W1277" s="2">
        <v>8.1404582000000003E-2</v>
      </c>
      <c r="X1277">
        <f t="shared" si="57"/>
        <v>0</v>
      </c>
      <c r="Y1277">
        <f t="shared" si="58"/>
        <v>1</v>
      </c>
      <c r="Z1277">
        <f t="shared" si="59"/>
        <v>1</v>
      </c>
    </row>
    <row r="1278" spans="1:26" ht="15.75" customHeight="1" x14ac:dyDescent="0.2">
      <c r="A1278" s="2" t="s">
        <v>23</v>
      </c>
      <c r="B1278" s="2" t="s">
        <v>35</v>
      </c>
      <c r="C1278" s="2" t="s">
        <v>26</v>
      </c>
      <c r="D1278" s="2" t="s">
        <v>26</v>
      </c>
      <c r="E1278" s="2">
        <v>139</v>
      </c>
      <c r="F1278" s="2">
        <v>232.66666670000001</v>
      </c>
      <c r="G1278" s="2">
        <v>423.66666670000001</v>
      </c>
      <c r="H1278" s="2">
        <v>966.33333330000005</v>
      </c>
      <c r="I1278" s="2">
        <v>2967.666667</v>
      </c>
      <c r="J1278" s="2">
        <v>2.31</v>
      </c>
      <c r="K1278" s="2">
        <v>4.24</v>
      </c>
      <c r="L1278" s="2">
        <v>8.32</v>
      </c>
      <c r="M1278" s="2">
        <v>15.62</v>
      </c>
      <c r="N1278" s="2">
        <v>0.45220453599999999</v>
      </c>
      <c r="O1278" s="2">
        <v>0.451716214</v>
      </c>
      <c r="P1278" s="2">
        <v>2.9553755119999998</v>
      </c>
      <c r="Q1278" s="2">
        <v>3.3213239040000002</v>
      </c>
      <c r="R1278" s="2">
        <v>0.37064025699999997</v>
      </c>
      <c r="S1278" s="2">
        <v>0.36703877299999998</v>
      </c>
      <c r="T1278" s="2">
        <v>2.9320419869999998</v>
      </c>
      <c r="U1278" s="2">
        <v>3.300980917</v>
      </c>
      <c r="V1278" s="2">
        <v>0.92650839200000001</v>
      </c>
      <c r="W1278" s="2">
        <v>0.11910733799999999</v>
      </c>
      <c r="X1278">
        <f t="shared" si="57"/>
        <v>0</v>
      </c>
      <c r="Y1278">
        <f t="shared" si="58"/>
        <v>1</v>
      </c>
      <c r="Z1278">
        <f t="shared" si="59"/>
        <v>0</v>
      </c>
    </row>
    <row r="1279" spans="1:26" ht="15.75" customHeight="1" x14ac:dyDescent="0.2">
      <c r="A1279" s="2" t="s">
        <v>23</v>
      </c>
      <c r="B1279" s="2" t="s">
        <v>35</v>
      </c>
      <c r="C1279" s="2" t="s">
        <v>26</v>
      </c>
      <c r="D1279" s="2" t="s">
        <v>26</v>
      </c>
      <c r="E1279" s="2">
        <v>137</v>
      </c>
      <c r="F1279" s="2">
        <v>210.33333329999999</v>
      </c>
      <c r="G1279" s="2">
        <v>363</v>
      </c>
      <c r="H1279" s="2">
        <v>945</v>
      </c>
      <c r="I1279" s="2">
        <v>2789.666667</v>
      </c>
      <c r="J1279" s="2">
        <v>2.0699999999999998</v>
      </c>
      <c r="K1279" s="2">
        <v>3.66</v>
      </c>
      <c r="L1279" s="2">
        <v>8.19</v>
      </c>
      <c r="M1279" s="2">
        <v>15.22</v>
      </c>
      <c r="N1279" s="2">
        <v>0.61222276200000003</v>
      </c>
      <c r="O1279" s="2">
        <v>0.76764621</v>
      </c>
      <c r="P1279" s="2">
        <v>3.2067333429999998</v>
      </c>
      <c r="Q1279" s="2">
        <v>3.559949848</v>
      </c>
      <c r="R1279" s="2">
        <v>0.94635623800000002</v>
      </c>
      <c r="S1279" s="2">
        <v>0.94275475500000006</v>
      </c>
      <c r="T1279" s="2">
        <v>3.063910672</v>
      </c>
      <c r="U1279" s="2">
        <v>3.4328496020000001</v>
      </c>
      <c r="V1279" s="2">
        <v>0.35079241100000003</v>
      </c>
      <c r="W1279" s="2">
        <v>5.9574255999999999E-2</v>
      </c>
      <c r="X1279">
        <f t="shared" si="57"/>
        <v>0</v>
      </c>
      <c r="Y1279">
        <f t="shared" si="58"/>
        <v>1</v>
      </c>
      <c r="Z1279">
        <f t="shared" si="59"/>
        <v>0</v>
      </c>
    </row>
    <row r="1280" spans="1:26" ht="15.75" customHeight="1" x14ac:dyDescent="0.2">
      <c r="A1280" s="2" t="s">
        <v>23</v>
      </c>
      <c r="B1280" s="2" t="s">
        <v>35</v>
      </c>
      <c r="C1280" s="2" t="s">
        <v>26</v>
      </c>
      <c r="D1280" s="2" t="s">
        <v>26</v>
      </c>
      <c r="E1280" s="2">
        <v>121</v>
      </c>
      <c r="F1280" s="2">
        <v>245</v>
      </c>
      <c r="G1280" s="2">
        <v>447</v>
      </c>
      <c r="H1280" s="2">
        <v>732</v>
      </c>
      <c r="I1280" s="2">
        <v>3160.666667</v>
      </c>
      <c r="J1280" s="2">
        <v>2.4500000000000002</v>
      </c>
      <c r="K1280" s="2">
        <v>4.45</v>
      </c>
      <c r="L1280" s="2">
        <v>6.76</v>
      </c>
      <c r="M1280" s="2">
        <v>16.02</v>
      </c>
      <c r="N1280" s="2">
        <v>1.1452013919999999</v>
      </c>
      <c r="O1280" s="2">
        <v>2.0292839850000002</v>
      </c>
      <c r="P1280" s="2">
        <v>4.4978855729999996</v>
      </c>
      <c r="Q1280" s="2">
        <v>4.8665020730000004</v>
      </c>
      <c r="R1280" s="2">
        <v>0.156938517</v>
      </c>
      <c r="S1280" s="2">
        <v>0.15333703400000001</v>
      </c>
      <c r="T1280" s="2">
        <v>4.4951468200000004</v>
      </c>
      <c r="U1280" s="2">
        <v>4.8640857500000001</v>
      </c>
      <c r="V1280" s="2">
        <v>1.140210132</v>
      </c>
      <c r="W1280" s="2">
        <v>7.1245622999999994E-2</v>
      </c>
      <c r="X1280">
        <f t="shared" si="57"/>
        <v>0</v>
      </c>
      <c r="Y1280">
        <f t="shared" si="58"/>
        <v>1</v>
      </c>
      <c r="Z1280">
        <f t="shared" si="59"/>
        <v>0</v>
      </c>
    </row>
    <row r="1281" spans="1:26" ht="15.75" customHeight="1" x14ac:dyDescent="0.2">
      <c r="A1281" s="2" t="s">
        <v>23</v>
      </c>
      <c r="B1281" s="2" t="s">
        <v>35</v>
      </c>
      <c r="C1281" s="2" t="s">
        <v>25</v>
      </c>
      <c r="D1281" s="2" t="s">
        <v>25</v>
      </c>
      <c r="E1281" s="2">
        <v>230</v>
      </c>
      <c r="F1281" s="2">
        <v>210.33333329999999</v>
      </c>
      <c r="G1281" s="2">
        <v>816.33333330000005</v>
      </c>
      <c r="H1281" s="2">
        <v>1641</v>
      </c>
      <c r="I1281" s="2">
        <v>3004.666667</v>
      </c>
      <c r="J1281" s="2">
        <v>2.0699999999999998</v>
      </c>
      <c r="K1281" s="2">
        <v>7.35</v>
      </c>
      <c r="L1281" s="2">
        <v>11.69</v>
      </c>
      <c r="M1281" s="2">
        <v>15.7</v>
      </c>
      <c r="N1281" s="2">
        <v>0.19243279699999999</v>
      </c>
      <c r="O1281" s="2">
        <v>0.15391492000000001</v>
      </c>
      <c r="P1281" s="2">
        <v>2.7810415580000001</v>
      </c>
      <c r="Q1281" s="2">
        <v>2.7515727920000002</v>
      </c>
      <c r="R1281" s="2">
        <v>2.7472425729999999</v>
      </c>
      <c r="S1281" s="2">
        <v>2.7508440570000001</v>
      </c>
      <c r="T1281" s="2">
        <v>0.43226194400000001</v>
      </c>
      <c r="U1281" s="2">
        <v>6.3323013999999997E-2</v>
      </c>
      <c r="V1281" s="2">
        <v>4.0443912229999999</v>
      </c>
      <c r="W1281" s="2">
        <v>6.7166393000000005E-2</v>
      </c>
      <c r="X1281">
        <f t="shared" si="57"/>
        <v>0</v>
      </c>
      <c r="Y1281">
        <f t="shared" si="58"/>
        <v>1</v>
      </c>
      <c r="Z1281">
        <f t="shared" si="59"/>
        <v>0</v>
      </c>
    </row>
    <row r="1282" spans="1:26" ht="15.75" customHeight="1" x14ac:dyDescent="0.2">
      <c r="A1282" s="2" t="s">
        <v>23</v>
      </c>
      <c r="B1282" s="2" t="s">
        <v>35</v>
      </c>
      <c r="C1282" s="2" t="s">
        <v>25</v>
      </c>
      <c r="D1282" s="2" t="s">
        <v>25</v>
      </c>
      <c r="E1282" s="2">
        <v>150</v>
      </c>
      <c r="F1282" s="2">
        <v>222.66666670000001</v>
      </c>
      <c r="G1282" s="2">
        <v>798.66666669999995</v>
      </c>
      <c r="H1282" s="2">
        <v>1593</v>
      </c>
      <c r="I1282" s="2">
        <v>3040.666667</v>
      </c>
      <c r="J1282" s="2">
        <v>2.21</v>
      </c>
      <c r="K1282" s="2">
        <v>7.23</v>
      </c>
      <c r="L1282" s="2">
        <v>11.49</v>
      </c>
      <c r="M1282" s="2">
        <v>15.77</v>
      </c>
      <c r="N1282" s="2">
        <v>0.26245702799999998</v>
      </c>
      <c r="O1282" s="2">
        <v>0.31046190600000001</v>
      </c>
      <c r="P1282" s="2">
        <v>2.6365378430000002</v>
      </c>
      <c r="Q1282" s="2">
        <v>2.6330372209999999</v>
      </c>
      <c r="R1282" s="2">
        <v>2.6260330719999998</v>
      </c>
      <c r="S1282" s="2">
        <v>2.629634555</v>
      </c>
      <c r="T1282" s="2">
        <v>0.235121471</v>
      </c>
      <c r="U1282" s="2">
        <v>0.133817459</v>
      </c>
      <c r="V1282" s="2">
        <v>3.9231817210000002</v>
      </c>
      <c r="W1282" s="2">
        <v>6.6633375999999994E-2</v>
      </c>
      <c r="X1282">
        <f t="shared" si="57"/>
        <v>0</v>
      </c>
      <c r="Y1282">
        <f t="shared" si="58"/>
        <v>1</v>
      </c>
      <c r="Z1282">
        <f t="shared" si="59"/>
        <v>0</v>
      </c>
    </row>
    <row r="1283" spans="1:26" ht="15.75" customHeight="1" x14ac:dyDescent="0.2">
      <c r="A1283" s="2" t="s">
        <v>23</v>
      </c>
      <c r="B1283" s="2" t="s">
        <v>35</v>
      </c>
      <c r="C1283" s="2" t="s">
        <v>25</v>
      </c>
      <c r="D1283" s="2" t="s">
        <v>25</v>
      </c>
      <c r="E1283" s="2">
        <v>183</v>
      </c>
      <c r="F1283" s="2">
        <v>199</v>
      </c>
      <c r="G1283" s="2">
        <v>877.33333330000005</v>
      </c>
      <c r="H1283" s="2">
        <v>1685</v>
      </c>
      <c r="I1283" s="2">
        <v>2896</v>
      </c>
      <c r="J1283" s="2">
        <v>1.94</v>
      </c>
      <c r="K1283" s="2">
        <v>7.76</v>
      </c>
      <c r="L1283" s="2">
        <v>11.86</v>
      </c>
      <c r="M1283" s="2">
        <v>15.46</v>
      </c>
      <c r="N1283" s="2">
        <v>0.41562894</v>
      </c>
      <c r="O1283" s="2">
        <v>0.51544414999999999</v>
      </c>
      <c r="P1283" s="2">
        <v>3.2122980540000001</v>
      </c>
      <c r="Q1283" s="2">
        <v>3.1668237380000002</v>
      </c>
      <c r="R1283" s="2">
        <v>3.1541548119999998</v>
      </c>
      <c r="S1283" s="2">
        <v>3.1577562960000001</v>
      </c>
      <c r="T1283" s="2">
        <v>0.60841286100000003</v>
      </c>
      <c r="U1283" s="2">
        <v>0.239473931</v>
      </c>
      <c r="V1283" s="2">
        <v>4.4513034620000003</v>
      </c>
      <c r="W1283" s="2">
        <v>5.6081907E-2</v>
      </c>
      <c r="X1283">
        <f t="shared" ref="X1283:X1346" si="60">IF(B1283="normal",1,0)</f>
        <v>0</v>
      </c>
      <c r="Y1283">
        <f t="shared" ref="Y1283:Y1346" si="61">IF(A1283="lecture",1,0)</f>
        <v>1</v>
      </c>
      <c r="Z1283">
        <f t="shared" ref="Z1283:Z1346" si="62">IF(ISNUMBER(FIND("~",D1283)),1,0)</f>
        <v>0</v>
      </c>
    </row>
    <row r="1284" spans="1:26" ht="15.75" customHeight="1" x14ac:dyDescent="0.2">
      <c r="A1284" s="2" t="s">
        <v>23</v>
      </c>
      <c r="B1284" s="2" t="s">
        <v>35</v>
      </c>
      <c r="C1284" s="2" t="s">
        <v>28</v>
      </c>
      <c r="D1284" s="2" t="s">
        <v>29</v>
      </c>
      <c r="E1284" s="2">
        <v>160</v>
      </c>
      <c r="F1284" s="2">
        <v>247</v>
      </c>
      <c r="G1284" s="2">
        <v>354</v>
      </c>
      <c r="H1284" s="2">
        <v>1129.333333</v>
      </c>
      <c r="I1284" s="2">
        <v>1994</v>
      </c>
      <c r="J1284" s="2">
        <v>2.4700000000000002</v>
      </c>
      <c r="K1284" s="2">
        <v>3.57</v>
      </c>
      <c r="L1284" s="2">
        <v>9.27</v>
      </c>
      <c r="M1284" s="2">
        <v>12.99</v>
      </c>
      <c r="N1284" s="2">
        <v>1.524651888</v>
      </c>
      <c r="O1284" s="2">
        <v>0.77656497599999996</v>
      </c>
      <c r="P1284" s="2">
        <v>2.2379665370000001</v>
      </c>
      <c r="Q1284" s="2">
        <v>2.569351352</v>
      </c>
      <c r="R1284" s="2">
        <v>1.0343360100000001</v>
      </c>
      <c r="S1284" s="2">
        <v>1.0307345269999999</v>
      </c>
      <c r="T1284" s="2">
        <v>1.9846015319999999</v>
      </c>
      <c r="U1284" s="2">
        <v>2.3535404620000002</v>
      </c>
      <c r="V1284" s="2">
        <v>0.26281263900000001</v>
      </c>
      <c r="W1284" s="2">
        <v>4.7364946999999998E-2</v>
      </c>
      <c r="X1284">
        <f t="shared" si="60"/>
        <v>0</v>
      </c>
      <c r="Y1284">
        <f t="shared" si="61"/>
        <v>1</v>
      </c>
      <c r="Z1284">
        <f t="shared" si="62"/>
        <v>1</v>
      </c>
    </row>
    <row r="1285" spans="1:26" ht="15.75" customHeight="1" x14ac:dyDescent="0.2">
      <c r="A1285" s="2" t="s">
        <v>23</v>
      </c>
      <c r="B1285" s="2" t="s">
        <v>35</v>
      </c>
      <c r="C1285" s="2" t="s">
        <v>30</v>
      </c>
      <c r="D1285" s="2" t="s">
        <v>31</v>
      </c>
      <c r="E1285" s="2">
        <v>180</v>
      </c>
      <c r="F1285" s="2">
        <v>197.66666670000001</v>
      </c>
      <c r="G1285" s="2">
        <v>476.33333329999999</v>
      </c>
      <c r="H1285" s="2">
        <v>1368</v>
      </c>
      <c r="I1285" s="2">
        <v>2185.333333</v>
      </c>
      <c r="J1285" s="2">
        <v>1.93</v>
      </c>
      <c r="K1285" s="2">
        <v>4.71</v>
      </c>
      <c r="L1285" s="2">
        <v>10.49</v>
      </c>
      <c r="M1285" s="2">
        <v>13.6</v>
      </c>
      <c r="N1285" s="2">
        <v>3.7623623990000001</v>
      </c>
      <c r="O1285" s="2">
        <v>3.631666192</v>
      </c>
      <c r="P1285" s="2">
        <v>0.77207752299999999</v>
      </c>
      <c r="Q1285" s="2">
        <v>1.1389947869999999</v>
      </c>
      <c r="R1285" s="2">
        <v>0.105907563</v>
      </c>
      <c r="S1285" s="2">
        <v>0.109509046</v>
      </c>
      <c r="T1285" s="2">
        <v>0.76477924200000003</v>
      </c>
      <c r="U1285" s="2">
        <v>1.133718172</v>
      </c>
      <c r="V1285" s="2">
        <v>1.4030562120000001</v>
      </c>
      <c r="W1285" s="2">
        <v>6.3036227E-2</v>
      </c>
      <c r="X1285">
        <f t="shared" si="60"/>
        <v>0</v>
      </c>
      <c r="Y1285">
        <f t="shared" si="61"/>
        <v>1</v>
      </c>
      <c r="Z1285">
        <f t="shared" si="62"/>
        <v>1</v>
      </c>
    </row>
    <row r="1286" spans="1:26" ht="15.75" customHeight="1" x14ac:dyDescent="0.2">
      <c r="A1286" s="2" t="s">
        <v>23</v>
      </c>
      <c r="B1286" s="2" t="s">
        <v>35</v>
      </c>
      <c r="C1286" s="2" t="s">
        <v>32</v>
      </c>
      <c r="D1286" s="2" t="s">
        <v>33</v>
      </c>
      <c r="E1286" s="2">
        <v>173</v>
      </c>
      <c r="F1286" s="2">
        <v>241.33333329999999</v>
      </c>
      <c r="G1286" s="2">
        <v>691.66666669999995</v>
      </c>
      <c r="H1286" s="2">
        <v>1255</v>
      </c>
      <c r="I1286" s="2">
        <v>3059.333333</v>
      </c>
      <c r="J1286" s="2">
        <v>2.41</v>
      </c>
      <c r="K1286" s="2">
        <v>6.46</v>
      </c>
      <c r="L1286" s="2">
        <v>9.94</v>
      </c>
      <c r="M1286" s="2">
        <v>15.81</v>
      </c>
      <c r="N1286" s="2">
        <v>1.911840244</v>
      </c>
      <c r="O1286" s="2">
        <v>2.0234509049999998</v>
      </c>
      <c r="P1286" s="2">
        <v>2.2785232419999999</v>
      </c>
      <c r="Q1286" s="2">
        <v>2.5129638440000002</v>
      </c>
      <c r="R1286" s="2">
        <v>1.8574009920000001</v>
      </c>
      <c r="S1286" s="2">
        <v>1.861002475</v>
      </c>
      <c r="T1286" s="2">
        <v>1.319746082</v>
      </c>
      <c r="U1286" s="2">
        <v>1.6886850120000001</v>
      </c>
      <c r="V1286" s="2">
        <v>3.154549641</v>
      </c>
      <c r="W1286" s="2">
        <v>8.8533637999999998E-2</v>
      </c>
      <c r="X1286">
        <f t="shared" si="60"/>
        <v>0</v>
      </c>
      <c r="Y1286">
        <f t="shared" si="61"/>
        <v>1</v>
      </c>
      <c r="Z1286">
        <f t="shared" si="62"/>
        <v>1</v>
      </c>
    </row>
    <row r="1287" spans="1:26" ht="15.75" customHeight="1" x14ac:dyDescent="0.2">
      <c r="A1287" s="2" t="s">
        <v>23</v>
      </c>
      <c r="B1287" s="2" t="s">
        <v>35</v>
      </c>
      <c r="C1287" s="2" t="s">
        <v>26</v>
      </c>
      <c r="D1287" s="2" t="s">
        <v>26</v>
      </c>
      <c r="E1287" s="2">
        <v>153</v>
      </c>
      <c r="F1287" s="2">
        <v>235.66666670000001</v>
      </c>
      <c r="G1287" s="2">
        <v>440.33333329999999</v>
      </c>
      <c r="H1287" s="2">
        <v>985.66666669999995</v>
      </c>
      <c r="I1287" s="2">
        <v>2992.333333</v>
      </c>
      <c r="J1287" s="2">
        <v>2.35</v>
      </c>
      <c r="K1287" s="2">
        <v>4.3899999999999997</v>
      </c>
      <c r="L1287" s="2">
        <v>8.44</v>
      </c>
      <c r="M1287" s="2">
        <v>15.67</v>
      </c>
      <c r="N1287" s="2">
        <v>0.60303547499999999</v>
      </c>
      <c r="O1287" s="2">
        <v>0.39725253599999999</v>
      </c>
      <c r="P1287" s="2">
        <v>2.8225838560000001</v>
      </c>
      <c r="Q1287" s="2">
        <v>3.190308259</v>
      </c>
      <c r="R1287" s="2">
        <v>0.21757220499999999</v>
      </c>
      <c r="S1287" s="2">
        <v>0.213970721</v>
      </c>
      <c r="T1287" s="2">
        <v>2.8141858430000002</v>
      </c>
      <c r="U1287" s="2">
        <v>3.1831247729999999</v>
      </c>
      <c r="V1287" s="2">
        <v>1.0795764450000001</v>
      </c>
      <c r="W1287" s="2">
        <v>7.0418492999999999E-2</v>
      </c>
      <c r="X1287">
        <f t="shared" si="60"/>
        <v>0</v>
      </c>
      <c r="Y1287">
        <f t="shared" si="61"/>
        <v>1</v>
      </c>
      <c r="Z1287">
        <f t="shared" si="62"/>
        <v>0</v>
      </c>
    </row>
    <row r="1288" spans="1:26" ht="15.75" customHeight="1" x14ac:dyDescent="0.2">
      <c r="A1288" s="2" t="s">
        <v>23</v>
      </c>
      <c r="B1288" s="2" t="s">
        <v>35</v>
      </c>
      <c r="C1288" s="2" t="s">
        <v>32</v>
      </c>
      <c r="D1288" s="2" t="s">
        <v>33</v>
      </c>
      <c r="E1288" s="2">
        <v>179</v>
      </c>
      <c r="F1288" s="2">
        <v>182</v>
      </c>
      <c r="G1288" s="2">
        <v>511.66666670000001</v>
      </c>
      <c r="H1288" s="2">
        <v>960.66666669999995</v>
      </c>
      <c r="I1288" s="2">
        <v>2493.333333</v>
      </c>
      <c r="J1288" s="2">
        <v>1.75</v>
      </c>
      <c r="K1288" s="2">
        <v>5.0199999999999996</v>
      </c>
      <c r="L1288" s="2">
        <v>8.2899999999999991</v>
      </c>
      <c r="M1288" s="2">
        <v>14.48</v>
      </c>
      <c r="N1288" s="2">
        <v>4.0896559679999998</v>
      </c>
      <c r="O1288" s="2">
        <v>4.1593214009999997</v>
      </c>
      <c r="P1288" s="2">
        <v>2.9956596929999999</v>
      </c>
      <c r="Q1288" s="2">
        <v>3.36188726</v>
      </c>
      <c r="R1288" s="2">
        <v>0.414234088</v>
      </c>
      <c r="S1288" s="2">
        <v>0.41783557100000002</v>
      </c>
      <c r="T1288" s="2">
        <v>2.9668817160000001</v>
      </c>
      <c r="U1288" s="2">
        <v>3.3358206460000002</v>
      </c>
      <c r="V1288" s="2">
        <v>1.7113827370000001</v>
      </c>
      <c r="W1288" s="2">
        <v>5.6383074999999998E-2</v>
      </c>
      <c r="X1288">
        <f t="shared" si="60"/>
        <v>0</v>
      </c>
      <c r="Y1288">
        <f t="shared" si="61"/>
        <v>1</v>
      </c>
      <c r="Z1288">
        <f t="shared" si="62"/>
        <v>1</v>
      </c>
    </row>
    <row r="1289" spans="1:26" ht="15.75" customHeight="1" x14ac:dyDescent="0.2">
      <c r="A1289" s="2" t="s">
        <v>23</v>
      </c>
      <c r="B1289" s="2" t="s">
        <v>35</v>
      </c>
      <c r="C1289" s="2" t="s">
        <v>28</v>
      </c>
      <c r="D1289" s="2" t="s">
        <v>29</v>
      </c>
      <c r="E1289" s="2">
        <v>213</v>
      </c>
      <c r="F1289" s="2">
        <v>263</v>
      </c>
      <c r="G1289" s="2">
        <v>331</v>
      </c>
      <c r="H1289" s="2">
        <v>1109.333333</v>
      </c>
      <c r="I1289" s="2">
        <v>2130.333333</v>
      </c>
      <c r="J1289" s="2">
        <v>2.64</v>
      </c>
      <c r="K1289" s="2">
        <v>3.34</v>
      </c>
      <c r="L1289" s="2">
        <v>9.16</v>
      </c>
      <c r="M1289" s="2">
        <v>13.43</v>
      </c>
      <c r="N1289" s="2">
        <v>1.53560155</v>
      </c>
      <c r="O1289" s="2">
        <v>0.90918963799999997</v>
      </c>
      <c r="P1289" s="2">
        <v>2.4462802319999999</v>
      </c>
      <c r="Q1289" s="2">
        <v>2.7672186679999999</v>
      </c>
      <c r="R1289" s="2">
        <v>1.262313663</v>
      </c>
      <c r="S1289" s="2">
        <v>1.258712179</v>
      </c>
      <c r="T1289" s="2">
        <v>2.0954357990000001</v>
      </c>
      <c r="U1289" s="2">
        <v>2.4643747290000002</v>
      </c>
      <c r="V1289" s="2">
        <v>3.4834986999999998E-2</v>
      </c>
      <c r="W1289" s="2">
        <v>6.2046122000000002E-2</v>
      </c>
      <c r="X1289">
        <f t="shared" si="60"/>
        <v>0</v>
      </c>
      <c r="Y1289">
        <f t="shared" si="61"/>
        <v>1</v>
      </c>
      <c r="Z1289">
        <f t="shared" si="62"/>
        <v>1</v>
      </c>
    </row>
    <row r="1290" spans="1:26" ht="15.75" customHeight="1" x14ac:dyDescent="0.2">
      <c r="A1290" s="2" t="s">
        <v>23</v>
      </c>
      <c r="B1290" s="2" t="s">
        <v>35</v>
      </c>
      <c r="C1290" s="2" t="s">
        <v>32</v>
      </c>
      <c r="D1290" s="2" t="s">
        <v>33</v>
      </c>
      <c r="E1290" s="2">
        <v>174</v>
      </c>
      <c r="F1290" s="2">
        <v>257.66666670000001</v>
      </c>
      <c r="G1290" s="2">
        <v>567</v>
      </c>
      <c r="H1290" s="2">
        <v>1053</v>
      </c>
      <c r="I1290" s="2">
        <v>2976.333333</v>
      </c>
      <c r="J1290" s="2">
        <v>2.59</v>
      </c>
      <c r="K1290" s="2">
        <v>5.49</v>
      </c>
      <c r="L1290" s="2">
        <v>8.84</v>
      </c>
      <c r="M1290" s="2">
        <v>15.63</v>
      </c>
      <c r="N1290" s="2">
        <v>3.3693106560000001</v>
      </c>
      <c r="O1290" s="2">
        <v>3.4457498320000002</v>
      </c>
      <c r="P1290" s="2">
        <v>2.5707498370000001</v>
      </c>
      <c r="Q1290" s="2">
        <v>2.92123008</v>
      </c>
      <c r="R1290" s="2">
        <v>0.87976076800000003</v>
      </c>
      <c r="S1290" s="2">
        <v>0.88336225099999999</v>
      </c>
      <c r="T1290" s="2">
        <v>2.415528041</v>
      </c>
      <c r="U1290" s="2">
        <v>2.7844669710000001</v>
      </c>
      <c r="V1290" s="2">
        <v>2.1769094170000001</v>
      </c>
      <c r="W1290" s="2">
        <v>7.2598582999999994E-2</v>
      </c>
      <c r="X1290">
        <f t="shared" si="60"/>
        <v>0</v>
      </c>
      <c r="Y1290">
        <f t="shared" si="61"/>
        <v>1</v>
      </c>
      <c r="Z1290">
        <f t="shared" si="62"/>
        <v>1</v>
      </c>
    </row>
    <row r="1291" spans="1:26" ht="15.75" customHeight="1" x14ac:dyDescent="0.2">
      <c r="A1291" s="2" t="s">
        <v>23</v>
      </c>
      <c r="B1291" s="2" t="s">
        <v>35</v>
      </c>
      <c r="C1291" s="2" t="s">
        <v>25</v>
      </c>
      <c r="D1291" s="2" t="s">
        <v>25</v>
      </c>
      <c r="E1291" s="2">
        <v>242</v>
      </c>
      <c r="F1291" s="2">
        <v>238</v>
      </c>
      <c r="G1291" s="2">
        <v>806.33333330000005</v>
      </c>
      <c r="H1291" s="2">
        <v>1676.333333</v>
      </c>
      <c r="I1291" s="2">
        <v>2965.333333</v>
      </c>
      <c r="J1291" s="2">
        <v>2.37</v>
      </c>
      <c r="K1291" s="2">
        <v>7.28</v>
      </c>
      <c r="L1291" s="2">
        <v>11.83</v>
      </c>
      <c r="M1291" s="2">
        <v>15.61</v>
      </c>
      <c r="N1291" s="2">
        <v>0.34533900299999998</v>
      </c>
      <c r="O1291" s="2">
        <v>4.6340808999999997E-2</v>
      </c>
      <c r="P1291" s="2">
        <v>2.739641078</v>
      </c>
      <c r="Q1291" s="2">
        <v>2.690255783</v>
      </c>
      <c r="R1291" s="2">
        <v>2.6788235660000002</v>
      </c>
      <c r="S1291" s="2">
        <v>2.6824250489999999</v>
      </c>
      <c r="T1291" s="2">
        <v>0.57405360400000005</v>
      </c>
      <c r="U1291" s="2">
        <v>0.205114674</v>
      </c>
      <c r="V1291" s="2">
        <v>3.9759722150000001</v>
      </c>
      <c r="W1291" s="2">
        <v>5.7194222000000003E-2</v>
      </c>
      <c r="X1291">
        <f t="shared" si="60"/>
        <v>0</v>
      </c>
      <c r="Y1291">
        <f t="shared" si="61"/>
        <v>1</v>
      </c>
      <c r="Z1291">
        <f t="shared" si="62"/>
        <v>0</v>
      </c>
    </row>
    <row r="1292" spans="1:26" ht="15.75" customHeight="1" x14ac:dyDescent="0.2">
      <c r="A1292" s="2" t="s">
        <v>23</v>
      </c>
      <c r="B1292" s="2" t="s">
        <v>35</v>
      </c>
      <c r="C1292" s="2" t="s">
        <v>27</v>
      </c>
      <c r="D1292" s="2" t="s">
        <v>27</v>
      </c>
      <c r="E1292" s="2">
        <v>138</v>
      </c>
      <c r="F1292" s="2">
        <v>254.33333329999999</v>
      </c>
      <c r="G1292" s="2">
        <v>476.33333329999999</v>
      </c>
      <c r="H1292" s="2">
        <v>2356</v>
      </c>
      <c r="I1292" s="2">
        <v>3212.666667</v>
      </c>
      <c r="J1292" s="2">
        <v>2.5499999999999998</v>
      </c>
      <c r="K1292" s="2">
        <v>4.71</v>
      </c>
      <c r="L1292" s="2">
        <v>14.1</v>
      </c>
      <c r="M1292" s="2">
        <v>16.12</v>
      </c>
      <c r="N1292" s="2">
        <v>0.27842468399999998</v>
      </c>
      <c r="O1292" s="2">
        <v>0.410249427</v>
      </c>
      <c r="P1292" s="2">
        <v>2.8516618419999999</v>
      </c>
      <c r="Q1292" s="2">
        <v>2.4831714640000002</v>
      </c>
      <c r="R1292" s="2">
        <v>0.105907563</v>
      </c>
      <c r="S1292" s="2">
        <v>0.109509046</v>
      </c>
      <c r="T1292" s="2">
        <v>2.8496945180000002</v>
      </c>
      <c r="U1292" s="2">
        <v>2.4807555880000001</v>
      </c>
      <c r="V1292" s="2">
        <v>1.4030562120000001</v>
      </c>
      <c r="W1292" s="2">
        <v>4.7286454999999998E-2</v>
      </c>
      <c r="X1292">
        <f t="shared" si="60"/>
        <v>0</v>
      </c>
      <c r="Y1292">
        <f t="shared" si="61"/>
        <v>1</v>
      </c>
      <c r="Z1292">
        <f t="shared" si="62"/>
        <v>0</v>
      </c>
    </row>
    <row r="1293" spans="1:26" ht="15.75" customHeight="1" x14ac:dyDescent="0.2">
      <c r="A1293" s="2" t="s">
        <v>23</v>
      </c>
      <c r="B1293" s="2" t="s">
        <v>35</v>
      </c>
      <c r="C1293" s="2" t="s">
        <v>30</v>
      </c>
      <c r="D1293" s="2" t="s">
        <v>31</v>
      </c>
      <c r="E1293" s="2">
        <v>153</v>
      </c>
      <c r="F1293" s="2">
        <v>250.66666670000001</v>
      </c>
      <c r="G1293" s="2">
        <v>511</v>
      </c>
      <c r="H1293" s="2">
        <v>1343.666667</v>
      </c>
      <c r="I1293" s="2">
        <v>2755.333333</v>
      </c>
      <c r="J1293" s="2">
        <v>2.5099999999999998</v>
      </c>
      <c r="K1293" s="2">
        <v>5.01</v>
      </c>
      <c r="L1293" s="2">
        <v>10.37</v>
      </c>
      <c r="M1293" s="2">
        <v>15.14</v>
      </c>
      <c r="N1293" s="2">
        <v>3.9088824889999998</v>
      </c>
      <c r="O1293" s="2">
        <v>3.7923138839999999</v>
      </c>
      <c r="P1293" s="2">
        <v>0.97116897700000004</v>
      </c>
      <c r="Q1293" s="2">
        <v>1.31619467</v>
      </c>
      <c r="R1293" s="2">
        <v>0.40849822200000002</v>
      </c>
      <c r="S1293" s="2">
        <v>0.41209970600000001</v>
      </c>
      <c r="T1293" s="2">
        <v>0.88107796699999996</v>
      </c>
      <c r="U1293" s="2">
        <v>1.2500168970000001</v>
      </c>
      <c r="V1293" s="2">
        <v>1.7056468709999999</v>
      </c>
      <c r="W1293" s="2">
        <v>5.2854109000000003E-2</v>
      </c>
      <c r="X1293">
        <f t="shared" si="60"/>
        <v>0</v>
      </c>
      <c r="Y1293">
        <f t="shared" si="61"/>
        <v>1</v>
      </c>
      <c r="Z1293">
        <f t="shared" si="62"/>
        <v>1</v>
      </c>
    </row>
    <row r="1294" spans="1:26" ht="15.75" customHeight="1" x14ac:dyDescent="0.2">
      <c r="A1294" s="2" t="s">
        <v>23</v>
      </c>
      <c r="B1294" s="2" t="s">
        <v>35</v>
      </c>
      <c r="C1294" s="2" t="s">
        <v>25</v>
      </c>
      <c r="D1294" s="2" t="s">
        <v>25</v>
      </c>
      <c r="E1294" s="2">
        <v>150</v>
      </c>
      <c r="F1294" s="2">
        <v>216.33333329999999</v>
      </c>
      <c r="G1294" s="2">
        <v>916.33333330000005</v>
      </c>
      <c r="H1294" s="2">
        <v>1514.333333</v>
      </c>
      <c r="I1294" s="2">
        <v>2944.666667</v>
      </c>
      <c r="J1294" s="2">
        <v>2.13</v>
      </c>
      <c r="K1294" s="2">
        <v>8.01</v>
      </c>
      <c r="L1294" s="2">
        <v>11.16</v>
      </c>
      <c r="M1294" s="2">
        <v>15.57</v>
      </c>
      <c r="N1294" s="2">
        <v>0.65546926699999997</v>
      </c>
      <c r="O1294" s="2">
        <v>0.99876435200000002</v>
      </c>
      <c r="P1294" s="2">
        <v>3.4067277140000001</v>
      </c>
      <c r="Q1294" s="2">
        <v>3.4409378479999999</v>
      </c>
      <c r="R1294" s="2">
        <v>3.4052670730000001</v>
      </c>
      <c r="S1294" s="2">
        <v>3.4088685559999998</v>
      </c>
      <c r="T1294" s="2">
        <v>9.9749068999999996E-2</v>
      </c>
      <c r="U1294" s="2">
        <v>0.46868799900000002</v>
      </c>
      <c r="V1294" s="2">
        <v>4.7024157219999996</v>
      </c>
      <c r="W1294" s="2">
        <v>8.0751228999999994E-2</v>
      </c>
      <c r="X1294">
        <f t="shared" si="60"/>
        <v>0</v>
      </c>
      <c r="Y1294">
        <f t="shared" si="61"/>
        <v>1</v>
      </c>
      <c r="Z1294">
        <f t="shared" si="62"/>
        <v>0</v>
      </c>
    </row>
    <row r="1295" spans="1:26" ht="15.75" customHeight="1" x14ac:dyDescent="0.2">
      <c r="A1295" s="2" t="s">
        <v>23</v>
      </c>
      <c r="B1295" s="2" t="s">
        <v>35</v>
      </c>
      <c r="C1295" s="2" t="s">
        <v>30</v>
      </c>
      <c r="D1295" s="2" t="s">
        <v>31</v>
      </c>
      <c r="E1295" s="2">
        <v>117</v>
      </c>
      <c r="F1295" s="2">
        <v>186</v>
      </c>
      <c r="G1295" s="2">
        <v>756</v>
      </c>
      <c r="H1295" s="2">
        <v>1350</v>
      </c>
      <c r="I1295" s="2">
        <v>2954.333333</v>
      </c>
      <c r="J1295" s="2">
        <v>1.79</v>
      </c>
      <c r="K1295" s="2">
        <v>6.93</v>
      </c>
      <c r="L1295" s="2">
        <v>10.4</v>
      </c>
      <c r="M1295" s="2">
        <v>15.59</v>
      </c>
      <c r="N1295" s="2">
        <v>4.5616200459999998</v>
      </c>
      <c r="O1295" s="2">
        <v>4.5354644530000003</v>
      </c>
      <c r="P1295" s="2">
        <v>2.4774146780000001</v>
      </c>
      <c r="Q1295" s="2">
        <v>2.6302363940000002</v>
      </c>
      <c r="R1295" s="2">
        <v>2.3267979209999998</v>
      </c>
      <c r="S1295" s="2">
        <v>2.3303994050000001</v>
      </c>
      <c r="T1295" s="2">
        <v>0.85064382800000005</v>
      </c>
      <c r="U1295" s="2">
        <v>1.219582758</v>
      </c>
      <c r="V1295" s="2">
        <v>3.6239465709999998</v>
      </c>
      <c r="W1295" s="2">
        <v>7.2688899000000001E-2</v>
      </c>
      <c r="X1295">
        <f t="shared" si="60"/>
        <v>0</v>
      </c>
      <c r="Y1295">
        <f t="shared" si="61"/>
        <v>1</v>
      </c>
      <c r="Z1295">
        <f t="shared" si="62"/>
        <v>1</v>
      </c>
    </row>
    <row r="1296" spans="1:26" ht="15.75" customHeight="1" x14ac:dyDescent="0.2">
      <c r="A1296" s="2" t="s">
        <v>23</v>
      </c>
      <c r="B1296" s="2" t="s">
        <v>35</v>
      </c>
      <c r="C1296" s="2" t="s">
        <v>25</v>
      </c>
      <c r="D1296" s="2" t="s">
        <v>25</v>
      </c>
      <c r="E1296" s="2">
        <v>111</v>
      </c>
      <c r="F1296" s="2">
        <v>153.33333329999999</v>
      </c>
      <c r="G1296" s="2">
        <v>761</v>
      </c>
      <c r="H1296" s="2">
        <v>1337</v>
      </c>
      <c r="I1296" s="2">
        <v>2453</v>
      </c>
      <c r="J1296" s="2">
        <v>1.42</v>
      </c>
      <c r="K1296" s="2">
        <v>6.97</v>
      </c>
      <c r="L1296" s="2">
        <v>10.34</v>
      </c>
      <c r="M1296" s="2">
        <v>14.37</v>
      </c>
      <c r="N1296" s="2">
        <v>1.1263501199999999</v>
      </c>
      <c r="O1296" s="2">
        <v>1.282550978</v>
      </c>
      <c r="P1296" s="2">
        <v>2.9853241279999998</v>
      </c>
      <c r="Q1296" s="2">
        <v>3.0293296500000002</v>
      </c>
      <c r="R1296" s="2">
        <v>2.5231091910000001</v>
      </c>
      <c r="S1296" s="2">
        <v>2.6053450379999998</v>
      </c>
      <c r="T1296" s="2">
        <v>1.59564412</v>
      </c>
      <c r="U1296" s="2">
        <v>1.5456439959999999</v>
      </c>
      <c r="V1296" s="2">
        <v>3.8002578749999998</v>
      </c>
      <c r="W1296" s="2">
        <v>8.2469270999999997E-2</v>
      </c>
      <c r="X1296">
        <f t="shared" si="60"/>
        <v>0</v>
      </c>
      <c r="Y1296">
        <f t="shared" si="61"/>
        <v>1</v>
      </c>
      <c r="Z1296">
        <f t="shared" si="62"/>
        <v>0</v>
      </c>
    </row>
    <row r="1297" spans="1:26" ht="15.75" customHeight="1" x14ac:dyDescent="0.2">
      <c r="A1297" s="2" t="s">
        <v>23</v>
      </c>
      <c r="B1297" s="2" t="s">
        <v>35</v>
      </c>
      <c r="C1297" s="2" t="s">
        <v>26</v>
      </c>
      <c r="D1297" s="2" t="s">
        <v>26</v>
      </c>
      <c r="E1297" s="2">
        <v>79</v>
      </c>
      <c r="F1297" s="2">
        <v>206</v>
      </c>
      <c r="G1297" s="2">
        <v>409</v>
      </c>
      <c r="H1297" s="2">
        <v>987</v>
      </c>
      <c r="I1297" s="2">
        <v>2757.666667</v>
      </c>
      <c r="J1297" s="2">
        <v>2.02</v>
      </c>
      <c r="K1297" s="2">
        <v>4.0999999999999996</v>
      </c>
      <c r="L1297" s="2">
        <v>8.4499999999999993</v>
      </c>
      <c r="M1297" s="2">
        <v>15.14</v>
      </c>
      <c r="N1297" s="2">
        <v>0.48735002500000002</v>
      </c>
      <c r="O1297" s="2">
        <v>0.47563427600000002</v>
      </c>
      <c r="P1297" s="2">
        <v>3.5056711119999999</v>
      </c>
      <c r="Q1297" s="2">
        <v>3.4486480140000002</v>
      </c>
      <c r="R1297" s="2">
        <v>0.34636251099999998</v>
      </c>
      <c r="S1297" s="2">
        <v>0.26412666499999998</v>
      </c>
      <c r="T1297" s="2">
        <v>3.4885187339999999</v>
      </c>
      <c r="U1297" s="2">
        <v>3.43851861</v>
      </c>
      <c r="V1297" s="2">
        <v>0.93078617200000002</v>
      </c>
      <c r="W1297" s="2">
        <v>7.3719053000000007E-2</v>
      </c>
      <c r="X1297">
        <f t="shared" si="60"/>
        <v>0</v>
      </c>
      <c r="Y1297">
        <f t="shared" si="61"/>
        <v>1</v>
      </c>
      <c r="Z1297">
        <f t="shared" si="62"/>
        <v>0</v>
      </c>
    </row>
    <row r="1298" spans="1:26" ht="15.75" customHeight="1" x14ac:dyDescent="0.2">
      <c r="A1298" s="2" t="s">
        <v>23</v>
      </c>
      <c r="B1298" s="2" t="s">
        <v>35</v>
      </c>
      <c r="C1298" s="2" t="s">
        <v>27</v>
      </c>
      <c r="D1298" s="2" t="s">
        <v>27</v>
      </c>
      <c r="E1298" s="2">
        <v>100</v>
      </c>
      <c r="F1298" s="2">
        <v>213.33333329999999</v>
      </c>
      <c r="G1298" s="2">
        <v>386</v>
      </c>
      <c r="H1298" s="2">
        <v>2333.666667</v>
      </c>
      <c r="I1298" s="2">
        <v>3140.333333</v>
      </c>
      <c r="J1298" s="2">
        <v>2.1</v>
      </c>
      <c r="K1298" s="2">
        <v>3.88</v>
      </c>
      <c r="L1298" s="2">
        <v>14.04</v>
      </c>
      <c r="M1298" s="2">
        <v>15.98</v>
      </c>
      <c r="N1298" s="2">
        <v>0.17786385599999999</v>
      </c>
      <c r="O1298" s="2">
        <v>0.228742943</v>
      </c>
      <c r="P1298" s="2">
        <v>2.178200779</v>
      </c>
      <c r="Q1298" s="2">
        <v>2.2071439979999998</v>
      </c>
      <c r="R1298" s="2">
        <v>0.56382665200000004</v>
      </c>
      <c r="S1298" s="2">
        <v>0.48159080500000001</v>
      </c>
      <c r="T1298" s="2">
        <v>2.1039624859999999</v>
      </c>
      <c r="U1298" s="2">
        <v>2.1539626100000002</v>
      </c>
      <c r="V1298" s="2">
        <v>0.71332203199999999</v>
      </c>
      <c r="W1298" s="2">
        <v>7.0031533000000007E-2</v>
      </c>
      <c r="X1298">
        <f t="shared" si="60"/>
        <v>0</v>
      </c>
      <c r="Y1298">
        <f t="shared" si="61"/>
        <v>1</v>
      </c>
      <c r="Z1298">
        <f t="shared" si="62"/>
        <v>0</v>
      </c>
    </row>
    <row r="1299" spans="1:26" ht="15.75" customHeight="1" x14ac:dyDescent="0.2">
      <c r="A1299" s="2" t="s">
        <v>23</v>
      </c>
      <c r="B1299" s="2" t="s">
        <v>35</v>
      </c>
      <c r="C1299" s="2" t="s">
        <v>28</v>
      </c>
      <c r="D1299" s="2" t="s">
        <v>29</v>
      </c>
      <c r="E1299" s="2">
        <v>94</v>
      </c>
      <c r="F1299" s="2">
        <v>198</v>
      </c>
      <c r="G1299" s="2">
        <v>455</v>
      </c>
      <c r="H1299" s="2">
        <v>1956</v>
      </c>
      <c r="I1299" s="2">
        <v>3175</v>
      </c>
      <c r="J1299" s="2">
        <v>1.93</v>
      </c>
      <c r="K1299" s="2">
        <v>4.5199999999999996</v>
      </c>
      <c r="L1299" s="2">
        <v>12.86</v>
      </c>
      <c r="M1299" s="2">
        <v>16.05</v>
      </c>
      <c r="N1299" s="2">
        <v>4.8617974999999998</v>
      </c>
      <c r="O1299" s="2">
        <v>4.7858928450000002</v>
      </c>
      <c r="P1299" s="2">
        <v>0.92680040299999999</v>
      </c>
      <c r="Q1299" s="2">
        <v>0.98646412699999997</v>
      </c>
      <c r="R1299" s="2">
        <v>7.6139246999999993E-2</v>
      </c>
      <c r="S1299" s="2">
        <v>0.15837509399999999</v>
      </c>
      <c r="T1299" s="2">
        <v>0.92366758199999999</v>
      </c>
      <c r="U1299" s="2">
        <v>0.97366770599999997</v>
      </c>
      <c r="V1299" s="2">
        <v>1.3532879310000001</v>
      </c>
      <c r="W1299" s="2">
        <v>6.6340242999999993E-2</v>
      </c>
      <c r="X1299">
        <f t="shared" si="60"/>
        <v>0</v>
      </c>
      <c r="Y1299">
        <f t="shared" si="61"/>
        <v>1</v>
      </c>
      <c r="Z1299">
        <f t="shared" si="62"/>
        <v>1</v>
      </c>
    </row>
    <row r="1300" spans="1:26" ht="15.75" customHeight="1" x14ac:dyDescent="0.2">
      <c r="A1300" s="2" t="s">
        <v>23</v>
      </c>
      <c r="B1300" s="2" t="s">
        <v>35</v>
      </c>
      <c r="C1300" s="2" t="s">
        <v>30</v>
      </c>
      <c r="D1300" s="2" t="s">
        <v>31</v>
      </c>
      <c r="E1300" s="2">
        <v>88</v>
      </c>
      <c r="F1300" s="2">
        <v>198</v>
      </c>
      <c r="G1300" s="2">
        <v>549.66666669999995</v>
      </c>
      <c r="H1300" s="2">
        <v>1598.333333</v>
      </c>
      <c r="I1300" s="2">
        <v>2600</v>
      </c>
      <c r="J1300" s="2">
        <v>1.93</v>
      </c>
      <c r="K1300" s="2">
        <v>5.34</v>
      </c>
      <c r="L1300" s="2">
        <v>11.51</v>
      </c>
      <c r="M1300" s="2">
        <v>14.76</v>
      </c>
      <c r="N1300" s="2">
        <v>3.098471338</v>
      </c>
      <c r="O1300" s="2">
        <v>3.144779985</v>
      </c>
      <c r="P1300" s="2">
        <v>0.99254890799999995</v>
      </c>
      <c r="Q1300" s="2">
        <v>1.048531914</v>
      </c>
      <c r="R1300" s="2">
        <v>0.89690040100000001</v>
      </c>
      <c r="S1300" s="2">
        <v>0.97913624799999999</v>
      </c>
      <c r="T1300" s="2">
        <v>0.42511528399999998</v>
      </c>
      <c r="U1300" s="2">
        <v>0.37511516</v>
      </c>
      <c r="V1300" s="2">
        <v>2.174049085</v>
      </c>
      <c r="W1300" s="2">
        <v>5.7412527999999997E-2</v>
      </c>
      <c r="X1300">
        <f t="shared" si="60"/>
        <v>0</v>
      </c>
      <c r="Y1300">
        <f t="shared" si="61"/>
        <v>1</v>
      </c>
      <c r="Z1300">
        <f t="shared" si="62"/>
        <v>1</v>
      </c>
    </row>
    <row r="1301" spans="1:26" ht="15.75" customHeight="1" x14ac:dyDescent="0.2">
      <c r="A1301" s="2" t="s">
        <v>23</v>
      </c>
      <c r="B1301" s="2" t="s">
        <v>35</v>
      </c>
      <c r="C1301" s="2" t="s">
        <v>26</v>
      </c>
      <c r="D1301" s="2" t="s">
        <v>26</v>
      </c>
      <c r="E1301" s="2">
        <v>117</v>
      </c>
      <c r="F1301" s="2">
        <v>194.33333329999999</v>
      </c>
      <c r="G1301" s="2">
        <v>379.66666670000001</v>
      </c>
      <c r="H1301" s="2">
        <v>755.33333330000005</v>
      </c>
      <c r="I1301" s="2">
        <v>2851.333333</v>
      </c>
      <c r="J1301" s="2">
        <v>1.89</v>
      </c>
      <c r="K1301" s="2">
        <v>3.82</v>
      </c>
      <c r="L1301" s="2">
        <v>6.93</v>
      </c>
      <c r="M1301" s="2">
        <v>15.36</v>
      </c>
      <c r="N1301" s="2">
        <v>1.122784615</v>
      </c>
      <c r="O1301" s="2">
        <v>1.215117387</v>
      </c>
      <c r="P1301" s="2">
        <v>5.0485812189999999</v>
      </c>
      <c r="Q1301" s="2">
        <v>4.9893633619999997</v>
      </c>
      <c r="R1301" s="2">
        <v>0.62445883899999999</v>
      </c>
      <c r="S1301" s="2">
        <v>0.54222299299999999</v>
      </c>
      <c r="T1301" s="2">
        <v>5.0098127200000002</v>
      </c>
      <c r="U1301" s="2">
        <v>4.9598125959999999</v>
      </c>
      <c r="V1301" s="2">
        <v>0.65268984399999996</v>
      </c>
      <c r="W1301" s="2">
        <v>8.8364464000000004E-2</v>
      </c>
      <c r="X1301">
        <f t="shared" si="60"/>
        <v>0</v>
      </c>
      <c r="Y1301">
        <f t="shared" si="61"/>
        <v>1</v>
      </c>
      <c r="Z1301">
        <f t="shared" si="62"/>
        <v>0</v>
      </c>
    </row>
    <row r="1302" spans="1:26" ht="15.75" customHeight="1" x14ac:dyDescent="0.2">
      <c r="A1302" s="2" t="s">
        <v>23</v>
      </c>
      <c r="B1302" s="2" t="s">
        <v>35</v>
      </c>
      <c r="C1302" s="2" t="s">
        <v>28</v>
      </c>
      <c r="D1302" s="2" t="s">
        <v>29</v>
      </c>
      <c r="E1302" s="2">
        <v>107</v>
      </c>
      <c r="F1302" s="2">
        <v>226</v>
      </c>
      <c r="G1302" s="2">
        <v>463</v>
      </c>
      <c r="H1302" s="2">
        <v>1744</v>
      </c>
      <c r="I1302" s="2">
        <v>3091.333333</v>
      </c>
      <c r="J1302" s="2">
        <v>2.2400000000000002</v>
      </c>
      <c r="K1302" s="2">
        <v>4.59</v>
      </c>
      <c r="L1302" s="2">
        <v>12.09</v>
      </c>
      <c r="M1302" s="2">
        <v>15.88</v>
      </c>
      <c r="N1302" s="2">
        <v>4.1162655969999999</v>
      </c>
      <c r="O1302" s="2">
        <v>4.0447995309999998</v>
      </c>
      <c r="P1302" s="2">
        <v>0.21476246099999999</v>
      </c>
      <c r="Q1302" s="2">
        <v>0.30868846300000002</v>
      </c>
      <c r="R1302" s="2">
        <v>0.14798024000000001</v>
      </c>
      <c r="S1302" s="2">
        <v>0.23021608700000001</v>
      </c>
      <c r="T1302" s="2">
        <v>0.155643063</v>
      </c>
      <c r="U1302" s="2">
        <v>0.20564318700000001</v>
      </c>
      <c r="V1302" s="2">
        <v>1.425128924</v>
      </c>
      <c r="W1302" s="2">
        <v>6.6601318000000007E-2</v>
      </c>
      <c r="X1302">
        <f t="shared" si="60"/>
        <v>0</v>
      </c>
      <c r="Y1302">
        <f t="shared" si="61"/>
        <v>1</v>
      </c>
      <c r="Z1302">
        <f t="shared" si="62"/>
        <v>1</v>
      </c>
    </row>
    <row r="1303" spans="1:26" ht="15.75" customHeight="1" x14ac:dyDescent="0.2">
      <c r="A1303" s="2" t="s">
        <v>23</v>
      </c>
      <c r="B1303" s="2" t="s">
        <v>35</v>
      </c>
      <c r="C1303" s="2" t="s">
        <v>32</v>
      </c>
      <c r="D1303" s="2" t="s">
        <v>33</v>
      </c>
      <c r="E1303" s="2">
        <v>111</v>
      </c>
      <c r="F1303" s="2">
        <v>218</v>
      </c>
      <c r="G1303" s="2">
        <v>505.33333329999999</v>
      </c>
      <c r="H1303" s="2">
        <v>942.33333330000005</v>
      </c>
      <c r="I1303" s="2">
        <v>2567.333333</v>
      </c>
      <c r="J1303" s="2">
        <v>2.15</v>
      </c>
      <c r="K1303" s="2">
        <v>4.97</v>
      </c>
      <c r="L1303" s="2">
        <v>8.17</v>
      </c>
      <c r="M1303" s="2">
        <v>14.67</v>
      </c>
      <c r="N1303" s="2">
        <v>4.0579811389999998</v>
      </c>
      <c r="O1303" s="2">
        <v>4.1936728209999998</v>
      </c>
      <c r="P1303" s="2">
        <v>3.79874563</v>
      </c>
      <c r="Q1303" s="2">
        <v>3.761518852</v>
      </c>
      <c r="R1303" s="2">
        <v>0.52037733900000005</v>
      </c>
      <c r="S1303" s="2">
        <v>0.60261318600000002</v>
      </c>
      <c r="T1303" s="2">
        <v>3.7629344649999998</v>
      </c>
      <c r="U1303" s="2">
        <v>3.712934341</v>
      </c>
      <c r="V1303" s="2">
        <v>1.7975260230000001</v>
      </c>
      <c r="W1303" s="2">
        <v>0.140040633</v>
      </c>
      <c r="X1303">
        <f t="shared" si="60"/>
        <v>0</v>
      </c>
      <c r="Y1303">
        <f t="shared" si="61"/>
        <v>1</v>
      </c>
      <c r="Z1303">
        <f t="shared" si="62"/>
        <v>1</v>
      </c>
    </row>
    <row r="1304" spans="1:26" ht="15.75" customHeight="1" x14ac:dyDescent="0.2">
      <c r="A1304" s="2" t="s">
        <v>23</v>
      </c>
      <c r="B1304" s="2" t="s">
        <v>35</v>
      </c>
      <c r="C1304" s="2" t="s">
        <v>32</v>
      </c>
      <c r="D1304" s="2" t="s">
        <v>33</v>
      </c>
      <c r="E1304" s="2">
        <v>89</v>
      </c>
      <c r="F1304" s="2">
        <v>185.33333329999999</v>
      </c>
      <c r="G1304" s="2">
        <v>464.66666670000001</v>
      </c>
      <c r="H1304" s="2">
        <v>878.66666669999995</v>
      </c>
      <c r="I1304" s="2">
        <v>2543</v>
      </c>
      <c r="J1304" s="2">
        <v>1.79</v>
      </c>
      <c r="K1304" s="2">
        <v>4.6100000000000003</v>
      </c>
      <c r="L1304" s="2">
        <v>7.77</v>
      </c>
      <c r="M1304" s="2">
        <v>14.61</v>
      </c>
      <c r="N1304" s="2">
        <v>4.5986847600000003</v>
      </c>
      <c r="O1304" s="2">
        <v>4.7336386450000001</v>
      </c>
      <c r="P1304" s="2">
        <v>4.1721875910000001</v>
      </c>
      <c r="Q1304" s="2">
        <v>4.1262938220000001</v>
      </c>
      <c r="R1304" s="2">
        <v>0.16288744299999999</v>
      </c>
      <c r="S1304" s="2">
        <v>0.24512328999999999</v>
      </c>
      <c r="T1304" s="2">
        <v>4.1690067129999999</v>
      </c>
      <c r="U1304" s="2">
        <v>4.1190065889999996</v>
      </c>
      <c r="V1304" s="2">
        <v>1.4400361269999999</v>
      </c>
      <c r="W1304" s="2">
        <v>6.3801738999999996E-2</v>
      </c>
      <c r="X1304">
        <f t="shared" si="60"/>
        <v>0</v>
      </c>
      <c r="Y1304">
        <f t="shared" si="61"/>
        <v>1</v>
      </c>
      <c r="Z1304">
        <f t="shared" si="62"/>
        <v>1</v>
      </c>
    </row>
    <row r="1305" spans="1:26" ht="15.75" customHeight="1" x14ac:dyDescent="0.2">
      <c r="A1305" s="2" t="s">
        <v>23</v>
      </c>
      <c r="B1305" s="2" t="s">
        <v>35</v>
      </c>
      <c r="C1305" s="2" t="s">
        <v>25</v>
      </c>
      <c r="D1305" s="2" t="s">
        <v>25</v>
      </c>
      <c r="E1305" s="2">
        <v>297</v>
      </c>
      <c r="F1305" s="2">
        <v>195</v>
      </c>
      <c r="G1305" s="2">
        <v>922.66666669999995</v>
      </c>
      <c r="H1305" s="2">
        <v>1439</v>
      </c>
      <c r="I1305" s="2">
        <v>2492.333333</v>
      </c>
      <c r="J1305" s="2">
        <v>1.9</v>
      </c>
      <c r="K1305" s="2">
        <v>8.0500000000000007</v>
      </c>
      <c r="L1305" s="2">
        <v>10.82</v>
      </c>
      <c r="M1305" s="2">
        <v>14.48</v>
      </c>
      <c r="N1305" s="2">
        <v>0.71441565900000004</v>
      </c>
      <c r="O1305" s="2">
        <v>0.85987354900000001</v>
      </c>
      <c r="P1305" s="2">
        <v>3.775303826</v>
      </c>
      <c r="Q1305" s="2">
        <v>3.8397339760000002</v>
      </c>
      <c r="R1305" s="2">
        <v>3.6061639159999999</v>
      </c>
      <c r="S1305" s="2">
        <v>3.6883997630000001</v>
      </c>
      <c r="T1305" s="2">
        <v>1.1173633220000001</v>
      </c>
      <c r="U1305" s="2">
        <v>1.067363198</v>
      </c>
      <c r="V1305" s="2">
        <v>4.8833126</v>
      </c>
      <c r="W1305" s="2">
        <v>7.9951140000000004E-2</v>
      </c>
      <c r="X1305">
        <f t="shared" si="60"/>
        <v>0</v>
      </c>
      <c r="Y1305">
        <f t="shared" si="61"/>
        <v>1</v>
      </c>
      <c r="Z1305">
        <f t="shared" si="62"/>
        <v>0</v>
      </c>
    </row>
    <row r="1306" spans="1:26" ht="15.75" customHeight="1" x14ac:dyDescent="0.2">
      <c r="A1306" s="2" t="s">
        <v>23</v>
      </c>
      <c r="B1306" s="2" t="s">
        <v>35</v>
      </c>
      <c r="C1306" s="2" t="s">
        <v>32</v>
      </c>
      <c r="D1306" s="2" t="s">
        <v>33</v>
      </c>
      <c r="E1306" s="2">
        <v>194</v>
      </c>
      <c r="F1306" s="2">
        <v>172</v>
      </c>
      <c r="G1306" s="2">
        <v>440</v>
      </c>
      <c r="H1306" s="2">
        <v>1277.666667</v>
      </c>
      <c r="I1306" s="2">
        <v>2737.333333</v>
      </c>
      <c r="J1306" s="2">
        <v>1.63</v>
      </c>
      <c r="K1306" s="2">
        <v>4.3899999999999997</v>
      </c>
      <c r="L1306" s="2">
        <v>10.050000000000001</v>
      </c>
      <c r="M1306" s="2">
        <v>15.09</v>
      </c>
      <c r="N1306" s="2">
        <v>3.3949906740000002</v>
      </c>
      <c r="O1306" s="2">
        <v>3.4557039700000001</v>
      </c>
      <c r="P1306" s="2">
        <v>1.8886719080000001</v>
      </c>
      <c r="Q1306" s="2">
        <v>1.8378594399999999</v>
      </c>
      <c r="R1306" s="2">
        <v>5.9853506000000001E-2</v>
      </c>
      <c r="S1306" s="2">
        <v>2.2382341E-2</v>
      </c>
      <c r="T1306" s="2">
        <v>1.887723268</v>
      </c>
      <c r="U1306" s="2">
        <v>1.8377231439999999</v>
      </c>
      <c r="V1306" s="2">
        <v>1.217295177</v>
      </c>
      <c r="W1306" s="2">
        <v>5.4221628000000001E-2</v>
      </c>
      <c r="X1306">
        <f t="shared" si="60"/>
        <v>0</v>
      </c>
      <c r="Y1306">
        <f t="shared" si="61"/>
        <v>1</v>
      </c>
      <c r="Z1306">
        <f t="shared" si="62"/>
        <v>1</v>
      </c>
    </row>
    <row r="1307" spans="1:26" ht="15.75" customHeight="1" x14ac:dyDescent="0.2">
      <c r="A1307" s="2" t="s">
        <v>23</v>
      </c>
      <c r="B1307" s="2" t="s">
        <v>35</v>
      </c>
      <c r="C1307" s="2" t="s">
        <v>32</v>
      </c>
      <c r="D1307" s="2" t="s">
        <v>33</v>
      </c>
      <c r="E1307" s="2">
        <v>100</v>
      </c>
      <c r="F1307" s="2">
        <v>189</v>
      </c>
      <c r="G1307" s="2">
        <v>527</v>
      </c>
      <c r="H1307" s="2">
        <v>1068.333333</v>
      </c>
      <c r="I1307" s="2">
        <v>2491</v>
      </c>
      <c r="J1307" s="2">
        <v>1.83</v>
      </c>
      <c r="K1307" s="2">
        <v>5.15</v>
      </c>
      <c r="L1307" s="2">
        <v>8.93</v>
      </c>
      <c r="M1307" s="2">
        <v>14.47</v>
      </c>
      <c r="N1307" s="2">
        <v>3.3739492609999999</v>
      </c>
      <c r="O1307" s="2">
        <v>3.4973508419999999</v>
      </c>
      <c r="P1307" s="2">
        <v>3.091340615</v>
      </c>
      <c r="Q1307" s="2">
        <v>3.0628115469999999</v>
      </c>
      <c r="R1307" s="2">
        <v>0.70606949299999999</v>
      </c>
      <c r="S1307" s="2">
        <v>0.78830533999999997</v>
      </c>
      <c r="T1307" s="2">
        <v>3.009626666</v>
      </c>
      <c r="U1307" s="2">
        <v>2.9596265420000001</v>
      </c>
      <c r="V1307" s="2">
        <v>1.9832181769999999</v>
      </c>
      <c r="W1307" s="2">
        <v>7.1419070000000001E-2</v>
      </c>
      <c r="X1307">
        <f t="shared" si="60"/>
        <v>0</v>
      </c>
      <c r="Y1307">
        <f t="shared" si="61"/>
        <v>1</v>
      </c>
      <c r="Z1307">
        <f t="shared" si="62"/>
        <v>1</v>
      </c>
    </row>
    <row r="1308" spans="1:26" ht="15.75" customHeight="1" x14ac:dyDescent="0.2">
      <c r="A1308" s="2" t="s">
        <v>23</v>
      </c>
      <c r="B1308" s="2" t="s">
        <v>35</v>
      </c>
      <c r="C1308" s="2" t="s">
        <v>25</v>
      </c>
      <c r="D1308" s="2" t="s">
        <v>25</v>
      </c>
      <c r="E1308" s="2">
        <v>83</v>
      </c>
      <c r="F1308" s="2">
        <v>187.66666670000001</v>
      </c>
      <c r="G1308" s="2">
        <v>844</v>
      </c>
      <c r="H1308" s="2">
        <v>1669</v>
      </c>
      <c r="I1308" s="2">
        <v>2633.666667</v>
      </c>
      <c r="J1308" s="2">
        <v>1.81</v>
      </c>
      <c r="K1308" s="2">
        <v>7.54</v>
      </c>
      <c r="L1308" s="2">
        <v>11.8</v>
      </c>
      <c r="M1308" s="2">
        <v>14.84</v>
      </c>
      <c r="N1308" s="2">
        <v>0.48520524300000001</v>
      </c>
      <c r="O1308" s="2">
        <v>0.30207883000000002</v>
      </c>
      <c r="P1308" s="2">
        <v>3.0978069370000001</v>
      </c>
      <c r="Q1308" s="2">
        <v>3.1781935749999999</v>
      </c>
      <c r="R1308" s="2">
        <v>3.0947515819999998</v>
      </c>
      <c r="S1308" s="2">
        <v>3.176987429</v>
      </c>
      <c r="T1308" s="2">
        <v>0.137551696</v>
      </c>
      <c r="U1308" s="2">
        <v>8.7551571999999994E-2</v>
      </c>
      <c r="V1308" s="2">
        <v>4.3719002649999998</v>
      </c>
      <c r="W1308" s="2">
        <v>9.6206270999999996E-2</v>
      </c>
      <c r="X1308">
        <f t="shared" si="60"/>
        <v>0</v>
      </c>
      <c r="Y1308">
        <f t="shared" si="61"/>
        <v>1</v>
      </c>
      <c r="Z1308">
        <f t="shared" si="62"/>
        <v>0</v>
      </c>
    </row>
    <row r="1309" spans="1:26" ht="15.75" customHeight="1" x14ac:dyDescent="0.2">
      <c r="A1309" s="2" t="s">
        <v>23</v>
      </c>
      <c r="B1309" s="2" t="s">
        <v>35</v>
      </c>
      <c r="C1309" s="2" t="s">
        <v>25</v>
      </c>
      <c r="D1309" s="2" t="s">
        <v>25</v>
      </c>
      <c r="E1309" s="2">
        <v>81</v>
      </c>
      <c r="F1309" s="2">
        <v>116.33333330000001</v>
      </c>
      <c r="G1309" s="2">
        <v>889</v>
      </c>
      <c r="H1309" s="2">
        <v>1652</v>
      </c>
      <c r="I1309" s="2">
        <v>2573.666667</v>
      </c>
      <c r="J1309" s="2">
        <v>0.97</v>
      </c>
      <c r="K1309" s="2">
        <v>7.84</v>
      </c>
      <c r="L1309" s="2">
        <v>11.73</v>
      </c>
      <c r="M1309" s="2">
        <v>14.69</v>
      </c>
      <c r="N1309" s="2">
        <v>0.51378278899999996</v>
      </c>
      <c r="O1309" s="2">
        <v>0.39060314600000001</v>
      </c>
      <c r="P1309" s="2">
        <v>3.3969875599999999</v>
      </c>
      <c r="Q1309" s="2">
        <v>3.4764781039999999</v>
      </c>
      <c r="R1309" s="2">
        <v>3.3907537830000001</v>
      </c>
      <c r="S1309" s="2">
        <v>3.4729896299999998</v>
      </c>
      <c r="T1309" s="2">
        <v>0.20570189</v>
      </c>
      <c r="U1309" s="2">
        <v>0.15570176599999999</v>
      </c>
      <c r="V1309" s="2">
        <v>4.6679024670000002</v>
      </c>
      <c r="W1309" s="2">
        <v>9.1688517999999997E-2</v>
      </c>
      <c r="X1309">
        <f t="shared" si="60"/>
        <v>0</v>
      </c>
      <c r="Y1309">
        <f t="shared" si="61"/>
        <v>1</v>
      </c>
      <c r="Z1309">
        <f t="shared" si="62"/>
        <v>0</v>
      </c>
    </row>
    <row r="1310" spans="1:26" ht="15.75" customHeight="1" x14ac:dyDescent="0.2">
      <c r="A1310" s="2" t="s">
        <v>23</v>
      </c>
      <c r="B1310" s="2" t="s">
        <v>35</v>
      </c>
      <c r="C1310" s="2" t="s">
        <v>27</v>
      </c>
      <c r="D1310" s="2" t="s">
        <v>27</v>
      </c>
      <c r="E1310" s="2">
        <v>82</v>
      </c>
      <c r="F1310" s="2">
        <v>223</v>
      </c>
      <c r="G1310" s="2">
        <v>412.66666670000001</v>
      </c>
      <c r="H1310" s="2">
        <v>2387.333333</v>
      </c>
      <c r="I1310" s="2">
        <v>3044.666667</v>
      </c>
      <c r="J1310" s="2">
        <v>2.21</v>
      </c>
      <c r="K1310" s="2">
        <v>4.13</v>
      </c>
      <c r="L1310" s="2">
        <v>14.19</v>
      </c>
      <c r="M1310" s="2">
        <v>15.78</v>
      </c>
      <c r="N1310" s="2">
        <v>0.34002587699999998</v>
      </c>
      <c r="O1310" s="2">
        <v>0.40502313099999998</v>
      </c>
      <c r="P1310" s="2">
        <v>2.276535054</v>
      </c>
      <c r="Q1310" s="2">
        <v>2.3164737010000001</v>
      </c>
      <c r="R1310" s="2">
        <v>0.31208395500000002</v>
      </c>
      <c r="S1310" s="2">
        <v>0.229848108</v>
      </c>
      <c r="T1310" s="2">
        <v>2.2550422299999999</v>
      </c>
      <c r="U1310" s="2">
        <v>2.3050423539999998</v>
      </c>
      <c r="V1310" s="2">
        <v>0.96506472899999995</v>
      </c>
      <c r="W1310" s="2">
        <v>8.7070128999999996E-2</v>
      </c>
      <c r="X1310">
        <f t="shared" si="60"/>
        <v>0</v>
      </c>
      <c r="Y1310">
        <f t="shared" si="61"/>
        <v>1</v>
      </c>
      <c r="Z1310">
        <f t="shared" si="62"/>
        <v>0</v>
      </c>
    </row>
    <row r="1311" spans="1:26" ht="15.75" customHeight="1" x14ac:dyDescent="0.2">
      <c r="A1311" s="2" t="s">
        <v>23</v>
      </c>
      <c r="B1311" s="2" t="s">
        <v>35</v>
      </c>
      <c r="C1311" s="2" t="s">
        <v>30</v>
      </c>
      <c r="D1311" s="2" t="s">
        <v>31</v>
      </c>
      <c r="E1311" s="2">
        <v>74</v>
      </c>
      <c r="F1311" s="2">
        <v>98</v>
      </c>
      <c r="G1311" s="2">
        <v>538.66666669999995</v>
      </c>
      <c r="H1311" s="2">
        <v>1395.666667</v>
      </c>
      <c r="I1311" s="2">
        <v>2508.666667</v>
      </c>
      <c r="J1311" s="2">
        <v>0.75</v>
      </c>
      <c r="K1311" s="2">
        <v>5.25</v>
      </c>
      <c r="L1311" s="2">
        <v>10.62</v>
      </c>
      <c r="M1311" s="2">
        <v>14.52</v>
      </c>
      <c r="N1311" s="2">
        <v>3.86078593</v>
      </c>
      <c r="O1311" s="2">
        <v>3.900131864</v>
      </c>
      <c r="P1311" s="2">
        <v>1.543397186</v>
      </c>
      <c r="Q1311" s="2">
        <v>1.5466063969999999</v>
      </c>
      <c r="R1311" s="2">
        <v>0.80472368999999999</v>
      </c>
      <c r="S1311" s="2">
        <v>0.88695953699999996</v>
      </c>
      <c r="T1311" s="2">
        <v>1.317002147</v>
      </c>
      <c r="U1311" s="2">
        <v>1.2670020230000001</v>
      </c>
      <c r="V1311" s="2">
        <v>2.081872374</v>
      </c>
      <c r="W1311" s="2">
        <v>7.3863875999999995E-2</v>
      </c>
      <c r="X1311">
        <f t="shared" si="60"/>
        <v>0</v>
      </c>
      <c r="Y1311">
        <f t="shared" si="61"/>
        <v>1</v>
      </c>
      <c r="Z1311">
        <f t="shared" si="62"/>
        <v>1</v>
      </c>
    </row>
    <row r="1312" spans="1:26" ht="15.75" customHeight="1" x14ac:dyDescent="0.2">
      <c r="A1312" s="2" t="s">
        <v>23</v>
      </c>
      <c r="B1312" s="2" t="s">
        <v>35</v>
      </c>
      <c r="C1312" s="2" t="s">
        <v>28</v>
      </c>
      <c r="D1312" s="2" t="s">
        <v>29</v>
      </c>
      <c r="E1312" s="2">
        <v>84</v>
      </c>
      <c r="F1312" s="2">
        <v>143</v>
      </c>
      <c r="G1312" s="2">
        <v>612</v>
      </c>
      <c r="H1312" s="2">
        <v>1907.666667</v>
      </c>
      <c r="I1312" s="2">
        <v>3088</v>
      </c>
      <c r="J1312" s="2">
        <v>1.29</v>
      </c>
      <c r="K1312" s="2">
        <v>5.85</v>
      </c>
      <c r="L1312" s="2">
        <v>12.69</v>
      </c>
      <c r="M1312" s="2">
        <v>15.87</v>
      </c>
      <c r="N1312" s="2">
        <v>5.0678838129999999</v>
      </c>
      <c r="O1312" s="2">
        <v>5.0195980459999996</v>
      </c>
      <c r="P1312" s="2">
        <v>1.5948914249999999</v>
      </c>
      <c r="Q1312" s="2">
        <v>1.6910097159999999</v>
      </c>
      <c r="R1312" s="2">
        <v>1.404342191</v>
      </c>
      <c r="S1312" s="2">
        <v>1.486578038</v>
      </c>
      <c r="T1312" s="2">
        <v>0.75597729400000002</v>
      </c>
      <c r="U1312" s="2">
        <v>0.805977418</v>
      </c>
      <c r="V1312" s="2">
        <v>2.6814908750000002</v>
      </c>
      <c r="W1312" s="2">
        <v>7.7527910000000005E-2</v>
      </c>
      <c r="X1312">
        <f t="shared" si="60"/>
        <v>0</v>
      </c>
      <c r="Y1312">
        <f t="shared" si="61"/>
        <v>1</v>
      </c>
      <c r="Z1312">
        <f t="shared" si="62"/>
        <v>1</v>
      </c>
    </row>
    <row r="1313" spans="1:26" ht="15.75" customHeight="1" x14ac:dyDescent="0.2">
      <c r="A1313" s="2" t="s">
        <v>23</v>
      </c>
      <c r="B1313" s="2" t="s">
        <v>35</v>
      </c>
      <c r="C1313" s="2" t="s">
        <v>28</v>
      </c>
      <c r="D1313" s="2" t="s">
        <v>29</v>
      </c>
      <c r="E1313" s="2">
        <v>123</v>
      </c>
      <c r="F1313" s="2">
        <v>174.33333329999999</v>
      </c>
      <c r="G1313" s="2">
        <v>570</v>
      </c>
      <c r="H1313" s="2">
        <v>1972</v>
      </c>
      <c r="I1313" s="2">
        <v>2992.666667</v>
      </c>
      <c r="J1313" s="2">
        <v>1.66</v>
      </c>
      <c r="K1313" s="2">
        <v>5.51</v>
      </c>
      <c r="L1313" s="2">
        <v>12.92</v>
      </c>
      <c r="M1313" s="2">
        <v>15.67</v>
      </c>
      <c r="N1313" s="2">
        <v>5.1511420960000001</v>
      </c>
      <c r="O1313" s="2">
        <v>5.0943547660000004</v>
      </c>
      <c r="P1313" s="2">
        <v>1.4462421599999999</v>
      </c>
      <c r="Q1313" s="2">
        <v>1.5407459160000001</v>
      </c>
      <c r="R1313" s="2">
        <v>1.065177456</v>
      </c>
      <c r="S1313" s="2">
        <v>1.1474133019999999</v>
      </c>
      <c r="T1313" s="2">
        <v>0.97827060399999999</v>
      </c>
      <c r="U1313" s="2">
        <v>1.0282707280000001</v>
      </c>
      <c r="V1313" s="2">
        <v>2.3423261389999999</v>
      </c>
      <c r="W1313" s="2">
        <v>8.6204818000000002E-2</v>
      </c>
      <c r="X1313">
        <f t="shared" si="60"/>
        <v>0</v>
      </c>
      <c r="Y1313">
        <f t="shared" si="61"/>
        <v>1</v>
      </c>
      <c r="Z1313">
        <f t="shared" si="62"/>
        <v>1</v>
      </c>
    </row>
    <row r="1314" spans="1:26" ht="15.75" customHeight="1" x14ac:dyDescent="0.2">
      <c r="A1314" s="2" t="s">
        <v>23</v>
      </c>
      <c r="B1314" s="2" t="s">
        <v>35</v>
      </c>
      <c r="C1314" s="2" t="s">
        <v>32</v>
      </c>
      <c r="D1314" s="2" t="s">
        <v>33</v>
      </c>
      <c r="E1314" s="2">
        <v>78</v>
      </c>
      <c r="F1314" s="2">
        <v>186.66666670000001</v>
      </c>
      <c r="G1314" s="2">
        <v>393.33333329999999</v>
      </c>
      <c r="H1314" s="2">
        <v>954.33333330000005</v>
      </c>
      <c r="I1314" s="2">
        <v>2451</v>
      </c>
      <c r="J1314" s="2">
        <v>1.8</v>
      </c>
      <c r="K1314" s="2">
        <v>3.95</v>
      </c>
      <c r="L1314" s="2">
        <v>8.25</v>
      </c>
      <c r="M1314" s="2">
        <v>14.37</v>
      </c>
      <c r="N1314" s="2">
        <v>4.7168018180000004</v>
      </c>
      <c r="O1314" s="2">
        <v>4.828455194</v>
      </c>
      <c r="P1314" s="2">
        <v>3.7213229270000001</v>
      </c>
      <c r="Q1314" s="2">
        <v>3.6616135760000001</v>
      </c>
      <c r="R1314" s="2">
        <v>0.49402867099999997</v>
      </c>
      <c r="S1314" s="2">
        <v>0.41179282499999997</v>
      </c>
      <c r="T1314" s="2">
        <v>3.6883844699999999</v>
      </c>
      <c r="U1314" s="2">
        <v>3.638384346</v>
      </c>
      <c r="V1314" s="2">
        <v>0.78312001200000003</v>
      </c>
      <c r="W1314" s="2">
        <v>7.1149275999999997E-2</v>
      </c>
      <c r="X1314">
        <f t="shared" si="60"/>
        <v>0</v>
      </c>
      <c r="Y1314">
        <f t="shared" si="61"/>
        <v>1</v>
      </c>
      <c r="Z1314">
        <f t="shared" si="62"/>
        <v>1</v>
      </c>
    </row>
    <row r="1315" spans="1:26" ht="15.75" customHeight="1" x14ac:dyDescent="0.2">
      <c r="A1315" s="2" t="s">
        <v>23</v>
      </c>
      <c r="B1315" s="2" t="s">
        <v>35</v>
      </c>
      <c r="C1315" s="2" t="s">
        <v>26</v>
      </c>
      <c r="D1315" s="2" t="s">
        <v>26</v>
      </c>
      <c r="E1315" s="2">
        <v>108</v>
      </c>
      <c r="F1315" s="2">
        <v>202.33333329999999</v>
      </c>
      <c r="G1315" s="2">
        <v>402.33333329999999</v>
      </c>
      <c r="H1315" s="2">
        <v>980.33333330000005</v>
      </c>
      <c r="I1315" s="2">
        <v>2750</v>
      </c>
      <c r="J1315" s="2">
        <v>1.98</v>
      </c>
      <c r="K1315" s="2">
        <v>4.04</v>
      </c>
      <c r="L1315" s="2">
        <v>8.41</v>
      </c>
      <c r="M1315" s="2">
        <v>15.12</v>
      </c>
      <c r="N1315" s="2">
        <v>0.41918915099999998</v>
      </c>
      <c r="O1315" s="2">
        <v>0.40190587900000002</v>
      </c>
      <c r="P1315" s="2">
        <v>3.5525645529999998</v>
      </c>
      <c r="Q1315" s="2">
        <v>3.4942552529999999</v>
      </c>
      <c r="R1315" s="2">
        <v>0.40895978100000002</v>
      </c>
      <c r="S1315" s="2">
        <v>0.32672393399999999</v>
      </c>
      <c r="T1315" s="2">
        <v>3.5289469819999999</v>
      </c>
      <c r="U1315" s="2">
        <v>3.478946858</v>
      </c>
      <c r="V1315" s="2">
        <v>0.86818890299999996</v>
      </c>
      <c r="W1315" s="2">
        <v>8.1317369E-2</v>
      </c>
      <c r="X1315">
        <f t="shared" si="60"/>
        <v>0</v>
      </c>
      <c r="Y1315">
        <f t="shared" si="61"/>
        <v>1</v>
      </c>
      <c r="Z1315">
        <f t="shared" si="62"/>
        <v>0</v>
      </c>
    </row>
    <row r="1316" spans="1:26" ht="15.75" customHeight="1" x14ac:dyDescent="0.2">
      <c r="A1316" s="2" t="s">
        <v>23</v>
      </c>
      <c r="B1316" s="2" t="s">
        <v>35</v>
      </c>
      <c r="C1316" s="2" t="s">
        <v>25</v>
      </c>
      <c r="D1316" s="2" t="s">
        <v>25</v>
      </c>
      <c r="E1316" s="2">
        <v>317</v>
      </c>
      <c r="F1316" s="2">
        <v>179.66666670000001</v>
      </c>
      <c r="G1316" s="2">
        <v>872.33333330000005</v>
      </c>
      <c r="H1316" s="2">
        <v>1504.666667</v>
      </c>
      <c r="I1316" s="2">
        <v>2614</v>
      </c>
      <c r="J1316" s="2">
        <v>1.72</v>
      </c>
      <c r="K1316" s="2">
        <v>7.73</v>
      </c>
      <c r="L1316" s="2">
        <v>11.11</v>
      </c>
      <c r="M1316" s="2">
        <v>14.79</v>
      </c>
      <c r="N1316" s="2">
        <v>0.27810053000000001</v>
      </c>
      <c r="O1316" s="2">
        <v>0.43619124100000001</v>
      </c>
      <c r="P1316" s="2">
        <v>3.3841577410000001</v>
      </c>
      <c r="Q1316" s="2">
        <v>3.4524170230000002</v>
      </c>
      <c r="R1316" s="2">
        <v>3.28222003</v>
      </c>
      <c r="S1316" s="2">
        <v>3.3644558760000001</v>
      </c>
      <c r="T1316" s="2">
        <v>0.82435143899999996</v>
      </c>
      <c r="U1316" s="2">
        <v>0.77435131499999998</v>
      </c>
      <c r="V1316" s="2">
        <v>4.5593687129999996</v>
      </c>
      <c r="W1316" s="2">
        <v>8.5371058999999999E-2</v>
      </c>
      <c r="X1316">
        <f t="shared" si="60"/>
        <v>0</v>
      </c>
      <c r="Y1316">
        <f t="shared" si="61"/>
        <v>1</v>
      </c>
      <c r="Z1316">
        <f t="shared" si="62"/>
        <v>0</v>
      </c>
    </row>
    <row r="1317" spans="1:26" ht="15.75" customHeight="1" x14ac:dyDescent="0.2">
      <c r="A1317" s="2" t="s">
        <v>23</v>
      </c>
      <c r="B1317" s="2" t="s">
        <v>35</v>
      </c>
      <c r="C1317" s="2" t="s">
        <v>30</v>
      </c>
      <c r="D1317" s="2" t="s">
        <v>31</v>
      </c>
      <c r="E1317" s="2">
        <v>117</v>
      </c>
      <c r="F1317" s="2">
        <v>179.33333329999999</v>
      </c>
      <c r="G1317" s="2">
        <v>496.66666670000001</v>
      </c>
      <c r="H1317" s="2">
        <v>1301</v>
      </c>
      <c r="I1317" s="2">
        <v>2397.333333</v>
      </c>
      <c r="J1317" s="2">
        <v>1.72</v>
      </c>
      <c r="K1317" s="2">
        <v>4.8899999999999997</v>
      </c>
      <c r="L1317" s="2">
        <v>10.17</v>
      </c>
      <c r="M1317" s="2">
        <v>14.22</v>
      </c>
      <c r="N1317" s="2">
        <v>4.1766840350000001</v>
      </c>
      <c r="O1317" s="2">
        <v>4.2092719860000001</v>
      </c>
      <c r="P1317" s="2">
        <v>1.8266714909999999</v>
      </c>
      <c r="Q1317" s="2">
        <v>1.8005698649999999</v>
      </c>
      <c r="R1317" s="2">
        <v>0.445183355</v>
      </c>
      <c r="S1317" s="2">
        <v>0.52741920200000003</v>
      </c>
      <c r="T1317" s="2">
        <v>1.771592649</v>
      </c>
      <c r="U1317" s="2">
        <v>1.7215925249999999</v>
      </c>
      <c r="V1317" s="2">
        <v>1.7223320390000001</v>
      </c>
      <c r="W1317" s="2">
        <v>0.10526740599999999</v>
      </c>
      <c r="X1317">
        <f t="shared" si="60"/>
        <v>0</v>
      </c>
      <c r="Y1317">
        <f t="shared" si="61"/>
        <v>1</v>
      </c>
      <c r="Z1317">
        <f t="shared" si="62"/>
        <v>1</v>
      </c>
    </row>
    <row r="1318" spans="1:26" ht="15.75" customHeight="1" x14ac:dyDescent="0.2">
      <c r="A1318" s="2" t="s">
        <v>23</v>
      </c>
      <c r="B1318" s="2" t="s">
        <v>35</v>
      </c>
      <c r="C1318" s="2" t="s">
        <v>27</v>
      </c>
      <c r="D1318" s="2" t="s">
        <v>27</v>
      </c>
      <c r="E1318" s="2">
        <v>83</v>
      </c>
      <c r="F1318" s="2">
        <v>202.66666670000001</v>
      </c>
      <c r="G1318" s="2">
        <v>358</v>
      </c>
      <c r="H1318" s="2">
        <v>2467.666667</v>
      </c>
      <c r="I1318" s="2">
        <v>3117.666667</v>
      </c>
      <c r="J1318" s="2">
        <v>1.98</v>
      </c>
      <c r="K1318" s="2">
        <v>3.61</v>
      </c>
      <c r="L1318" s="2">
        <v>14.41</v>
      </c>
      <c r="M1318" s="2">
        <v>15.93</v>
      </c>
      <c r="N1318" s="2">
        <v>0.28262135900000002</v>
      </c>
      <c r="O1318" s="2">
        <v>0.23224450699999999</v>
      </c>
      <c r="P1318" s="2">
        <v>2.6112462769999998</v>
      </c>
      <c r="Q1318" s="2">
        <v>2.6340219679999999</v>
      </c>
      <c r="R1318" s="2">
        <v>0.83439032000000002</v>
      </c>
      <c r="S1318" s="2">
        <v>0.75215447300000005</v>
      </c>
      <c r="T1318" s="2">
        <v>2.4743483820000001</v>
      </c>
      <c r="U1318" s="2">
        <v>2.5243485059999999</v>
      </c>
      <c r="V1318" s="2">
        <v>0.44275836400000002</v>
      </c>
      <c r="W1318" s="2">
        <v>7.6690471999999996E-2</v>
      </c>
      <c r="X1318">
        <f t="shared" si="60"/>
        <v>0</v>
      </c>
      <c r="Y1318">
        <f t="shared" si="61"/>
        <v>1</v>
      </c>
      <c r="Z1318">
        <f t="shared" si="62"/>
        <v>0</v>
      </c>
    </row>
    <row r="1319" spans="1:26" ht="15.75" customHeight="1" x14ac:dyDescent="0.2">
      <c r="A1319" s="2" t="s">
        <v>23</v>
      </c>
      <c r="B1319" s="2" t="s">
        <v>35</v>
      </c>
      <c r="C1319" s="2" t="s">
        <v>30</v>
      </c>
      <c r="D1319" s="2" t="s">
        <v>31</v>
      </c>
      <c r="E1319" s="2">
        <v>92</v>
      </c>
      <c r="F1319" s="2">
        <v>131</v>
      </c>
      <c r="G1319" s="2">
        <v>617</v>
      </c>
      <c r="H1319" s="2">
        <v>1385</v>
      </c>
      <c r="I1319" s="2">
        <v>2318.666667</v>
      </c>
      <c r="J1319" s="2">
        <v>1.1499999999999999</v>
      </c>
      <c r="K1319" s="2">
        <v>5.89</v>
      </c>
      <c r="L1319" s="2">
        <v>10.57</v>
      </c>
      <c r="M1319" s="2">
        <v>14</v>
      </c>
      <c r="N1319" s="2">
        <v>4.1876550220000004</v>
      </c>
      <c r="O1319" s="2">
        <v>4.233903046</v>
      </c>
      <c r="P1319" s="2">
        <v>1.9883669829999999</v>
      </c>
      <c r="Q1319" s="2">
        <v>2.0158537120000002</v>
      </c>
      <c r="R1319" s="2">
        <v>1.443982543</v>
      </c>
      <c r="S1319" s="2">
        <v>1.5262183899999999</v>
      </c>
      <c r="T1319" s="2">
        <v>1.3669373330000001</v>
      </c>
      <c r="U1319" s="2">
        <v>1.316937209</v>
      </c>
      <c r="V1319" s="2">
        <v>2.7211312269999999</v>
      </c>
      <c r="W1319" s="2">
        <v>8.2153734000000006E-2</v>
      </c>
      <c r="X1319">
        <f t="shared" si="60"/>
        <v>0</v>
      </c>
      <c r="Y1319">
        <f t="shared" si="61"/>
        <v>1</v>
      </c>
      <c r="Z1319">
        <f t="shared" si="62"/>
        <v>1</v>
      </c>
    </row>
    <row r="1320" spans="1:26" ht="15.75" customHeight="1" x14ac:dyDescent="0.2">
      <c r="A1320" s="2" t="s">
        <v>23</v>
      </c>
      <c r="B1320" s="2" t="s">
        <v>35</v>
      </c>
      <c r="C1320" s="2" t="s">
        <v>27</v>
      </c>
      <c r="D1320" s="2" t="s">
        <v>27</v>
      </c>
      <c r="E1320" s="2">
        <v>122</v>
      </c>
      <c r="F1320" s="2">
        <v>171.33333329999999</v>
      </c>
      <c r="G1320" s="2">
        <v>333.33333329999999</v>
      </c>
      <c r="H1320" s="2">
        <v>2450.666667</v>
      </c>
      <c r="I1320" s="2">
        <v>3226.333333</v>
      </c>
      <c r="J1320" s="2">
        <v>1.63</v>
      </c>
      <c r="K1320" s="2">
        <v>3.37</v>
      </c>
      <c r="L1320" s="2">
        <v>14.37</v>
      </c>
      <c r="M1320" s="2">
        <v>16.149999999999999</v>
      </c>
      <c r="N1320" s="2">
        <v>0.458867105</v>
      </c>
      <c r="O1320" s="2">
        <v>0.39316808399999997</v>
      </c>
      <c r="P1320" s="2">
        <v>2.6571937910000001</v>
      </c>
      <c r="Q1320" s="2">
        <v>2.6712293869999999</v>
      </c>
      <c r="R1320" s="2">
        <v>1.0782178469999999</v>
      </c>
      <c r="S1320" s="2">
        <v>0.99598200100000001</v>
      </c>
      <c r="T1320" s="2">
        <v>2.4286055910000002</v>
      </c>
      <c r="U1320" s="2">
        <v>2.478605715</v>
      </c>
      <c r="V1320" s="2">
        <v>0.198930836</v>
      </c>
      <c r="W1320" s="2">
        <v>0.104394426</v>
      </c>
      <c r="X1320">
        <f t="shared" si="60"/>
        <v>0</v>
      </c>
      <c r="Y1320">
        <f t="shared" si="61"/>
        <v>1</v>
      </c>
      <c r="Z1320">
        <f t="shared" si="62"/>
        <v>0</v>
      </c>
    </row>
    <row r="1321" spans="1:26" ht="15.75" customHeight="1" x14ac:dyDescent="0.2">
      <c r="A1321" s="2" t="s">
        <v>23</v>
      </c>
      <c r="B1321" s="2" t="s">
        <v>35</v>
      </c>
      <c r="C1321" s="2" t="s">
        <v>26</v>
      </c>
      <c r="D1321" s="2" t="s">
        <v>26</v>
      </c>
      <c r="E1321" s="2">
        <v>84</v>
      </c>
      <c r="F1321" s="2">
        <v>187.33333329999999</v>
      </c>
      <c r="G1321" s="2">
        <v>377.33333329999999</v>
      </c>
      <c r="H1321" s="2">
        <v>985.66666669999995</v>
      </c>
      <c r="I1321" s="2">
        <v>2574.666667</v>
      </c>
      <c r="J1321" s="2">
        <v>1.81</v>
      </c>
      <c r="K1321" s="2">
        <v>3.8</v>
      </c>
      <c r="L1321" s="2">
        <v>8.44</v>
      </c>
      <c r="M1321" s="2">
        <v>14.69</v>
      </c>
      <c r="N1321" s="2">
        <v>0.390952156</v>
      </c>
      <c r="O1321" s="2">
        <v>0.307100714</v>
      </c>
      <c r="P1321" s="2">
        <v>3.5559237010000002</v>
      </c>
      <c r="Q1321" s="2">
        <v>3.492535304</v>
      </c>
      <c r="R1321" s="2">
        <v>0.64687984200000004</v>
      </c>
      <c r="S1321" s="2">
        <v>0.56464399499999995</v>
      </c>
      <c r="T1321" s="2">
        <v>3.496589744</v>
      </c>
      <c r="U1321" s="2">
        <v>3.4465896200000001</v>
      </c>
      <c r="V1321" s="2">
        <v>0.630268842</v>
      </c>
      <c r="W1321" s="2">
        <v>7.7670765000000003E-2</v>
      </c>
      <c r="X1321">
        <f t="shared" si="60"/>
        <v>0</v>
      </c>
      <c r="Y1321">
        <f t="shared" si="61"/>
        <v>1</v>
      </c>
      <c r="Z1321">
        <f t="shared" si="62"/>
        <v>0</v>
      </c>
    </row>
    <row r="1322" spans="1:26" ht="15.75" customHeight="1" x14ac:dyDescent="0.2">
      <c r="A1322" s="2" t="s">
        <v>23</v>
      </c>
      <c r="B1322" s="2" t="s">
        <v>35</v>
      </c>
      <c r="C1322" s="2" t="s">
        <v>27</v>
      </c>
      <c r="D1322" s="2" t="s">
        <v>27</v>
      </c>
      <c r="E1322" s="2">
        <v>96</v>
      </c>
      <c r="F1322" s="2">
        <v>206.33333329999999</v>
      </c>
      <c r="G1322" s="2">
        <v>401</v>
      </c>
      <c r="H1322" s="2">
        <v>2377</v>
      </c>
      <c r="I1322" s="2">
        <v>3034</v>
      </c>
      <c r="J1322" s="2">
        <v>2.02</v>
      </c>
      <c r="K1322" s="2">
        <v>4.0199999999999996</v>
      </c>
      <c r="L1322" s="2">
        <v>14.16</v>
      </c>
      <c r="M1322" s="2">
        <v>15.76</v>
      </c>
      <c r="N1322" s="2">
        <v>0.23280054</v>
      </c>
      <c r="O1322" s="2">
        <v>0.29899831300000002</v>
      </c>
      <c r="P1322" s="2">
        <v>2.265797514</v>
      </c>
      <c r="Q1322" s="2">
        <v>2.3013903610000002</v>
      </c>
      <c r="R1322" s="2">
        <v>0.421521655</v>
      </c>
      <c r="S1322" s="2">
        <v>0.33928580899999999</v>
      </c>
      <c r="T1322" s="2">
        <v>2.2262429940000001</v>
      </c>
      <c r="U1322" s="2">
        <v>2.276243118</v>
      </c>
      <c r="V1322" s="2">
        <v>0.85562702800000001</v>
      </c>
      <c r="W1322" s="2">
        <v>7.4210348999999995E-2</v>
      </c>
      <c r="X1322">
        <f t="shared" si="60"/>
        <v>0</v>
      </c>
      <c r="Y1322">
        <f t="shared" si="61"/>
        <v>1</v>
      </c>
      <c r="Z1322">
        <f t="shared" si="62"/>
        <v>0</v>
      </c>
    </row>
    <row r="1323" spans="1:26" ht="15.75" customHeight="1" x14ac:dyDescent="0.2">
      <c r="A1323" s="2" t="s">
        <v>23</v>
      </c>
      <c r="B1323" s="2" t="s">
        <v>35</v>
      </c>
      <c r="C1323" s="2" t="s">
        <v>30</v>
      </c>
      <c r="D1323" s="2" t="s">
        <v>31</v>
      </c>
      <c r="E1323" s="2">
        <v>77</v>
      </c>
      <c r="F1323" s="2">
        <v>97.666666669999998</v>
      </c>
      <c r="G1323" s="2">
        <v>551</v>
      </c>
      <c r="H1323" s="2">
        <v>1447</v>
      </c>
      <c r="I1323" s="2">
        <v>2521.333333</v>
      </c>
      <c r="J1323" s="2">
        <v>0.74</v>
      </c>
      <c r="K1323" s="2">
        <v>5.35</v>
      </c>
      <c r="L1323" s="2">
        <v>10.86</v>
      </c>
      <c r="M1323" s="2">
        <v>14.55</v>
      </c>
      <c r="N1323" s="2">
        <v>3.6858945090000002</v>
      </c>
      <c r="O1323" s="2">
        <v>3.7278775400000002</v>
      </c>
      <c r="P1323" s="2">
        <v>1.4118049029999999</v>
      </c>
      <c r="Q1323" s="2">
        <v>1.4295777949999999</v>
      </c>
      <c r="R1323" s="2">
        <v>0.90801845699999995</v>
      </c>
      <c r="S1323" s="2">
        <v>0.99025430400000003</v>
      </c>
      <c r="T1323" s="2">
        <v>1.0810622400000001</v>
      </c>
      <c r="U1323" s="2">
        <v>1.031062116</v>
      </c>
      <c r="V1323" s="2">
        <v>2.185167141</v>
      </c>
      <c r="W1323" s="2">
        <v>4.7748445E-2</v>
      </c>
      <c r="X1323">
        <f t="shared" si="60"/>
        <v>0</v>
      </c>
      <c r="Y1323">
        <f t="shared" si="61"/>
        <v>1</v>
      </c>
      <c r="Z1323">
        <f t="shared" si="62"/>
        <v>1</v>
      </c>
    </row>
    <row r="1324" spans="1:26" ht="15.75" customHeight="1" x14ac:dyDescent="0.2">
      <c r="A1324" s="2" t="s">
        <v>23</v>
      </c>
      <c r="B1324" s="2" t="s">
        <v>35</v>
      </c>
      <c r="C1324" s="2" t="s">
        <v>27</v>
      </c>
      <c r="D1324" s="2" t="s">
        <v>27</v>
      </c>
      <c r="E1324" s="2">
        <v>85</v>
      </c>
      <c r="F1324" s="2">
        <v>207.66666670000001</v>
      </c>
      <c r="G1324" s="2">
        <v>409</v>
      </c>
      <c r="H1324" s="2">
        <v>2401.666667</v>
      </c>
      <c r="I1324" s="2">
        <v>3065.666667</v>
      </c>
      <c r="J1324" s="2">
        <v>2.04</v>
      </c>
      <c r="K1324" s="2">
        <v>4.0999999999999996</v>
      </c>
      <c r="L1324" s="2">
        <v>14.23</v>
      </c>
      <c r="M1324" s="2">
        <v>15.82</v>
      </c>
      <c r="N1324" s="2">
        <v>0.30788835399999998</v>
      </c>
      <c r="O1324" s="2">
        <v>0.37086606900000002</v>
      </c>
      <c r="P1324" s="2">
        <v>2.3207557300000001</v>
      </c>
      <c r="Q1324" s="2">
        <v>2.3595931870000002</v>
      </c>
      <c r="R1324" s="2">
        <v>0.34636251099999998</v>
      </c>
      <c r="S1324" s="2">
        <v>0.26412666499999998</v>
      </c>
      <c r="T1324" s="2">
        <v>2.2947636409999999</v>
      </c>
      <c r="U1324" s="2">
        <v>2.3447637650000002</v>
      </c>
      <c r="V1324" s="2">
        <v>0.93078617200000002</v>
      </c>
      <c r="W1324" s="2">
        <v>8.7386876000000002E-2</v>
      </c>
      <c r="X1324">
        <f t="shared" si="60"/>
        <v>0</v>
      </c>
      <c r="Y1324">
        <f t="shared" si="61"/>
        <v>1</v>
      </c>
      <c r="Z1324">
        <f t="shared" si="62"/>
        <v>0</v>
      </c>
    </row>
    <row r="1325" spans="1:26" ht="15.75" customHeight="1" x14ac:dyDescent="0.2">
      <c r="A1325" s="2" t="s">
        <v>23</v>
      </c>
      <c r="B1325" s="2" t="s">
        <v>35</v>
      </c>
      <c r="C1325" s="2" t="s">
        <v>26</v>
      </c>
      <c r="D1325" s="2" t="s">
        <v>26</v>
      </c>
      <c r="E1325" s="2">
        <v>144</v>
      </c>
      <c r="F1325" s="2">
        <v>185.33333329999999</v>
      </c>
      <c r="G1325" s="2">
        <v>349</v>
      </c>
      <c r="H1325" s="2">
        <v>912</v>
      </c>
      <c r="I1325" s="2">
        <v>2786.333333</v>
      </c>
      <c r="J1325" s="2">
        <v>1.79</v>
      </c>
      <c r="K1325" s="2">
        <v>3.52</v>
      </c>
      <c r="L1325" s="2">
        <v>7.98</v>
      </c>
      <c r="M1325" s="2">
        <v>15.21</v>
      </c>
      <c r="N1325" s="2">
        <v>0.30337597799999999</v>
      </c>
      <c r="O1325" s="2">
        <v>0.265851165</v>
      </c>
      <c r="P1325" s="2">
        <v>4.0603983000000001</v>
      </c>
      <c r="Q1325" s="2">
        <v>3.993609137</v>
      </c>
      <c r="R1325" s="2">
        <v>0.92275079199999999</v>
      </c>
      <c r="S1325" s="2">
        <v>0.84051494500000001</v>
      </c>
      <c r="T1325" s="2">
        <v>3.9541579800000002</v>
      </c>
      <c r="U1325" s="2">
        <v>3.9041578559999999</v>
      </c>
      <c r="V1325" s="2">
        <v>0.35439789100000002</v>
      </c>
      <c r="W1325" s="2">
        <v>8.9147852E-2</v>
      </c>
      <c r="X1325">
        <f t="shared" si="60"/>
        <v>0</v>
      </c>
      <c r="Y1325">
        <f t="shared" si="61"/>
        <v>1</v>
      </c>
      <c r="Z1325">
        <f t="shared" si="62"/>
        <v>0</v>
      </c>
    </row>
    <row r="1326" spans="1:26" ht="15.75" customHeight="1" x14ac:dyDescent="0.2">
      <c r="A1326" s="2" t="s">
        <v>23</v>
      </c>
      <c r="B1326" s="2" t="s">
        <v>35</v>
      </c>
      <c r="C1326" s="2" t="s">
        <v>30</v>
      </c>
      <c r="D1326" s="2" t="s">
        <v>31</v>
      </c>
      <c r="E1326" s="2">
        <v>84</v>
      </c>
      <c r="F1326" s="2">
        <v>97.333333330000002</v>
      </c>
      <c r="G1326" s="2">
        <v>584.66666669999995</v>
      </c>
      <c r="H1326" s="2">
        <v>1459</v>
      </c>
      <c r="I1326" s="2">
        <v>2486</v>
      </c>
      <c r="J1326" s="2">
        <v>0.74</v>
      </c>
      <c r="K1326" s="2">
        <v>5.63</v>
      </c>
      <c r="L1326" s="2">
        <v>10.91</v>
      </c>
      <c r="M1326" s="2">
        <v>14.46</v>
      </c>
      <c r="N1326" s="2">
        <v>3.764007474</v>
      </c>
      <c r="O1326" s="2">
        <v>3.8095993500000001</v>
      </c>
      <c r="P1326" s="2">
        <v>1.5679742800000001</v>
      </c>
      <c r="Q1326" s="2">
        <v>1.5999979630000001</v>
      </c>
      <c r="R1326" s="2">
        <v>1.184888132</v>
      </c>
      <c r="S1326" s="2">
        <v>1.267123979</v>
      </c>
      <c r="T1326" s="2">
        <v>1.02692914</v>
      </c>
      <c r="U1326" s="2">
        <v>0.97692901600000004</v>
      </c>
      <c r="V1326" s="2">
        <v>2.4620368159999999</v>
      </c>
      <c r="W1326" s="2">
        <v>5.6208419000000003E-2</v>
      </c>
      <c r="X1326">
        <f t="shared" si="60"/>
        <v>0</v>
      </c>
      <c r="Y1326">
        <f t="shared" si="61"/>
        <v>1</v>
      </c>
      <c r="Z1326">
        <f t="shared" si="62"/>
        <v>1</v>
      </c>
    </row>
    <row r="1327" spans="1:26" ht="15.75" customHeight="1" x14ac:dyDescent="0.2">
      <c r="A1327" s="2" t="s">
        <v>23</v>
      </c>
      <c r="B1327" s="2" t="s">
        <v>35</v>
      </c>
      <c r="C1327" s="2" t="s">
        <v>32</v>
      </c>
      <c r="D1327" s="2" t="s">
        <v>33</v>
      </c>
      <c r="E1327" s="2">
        <v>74</v>
      </c>
      <c r="F1327" s="2">
        <v>168</v>
      </c>
      <c r="G1327" s="2">
        <v>542.66666669999995</v>
      </c>
      <c r="H1327" s="2">
        <v>950.33333330000005</v>
      </c>
      <c r="I1327" s="2">
        <v>2453</v>
      </c>
      <c r="J1327" s="2">
        <v>1.59</v>
      </c>
      <c r="K1327" s="2">
        <v>5.28</v>
      </c>
      <c r="L1327" s="2">
        <v>8.2200000000000006</v>
      </c>
      <c r="M1327" s="2">
        <v>14.37</v>
      </c>
      <c r="N1327" s="2">
        <v>3.8240983860000002</v>
      </c>
      <c r="O1327" s="2">
        <v>3.9665419869999998</v>
      </c>
      <c r="P1327" s="2">
        <v>3.8066271939999998</v>
      </c>
      <c r="Q1327" s="2">
        <v>3.7770674319999999</v>
      </c>
      <c r="R1327" s="2">
        <v>0.83833624699999998</v>
      </c>
      <c r="S1327" s="2">
        <v>0.92057209399999995</v>
      </c>
      <c r="T1327" s="2">
        <v>3.7131661600000001</v>
      </c>
      <c r="U1327" s="2">
        <v>3.6631660359999998</v>
      </c>
      <c r="V1327" s="2">
        <v>2.1154849310000001</v>
      </c>
      <c r="W1327" s="2">
        <v>8.3902352999999999E-2</v>
      </c>
      <c r="X1327">
        <f t="shared" si="60"/>
        <v>0</v>
      </c>
      <c r="Y1327">
        <f t="shared" si="61"/>
        <v>1</v>
      </c>
      <c r="Z1327">
        <f t="shared" si="62"/>
        <v>1</v>
      </c>
    </row>
    <row r="1328" spans="1:26" ht="15.75" customHeight="1" x14ac:dyDescent="0.2">
      <c r="A1328" s="2" t="s">
        <v>23</v>
      </c>
      <c r="B1328" s="2" t="s">
        <v>35</v>
      </c>
      <c r="C1328" s="2" t="s">
        <v>28</v>
      </c>
      <c r="D1328" s="2" t="s">
        <v>29</v>
      </c>
      <c r="E1328" s="2">
        <v>85</v>
      </c>
      <c r="F1328" s="2">
        <v>175</v>
      </c>
      <c r="G1328" s="2">
        <v>518</v>
      </c>
      <c r="H1328" s="2">
        <v>2414</v>
      </c>
      <c r="I1328" s="2">
        <v>3452.333333</v>
      </c>
      <c r="J1328" s="2">
        <v>1.67</v>
      </c>
      <c r="K1328" s="2">
        <v>5.07</v>
      </c>
      <c r="L1328" s="2">
        <v>14.27</v>
      </c>
      <c r="M1328" s="2">
        <v>16.57</v>
      </c>
      <c r="N1328" s="2">
        <v>6.3414378249999999</v>
      </c>
      <c r="O1328" s="2">
        <v>6.2705465699999996</v>
      </c>
      <c r="P1328" s="2">
        <v>2.4122726110000001</v>
      </c>
      <c r="Q1328" s="2">
        <v>2.4828819700000002</v>
      </c>
      <c r="R1328" s="2">
        <v>0.62933011000000005</v>
      </c>
      <c r="S1328" s="2">
        <v>0.71156595600000005</v>
      </c>
      <c r="T1328" s="2">
        <v>2.3287341540000002</v>
      </c>
      <c r="U1328" s="2">
        <v>2.378734278</v>
      </c>
      <c r="V1328" s="2">
        <v>1.906478793</v>
      </c>
      <c r="W1328" s="2">
        <v>5.7927571999999997E-2</v>
      </c>
      <c r="X1328">
        <f t="shared" si="60"/>
        <v>0</v>
      </c>
      <c r="Y1328">
        <f t="shared" si="61"/>
        <v>1</v>
      </c>
      <c r="Z1328">
        <f t="shared" si="62"/>
        <v>1</v>
      </c>
    </row>
    <row r="1329" spans="1:26" ht="15.75" customHeight="1" x14ac:dyDescent="0.2">
      <c r="A1329" s="2" t="s">
        <v>23</v>
      </c>
      <c r="B1329" s="2" t="s">
        <v>35</v>
      </c>
      <c r="C1329" s="2" t="s">
        <v>28</v>
      </c>
      <c r="D1329" s="2" t="s">
        <v>29</v>
      </c>
      <c r="E1329" s="2">
        <v>100</v>
      </c>
      <c r="F1329" s="2">
        <v>202.33333329999999</v>
      </c>
      <c r="G1329" s="2">
        <v>530.66666669999995</v>
      </c>
      <c r="H1329" s="2">
        <v>1178.666667</v>
      </c>
      <c r="I1329" s="2">
        <v>2647.666667</v>
      </c>
      <c r="J1329" s="2">
        <v>1.98</v>
      </c>
      <c r="K1329" s="2">
        <v>5.18</v>
      </c>
      <c r="L1329" s="2">
        <v>9.5399999999999991</v>
      </c>
      <c r="M1329" s="2">
        <v>14.88</v>
      </c>
      <c r="N1329" s="2">
        <v>2.0181615499999999</v>
      </c>
      <c r="O1329" s="2">
        <v>2.010580359</v>
      </c>
      <c r="P1329" s="2">
        <v>2.5103313100000002</v>
      </c>
      <c r="Q1329" s="2">
        <v>2.4884341380000001</v>
      </c>
      <c r="R1329" s="2">
        <v>0.73717468799999997</v>
      </c>
      <c r="S1329" s="2">
        <v>0.81941053500000005</v>
      </c>
      <c r="T1329" s="2">
        <v>2.3996534679999999</v>
      </c>
      <c r="U1329" s="2">
        <v>2.349653344</v>
      </c>
      <c r="V1329" s="2">
        <v>2.0143233719999998</v>
      </c>
      <c r="W1329" s="2">
        <v>0.122802499</v>
      </c>
      <c r="X1329">
        <f t="shared" si="60"/>
        <v>0</v>
      </c>
      <c r="Y1329">
        <f t="shared" si="61"/>
        <v>1</v>
      </c>
      <c r="Z1329">
        <f t="shared" si="62"/>
        <v>1</v>
      </c>
    </row>
    <row r="1330" spans="1:26" ht="15.75" customHeight="1" x14ac:dyDescent="0.2">
      <c r="A1330" s="2" t="s">
        <v>23</v>
      </c>
      <c r="B1330" s="2" t="s">
        <v>35</v>
      </c>
      <c r="C1330" s="2" t="s">
        <v>26</v>
      </c>
      <c r="D1330" s="2" t="s">
        <v>26</v>
      </c>
      <c r="E1330" s="2">
        <v>100</v>
      </c>
      <c r="F1330" s="2">
        <v>172.66666670000001</v>
      </c>
      <c r="G1330" s="2">
        <v>355</v>
      </c>
      <c r="H1330" s="2">
        <v>823</v>
      </c>
      <c r="I1330" s="2">
        <v>2836.666667</v>
      </c>
      <c r="J1330" s="2">
        <v>1.64</v>
      </c>
      <c r="K1330" s="2">
        <v>3.58</v>
      </c>
      <c r="L1330" s="2">
        <v>7.4</v>
      </c>
      <c r="M1330" s="2">
        <v>15.32</v>
      </c>
      <c r="N1330" s="2">
        <v>0.69392778899999996</v>
      </c>
      <c r="O1330" s="2">
        <v>0.75791168499999995</v>
      </c>
      <c r="P1330" s="2">
        <v>4.6207296590000002</v>
      </c>
      <c r="Q1330" s="2">
        <v>4.5567983349999999</v>
      </c>
      <c r="R1330" s="2">
        <v>0.86376747300000001</v>
      </c>
      <c r="S1330" s="2">
        <v>0.78153162600000003</v>
      </c>
      <c r="T1330" s="2">
        <v>4.5392783940000001</v>
      </c>
      <c r="U1330" s="2">
        <v>4.4892782699999998</v>
      </c>
      <c r="V1330" s="2">
        <v>0.41338121100000003</v>
      </c>
      <c r="W1330" s="2">
        <v>0.104864347</v>
      </c>
      <c r="X1330">
        <f t="shared" si="60"/>
        <v>0</v>
      </c>
      <c r="Y1330">
        <f t="shared" si="61"/>
        <v>1</v>
      </c>
      <c r="Z1330">
        <f t="shared" si="62"/>
        <v>0</v>
      </c>
    </row>
    <row r="1331" spans="1:26" ht="15.75" customHeight="1" x14ac:dyDescent="0.2">
      <c r="A1331" s="2" t="s">
        <v>23</v>
      </c>
      <c r="B1331" s="2" t="s">
        <v>35</v>
      </c>
      <c r="C1331" s="2" t="s">
        <v>25</v>
      </c>
      <c r="D1331" s="2" t="s">
        <v>25</v>
      </c>
      <c r="E1331" s="2">
        <v>104</v>
      </c>
      <c r="F1331" s="2">
        <v>195.66666670000001</v>
      </c>
      <c r="G1331" s="2">
        <v>782</v>
      </c>
      <c r="H1331" s="2">
        <v>1543.666667</v>
      </c>
      <c r="I1331" s="2">
        <v>2662</v>
      </c>
      <c r="J1331" s="2">
        <v>1.9</v>
      </c>
      <c r="K1331" s="2">
        <v>7.12</v>
      </c>
      <c r="L1331" s="2">
        <v>11.28</v>
      </c>
      <c r="M1331" s="2">
        <v>14.91</v>
      </c>
      <c r="N1331" s="2">
        <v>0.420933838</v>
      </c>
      <c r="O1331" s="2">
        <v>0.46056717400000002</v>
      </c>
      <c r="P1331" s="2">
        <v>2.7502765999999998</v>
      </c>
      <c r="Q1331" s="2">
        <v>2.8190489589999999</v>
      </c>
      <c r="R1331" s="2">
        <v>2.6710119200000002</v>
      </c>
      <c r="S1331" s="2">
        <v>2.753247767</v>
      </c>
      <c r="T1331" s="2">
        <v>0.65552780099999997</v>
      </c>
      <c r="U1331" s="2">
        <v>0.60552767699999999</v>
      </c>
      <c r="V1331" s="2">
        <v>3.9481606039999999</v>
      </c>
      <c r="W1331" s="2">
        <v>8.6702984999999996E-2</v>
      </c>
      <c r="X1331">
        <f t="shared" si="60"/>
        <v>0</v>
      </c>
      <c r="Y1331">
        <f t="shared" si="61"/>
        <v>1</v>
      </c>
      <c r="Z1331">
        <f t="shared" si="62"/>
        <v>0</v>
      </c>
    </row>
    <row r="1332" spans="1:26" ht="15.75" customHeight="1" x14ac:dyDescent="0.2">
      <c r="A1332" s="2" t="s">
        <v>23</v>
      </c>
      <c r="B1332" s="2" t="s">
        <v>35</v>
      </c>
      <c r="C1332" s="2" t="s">
        <v>30</v>
      </c>
      <c r="D1332" s="2" t="s">
        <v>31</v>
      </c>
      <c r="E1332" s="2">
        <v>108</v>
      </c>
      <c r="F1332" s="2">
        <v>172.66666670000001</v>
      </c>
      <c r="G1332" s="2">
        <v>526</v>
      </c>
      <c r="H1332" s="2">
        <v>1735.333333</v>
      </c>
      <c r="I1332" s="2">
        <v>2445</v>
      </c>
      <c r="J1332" s="2">
        <v>1.64</v>
      </c>
      <c r="K1332" s="2">
        <v>5.14</v>
      </c>
      <c r="L1332" s="2">
        <v>12.06</v>
      </c>
      <c r="M1332" s="2">
        <v>14.35</v>
      </c>
      <c r="N1332" s="2">
        <v>2.5266823309999999</v>
      </c>
      <c r="O1332" s="2">
        <v>2.5749221470000001</v>
      </c>
      <c r="P1332" s="2">
        <v>0.70822243699999998</v>
      </c>
      <c r="Q1332" s="2">
        <v>0.798629743</v>
      </c>
      <c r="R1332" s="2">
        <v>0.69757033400000001</v>
      </c>
      <c r="S1332" s="2">
        <v>0.77980618099999999</v>
      </c>
      <c r="T1332" s="2">
        <v>0.12237095000000001</v>
      </c>
      <c r="U1332" s="2">
        <v>0.17237107400000001</v>
      </c>
      <c r="V1332" s="2">
        <v>1.974719018</v>
      </c>
      <c r="W1332" s="2">
        <v>8.6263122999999997E-2</v>
      </c>
      <c r="X1332">
        <f t="shared" si="60"/>
        <v>0</v>
      </c>
      <c r="Y1332">
        <f t="shared" si="61"/>
        <v>1</v>
      </c>
      <c r="Z1332">
        <f t="shared" si="62"/>
        <v>1</v>
      </c>
    </row>
    <row r="1333" spans="1:26" ht="15.75" customHeight="1" x14ac:dyDescent="0.2">
      <c r="A1333" s="2" t="s">
        <v>23</v>
      </c>
      <c r="B1333" s="2" t="s">
        <v>35</v>
      </c>
      <c r="C1333" s="2" t="s">
        <v>28</v>
      </c>
      <c r="D1333" s="2" t="s">
        <v>29</v>
      </c>
      <c r="E1333" s="2">
        <v>125</v>
      </c>
      <c r="F1333" s="2">
        <v>188.33333329999999</v>
      </c>
      <c r="G1333" s="2">
        <v>433</v>
      </c>
      <c r="H1333" s="2">
        <v>1316.666667</v>
      </c>
      <c r="I1333" s="2">
        <v>2787</v>
      </c>
      <c r="J1333" s="2">
        <v>1.82</v>
      </c>
      <c r="K1333" s="2">
        <v>4.32</v>
      </c>
      <c r="L1333" s="2">
        <v>10.24</v>
      </c>
      <c r="M1333" s="2">
        <v>15.21</v>
      </c>
      <c r="N1333" s="2">
        <v>2.249441472</v>
      </c>
      <c r="O1333" s="2">
        <v>2.1826021619999998</v>
      </c>
      <c r="P1333" s="2">
        <v>1.6990708699999999</v>
      </c>
      <c r="Q1333" s="2">
        <v>1.645074873</v>
      </c>
      <c r="R1333" s="2">
        <v>0.12390023999999999</v>
      </c>
      <c r="S1333" s="2">
        <v>4.1664393000000001E-2</v>
      </c>
      <c r="T1333" s="2">
        <v>1.6945473</v>
      </c>
      <c r="U1333" s="2">
        <v>1.6445471760000001</v>
      </c>
      <c r="V1333" s="2">
        <v>1.1532484439999999</v>
      </c>
      <c r="W1333" s="2">
        <v>6.4818612999999997E-2</v>
      </c>
      <c r="X1333">
        <f t="shared" si="60"/>
        <v>0</v>
      </c>
      <c r="Y1333">
        <f t="shared" si="61"/>
        <v>1</v>
      </c>
      <c r="Z1333">
        <f t="shared" si="62"/>
        <v>1</v>
      </c>
    </row>
    <row r="1334" spans="1:26" ht="15.75" customHeight="1" x14ac:dyDescent="0.2">
      <c r="A1334" s="2" t="s">
        <v>23</v>
      </c>
      <c r="B1334" s="2" t="s">
        <v>35</v>
      </c>
      <c r="C1334" s="2" t="s">
        <v>28</v>
      </c>
      <c r="D1334" s="2" t="s">
        <v>29</v>
      </c>
      <c r="E1334" s="2">
        <v>70</v>
      </c>
      <c r="F1334" s="2">
        <v>193</v>
      </c>
      <c r="G1334" s="2">
        <v>487.66666670000001</v>
      </c>
      <c r="H1334" s="2">
        <v>1893</v>
      </c>
      <c r="I1334" s="2">
        <v>3102.333333</v>
      </c>
      <c r="J1334" s="2">
        <v>1.87</v>
      </c>
      <c r="K1334" s="2">
        <v>4.8099999999999996</v>
      </c>
      <c r="L1334" s="2">
        <v>12.64</v>
      </c>
      <c r="M1334" s="2">
        <v>15.9</v>
      </c>
      <c r="N1334" s="2">
        <v>4.6975365739999999</v>
      </c>
      <c r="O1334" s="2">
        <v>4.6282673809999997</v>
      </c>
      <c r="P1334" s="2">
        <v>0.79393262499999995</v>
      </c>
      <c r="Q1334" s="2">
        <v>0.877668699</v>
      </c>
      <c r="R1334" s="2">
        <v>0.36653368800000002</v>
      </c>
      <c r="S1334" s="2">
        <v>0.448769535</v>
      </c>
      <c r="T1334" s="2">
        <v>0.70425994400000003</v>
      </c>
      <c r="U1334" s="2">
        <v>0.75426006800000001</v>
      </c>
      <c r="V1334" s="2">
        <v>1.643682372</v>
      </c>
      <c r="W1334" s="2">
        <v>5.4064942999999997E-2</v>
      </c>
      <c r="X1334">
        <f t="shared" si="60"/>
        <v>0</v>
      </c>
      <c r="Y1334">
        <f t="shared" si="61"/>
        <v>1</v>
      </c>
      <c r="Z1334">
        <f t="shared" si="62"/>
        <v>1</v>
      </c>
    </row>
    <row r="1335" spans="1:26" ht="15.75" customHeight="1" x14ac:dyDescent="0.2">
      <c r="A1335" s="2" t="s">
        <v>23</v>
      </c>
      <c r="B1335" s="2" t="s">
        <v>35</v>
      </c>
      <c r="C1335" s="2" t="s">
        <v>32</v>
      </c>
      <c r="D1335" s="2" t="s">
        <v>33</v>
      </c>
      <c r="E1335" s="2">
        <v>231</v>
      </c>
      <c r="F1335" s="2">
        <v>170.33333329999999</v>
      </c>
      <c r="G1335" s="2">
        <v>466.66666670000001</v>
      </c>
      <c r="H1335" s="2">
        <v>742.66666669999995</v>
      </c>
      <c r="I1335" s="2">
        <v>2478.666667</v>
      </c>
      <c r="J1335" s="2">
        <v>1.61</v>
      </c>
      <c r="K1335" s="2">
        <v>4.63</v>
      </c>
      <c r="L1335" s="2">
        <v>6.84</v>
      </c>
      <c r="M1335" s="2">
        <v>14.44</v>
      </c>
      <c r="N1335" s="2">
        <v>5.3402301300000001</v>
      </c>
      <c r="O1335" s="2">
        <v>5.4881693120000001</v>
      </c>
      <c r="P1335" s="2">
        <v>5.1037127499999997</v>
      </c>
      <c r="Q1335" s="2">
        <v>5.05735329</v>
      </c>
      <c r="R1335" s="2">
        <v>0.18074905799999999</v>
      </c>
      <c r="S1335" s="2">
        <v>0.26298490499999999</v>
      </c>
      <c r="T1335" s="2">
        <v>5.1005111120000004</v>
      </c>
      <c r="U1335" s="2">
        <v>5.0505109880000001</v>
      </c>
      <c r="V1335" s="2">
        <v>1.4578977420000001</v>
      </c>
      <c r="W1335" s="2">
        <v>5.5877884000000003E-2</v>
      </c>
      <c r="X1335">
        <f t="shared" si="60"/>
        <v>0</v>
      </c>
      <c r="Y1335">
        <f t="shared" si="61"/>
        <v>1</v>
      </c>
      <c r="Z1335">
        <f t="shared" si="62"/>
        <v>1</v>
      </c>
    </row>
    <row r="1336" spans="1:26" ht="15.75" customHeight="1" x14ac:dyDescent="0.2">
      <c r="A1336" s="2" t="s">
        <v>23</v>
      </c>
      <c r="B1336" s="2" t="s">
        <v>35</v>
      </c>
      <c r="C1336" s="2" t="s">
        <v>25</v>
      </c>
      <c r="D1336" s="2" t="s">
        <v>25</v>
      </c>
      <c r="E1336" s="2">
        <v>150</v>
      </c>
      <c r="F1336" s="2">
        <v>188</v>
      </c>
      <c r="G1336" s="2">
        <v>839.33333330000005</v>
      </c>
      <c r="H1336" s="2">
        <v>1651</v>
      </c>
      <c r="I1336" s="2">
        <v>2690.666667</v>
      </c>
      <c r="J1336" s="2">
        <v>1.82</v>
      </c>
      <c r="K1336" s="2">
        <v>7.51</v>
      </c>
      <c r="L1336" s="2">
        <v>11.73</v>
      </c>
      <c r="M1336" s="2">
        <v>14.98</v>
      </c>
      <c r="N1336" s="2">
        <v>0.413900875</v>
      </c>
      <c r="O1336" s="2">
        <v>0.22984265800000001</v>
      </c>
      <c r="P1336" s="2">
        <v>3.070681215</v>
      </c>
      <c r="Q1336" s="2">
        <v>3.1497989610000001</v>
      </c>
      <c r="R1336" s="2">
        <v>3.06351043</v>
      </c>
      <c r="S1336" s="2">
        <v>3.1457462760000001</v>
      </c>
      <c r="T1336" s="2">
        <v>0.20973070799999999</v>
      </c>
      <c r="U1336" s="2">
        <v>0.15973058400000001</v>
      </c>
      <c r="V1336" s="2">
        <v>4.3406591130000001</v>
      </c>
      <c r="W1336" s="2">
        <v>5.3220999999999997E-2</v>
      </c>
      <c r="X1336">
        <f t="shared" si="60"/>
        <v>0</v>
      </c>
      <c r="Y1336">
        <f t="shared" si="61"/>
        <v>1</v>
      </c>
      <c r="Z1336">
        <f t="shared" si="62"/>
        <v>0</v>
      </c>
    </row>
    <row r="1337" spans="1:26" ht="15.75" customHeight="1" x14ac:dyDescent="0.2">
      <c r="A1337" s="2" t="s">
        <v>23</v>
      </c>
      <c r="B1337" s="2" t="s">
        <v>35</v>
      </c>
      <c r="C1337" s="2" t="s">
        <v>27</v>
      </c>
      <c r="D1337" s="2" t="s">
        <v>27</v>
      </c>
      <c r="E1337" s="2">
        <v>97</v>
      </c>
      <c r="F1337" s="2">
        <v>202</v>
      </c>
      <c r="G1337" s="2">
        <v>383.33333329999999</v>
      </c>
      <c r="H1337" s="2">
        <v>2460.333333</v>
      </c>
      <c r="I1337" s="2">
        <v>3205.666667</v>
      </c>
      <c r="J1337" s="2">
        <v>1.97</v>
      </c>
      <c r="K1337" s="2">
        <v>3.86</v>
      </c>
      <c r="L1337" s="2">
        <v>14.39</v>
      </c>
      <c r="M1337" s="2">
        <v>16.11</v>
      </c>
      <c r="N1337" s="2">
        <v>0.20607498399999999</v>
      </c>
      <c r="O1337" s="2">
        <v>0.220898227</v>
      </c>
      <c r="P1337" s="2">
        <v>2.524410015</v>
      </c>
      <c r="Q1337" s="2">
        <v>2.5554744</v>
      </c>
      <c r="R1337" s="2">
        <v>0.58931604800000004</v>
      </c>
      <c r="S1337" s="2">
        <v>0.50708020099999995</v>
      </c>
      <c r="T1337" s="2">
        <v>2.4546593489999999</v>
      </c>
      <c r="U1337" s="2">
        <v>2.5046594729999998</v>
      </c>
      <c r="V1337" s="2">
        <v>0.687832636</v>
      </c>
      <c r="W1337" s="2">
        <v>9.1580044999999999E-2</v>
      </c>
      <c r="X1337">
        <f t="shared" si="60"/>
        <v>0</v>
      </c>
      <c r="Y1337">
        <f t="shared" si="61"/>
        <v>1</v>
      </c>
      <c r="Z1337">
        <f t="shared" si="62"/>
        <v>0</v>
      </c>
    </row>
    <row r="1338" spans="1:26" ht="15.75" customHeight="1" x14ac:dyDescent="0.2">
      <c r="A1338" s="2" t="s">
        <v>23</v>
      </c>
      <c r="B1338" s="2" t="s">
        <v>35</v>
      </c>
      <c r="C1338" s="2" t="s">
        <v>32</v>
      </c>
      <c r="D1338" s="2" t="s">
        <v>33</v>
      </c>
      <c r="E1338" s="2">
        <v>217</v>
      </c>
      <c r="F1338" s="2">
        <v>164.66666670000001</v>
      </c>
      <c r="G1338" s="2">
        <v>507.66666670000001</v>
      </c>
      <c r="H1338" s="2">
        <v>1379</v>
      </c>
      <c r="I1338" s="2">
        <v>2888.333333</v>
      </c>
      <c r="J1338" s="2">
        <v>1.55</v>
      </c>
      <c r="K1338" s="2">
        <v>4.99</v>
      </c>
      <c r="L1338" s="2">
        <v>10.54</v>
      </c>
      <c r="M1338" s="2">
        <v>15.44</v>
      </c>
      <c r="N1338" s="2">
        <v>2.6645509860000001</v>
      </c>
      <c r="O1338" s="2">
        <v>2.711200335</v>
      </c>
      <c r="P1338" s="2">
        <v>1.496216172</v>
      </c>
      <c r="Q1338" s="2">
        <v>1.4823328840000001</v>
      </c>
      <c r="R1338" s="2">
        <v>0.54053163000000004</v>
      </c>
      <c r="S1338" s="2">
        <v>0.62276747700000001</v>
      </c>
      <c r="T1338" s="2">
        <v>1.3951660800000001</v>
      </c>
      <c r="U1338" s="2">
        <v>1.345165956</v>
      </c>
      <c r="V1338" s="2">
        <v>1.817680314</v>
      </c>
      <c r="W1338" s="2">
        <v>6.8753128999999996E-2</v>
      </c>
      <c r="X1338">
        <f t="shared" si="60"/>
        <v>0</v>
      </c>
      <c r="Y1338">
        <f t="shared" si="61"/>
        <v>1</v>
      </c>
      <c r="Z1338">
        <f t="shared" si="62"/>
        <v>1</v>
      </c>
    </row>
    <row r="1339" spans="1:26" ht="15.75" customHeight="1" x14ac:dyDescent="0.2">
      <c r="A1339" s="2" t="s">
        <v>23</v>
      </c>
      <c r="B1339" s="2" t="s">
        <v>35</v>
      </c>
      <c r="C1339" s="2" t="s">
        <v>28</v>
      </c>
      <c r="D1339" s="2" t="s">
        <v>29</v>
      </c>
      <c r="E1339" s="2">
        <v>69</v>
      </c>
      <c r="F1339" s="2">
        <v>177.66666670000001</v>
      </c>
      <c r="G1339" s="2">
        <v>546.66666669999995</v>
      </c>
      <c r="H1339" s="2">
        <v>2480.666667</v>
      </c>
      <c r="I1339" s="2">
        <v>3234.333333</v>
      </c>
      <c r="J1339" s="2">
        <v>1.7</v>
      </c>
      <c r="K1339" s="2">
        <v>5.32</v>
      </c>
      <c r="L1339" s="2">
        <v>14.45</v>
      </c>
      <c r="M1339" s="2">
        <v>16.16</v>
      </c>
      <c r="N1339" s="2">
        <v>6.5693678589999998</v>
      </c>
      <c r="O1339" s="2">
        <v>6.5015027920000001</v>
      </c>
      <c r="P1339" s="2">
        <v>2.6562472690000001</v>
      </c>
      <c r="Q1339" s="2">
        <v>2.731156414</v>
      </c>
      <c r="R1339" s="2">
        <v>0.871841529</v>
      </c>
      <c r="S1339" s="2">
        <v>0.95407737599999998</v>
      </c>
      <c r="T1339" s="2">
        <v>2.5090918480000002</v>
      </c>
      <c r="U1339" s="2">
        <v>2.559091972</v>
      </c>
      <c r="V1339" s="2">
        <v>2.1489902129999998</v>
      </c>
      <c r="W1339" s="2">
        <v>3.9967178999999999E-2</v>
      </c>
      <c r="X1339">
        <f t="shared" si="60"/>
        <v>0</v>
      </c>
      <c r="Y1339">
        <f t="shared" si="61"/>
        <v>1</v>
      </c>
      <c r="Z1339">
        <f t="shared" si="62"/>
        <v>1</v>
      </c>
    </row>
    <row r="1340" spans="1:26" ht="15.75" customHeight="1" x14ac:dyDescent="0.2">
      <c r="A1340" s="2" t="s">
        <v>23</v>
      </c>
      <c r="B1340" s="2" t="s">
        <v>35</v>
      </c>
      <c r="C1340" s="2" t="s">
        <v>27</v>
      </c>
      <c r="D1340" s="2" t="s">
        <v>27</v>
      </c>
      <c r="E1340" s="2">
        <v>109</v>
      </c>
      <c r="F1340" s="2">
        <v>203.33333329999999</v>
      </c>
      <c r="G1340" s="2">
        <v>369.33333329999999</v>
      </c>
      <c r="H1340" s="2">
        <v>2426</v>
      </c>
      <c r="I1340" s="2">
        <v>3181</v>
      </c>
      <c r="J1340" s="2">
        <v>1.99</v>
      </c>
      <c r="K1340" s="2">
        <v>3.72</v>
      </c>
      <c r="L1340" s="2">
        <v>14.3</v>
      </c>
      <c r="M1340" s="2">
        <v>16.059999999999999</v>
      </c>
      <c r="N1340" s="2">
        <v>0.12585349900000001</v>
      </c>
      <c r="O1340" s="2">
        <v>8.7760581000000004E-2</v>
      </c>
      <c r="P1340" s="2">
        <v>2.4701174109999999</v>
      </c>
      <c r="Q1340" s="2">
        <v>2.4955582330000001</v>
      </c>
      <c r="R1340" s="2">
        <v>0.72409286900000003</v>
      </c>
      <c r="S1340" s="2">
        <v>0.64185702200000005</v>
      </c>
      <c r="T1340" s="2">
        <v>2.3616031720000001</v>
      </c>
      <c r="U1340" s="2">
        <v>2.411603296</v>
      </c>
      <c r="V1340" s="2">
        <v>0.55305581500000001</v>
      </c>
      <c r="W1340" s="2">
        <v>5.5971623999999998E-2</v>
      </c>
      <c r="X1340">
        <f t="shared" si="60"/>
        <v>0</v>
      </c>
      <c r="Y1340">
        <f t="shared" si="61"/>
        <v>1</v>
      </c>
      <c r="Z1340">
        <f t="shared" si="62"/>
        <v>0</v>
      </c>
    </row>
    <row r="1341" spans="1:26" ht="15.75" customHeight="1" x14ac:dyDescent="0.2">
      <c r="A1341" s="2" t="s">
        <v>23</v>
      </c>
      <c r="B1341" s="2" t="s">
        <v>35</v>
      </c>
      <c r="C1341" s="2" t="s">
        <v>26</v>
      </c>
      <c r="D1341" s="2" t="s">
        <v>26</v>
      </c>
      <c r="E1341" s="2">
        <v>77</v>
      </c>
      <c r="F1341" s="2">
        <v>191.66666670000001</v>
      </c>
      <c r="G1341" s="2">
        <v>362</v>
      </c>
      <c r="H1341" s="2">
        <v>873</v>
      </c>
      <c r="I1341" s="2">
        <v>2809.333333</v>
      </c>
      <c r="J1341" s="2">
        <v>1.86</v>
      </c>
      <c r="K1341" s="2">
        <v>3.65</v>
      </c>
      <c r="L1341" s="2">
        <v>7.73</v>
      </c>
      <c r="M1341" s="2">
        <v>15.26</v>
      </c>
      <c r="N1341" s="2">
        <v>0.36074428400000003</v>
      </c>
      <c r="O1341" s="2">
        <v>0.41772054800000002</v>
      </c>
      <c r="P1341" s="2">
        <v>4.2805705529999996</v>
      </c>
      <c r="Q1341" s="2">
        <v>4.2167679390000004</v>
      </c>
      <c r="R1341" s="2">
        <v>0.79533886399999998</v>
      </c>
      <c r="S1341" s="2">
        <v>0.71310301700000001</v>
      </c>
      <c r="T1341" s="2">
        <v>4.2060338030000004</v>
      </c>
      <c r="U1341" s="2">
        <v>4.1560336790000001</v>
      </c>
      <c r="V1341" s="2">
        <v>0.48180982</v>
      </c>
      <c r="W1341" s="2">
        <v>9.0476546000000005E-2</v>
      </c>
      <c r="X1341">
        <f t="shared" si="60"/>
        <v>0</v>
      </c>
      <c r="Y1341">
        <f t="shared" si="61"/>
        <v>1</v>
      </c>
      <c r="Z1341">
        <f t="shared" si="62"/>
        <v>0</v>
      </c>
    </row>
    <row r="1342" spans="1:26" ht="15.75" customHeight="1" x14ac:dyDescent="0.2">
      <c r="A1342" s="2" t="s">
        <v>23</v>
      </c>
      <c r="B1342" s="2" t="s">
        <v>35</v>
      </c>
      <c r="C1342" s="2" t="s">
        <v>27</v>
      </c>
      <c r="D1342" s="2" t="s">
        <v>27</v>
      </c>
      <c r="E1342" s="2">
        <v>63</v>
      </c>
      <c r="F1342" s="2">
        <v>176.33333329999999</v>
      </c>
      <c r="G1342" s="2">
        <v>365.33333329999999</v>
      </c>
      <c r="H1342" s="2">
        <v>2248.333333</v>
      </c>
      <c r="I1342" s="2">
        <v>2979</v>
      </c>
      <c r="J1342" s="2">
        <v>1.68</v>
      </c>
      <c r="K1342" s="2">
        <v>3.68</v>
      </c>
      <c r="L1342" s="2">
        <v>13.79</v>
      </c>
      <c r="M1342" s="2">
        <v>15.64</v>
      </c>
      <c r="N1342" s="2">
        <v>0.417548105</v>
      </c>
      <c r="O1342" s="2">
        <v>0.420904536</v>
      </c>
      <c r="P1342" s="2">
        <v>2.0064930300000001</v>
      </c>
      <c r="Q1342" s="2">
        <v>2.0237051250000002</v>
      </c>
      <c r="R1342" s="2">
        <v>0.76289861299999995</v>
      </c>
      <c r="S1342" s="2">
        <v>0.68066276699999995</v>
      </c>
      <c r="T1342" s="2">
        <v>1.8558017099999999</v>
      </c>
      <c r="U1342" s="2">
        <v>1.905801834</v>
      </c>
      <c r="V1342" s="2">
        <v>0.51425007</v>
      </c>
      <c r="W1342" s="2">
        <v>8.1189666999999993E-2</v>
      </c>
      <c r="X1342">
        <f t="shared" si="60"/>
        <v>0</v>
      </c>
      <c r="Y1342">
        <f t="shared" si="61"/>
        <v>1</v>
      </c>
      <c r="Z1342">
        <f t="shared" si="62"/>
        <v>0</v>
      </c>
    </row>
    <row r="1343" spans="1:26" ht="15.75" customHeight="1" x14ac:dyDescent="0.2">
      <c r="A1343" s="2" t="s">
        <v>23</v>
      </c>
      <c r="B1343" s="2" t="s">
        <v>35</v>
      </c>
      <c r="C1343" s="2" t="s">
        <v>27</v>
      </c>
      <c r="D1343" s="2" t="s">
        <v>27</v>
      </c>
      <c r="E1343" s="2">
        <v>72</v>
      </c>
      <c r="F1343" s="2">
        <v>191.66666670000001</v>
      </c>
      <c r="G1343" s="2">
        <v>357.66666670000001</v>
      </c>
      <c r="H1343" s="2">
        <v>2465.333333</v>
      </c>
      <c r="I1343" s="2">
        <v>3048.666667</v>
      </c>
      <c r="J1343" s="2">
        <v>1.86</v>
      </c>
      <c r="K1343" s="2">
        <v>3.61</v>
      </c>
      <c r="L1343" s="2">
        <v>14.41</v>
      </c>
      <c r="M1343" s="2">
        <v>15.79</v>
      </c>
      <c r="N1343" s="2">
        <v>0.28001862100000002</v>
      </c>
      <c r="O1343" s="2">
        <v>0.228581695</v>
      </c>
      <c r="P1343" s="2">
        <v>2.606363505</v>
      </c>
      <c r="Q1343" s="2">
        <v>2.6289605030000001</v>
      </c>
      <c r="R1343" s="2">
        <v>0.83765069199999997</v>
      </c>
      <c r="S1343" s="2">
        <v>0.755414845</v>
      </c>
      <c r="T1343" s="2">
        <v>2.4680907680000002</v>
      </c>
      <c r="U1343" s="2">
        <v>2.518090892</v>
      </c>
      <c r="V1343" s="2">
        <v>0.439497992</v>
      </c>
      <c r="W1343" s="2">
        <v>6.6097273999999998E-2</v>
      </c>
      <c r="X1343">
        <f t="shared" si="60"/>
        <v>0</v>
      </c>
      <c r="Y1343">
        <f t="shared" si="61"/>
        <v>1</v>
      </c>
      <c r="Z1343">
        <f t="shared" si="62"/>
        <v>0</v>
      </c>
    </row>
    <row r="1344" spans="1:26" ht="15.75" customHeight="1" x14ac:dyDescent="0.2">
      <c r="A1344" s="2" t="s">
        <v>23</v>
      </c>
      <c r="B1344" s="2" t="s">
        <v>35</v>
      </c>
      <c r="C1344" s="2" t="s">
        <v>32</v>
      </c>
      <c r="D1344" s="2" t="s">
        <v>33</v>
      </c>
      <c r="E1344" s="2">
        <v>71</v>
      </c>
      <c r="F1344" s="2">
        <v>195</v>
      </c>
      <c r="G1344" s="2">
        <v>440</v>
      </c>
      <c r="H1344" s="2">
        <v>869</v>
      </c>
      <c r="I1344" s="2">
        <v>2449.333333</v>
      </c>
      <c r="J1344" s="2">
        <v>1.9</v>
      </c>
      <c r="K1344" s="2">
        <v>4.3899999999999997</v>
      </c>
      <c r="L1344" s="2">
        <v>7.71</v>
      </c>
      <c r="M1344" s="2">
        <v>14.36</v>
      </c>
      <c r="N1344" s="2">
        <v>4.7910764950000004</v>
      </c>
      <c r="O1344" s="2">
        <v>4.9225242070000004</v>
      </c>
      <c r="P1344" s="2">
        <v>4.2326830900000001</v>
      </c>
      <c r="Q1344" s="2">
        <v>4.1823196490000001</v>
      </c>
      <c r="R1344" s="2">
        <v>5.9853506000000001E-2</v>
      </c>
      <c r="S1344" s="2">
        <v>2.2382341E-2</v>
      </c>
      <c r="T1344" s="2">
        <v>4.2322598810000001</v>
      </c>
      <c r="U1344" s="2">
        <v>4.1822597569999997</v>
      </c>
      <c r="V1344" s="2">
        <v>1.217295177</v>
      </c>
      <c r="W1344" s="2">
        <v>8.5609967999999995E-2</v>
      </c>
      <c r="X1344">
        <f t="shared" si="60"/>
        <v>0</v>
      </c>
      <c r="Y1344">
        <f t="shared" si="61"/>
        <v>1</v>
      </c>
      <c r="Z1344">
        <f t="shared" si="62"/>
        <v>1</v>
      </c>
    </row>
    <row r="1345" spans="1:26" ht="15.75" customHeight="1" x14ac:dyDescent="0.2">
      <c r="A1345" s="2" t="s">
        <v>23</v>
      </c>
      <c r="B1345" s="2" t="s">
        <v>35</v>
      </c>
      <c r="C1345" s="2" t="s">
        <v>28</v>
      </c>
      <c r="D1345" s="2" t="s">
        <v>29</v>
      </c>
      <c r="E1345" s="2">
        <v>121</v>
      </c>
      <c r="F1345" s="2">
        <v>204</v>
      </c>
      <c r="G1345" s="2">
        <v>547.66666669999995</v>
      </c>
      <c r="H1345" s="2">
        <v>1504</v>
      </c>
      <c r="I1345" s="2">
        <v>3078</v>
      </c>
      <c r="J1345" s="2">
        <v>2</v>
      </c>
      <c r="K1345" s="2">
        <v>5.33</v>
      </c>
      <c r="L1345" s="2">
        <v>11.11</v>
      </c>
      <c r="M1345" s="2">
        <v>15.85</v>
      </c>
      <c r="N1345" s="2">
        <v>3.4107874549999999</v>
      </c>
      <c r="O1345" s="2">
        <v>3.368197377</v>
      </c>
      <c r="P1345" s="2">
        <v>1.2079446629999999</v>
      </c>
      <c r="Q1345" s="2">
        <v>1.237107105</v>
      </c>
      <c r="R1345" s="2">
        <v>0.88020114800000004</v>
      </c>
      <c r="S1345" s="2">
        <v>0.96243699500000002</v>
      </c>
      <c r="T1345" s="2">
        <v>0.82727035900000001</v>
      </c>
      <c r="U1345" s="2">
        <v>0.77727023500000003</v>
      </c>
      <c r="V1345" s="2">
        <v>2.157349832</v>
      </c>
      <c r="W1345" s="2">
        <v>9.0724701000000005E-2</v>
      </c>
      <c r="X1345">
        <f t="shared" si="60"/>
        <v>0</v>
      </c>
      <c r="Y1345">
        <f t="shared" si="61"/>
        <v>1</v>
      </c>
      <c r="Z1345">
        <f t="shared" si="62"/>
        <v>1</v>
      </c>
    </row>
    <row r="1346" spans="1:26" ht="15.75" customHeight="1" x14ac:dyDescent="0.2">
      <c r="A1346" s="2" t="s">
        <v>23</v>
      </c>
      <c r="B1346" s="2" t="s">
        <v>35</v>
      </c>
      <c r="C1346" s="2" t="s">
        <v>26</v>
      </c>
      <c r="D1346" s="2" t="s">
        <v>26</v>
      </c>
      <c r="E1346" s="2">
        <v>119</v>
      </c>
      <c r="F1346" s="2">
        <v>181</v>
      </c>
      <c r="G1346" s="2">
        <v>356.33333329999999</v>
      </c>
      <c r="H1346" s="2">
        <v>983.66666669999995</v>
      </c>
      <c r="I1346" s="2">
        <v>2720</v>
      </c>
      <c r="J1346" s="2">
        <v>1.74</v>
      </c>
      <c r="K1346" s="2">
        <v>3.59</v>
      </c>
      <c r="L1346" s="2">
        <v>8.43</v>
      </c>
      <c r="M1346" s="2">
        <v>15.05</v>
      </c>
      <c r="N1346" s="2">
        <v>0.43956363999999998</v>
      </c>
      <c r="O1346" s="2">
        <v>0.32221974599999997</v>
      </c>
      <c r="P1346" s="2">
        <v>3.6103654660000002</v>
      </c>
      <c r="Q1346" s="2">
        <v>3.5430514180000001</v>
      </c>
      <c r="R1346" s="2">
        <v>0.85070156600000002</v>
      </c>
      <c r="S1346" s="2">
        <v>0.76846571900000005</v>
      </c>
      <c r="T1346" s="2">
        <v>3.5087099679999998</v>
      </c>
      <c r="U1346" s="2">
        <v>3.4587098439999999</v>
      </c>
      <c r="V1346" s="2">
        <v>0.42644711800000001</v>
      </c>
      <c r="W1346" s="2">
        <v>8.2595032999999998E-2</v>
      </c>
      <c r="X1346">
        <f t="shared" si="60"/>
        <v>0</v>
      </c>
      <c r="Y1346">
        <f t="shared" si="61"/>
        <v>1</v>
      </c>
      <c r="Z1346">
        <f t="shared" si="62"/>
        <v>0</v>
      </c>
    </row>
    <row r="1347" spans="1:26" ht="15.75" customHeight="1" x14ac:dyDescent="0.2">
      <c r="A1347" s="2" t="s">
        <v>23</v>
      </c>
      <c r="B1347" s="2" t="s">
        <v>35</v>
      </c>
      <c r="C1347" s="2" t="s">
        <v>30</v>
      </c>
      <c r="D1347" s="2" t="s">
        <v>31</v>
      </c>
      <c r="E1347" s="2">
        <v>128</v>
      </c>
      <c r="F1347" s="2">
        <v>159.66666670000001</v>
      </c>
      <c r="G1347" s="2">
        <v>587</v>
      </c>
      <c r="H1347" s="2">
        <v>1214.333333</v>
      </c>
      <c r="I1347" s="2">
        <v>2420.333333</v>
      </c>
      <c r="J1347" s="2">
        <v>1.49</v>
      </c>
      <c r="K1347" s="2">
        <v>5.65</v>
      </c>
      <c r="L1347" s="2">
        <v>9.73</v>
      </c>
      <c r="M1347" s="2">
        <v>14.28</v>
      </c>
      <c r="N1347" s="2">
        <v>4.8398913869999998</v>
      </c>
      <c r="O1347" s="2">
        <v>4.8795153960000004</v>
      </c>
      <c r="P1347" s="2">
        <v>2.5179479809999998</v>
      </c>
      <c r="Q1347" s="2">
        <v>2.515186302</v>
      </c>
      <c r="R1347" s="2">
        <v>1.2038058970000001</v>
      </c>
      <c r="S1347" s="2">
        <v>1.286041744</v>
      </c>
      <c r="T1347" s="2">
        <v>2.2115409559999999</v>
      </c>
      <c r="U1347" s="2">
        <v>2.161540832</v>
      </c>
      <c r="V1347" s="2">
        <v>2.4809545810000002</v>
      </c>
      <c r="W1347" s="2">
        <v>5.5232009999999998E-2</v>
      </c>
      <c r="X1347">
        <f t="shared" ref="X1347:X1410" si="63">IF(B1347="normal",1,0)</f>
        <v>0</v>
      </c>
      <c r="Y1347">
        <f t="shared" ref="Y1347:Y1410" si="64">IF(A1347="lecture",1,0)</f>
        <v>1</v>
      </c>
      <c r="Z1347">
        <f t="shared" ref="Z1347:Z1410" si="65">IF(ISNUMBER(FIND("~",D1347)),1,0)</f>
        <v>1</v>
      </c>
    </row>
    <row r="1348" spans="1:26" ht="15.75" customHeight="1" x14ac:dyDescent="0.2">
      <c r="A1348" s="2" t="s">
        <v>23</v>
      </c>
      <c r="B1348" s="2" t="s">
        <v>35</v>
      </c>
      <c r="C1348" s="2" t="s">
        <v>27</v>
      </c>
      <c r="D1348" s="2" t="s">
        <v>27</v>
      </c>
      <c r="E1348" s="2">
        <v>73</v>
      </c>
      <c r="F1348" s="2">
        <v>191.66666670000001</v>
      </c>
      <c r="G1348" s="2">
        <v>374</v>
      </c>
      <c r="H1348" s="2">
        <v>2334.666667</v>
      </c>
      <c r="I1348" s="2">
        <v>3136</v>
      </c>
      <c r="J1348" s="2">
        <v>1.86</v>
      </c>
      <c r="K1348" s="2">
        <v>3.77</v>
      </c>
      <c r="L1348" s="2">
        <v>14.04</v>
      </c>
      <c r="M1348" s="2">
        <v>15.97</v>
      </c>
      <c r="N1348" s="2">
        <v>0.15393461</v>
      </c>
      <c r="O1348" s="2">
        <v>0.17153312200000001</v>
      </c>
      <c r="P1348" s="2">
        <v>2.2135224529999999</v>
      </c>
      <c r="Q1348" s="2">
        <v>2.237845369</v>
      </c>
      <c r="R1348" s="2">
        <v>0.67898761100000005</v>
      </c>
      <c r="S1348" s="2">
        <v>0.59675176399999996</v>
      </c>
      <c r="T1348" s="2">
        <v>2.106812159</v>
      </c>
      <c r="U1348" s="2">
        <v>2.1568122829999998</v>
      </c>
      <c r="V1348" s="2">
        <v>0.59816107299999999</v>
      </c>
      <c r="W1348" s="2">
        <v>5.3587527000000003E-2</v>
      </c>
      <c r="X1348">
        <f t="shared" si="63"/>
        <v>0</v>
      </c>
      <c r="Y1348">
        <f t="shared" si="64"/>
        <v>1</v>
      </c>
      <c r="Z1348">
        <f t="shared" si="65"/>
        <v>0</v>
      </c>
    </row>
    <row r="1349" spans="1:26" ht="15.75" customHeight="1" x14ac:dyDescent="0.2">
      <c r="A1349" s="2" t="s">
        <v>23</v>
      </c>
      <c r="B1349" s="2" t="s">
        <v>35</v>
      </c>
      <c r="C1349" s="2" t="s">
        <v>30</v>
      </c>
      <c r="D1349" s="2" t="s">
        <v>31</v>
      </c>
      <c r="E1349" s="2">
        <v>99</v>
      </c>
      <c r="F1349" s="2">
        <v>191.66666670000001</v>
      </c>
      <c r="G1349" s="2">
        <v>560</v>
      </c>
      <c r="H1349" s="2">
        <v>1279</v>
      </c>
      <c r="I1349" s="2">
        <v>2357.333333</v>
      </c>
      <c r="J1349" s="2">
        <v>1.86</v>
      </c>
      <c r="K1349" s="2">
        <v>5.43</v>
      </c>
      <c r="L1349" s="2">
        <v>10.06</v>
      </c>
      <c r="M1349" s="2">
        <v>14.11</v>
      </c>
      <c r="N1349" s="2">
        <v>4.4505670650000004</v>
      </c>
      <c r="O1349" s="2">
        <v>4.4892868449999996</v>
      </c>
      <c r="P1349" s="2">
        <v>2.122294068</v>
      </c>
      <c r="Q1349" s="2">
        <v>2.1182365270000001</v>
      </c>
      <c r="R1349" s="2">
        <v>0.98275760499999998</v>
      </c>
      <c r="S1349" s="2">
        <v>1.064993452</v>
      </c>
      <c r="T1349" s="2">
        <v>1.8810421589999999</v>
      </c>
      <c r="U1349" s="2">
        <v>1.8310420350000001</v>
      </c>
      <c r="V1349" s="2">
        <v>2.2599062889999999</v>
      </c>
      <c r="W1349" s="2">
        <v>8.6523136E-2</v>
      </c>
      <c r="X1349">
        <f t="shared" si="63"/>
        <v>0</v>
      </c>
      <c r="Y1349">
        <f t="shared" si="64"/>
        <v>1</v>
      </c>
      <c r="Z1349">
        <f t="shared" si="65"/>
        <v>1</v>
      </c>
    </row>
    <row r="1350" spans="1:26" ht="15.75" customHeight="1" x14ac:dyDescent="0.2">
      <c r="A1350" s="2" t="s">
        <v>23</v>
      </c>
      <c r="B1350" s="2" t="s">
        <v>35</v>
      </c>
      <c r="C1350" s="2" t="s">
        <v>26</v>
      </c>
      <c r="D1350" s="2" t="s">
        <v>26</v>
      </c>
      <c r="E1350" s="2">
        <v>81</v>
      </c>
      <c r="F1350" s="2">
        <v>194</v>
      </c>
      <c r="G1350" s="2">
        <v>374</v>
      </c>
      <c r="H1350" s="2">
        <v>965.66666669999995</v>
      </c>
      <c r="I1350" s="2">
        <v>2628</v>
      </c>
      <c r="J1350" s="2">
        <v>1.88</v>
      </c>
      <c r="K1350" s="2">
        <v>3.77</v>
      </c>
      <c r="L1350" s="2">
        <v>8.32</v>
      </c>
      <c r="M1350" s="2">
        <v>14.83</v>
      </c>
      <c r="N1350" s="2">
        <v>0.27349993900000003</v>
      </c>
      <c r="O1350" s="2">
        <v>0.18134851299999999</v>
      </c>
      <c r="P1350" s="2">
        <v>3.6816897050000001</v>
      </c>
      <c r="Q1350" s="2">
        <v>3.6180896790000001</v>
      </c>
      <c r="R1350" s="2">
        <v>0.67898761100000005</v>
      </c>
      <c r="S1350" s="2">
        <v>0.59675176399999996</v>
      </c>
      <c r="T1350" s="2">
        <v>3.6185376749999998</v>
      </c>
      <c r="U1350" s="2">
        <v>3.5685375509999999</v>
      </c>
      <c r="V1350" s="2">
        <v>0.59816107299999999</v>
      </c>
      <c r="W1350" s="2">
        <v>8.8243437999999993E-2</v>
      </c>
      <c r="X1350">
        <f t="shared" si="63"/>
        <v>0</v>
      </c>
      <c r="Y1350">
        <f t="shared" si="64"/>
        <v>1</v>
      </c>
      <c r="Z1350">
        <f t="shared" si="65"/>
        <v>0</v>
      </c>
    </row>
    <row r="1351" spans="1:26" ht="15.75" customHeight="1" x14ac:dyDescent="0.2">
      <c r="A1351" s="2" t="s">
        <v>23</v>
      </c>
      <c r="B1351" s="2" t="s">
        <v>35</v>
      </c>
      <c r="C1351" s="2" t="s">
        <v>26</v>
      </c>
      <c r="D1351" s="2" t="s">
        <v>26</v>
      </c>
      <c r="E1351" s="2">
        <v>67</v>
      </c>
      <c r="F1351" s="2">
        <v>205</v>
      </c>
      <c r="G1351" s="2">
        <v>393</v>
      </c>
      <c r="H1351" s="2">
        <v>1057</v>
      </c>
      <c r="I1351" s="2">
        <v>2787.333333</v>
      </c>
      <c r="J1351" s="2">
        <v>2.0099999999999998</v>
      </c>
      <c r="K1351" s="2">
        <v>3.95</v>
      </c>
      <c r="L1351" s="2">
        <v>8.86</v>
      </c>
      <c r="M1351" s="2">
        <v>15.21</v>
      </c>
      <c r="N1351" s="2">
        <v>0.82251233899999998</v>
      </c>
      <c r="O1351" s="2">
        <v>0.75284695000000001</v>
      </c>
      <c r="P1351" s="2">
        <v>3.1147474480000001</v>
      </c>
      <c r="Q1351" s="2">
        <v>3.0531391609999998</v>
      </c>
      <c r="R1351" s="2">
        <v>0.49719186900000001</v>
      </c>
      <c r="S1351" s="2">
        <v>0.41495602199999998</v>
      </c>
      <c r="T1351" s="2">
        <v>3.0748092480000002</v>
      </c>
      <c r="U1351" s="2">
        <v>3.0248091239999999</v>
      </c>
      <c r="V1351" s="2">
        <v>0.77995681500000003</v>
      </c>
      <c r="W1351" s="2">
        <v>6.5895053999999995E-2</v>
      </c>
      <c r="X1351">
        <f t="shared" si="63"/>
        <v>0</v>
      </c>
      <c r="Y1351">
        <f t="shared" si="64"/>
        <v>1</v>
      </c>
      <c r="Z1351">
        <f t="shared" si="65"/>
        <v>0</v>
      </c>
    </row>
    <row r="1352" spans="1:26" ht="15.75" customHeight="1" x14ac:dyDescent="0.2">
      <c r="A1352" s="2" t="s">
        <v>23</v>
      </c>
      <c r="B1352" s="2" t="s">
        <v>35</v>
      </c>
      <c r="C1352" s="2" t="s">
        <v>26</v>
      </c>
      <c r="D1352" s="2" t="s">
        <v>26</v>
      </c>
      <c r="E1352" s="2">
        <v>86</v>
      </c>
      <c r="F1352" s="2">
        <v>161.33333329999999</v>
      </c>
      <c r="G1352" s="2">
        <v>393</v>
      </c>
      <c r="H1352" s="2">
        <v>777</v>
      </c>
      <c r="I1352" s="2">
        <v>2899.333333</v>
      </c>
      <c r="J1352" s="2">
        <v>1.51</v>
      </c>
      <c r="K1352" s="2">
        <v>3.95</v>
      </c>
      <c r="L1352" s="2">
        <v>7.08</v>
      </c>
      <c r="M1352" s="2">
        <v>15.47</v>
      </c>
      <c r="N1352" s="2">
        <v>0.97822288300000004</v>
      </c>
      <c r="O1352" s="2">
        <v>1.0798125700000001</v>
      </c>
      <c r="P1352" s="2">
        <v>4.8820003119999997</v>
      </c>
      <c r="Q1352" s="2">
        <v>4.8244950940000004</v>
      </c>
      <c r="R1352" s="2">
        <v>0.49719186900000001</v>
      </c>
      <c r="S1352" s="2">
        <v>0.41495602199999998</v>
      </c>
      <c r="T1352" s="2">
        <v>4.8566168559999996</v>
      </c>
      <c r="U1352" s="2">
        <v>4.8066167320000002</v>
      </c>
      <c r="V1352" s="2">
        <v>0.77995681500000003</v>
      </c>
      <c r="W1352" s="2">
        <v>7.9308576000000006E-2</v>
      </c>
      <c r="X1352">
        <f t="shared" si="63"/>
        <v>0</v>
      </c>
      <c r="Y1352">
        <f t="shared" si="64"/>
        <v>1</v>
      </c>
      <c r="Z1352">
        <f t="shared" si="65"/>
        <v>0</v>
      </c>
    </row>
    <row r="1353" spans="1:26" ht="15.75" customHeight="1" x14ac:dyDescent="0.2">
      <c r="A1353" s="2" t="s">
        <v>23</v>
      </c>
      <c r="B1353" s="2" t="s">
        <v>35</v>
      </c>
      <c r="C1353" s="2" t="s">
        <v>25</v>
      </c>
      <c r="D1353" s="2" t="s">
        <v>25</v>
      </c>
      <c r="E1353" s="2">
        <v>263</v>
      </c>
      <c r="F1353" s="2">
        <v>174.66666670000001</v>
      </c>
      <c r="G1353" s="2">
        <v>782</v>
      </c>
      <c r="H1353" s="2">
        <v>1449</v>
      </c>
      <c r="I1353" s="2">
        <v>2578</v>
      </c>
      <c r="J1353" s="2">
        <v>1.66</v>
      </c>
      <c r="K1353" s="2">
        <v>7.12</v>
      </c>
      <c r="L1353" s="2">
        <v>10.87</v>
      </c>
      <c r="M1353" s="2">
        <v>14.7</v>
      </c>
      <c r="N1353" s="2">
        <v>0.614782261</v>
      </c>
      <c r="O1353" s="2">
        <v>0.75221379300000002</v>
      </c>
      <c r="P1353" s="2">
        <v>2.8781101119999999</v>
      </c>
      <c r="Q1353" s="2">
        <v>2.936815417</v>
      </c>
      <c r="R1353" s="2">
        <v>2.6710119200000002</v>
      </c>
      <c r="S1353" s="2">
        <v>2.753247767</v>
      </c>
      <c r="T1353" s="2">
        <v>1.0720135909999999</v>
      </c>
      <c r="U1353" s="2">
        <v>1.0220134670000001</v>
      </c>
      <c r="V1353" s="2">
        <v>3.9481606039999999</v>
      </c>
      <c r="W1353" s="2">
        <v>6.7793834999999997E-2</v>
      </c>
      <c r="X1353">
        <f t="shared" si="63"/>
        <v>0</v>
      </c>
      <c r="Y1353">
        <f t="shared" si="64"/>
        <v>1</v>
      </c>
      <c r="Z1353">
        <f t="shared" si="65"/>
        <v>0</v>
      </c>
    </row>
    <row r="1354" spans="1:26" ht="15.75" customHeight="1" x14ac:dyDescent="0.2">
      <c r="A1354" s="2" t="s">
        <v>23</v>
      </c>
      <c r="B1354" s="2" t="s">
        <v>35</v>
      </c>
      <c r="C1354" s="2" t="s">
        <v>25</v>
      </c>
      <c r="D1354" s="2" t="s">
        <v>25</v>
      </c>
      <c r="E1354" s="2">
        <v>103</v>
      </c>
      <c r="F1354" s="2">
        <v>123</v>
      </c>
      <c r="G1354" s="2">
        <v>779</v>
      </c>
      <c r="H1354" s="2">
        <v>1606</v>
      </c>
      <c r="I1354" s="2">
        <v>2697</v>
      </c>
      <c r="J1354" s="2">
        <v>1.05</v>
      </c>
      <c r="K1354" s="2">
        <v>7.1</v>
      </c>
      <c r="L1354" s="2">
        <v>11.54</v>
      </c>
      <c r="M1354" s="2">
        <v>15</v>
      </c>
      <c r="N1354" s="2">
        <v>0.49676982600000003</v>
      </c>
      <c r="O1354" s="2">
        <v>0.43000387099999998</v>
      </c>
      <c r="P1354" s="2">
        <v>2.6790581480000002</v>
      </c>
      <c r="Q1354" s="2">
        <v>2.753748748</v>
      </c>
      <c r="R1354" s="2">
        <v>2.6500218129999999</v>
      </c>
      <c r="S1354" s="2">
        <v>2.7322576600000001</v>
      </c>
      <c r="T1354" s="2">
        <v>0.39336617800000001</v>
      </c>
      <c r="U1354" s="2">
        <v>0.34336605399999998</v>
      </c>
      <c r="V1354" s="2">
        <v>3.9271704970000001</v>
      </c>
      <c r="W1354" s="2">
        <v>5.7888927E-2</v>
      </c>
      <c r="X1354">
        <f t="shared" si="63"/>
        <v>0</v>
      </c>
      <c r="Y1354">
        <f t="shared" si="64"/>
        <v>1</v>
      </c>
      <c r="Z1354">
        <f t="shared" si="65"/>
        <v>0</v>
      </c>
    </row>
    <row r="1355" spans="1:26" ht="15.75" customHeight="1" x14ac:dyDescent="0.2">
      <c r="A1355" s="2" t="s">
        <v>23</v>
      </c>
      <c r="B1355" s="2" t="s">
        <v>35</v>
      </c>
      <c r="C1355" s="2" t="s">
        <v>25</v>
      </c>
      <c r="D1355" s="2" t="s">
        <v>25</v>
      </c>
      <c r="E1355" s="2">
        <v>233</v>
      </c>
      <c r="F1355" s="2">
        <v>150.66666670000001</v>
      </c>
      <c r="G1355" s="2">
        <v>902.33333330000005</v>
      </c>
      <c r="H1355" s="2">
        <v>1669</v>
      </c>
      <c r="I1355" s="2">
        <v>2538.666667</v>
      </c>
      <c r="J1355" s="2">
        <v>1.38</v>
      </c>
      <c r="K1355" s="2">
        <v>7.92</v>
      </c>
      <c r="L1355" s="2">
        <v>11.8</v>
      </c>
      <c r="M1355" s="2">
        <v>14.6</v>
      </c>
      <c r="N1355" s="2">
        <v>0.62000522300000005</v>
      </c>
      <c r="O1355" s="2">
        <v>0.50022845400000004</v>
      </c>
      <c r="P1355" s="2">
        <v>3.4793907530000001</v>
      </c>
      <c r="Q1355" s="2">
        <v>3.5599833539999999</v>
      </c>
      <c r="R1355" s="2">
        <v>3.4766707549999998</v>
      </c>
      <c r="S1355" s="2">
        <v>3.558906602</v>
      </c>
      <c r="T1355" s="2">
        <v>0.137551696</v>
      </c>
      <c r="U1355" s="2">
        <v>8.7551571999999994E-2</v>
      </c>
      <c r="V1355" s="2">
        <v>4.7538194389999999</v>
      </c>
      <c r="W1355" s="2">
        <v>4.3026861E-2</v>
      </c>
      <c r="X1355">
        <f t="shared" si="63"/>
        <v>0</v>
      </c>
      <c r="Y1355">
        <f t="shared" si="64"/>
        <v>1</v>
      </c>
      <c r="Z1355">
        <f t="shared" si="65"/>
        <v>0</v>
      </c>
    </row>
    <row r="1356" spans="1:26" ht="15.75" customHeight="1" x14ac:dyDescent="0.2">
      <c r="A1356" s="2" t="s">
        <v>23</v>
      </c>
      <c r="B1356" s="2" t="s">
        <v>35</v>
      </c>
      <c r="C1356" s="2" t="s">
        <v>28</v>
      </c>
      <c r="D1356" s="2" t="s">
        <v>29</v>
      </c>
      <c r="E1356" s="2">
        <v>81</v>
      </c>
      <c r="F1356" s="2">
        <v>104</v>
      </c>
      <c r="G1356" s="2">
        <v>474</v>
      </c>
      <c r="H1356" s="2">
        <v>1265</v>
      </c>
      <c r="I1356" s="2">
        <v>2695.666667</v>
      </c>
      <c r="J1356" s="2">
        <v>0.82</v>
      </c>
      <c r="K1356" s="2">
        <v>4.6900000000000004</v>
      </c>
      <c r="L1356" s="2">
        <v>9.99</v>
      </c>
      <c r="M1356" s="2">
        <v>14.99</v>
      </c>
      <c r="N1356" s="2">
        <v>2.123281967</v>
      </c>
      <c r="O1356" s="2">
        <v>2.0779795769999998</v>
      </c>
      <c r="P1356" s="2">
        <v>1.966912271</v>
      </c>
      <c r="Q1356" s="2">
        <v>1.929590031</v>
      </c>
      <c r="R1356" s="2">
        <v>0.245990509</v>
      </c>
      <c r="S1356" s="2">
        <v>0.328226356</v>
      </c>
      <c r="T1356" s="2">
        <v>1.9514693320000001</v>
      </c>
      <c r="U1356" s="2">
        <v>1.901469208</v>
      </c>
      <c r="V1356" s="2">
        <v>1.523139193</v>
      </c>
      <c r="W1356" s="2">
        <v>6.3671206999999994E-2</v>
      </c>
      <c r="X1356">
        <f t="shared" si="63"/>
        <v>0</v>
      </c>
      <c r="Y1356">
        <f t="shared" si="64"/>
        <v>1</v>
      </c>
      <c r="Z1356">
        <f t="shared" si="65"/>
        <v>1</v>
      </c>
    </row>
    <row r="1357" spans="1:26" ht="15.75" customHeight="1" x14ac:dyDescent="0.2">
      <c r="A1357" s="2" t="s">
        <v>23</v>
      </c>
      <c r="B1357" s="2" t="s">
        <v>35</v>
      </c>
      <c r="C1357" s="2" t="s">
        <v>30</v>
      </c>
      <c r="D1357" s="2" t="s">
        <v>31</v>
      </c>
      <c r="E1357" s="2">
        <v>97</v>
      </c>
      <c r="F1357" s="2">
        <v>204</v>
      </c>
      <c r="G1357" s="2">
        <v>493</v>
      </c>
      <c r="H1357" s="2">
        <v>1239</v>
      </c>
      <c r="I1357" s="2">
        <v>2338</v>
      </c>
      <c r="J1357" s="2">
        <v>2</v>
      </c>
      <c r="K1357" s="2">
        <v>4.8600000000000003</v>
      </c>
      <c r="L1357" s="2">
        <v>9.85</v>
      </c>
      <c r="M1357" s="2">
        <v>14.05</v>
      </c>
      <c r="N1357" s="2">
        <v>4.4710451410000003</v>
      </c>
      <c r="O1357" s="2">
        <v>4.502138725</v>
      </c>
      <c r="P1357" s="2">
        <v>2.1244703290000002</v>
      </c>
      <c r="Q1357" s="2">
        <v>2.0933724090000001</v>
      </c>
      <c r="R1357" s="2">
        <v>0.41321056499999997</v>
      </c>
      <c r="S1357" s="2">
        <v>0.495446412</v>
      </c>
      <c r="T1357" s="2">
        <v>2.08389808</v>
      </c>
      <c r="U1357" s="2">
        <v>2.0338979560000001</v>
      </c>
      <c r="V1357" s="2">
        <v>1.6903592489999999</v>
      </c>
      <c r="W1357" s="2">
        <v>5.7629528999999999E-2</v>
      </c>
      <c r="X1357">
        <f t="shared" si="63"/>
        <v>0</v>
      </c>
      <c r="Y1357">
        <f t="shared" si="64"/>
        <v>1</v>
      </c>
      <c r="Z1357">
        <f t="shared" si="65"/>
        <v>1</v>
      </c>
    </row>
    <row r="1358" spans="1:26" ht="15.75" customHeight="1" x14ac:dyDescent="0.2">
      <c r="A1358" s="2" t="s">
        <v>23</v>
      </c>
      <c r="B1358" s="2" t="s">
        <v>35</v>
      </c>
      <c r="C1358" s="2" t="s">
        <v>32</v>
      </c>
      <c r="D1358" s="2" t="s">
        <v>33</v>
      </c>
      <c r="E1358" s="2">
        <v>132</v>
      </c>
      <c r="F1358" s="2">
        <v>130.66666670000001</v>
      </c>
      <c r="G1358" s="2">
        <v>490</v>
      </c>
      <c r="H1358" s="2">
        <v>945.33333330000005</v>
      </c>
      <c r="I1358" s="2">
        <v>2540.333333</v>
      </c>
      <c r="J1358" s="2">
        <v>1.1499999999999999</v>
      </c>
      <c r="K1358" s="2">
        <v>4.83</v>
      </c>
      <c r="L1358" s="2">
        <v>8.19</v>
      </c>
      <c r="M1358" s="2">
        <v>14.6</v>
      </c>
      <c r="N1358" s="2">
        <v>4.129610446</v>
      </c>
      <c r="O1358" s="2">
        <v>4.2618080110000003</v>
      </c>
      <c r="P1358" s="2">
        <v>3.7641839500000001</v>
      </c>
      <c r="Q1358" s="2">
        <v>3.7239180890000001</v>
      </c>
      <c r="R1358" s="2">
        <v>0.386979827</v>
      </c>
      <c r="S1358" s="2">
        <v>0.46921567400000003</v>
      </c>
      <c r="T1358" s="2">
        <v>3.744239232</v>
      </c>
      <c r="U1358" s="2">
        <v>3.6942391080000001</v>
      </c>
      <c r="V1358" s="2">
        <v>1.6641285109999999</v>
      </c>
      <c r="W1358" s="2">
        <v>8.3057596999999997E-2</v>
      </c>
      <c r="X1358">
        <f t="shared" si="63"/>
        <v>0</v>
      </c>
      <c r="Y1358">
        <f t="shared" si="64"/>
        <v>1</v>
      </c>
      <c r="Z1358">
        <f t="shared" si="65"/>
        <v>1</v>
      </c>
    </row>
    <row r="1359" spans="1:26" ht="15.75" customHeight="1" x14ac:dyDescent="0.2">
      <c r="A1359" s="2" t="s">
        <v>23</v>
      </c>
      <c r="B1359" s="2" t="s">
        <v>35</v>
      </c>
      <c r="C1359" s="2" t="s">
        <v>26</v>
      </c>
      <c r="D1359" s="2" t="s">
        <v>26</v>
      </c>
      <c r="E1359" s="2">
        <v>80</v>
      </c>
      <c r="F1359" s="2">
        <v>211.66666670000001</v>
      </c>
      <c r="G1359" s="2">
        <v>404.33333329999999</v>
      </c>
      <c r="H1359" s="2">
        <v>1008</v>
      </c>
      <c r="I1359" s="2">
        <v>2863.333333</v>
      </c>
      <c r="J1359" s="2">
        <v>2.08</v>
      </c>
      <c r="K1359" s="2">
        <v>4.05</v>
      </c>
      <c r="L1359" s="2">
        <v>8.58</v>
      </c>
      <c r="M1359" s="2">
        <v>15.39</v>
      </c>
      <c r="N1359" s="2">
        <v>0.57561596000000004</v>
      </c>
      <c r="O1359" s="2">
        <v>0.53887203299999997</v>
      </c>
      <c r="P1359" s="2">
        <v>3.3849158930000001</v>
      </c>
      <c r="Q1359" s="2">
        <v>3.3266370799999998</v>
      </c>
      <c r="R1359" s="2">
        <v>0.39014353400000001</v>
      </c>
      <c r="S1359" s="2">
        <v>0.30790768699999999</v>
      </c>
      <c r="T1359" s="2">
        <v>3.3623568549999998</v>
      </c>
      <c r="U1359" s="2">
        <v>3.3123567309999999</v>
      </c>
      <c r="V1359" s="2">
        <v>0.88700515000000002</v>
      </c>
      <c r="W1359" s="2">
        <v>6.5286521E-2</v>
      </c>
      <c r="X1359">
        <f t="shared" si="63"/>
        <v>0</v>
      </c>
      <c r="Y1359">
        <f t="shared" si="64"/>
        <v>1</v>
      </c>
      <c r="Z1359">
        <f t="shared" si="65"/>
        <v>0</v>
      </c>
    </row>
    <row r="1360" spans="1:26" ht="15.75" customHeight="1" x14ac:dyDescent="0.2">
      <c r="A1360" s="2" t="s">
        <v>23</v>
      </c>
      <c r="B1360" s="2" t="s">
        <v>35</v>
      </c>
      <c r="C1360" s="2" t="s">
        <v>32</v>
      </c>
      <c r="D1360" s="2" t="s">
        <v>33</v>
      </c>
      <c r="E1360" s="2">
        <v>190</v>
      </c>
      <c r="F1360" s="2">
        <v>160.66666670000001</v>
      </c>
      <c r="G1360" s="2">
        <v>448.33333329999999</v>
      </c>
      <c r="H1360" s="2">
        <v>1810.333333</v>
      </c>
      <c r="I1360" s="2">
        <v>2844</v>
      </c>
      <c r="J1360" s="2">
        <v>1.5</v>
      </c>
      <c r="K1360" s="2">
        <v>4.46</v>
      </c>
      <c r="L1360" s="2">
        <v>12.34</v>
      </c>
      <c r="M1360" s="2">
        <v>15.34</v>
      </c>
      <c r="N1360" s="2">
        <v>3.2420492150000002</v>
      </c>
      <c r="O1360" s="2">
        <v>3.1759770500000002</v>
      </c>
      <c r="P1360" s="2">
        <v>0.40554906099999999</v>
      </c>
      <c r="Q1360" s="2">
        <v>0.465696106</v>
      </c>
      <c r="R1360" s="2">
        <v>1.5907162999999998E-2</v>
      </c>
      <c r="S1360" s="2">
        <v>9.8143010000000003E-2</v>
      </c>
      <c r="T1360" s="2">
        <v>0.405236971</v>
      </c>
      <c r="U1360" s="2">
        <v>0.45523709499999998</v>
      </c>
      <c r="V1360" s="2">
        <v>1.2930558459999999</v>
      </c>
      <c r="W1360" s="2">
        <v>5.4995870000000002E-2</v>
      </c>
      <c r="X1360">
        <f t="shared" si="63"/>
        <v>0</v>
      </c>
      <c r="Y1360">
        <f t="shared" si="64"/>
        <v>1</v>
      </c>
      <c r="Z1360">
        <f t="shared" si="65"/>
        <v>1</v>
      </c>
    </row>
    <row r="1361" spans="1:26" ht="15.75" customHeight="1" x14ac:dyDescent="0.2">
      <c r="A1361" s="2" t="s">
        <v>23</v>
      </c>
      <c r="B1361" s="2" t="s">
        <v>35</v>
      </c>
      <c r="C1361" s="2" t="s">
        <v>28</v>
      </c>
      <c r="D1361" s="2" t="s">
        <v>29</v>
      </c>
      <c r="E1361" s="2">
        <v>104</v>
      </c>
      <c r="F1361" s="2">
        <v>225.33333329999999</v>
      </c>
      <c r="G1361" s="2">
        <v>497</v>
      </c>
      <c r="H1361" s="2">
        <v>1304.333333</v>
      </c>
      <c r="I1361" s="2">
        <v>2827.666667</v>
      </c>
      <c r="J1361" s="2">
        <v>2.23</v>
      </c>
      <c r="K1361" s="2">
        <v>4.8899999999999997</v>
      </c>
      <c r="L1361" s="2">
        <v>10.18</v>
      </c>
      <c r="M1361" s="2">
        <v>15.3</v>
      </c>
      <c r="N1361" s="2">
        <v>2.3875820089999999</v>
      </c>
      <c r="O1361" s="2">
        <v>2.346878222</v>
      </c>
      <c r="P1361" s="2">
        <v>1.811433158</v>
      </c>
      <c r="Q1361" s="2">
        <v>1.785703203</v>
      </c>
      <c r="R1361" s="2">
        <v>0.44808524</v>
      </c>
      <c r="S1361" s="2">
        <v>0.53032108700000002</v>
      </c>
      <c r="T1361" s="2">
        <v>1.755138087</v>
      </c>
      <c r="U1361" s="2">
        <v>1.7051379630000001</v>
      </c>
      <c r="V1361" s="2">
        <v>1.7252339240000001</v>
      </c>
      <c r="W1361" s="2">
        <v>7.3848189999999994E-2</v>
      </c>
      <c r="X1361">
        <f t="shared" si="63"/>
        <v>0</v>
      </c>
      <c r="Y1361">
        <f t="shared" si="64"/>
        <v>1</v>
      </c>
      <c r="Z1361">
        <f t="shared" si="65"/>
        <v>1</v>
      </c>
    </row>
    <row r="1362" spans="1:26" ht="15.75" customHeight="1" x14ac:dyDescent="0.2">
      <c r="A1362" s="2" t="s">
        <v>23</v>
      </c>
      <c r="B1362" s="2" t="s">
        <v>35</v>
      </c>
      <c r="C1362" s="2" t="s">
        <v>32</v>
      </c>
      <c r="D1362" s="2" t="s">
        <v>33</v>
      </c>
      <c r="E1362" s="2">
        <v>93</v>
      </c>
      <c r="F1362" s="2">
        <v>198.66666670000001</v>
      </c>
      <c r="G1362" s="2">
        <v>494.66666670000001</v>
      </c>
      <c r="H1362" s="2">
        <v>963.33333330000005</v>
      </c>
      <c r="I1362" s="2">
        <v>2529</v>
      </c>
      <c r="J1362" s="2">
        <v>1.94</v>
      </c>
      <c r="K1362" s="2">
        <v>4.87</v>
      </c>
      <c r="L1362" s="2">
        <v>8.3000000000000007</v>
      </c>
      <c r="M1362" s="2">
        <v>14.57</v>
      </c>
      <c r="N1362" s="2">
        <v>4.0189554300000001</v>
      </c>
      <c r="O1362" s="2">
        <v>4.149879758</v>
      </c>
      <c r="P1362" s="2">
        <v>3.6579701390000001</v>
      </c>
      <c r="Q1362" s="2">
        <v>3.6189879380000001</v>
      </c>
      <c r="R1362" s="2">
        <v>0.42775549200000001</v>
      </c>
      <c r="S1362" s="2">
        <v>0.50999133900000004</v>
      </c>
      <c r="T1362" s="2">
        <v>3.6328736259999999</v>
      </c>
      <c r="U1362" s="2">
        <v>3.582873502</v>
      </c>
      <c r="V1362" s="2">
        <v>1.7049041760000001</v>
      </c>
      <c r="W1362" s="2">
        <v>6.626949E-2</v>
      </c>
      <c r="X1362">
        <f t="shared" si="63"/>
        <v>0</v>
      </c>
      <c r="Y1362">
        <f t="shared" si="64"/>
        <v>1</v>
      </c>
      <c r="Z1362">
        <f t="shared" si="65"/>
        <v>1</v>
      </c>
    </row>
    <row r="1363" spans="1:26" ht="15.75" customHeight="1" x14ac:dyDescent="0.2">
      <c r="A1363" s="2" t="s">
        <v>23</v>
      </c>
      <c r="B1363" s="2" t="s">
        <v>35</v>
      </c>
      <c r="C1363" s="2" t="s">
        <v>25</v>
      </c>
      <c r="D1363" s="2" t="s">
        <v>25</v>
      </c>
      <c r="E1363" s="2">
        <v>209</v>
      </c>
      <c r="F1363" s="2">
        <v>168.66666670000001</v>
      </c>
      <c r="G1363" s="2">
        <v>861.66666669999995</v>
      </c>
      <c r="H1363" s="2">
        <v>1591.666667</v>
      </c>
      <c r="I1363" s="2">
        <v>2573.333333</v>
      </c>
      <c r="J1363" s="2">
        <v>1.59</v>
      </c>
      <c r="K1363" s="2">
        <v>7.66</v>
      </c>
      <c r="L1363" s="2">
        <v>11.48</v>
      </c>
      <c r="M1363" s="2">
        <v>14.69</v>
      </c>
      <c r="N1363" s="2">
        <v>0.20883069700000001</v>
      </c>
      <c r="O1363" s="2">
        <v>0.135198502</v>
      </c>
      <c r="P1363" s="2">
        <v>3.2438484569999999</v>
      </c>
      <c r="Q1363" s="2">
        <v>3.318859614</v>
      </c>
      <c r="R1363" s="2">
        <v>3.212085557</v>
      </c>
      <c r="S1363" s="2">
        <v>3.2943214030000001</v>
      </c>
      <c r="T1363" s="2">
        <v>0.45283461800000002</v>
      </c>
      <c r="U1363" s="2">
        <v>0.40283449399999999</v>
      </c>
      <c r="V1363" s="2">
        <v>4.48923424</v>
      </c>
      <c r="W1363" s="2">
        <v>8.4320005000000003E-2</v>
      </c>
      <c r="X1363">
        <f t="shared" si="63"/>
        <v>0</v>
      </c>
      <c r="Y1363">
        <f t="shared" si="64"/>
        <v>1</v>
      </c>
      <c r="Z1363">
        <f t="shared" si="65"/>
        <v>0</v>
      </c>
    </row>
    <row r="1364" spans="1:26" ht="15.75" customHeight="1" x14ac:dyDescent="0.2">
      <c r="A1364" s="2" t="s">
        <v>23</v>
      </c>
      <c r="B1364" s="2" t="s">
        <v>35</v>
      </c>
      <c r="C1364" s="2" t="s">
        <v>27</v>
      </c>
      <c r="D1364" s="2" t="s">
        <v>27</v>
      </c>
      <c r="E1364" s="2">
        <v>69</v>
      </c>
      <c r="F1364" s="2">
        <v>179</v>
      </c>
      <c r="G1364" s="2">
        <v>374.33333329999999</v>
      </c>
      <c r="H1364" s="2">
        <v>2322</v>
      </c>
      <c r="I1364" s="2">
        <v>3014</v>
      </c>
      <c r="J1364" s="2">
        <v>1.71</v>
      </c>
      <c r="K1364" s="2">
        <v>3.77</v>
      </c>
      <c r="L1364" s="2">
        <v>14.01</v>
      </c>
      <c r="M1364" s="2">
        <v>15.72</v>
      </c>
      <c r="N1364" s="2">
        <v>0.18924850100000001</v>
      </c>
      <c r="O1364" s="2">
        <v>0.207605609</v>
      </c>
      <c r="P1364" s="2">
        <v>2.1781017980000001</v>
      </c>
      <c r="Q1364" s="2">
        <v>2.2021142149999999</v>
      </c>
      <c r="R1364" s="2">
        <v>0.675772708</v>
      </c>
      <c r="S1364" s="2">
        <v>0.59353686100000003</v>
      </c>
      <c r="T1364" s="2">
        <v>2.0706179489999998</v>
      </c>
      <c r="U1364" s="2">
        <v>2.1206180730000002</v>
      </c>
      <c r="V1364" s="2">
        <v>0.60137597600000003</v>
      </c>
      <c r="W1364" s="2">
        <v>6.8293249E-2</v>
      </c>
      <c r="X1364">
        <f t="shared" si="63"/>
        <v>0</v>
      </c>
      <c r="Y1364">
        <f t="shared" si="64"/>
        <v>1</v>
      </c>
      <c r="Z1364">
        <f t="shared" si="65"/>
        <v>0</v>
      </c>
    </row>
    <row r="1365" spans="1:26" ht="15.75" customHeight="1" x14ac:dyDescent="0.2">
      <c r="A1365" s="2" t="s">
        <v>23</v>
      </c>
      <c r="B1365" s="2" t="s">
        <v>35</v>
      </c>
      <c r="C1365" s="2" t="s">
        <v>30</v>
      </c>
      <c r="D1365" s="2" t="s">
        <v>31</v>
      </c>
      <c r="E1365" s="2">
        <v>60</v>
      </c>
      <c r="F1365" s="2">
        <v>151.66666670000001</v>
      </c>
      <c r="G1365" s="2">
        <v>667.66666669999995</v>
      </c>
      <c r="H1365" s="2">
        <v>1355</v>
      </c>
      <c r="I1365" s="2">
        <v>2080.333333</v>
      </c>
      <c r="J1365" s="2">
        <v>1.4</v>
      </c>
      <c r="K1365" s="2">
        <v>6.28</v>
      </c>
      <c r="L1365" s="2">
        <v>10.43</v>
      </c>
      <c r="M1365" s="2">
        <v>13.27</v>
      </c>
      <c r="N1365" s="2">
        <v>4.5155634170000001</v>
      </c>
      <c r="O1365" s="2">
        <v>4.5645425790000003</v>
      </c>
      <c r="P1365" s="2">
        <v>2.3775102260000001</v>
      </c>
      <c r="Q1365" s="2">
        <v>2.4110304970000001</v>
      </c>
      <c r="R1365" s="2">
        <v>1.837161738</v>
      </c>
      <c r="S1365" s="2">
        <v>1.9193975839999999</v>
      </c>
      <c r="T1365" s="2">
        <v>1.509102921</v>
      </c>
      <c r="U1365" s="2">
        <v>1.4591027969999999</v>
      </c>
      <c r="V1365" s="2">
        <v>3.1143104209999999</v>
      </c>
      <c r="W1365" s="2">
        <v>6.5689905000000007E-2</v>
      </c>
      <c r="X1365">
        <f t="shared" si="63"/>
        <v>0</v>
      </c>
      <c r="Y1365">
        <f t="shared" si="64"/>
        <v>1</v>
      </c>
      <c r="Z1365">
        <f t="shared" si="65"/>
        <v>1</v>
      </c>
    </row>
    <row r="1366" spans="1:26" ht="15.75" customHeight="1" x14ac:dyDescent="0.2">
      <c r="A1366" s="2" t="s">
        <v>23</v>
      </c>
      <c r="B1366" s="2" t="s">
        <v>35</v>
      </c>
      <c r="C1366" s="2" t="s">
        <v>25</v>
      </c>
      <c r="D1366" s="2" t="s">
        <v>25</v>
      </c>
      <c r="E1366" s="2">
        <v>87</v>
      </c>
      <c r="F1366" s="2">
        <v>169.33333329999999</v>
      </c>
      <c r="G1366" s="2">
        <v>897.66666669999995</v>
      </c>
      <c r="H1366" s="2">
        <v>1540</v>
      </c>
      <c r="I1366" s="2">
        <v>2576.666667</v>
      </c>
      <c r="J1366" s="2">
        <v>1.6</v>
      </c>
      <c r="K1366" s="2">
        <v>7.89</v>
      </c>
      <c r="L1366" s="2">
        <v>11.27</v>
      </c>
      <c r="M1366" s="2">
        <v>14.7</v>
      </c>
      <c r="N1366" s="2">
        <v>0.359312517</v>
      </c>
      <c r="O1366" s="2">
        <v>0.43601679599999998</v>
      </c>
      <c r="P1366" s="2">
        <v>3.511444419</v>
      </c>
      <c r="Q1366" s="2">
        <v>3.5831918190000001</v>
      </c>
      <c r="R1366" s="2">
        <v>3.4466910130000001</v>
      </c>
      <c r="S1366" s="2">
        <v>3.5289268599999999</v>
      </c>
      <c r="T1366" s="2">
        <v>0.67123987399999996</v>
      </c>
      <c r="U1366" s="2">
        <v>0.62123974999999998</v>
      </c>
      <c r="V1366" s="2">
        <v>4.7238396969999998</v>
      </c>
      <c r="W1366" s="2">
        <v>7.4410661000000003E-2</v>
      </c>
      <c r="X1366">
        <f t="shared" si="63"/>
        <v>0</v>
      </c>
      <c r="Y1366">
        <f t="shared" si="64"/>
        <v>1</v>
      </c>
      <c r="Z1366">
        <f t="shared" si="65"/>
        <v>0</v>
      </c>
    </row>
    <row r="1367" spans="1:26" ht="15.75" customHeight="1" x14ac:dyDescent="0.2">
      <c r="A1367" s="2" t="s">
        <v>23</v>
      </c>
      <c r="B1367" s="2" t="s">
        <v>35</v>
      </c>
      <c r="C1367" s="2" t="s">
        <v>30</v>
      </c>
      <c r="D1367" s="2" t="s">
        <v>31</v>
      </c>
      <c r="E1367" s="2">
        <v>96</v>
      </c>
      <c r="F1367" s="2">
        <v>93</v>
      </c>
      <c r="G1367" s="2">
        <v>561.33333330000005</v>
      </c>
      <c r="H1367" s="2">
        <v>1373.333333</v>
      </c>
      <c r="I1367" s="2">
        <v>2565.666667</v>
      </c>
      <c r="J1367" s="2">
        <v>0.68</v>
      </c>
      <c r="K1367" s="2">
        <v>5.44</v>
      </c>
      <c r="L1367" s="2">
        <v>10.52</v>
      </c>
      <c r="M1367" s="2">
        <v>14.67</v>
      </c>
      <c r="N1367" s="2">
        <v>4.0315649779999996</v>
      </c>
      <c r="O1367" s="2">
        <v>4.0726649950000002</v>
      </c>
      <c r="P1367" s="2">
        <v>1.734780719</v>
      </c>
      <c r="Q1367" s="2">
        <v>1.7435549889999999</v>
      </c>
      <c r="R1367" s="2">
        <v>0.99378469199999997</v>
      </c>
      <c r="S1367" s="2">
        <v>1.0760205389999999</v>
      </c>
      <c r="T1367" s="2">
        <v>1.4219198740000001</v>
      </c>
      <c r="U1367" s="2">
        <v>1.37191975</v>
      </c>
      <c r="V1367" s="2">
        <v>2.2709333759999999</v>
      </c>
      <c r="W1367" s="2">
        <v>8.3672669000000005E-2</v>
      </c>
      <c r="X1367">
        <f t="shared" si="63"/>
        <v>0</v>
      </c>
      <c r="Y1367">
        <f t="shared" si="64"/>
        <v>1</v>
      </c>
      <c r="Z1367">
        <f t="shared" si="65"/>
        <v>1</v>
      </c>
    </row>
    <row r="1368" spans="1:26" ht="15.75" customHeight="1" x14ac:dyDescent="0.2">
      <c r="A1368" s="2" t="s">
        <v>23</v>
      </c>
      <c r="B1368" s="2" t="s">
        <v>35</v>
      </c>
      <c r="C1368" s="2" t="s">
        <v>25</v>
      </c>
      <c r="D1368" s="2" t="s">
        <v>25</v>
      </c>
      <c r="E1368" s="2">
        <v>202</v>
      </c>
      <c r="F1368" s="2">
        <v>215.66666670000001</v>
      </c>
      <c r="G1368" s="2">
        <v>835.66666669999995</v>
      </c>
      <c r="H1368" s="2">
        <v>1471.666667</v>
      </c>
      <c r="I1368" s="2">
        <v>2701</v>
      </c>
      <c r="J1368" s="2">
        <v>2.13</v>
      </c>
      <c r="K1368" s="2">
        <v>7.48</v>
      </c>
      <c r="L1368" s="2">
        <v>10.97</v>
      </c>
      <c r="M1368" s="2">
        <v>15.01</v>
      </c>
      <c r="N1368" s="2">
        <v>0.60025791299999998</v>
      </c>
      <c r="O1368" s="2">
        <v>0.77966537199999997</v>
      </c>
      <c r="P1368" s="2">
        <v>2.6592773840000001</v>
      </c>
      <c r="Q1368" s="2">
        <v>2.701039223</v>
      </c>
      <c r="R1368" s="2">
        <v>2.5715421919999999</v>
      </c>
      <c r="S1368" s="2">
        <v>2.6142514349999999</v>
      </c>
      <c r="T1368" s="2">
        <v>0.67744148199999998</v>
      </c>
      <c r="U1368" s="2">
        <v>0.67919240199999997</v>
      </c>
      <c r="V1368" s="2">
        <v>3.8144852629999999</v>
      </c>
      <c r="W1368" s="2">
        <v>0.154305837</v>
      </c>
      <c r="X1368">
        <f t="shared" si="63"/>
        <v>0</v>
      </c>
      <c r="Y1368">
        <f t="shared" si="64"/>
        <v>1</v>
      </c>
      <c r="Z1368">
        <f t="shared" si="65"/>
        <v>0</v>
      </c>
    </row>
    <row r="1369" spans="1:26" ht="15.75" customHeight="1" x14ac:dyDescent="0.2">
      <c r="A1369" s="2" t="s">
        <v>23</v>
      </c>
      <c r="B1369" s="2" t="s">
        <v>35</v>
      </c>
      <c r="C1369" s="2" t="s">
        <v>26</v>
      </c>
      <c r="D1369" s="2" t="s">
        <v>26</v>
      </c>
      <c r="E1369" s="2">
        <v>190</v>
      </c>
      <c r="F1369" s="2">
        <v>209.33333329999999</v>
      </c>
      <c r="G1369" s="2">
        <v>414.33333329999999</v>
      </c>
      <c r="H1369" s="2">
        <v>984.66666669999995</v>
      </c>
      <c r="I1369" s="2">
        <v>2711</v>
      </c>
      <c r="J1369" s="2">
        <v>2.06</v>
      </c>
      <c r="K1369" s="2">
        <v>4.1500000000000004</v>
      </c>
      <c r="L1369" s="2">
        <v>8.43</v>
      </c>
      <c r="M1369" s="2">
        <v>15.03</v>
      </c>
      <c r="N1369" s="2">
        <v>0.43207525800000002</v>
      </c>
      <c r="O1369" s="2">
        <v>0.51741568999999998</v>
      </c>
      <c r="P1369" s="2">
        <v>3.2995326079999998</v>
      </c>
      <c r="Q1369" s="2">
        <v>3.2916155749999998</v>
      </c>
      <c r="R1369" s="2">
        <v>0.76388624100000002</v>
      </c>
      <c r="S1369" s="2">
        <v>0.72117699899999999</v>
      </c>
      <c r="T1369" s="2">
        <v>3.209889912</v>
      </c>
      <c r="U1369" s="2">
        <v>3.211640831</v>
      </c>
      <c r="V1369" s="2">
        <v>0.47905682999999999</v>
      </c>
      <c r="W1369" s="2">
        <v>0.132732929</v>
      </c>
      <c r="X1369">
        <f t="shared" si="63"/>
        <v>0</v>
      </c>
      <c r="Y1369">
        <f t="shared" si="64"/>
        <v>1</v>
      </c>
      <c r="Z1369">
        <f t="shared" si="65"/>
        <v>0</v>
      </c>
    </row>
    <row r="1370" spans="1:26" ht="15.75" customHeight="1" x14ac:dyDescent="0.2">
      <c r="A1370" s="2" t="s">
        <v>23</v>
      </c>
      <c r="B1370" s="2" t="s">
        <v>35</v>
      </c>
      <c r="C1370" s="2" t="s">
        <v>27</v>
      </c>
      <c r="D1370" s="2" t="s">
        <v>27</v>
      </c>
      <c r="E1370" s="2">
        <v>249</v>
      </c>
      <c r="F1370" s="2">
        <v>217</v>
      </c>
      <c r="G1370" s="2">
        <v>465</v>
      </c>
      <c r="H1370" s="2">
        <v>2335</v>
      </c>
      <c r="I1370" s="2">
        <v>3057.666667</v>
      </c>
      <c r="J1370" s="2">
        <v>2.14</v>
      </c>
      <c r="K1370" s="2">
        <v>4.6100000000000003</v>
      </c>
      <c r="L1370" s="2">
        <v>14.05</v>
      </c>
      <c r="M1370" s="2">
        <v>15.81</v>
      </c>
      <c r="N1370" s="2">
        <v>0.188840489</v>
      </c>
      <c r="O1370" s="2">
        <v>0.188864855</v>
      </c>
      <c r="P1370" s="2">
        <v>2.4193771850000001</v>
      </c>
      <c r="Q1370" s="2">
        <v>2.4126862080000002</v>
      </c>
      <c r="R1370" s="2">
        <v>0.30148202499999999</v>
      </c>
      <c r="S1370" s="2">
        <v>0.25877278199999998</v>
      </c>
      <c r="T1370" s="2">
        <v>2.4005196419999999</v>
      </c>
      <c r="U1370" s="2">
        <v>2.3987687219999998</v>
      </c>
      <c r="V1370" s="2">
        <v>0.94146104600000002</v>
      </c>
      <c r="W1370" s="2">
        <v>0.135858229</v>
      </c>
      <c r="X1370">
        <f t="shared" si="63"/>
        <v>0</v>
      </c>
      <c r="Y1370">
        <f t="shared" si="64"/>
        <v>1</v>
      </c>
      <c r="Z1370">
        <f t="shared" si="65"/>
        <v>0</v>
      </c>
    </row>
    <row r="1371" spans="1:26" ht="15.75" customHeight="1" x14ac:dyDescent="0.2">
      <c r="A1371" s="2" t="s">
        <v>23</v>
      </c>
      <c r="B1371" s="2" t="s">
        <v>35</v>
      </c>
      <c r="C1371" s="2" t="s">
        <v>28</v>
      </c>
      <c r="D1371" s="2" t="s">
        <v>29</v>
      </c>
      <c r="E1371" s="2">
        <v>158</v>
      </c>
      <c r="F1371" s="2">
        <v>238.66666670000001</v>
      </c>
      <c r="G1371" s="2">
        <v>513.66666669999995</v>
      </c>
      <c r="H1371" s="2">
        <v>1460.333333</v>
      </c>
      <c r="I1371" s="2">
        <v>2884</v>
      </c>
      <c r="J1371" s="2">
        <v>2.38</v>
      </c>
      <c r="K1371" s="2">
        <v>5.04</v>
      </c>
      <c r="L1371" s="2">
        <v>10.92</v>
      </c>
      <c r="M1371" s="2">
        <v>15.43</v>
      </c>
      <c r="N1371" s="2">
        <v>2.2793519899999999</v>
      </c>
      <c r="O1371" s="2">
        <v>2.1651345809999998</v>
      </c>
      <c r="P1371" s="2">
        <v>0.73880274000000001</v>
      </c>
      <c r="Q1371" s="2">
        <v>0.74891236299999997</v>
      </c>
      <c r="R1371" s="2">
        <v>0.12483391100000001</v>
      </c>
      <c r="S1371" s="2">
        <v>0.167543154</v>
      </c>
      <c r="T1371" s="2">
        <v>0.72817991199999998</v>
      </c>
      <c r="U1371" s="2">
        <v>0.72993083199999997</v>
      </c>
      <c r="V1371" s="2">
        <v>1.3677769820000001</v>
      </c>
      <c r="W1371" s="2">
        <v>8.4947679999999998E-2</v>
      </c>
      <c r="X1371">
        <f t="shared" si="63"/>
        <v>0</v>
      </c>
      <c r="Y1371">
        <f t="shared" si="64"/>
        <v>1</v>
      </c>
      <c r="Z1371">
        <f t="shared" si="65"/>
        <v>1</v>
      </c>
    </row>
    <row r="1372" spans="1:26" ht="15.75" customHeight="1" x14ac:dyDescent="0.2">
      <c r="A1372" s="2" t="s">
        <v>23</v>
      </c>
      <c r="B1372" s="2" t="s">
        <v>35</v>
      </c>
      <c r="C1372" s="2" t="s">
        <v>30</v>
      </c>
      <c r="D1372" s="2" t="s">
        <v>31</v>
      </c>
      <c r="E1372" s="2">
        <v>219</v>
      </c>
      <c r="F1372" s="2">
        <v>221.33333329999999</v>
      </c>
      <c r="G1372" s="2">
        <v>730.33333330000005</v>
      </c>
      <c r="H1372" s="2">
        <v>1156</v>
      </c>
      <c r="I1372" s="2">
        <v>2420</v>
      </c>
      <c r="J1372" s="2">
        <v>2.19</v>
      </c>
      <c r="K1372" s="2">
        <v>6.75</v>
      </c>
      <c r="L1372" s="2">
        <v>9.42</v>
      </c>
      <c r="M1372" s="2">
        <v>14.28</v>
      </c>
      <c r="N1372" s="2">
        <v>5.2210559349999999</v>
      </c>
      <c r="O1372" s="2">
        <v>5.1658647389999999</v>
      </c>
      <c r="P1372" s="2">
        <v>2.887308795</v>
      </c>
      <c r="Q1372" s="2">
        <v>2.9159870130000001</v>
      </c>
      <c r="R1372" s="2">
        <v>1.835627908</v>
      </c>
      <c r="S1372" s="2">
        <v>1.878337151</v>
      </c>
      <c r="T1372" s="2">
        <v>2.228681731</v>
      </c>
      <c r="U1372" s="2">
        <v>2.2304326510000001</v>
      </c>
      <c r="V1372" s="2">
        <v>3.0785709790000002</v>
      </c>
      <c r="W1372" s="2">
        <v>0.124031376</v>
      </c>
      <c r="X1372">
        <f t="shared" si="63"/>
        <v>0</v>
      </c>
      <c r="Y1372">
        <f t="shared" si="64"/>
        <v>1</v>
      </c>
      <c r="Z1372">
        <f t="shared" si="65"/>
        <v>1</v>
      </c>
    </row>
    <row r="1373" spans="1:26" ht="15.75" customHeight="1" x14ac:dyDescent="0.2">
      <c r="A1373" s="2" t="s">
        <v>23</v>
      </c>
      <c r="B1373" s="2" t="s">
        <v>35</v>
      </c>
      <c r="C1373" s="2" t="s">
        <v>26</v>
      </c>
      <c r="D1373" s="2" t="s">
        <v>26</v>
      </c>
      <c r="E1373" s="2">
        <v>268</v>
      </c>
      <c r="F1373" s="2">
        <v>229.66666670000001</v>
      </c>
      <c r="G1373" s="2">
        <v>433.66666670000001</v>
      </c>
      <c r="H1373" s="2">
        <v>920.33333330000005</v>
      </c>
      <c r="I1373" s="2">
        <v>2864.666667</v>
      </c>
      <c r="J1373" s="2">
        <v>2.2799999999999998</v>
      </c>
      <c r="K1373" s="2">
        <v>4.33</v>
      </c>
      <c r="L1373" s="2">
        <v>8.0399999999999991</v>
      </c>
      <c r="M1373" s="2">
        <v>15.39</v>
      </c>
      <c r="N1373" s="2">
        <v>0.68717875500000003</v>
      </c>
      <c r="O1373" s="2">
        <v>0.80197982400000001</v>
      </c>
      <c r="P1373" s="2">
        <v>3.6555983699999999</v>
      </c>
      <c r="Q1373" s="2">
        <v>3.6507371439999998</v>
      </c>
      <c r="R1373" s="2">
        <v>0.58513286099999995</v>
      </c>
      <c r="S1373" s="2">
        <v>0.54242361900000002</v>
      </c>
      <c r="T1373" s="2">
        <v>3.608464906</v>
      </c>
      <c r="U1373" s="2">
        <v>3.6102158260000001</v>
      </c>
      <c r="V1373" s="2">
        <v>0.65781020999999995</v>
      </c>
      <c r="W1373" s="2">
        <v>0.14648803599999999</v>
      </c>
      <c r="X1373">
        <f t="shared" si="63"/>
        <v>0</v>
      </c>
      <c r="Y1373">
        <f t="shared" si="64"/>
        <v>1</v>
      </c>
      <c r="Z1373">
        <f t="shared" si="65"/>
        <v>0</v>
      </c>
    </row>
    <row r="1374" spans="1:26" ht="15.75" customHeight="1" x14ac:dyDescent="0.2">
      <c r="A1374" s="2" t="s">
        <v>23</v>
      </c>
      <c r="B1374" s="2" t="s">
        <v>35</v>
      </c>
      <c r="C1374" s="2" t="s">
        <v>28</v>
      </c>
      <c r="D1374" s="2" t="s">
        <v>29</v>
      </c>
      <c r="E1374" s="2">
        <v>139</v>
      </c>
      <c r="F1374" s="2">
        <v>207.66666670000001</v>
      </c>
      <c r="G1374" s="2">
        <v>387.66666670000001</v>
      </c>
      <c r="H1374" s="2">
        <v>1194</v>
      </c>
      <c r="I1374" s="2">
        <v>2608.666667</v>
      </c>
      <c r="J1374" s="2">
        <v>2.04</v>
      </c>
      <c r="K1374" s="2">
        <v>3.9</v>
      </c>
      <c r="L1374" s="2">
        <v>9.6199999999999992</v>
      </c>
      <c r="M1374" s="2">
        <v>14.78</v>
      </c>
      <c r="N1374" s="2">
        <v>1.087423622</v>
      </c>
      <c r="O1374" s="2">
        <v>0.99613251800000002</v>
      </c>
      <c r="P1374" s="2">
        <v>2.2657106300000001</v>
      </c>
      <c r="Q1374" s="2">
        <v>2.2484754069999999</v>
      </c>
      <c r="R1374" s="2">
        <v>1.015273635</v>
      </c>
      <c r="S1374" s="2">
        <v>0.972564392</v>
      </c>
      <c r="T1374" s="2">
        <v>2.0255034209999998</v>
      </c>
      <c r="U1374" s="2">
        <v>2.0272543409999999</v>
      </c>
      <c r="V1374" s="2">
        <v>0.227669436</v>
      </c>
      <c r="W1374" s="2">
        <v>8.2871139999999996E-2</v>
      </c>
      <c r="X1374">
        <f t="shared" si="63"/>
        <v>0</v>
      </c>
      <c r="Y1374">
        <f t="shared" si="64"/>
        <v>1</v>
      </c>
      <c r="Z1374">
        <f t="shared" si="65"/>
        <v>1</v>
      </c>
    </row>
    <row r="1375" spans="1:26" ht="15.75" customHeight="1" x14ac:dyDescent="0.2">
      <c r="A1375" s="2" t="s">
        <v>23</v>
      </c>
      <c r="B1375" s="2" t="s">
        <v>35</v>
      </c>
      <c r="C1375" s="2" t="s">
        <v>32</v>
      </c>
      <c r="D1375" s="2" t="s">
        <v>33</v>
      </c>
      <c r="E1375" s="2">
        <v>218</v>
      </c>
      <c r="F1375" s="2">
        <v>214</v>
      </c>
      <c r="G1375" s="2">
        <v>646.33333330000005</v>
      </c>
      <c r="H1375" s="2">
        <v>924</v>
      </c>
      <c r="I1375" s="2">
        <v>2507.666667</v>
      </c>
      <c r="J1375" s="2">
        <v>2.11</v>
      </c>
      <c r="K1375" s="2">
        <v>6.12</v>
      </c>
      <c r="L1375" s="2">
        <v>8.06</v>
      </c>
      <c r="M1375" s="2">
        <v>14.52</v>
      </c>
      <c r="N1375" s="2">
        <v>3.7616776070000002</v>
      </c>
      <c r="O1375" s="2">
        <v>3.8634791430000002</v>
      </c>
      <c r="P1375" s="2">
        <v>3.782711537</v>
      </c>
      <c r="Q1375" s="2">
        <v>3.7981988270000002</v>
      </c>
      <c r="R1375" s="2">
        <v>1.206127349</v>
      </c>
      <c r="S1375" s="2">
        <v>1.248836592</v>
      </c>
      <c r="T1375" s="2">
        <v>3.5852703369999999</v>
      </c>
      <c r="U1375" s="2">
        <v>3.587021257</v>
      </c>
      <c r="V1375" s="2">
        <v>2.44907042</v>
      </c>
      <c r="W1375" s="2">
        <v>0.163805058</v>
      </c>
      <c r="X1375">
        <f t="shared" si="63"/>
        <v>0</v>
      </c>
      <c r="Y1375">
        <f t="shared" si="64"/>
        <v>1</v>
      </c>
      <c r="Z1375">
        <f t="shared" si="65"/>
        <v>1</v>
      </c>
    </row>
    <row r="1376" spans="1:26" ht="15.75" customHeight="1" x14ac:dyDescent="0.2">
      <c r="A1376" s="2" t="s">
        <v>23</v>
      </c>
      <c r="B1376" s="2" t="s">
        <v>35</v>
      </c>
      <c r="C1376" s="2" t="s">
        <v>25</v>
      </c>
      <c r="D1376" s="2" t="s">
        <v>25</v>
      </c>
      <c r="E1376" s="2">
        <v>191</v>
      </c>
      <c r="F1376" s="2">
        <v>208.33333329999999</v>
      </c>
      <c r="G1376" s="2">
        <v>860.66666669999995</v>
      </c>
      <c r="H1376" s="2">
        <v>1697.333333</v>
      </c>
      <c r="I1376" s="2">
        <v>2734.666667</v>
      </c>
      <c r="J1376" s="2">
        <v>2.0499999999999998</v>
      </c>
      <c r="K1376" s="2">
        <v>7.65</v>
      </c>
      <c r="L1376" s="2">
        <v>11.91</v>
      </c>
      <c r="M1376" s="2">
        <v>15.09</v>
      </c>
      <c r="N1376" s="2">
        <v>0.38610018800000001</v>
      </c>
      <c r="O1376" s="2">
        <v>0.37426944600000001</v>
      </c>
      <c r="P1376" s="2">
        <v>2.751158905</v>
      </c>
      <c r="Q1376" s="2">
        <v>2.7935020069999998</v>
      </c>
      <c r="R1376" s="2">
        <v>2.7381348050000001</v>
      </c>
      <c r="S1376" s="2">
        <v>2.780844047</v>
      </c>
      <c r="T1376" s="2">
        <v>0.267381957</v>
      </c>
      <c r="U1376" s="2">
        <v>0.26563103700000001</v>
      </c>
      <c r="V1376" s="2">
        <v>3.9810778760000001</v>
      </c>
      <c r="W1376" s="2">
        <v>0.181891524</v>
      </c>
      <c r="X1376">
        <f t="shared" si="63"/>
        <v>0</v>
      </c>
      <c r="Y1376">
        <f t="shared" si="64"/>
        <v>1</v>
      </c>
      <c r="Z1376">
        <f t="shared" si="65"/>
        <v>0</v>
      </c>
    </row>
    <row r="1377" spans="1:26" ht="15.75" customHeight="1" x14ac:dyDescent="0.2">
      <c r="A1377" s="2" t="s">
        <v>23</v>
      </c>
      <c r="B1377" s="2" t="s">
        <v>35</v>
      </c>
      <c r="C1377" s="2" t="s">
        <v>32</v>
      </c>
      <c r="D1377" s="2" t="s">
        <v>33</v>
      </c>
      <c r="E1377" s="2">
        <v>190</v>
      </c>
      <c r="F1377" s="2">
        <v>230.66666670000001</v>
      </c>
      <c r="G1377" s="2">
        <v>713.66666669999995</v>
      </c>
      <c r="H1377" s="2">
        <v>921.66666669999995</v>
      </c>
      <c r="I1377" s="2">
        <v>2704.333333</v>
      </c>
      <c r="J1377" s="2">
        <v>2.29</v>
      </c>
      <c r="K1377" s="2">
        <v>6.63</v>
      </c>
      <c r="L1377" s="2">
        <v>8.0399999999999991</v>
      </c>
      <c r="M1377" s="2">
        <v>15.01</v>
      </c>
      <c r="N1377" s="2">
        <v>3.6239237950000001</v>
      </c>
      <c r="O1377" s="2">
        <v>3.7508998710000001</v>
      </c>
      <c r="P1377" s="2">
        <v>3.9871706109999998</v>
      </c>
      <c r="Q1377" s="2">
        <v>4.0072883260000003</v>
      </c>
      <c r="R1377" s="2">
        <v>1.7138724949999999</v>
      </c>
      <c r="S1377" s="2">
        <v>1.7565817370000001</v>
      </c>
      <c r="T1377" s="2">
        <v>3.6000236879999998</v>
      </c>
      <c r="U1377" s="2">
        <v>3.6017746079999999</v>
      </c>
      <c r="V1377" s="2">
        <v>2.956815566</v>
      </c>
      <c r="W1377" s="2">
        <v>0.112555429</v>
      </c>
      <c r="X1377">
        <f t="shared" si="63"/>
        <v>0</v>
      </c>
      <c r="Y1377">
        <f t="shared" si="64"/>
        <v>1</v>
      </c>
      <c r="Z1377">
        <f t="shared" si="65"/>
        <v>1</v>
      </c>
    </row>
    <row r="1378" spans="1:26" ht="15.75" customHeight="1" x14ac:dyDescent="0.2">
      <c r="A1378" s="2" t="s">
        <v>23</v>
      </c>
      <c r="B1378" s="2" t="s">
        <v>35</v>
      </c>
      <c r="C1378" s="2" t="s">
        <v>32</v>
      </c>
      <c r="D1378" s="2" t="s">
        <v>33</v>
      </c>
      <c r="E1378" s="2">
        <v>189</v>
      </c>
      <c r="F1378" s="2">
        <v>221</v>
      </c>
      <c r="G1378" s="2">
        <v>598.66666669999995</v>
      </c>
      <c r="H1378" s="2">
        <v>927.66666669999995</v>
      </c>
      <c r="I1378" s="2">
        <v>2331.333333</v>
      </c>
      <c r="J1378" s="2">
        <v>2.19</v>
      </c>
      <c r="K1378" s="2">
        <v>5.74</v>
      </c>
      <c r="L1378" s="2">
        <v>8.08</v>
      </c>
      <c r="M1378" s="2">
        <v>14.03</v>
      </c>
      <c r="N1378" s="2">
        <v>3.8922426209999998</v>
      </c>
      <c r="O1378" s="2">
        <v>3.9753415570000001</v>
      </c>
      <c r="P1378" s="2">
        <v>3.6576743120000001</v>
      </c>
      <c r="Q1378" s="2">
        <v>3.6693085239999998</v>
      </c>
      <c r="R1378" s="2">
        <v>0.83052872</v>
      </c>
      <c r="S1378" s="2">
        <v>0.87323796300000001</v>
      </c>
      <c r="T1378" s="2">
        <v>3.5621346709999999</v>
      </c>
      <c r="U1378" s="2">
        <v>3.563885591</v>
      </c>
      <c r="V1378" s="2">
        <v>2.0734717909999998</v>
      </c>
      <c r="W1378" s="2">
        <v>0.12693432800000001</v>
      </c>
      <c r="X1378">
        <f t="shared" si="63"/>
        <v>0</v>
      </c>
      <c r="Y1378">
        <f t="shared" si="64"/>
        <v>1</v>
      </c>
      <c r="Z1378">
        <f t="shared" si="65"/>
        <v>1</v>
      </c>
    </row>
    <row r="1379" spans="1:26" ht="15.75" customHeight="1" x14ac:dyDescent="0.2">
      <c r="A1379" s="2" t="s">
        <v>23</v>
      </c>
      <c r="B1379" s="2" t="s">
        <v>35</v>
      </c>
      <c r="C1379" s="2" t="s">
        <v>25</v>
      </c>
      <c r="D1379" s="2" t="s">
        <v>25</v>
      </c>
      <c r="E1379" s="2">
        <v>158</v>
      </c>
      <c r="F1379" s="2">
        <v>194.33333329999999</v>
      </c>
      <c r="G1379" s="2">
        <v>863</v>
      </c>
      <c r="H1379" s="2">
        <v>1680.333333</v>
      </c>
      <c r="I1379" s="2">
        <v>2772.333333</v>
      </c>
      <c r="J1379" s="2">
        <v>1.89</v>
      </c>
      <c r="K1379" s="2">
        <v>7.67</v>
      </c>
      <c r="L1379" s="2">
        <v>11.85</v>
      </c>
      <c r="M1379" s="2">
        <v>15.18</v>
      </c>
      <c r="N1379" s="2">
        <v>0.33605080599999998</v>
      </c>
      <c r="O1379" s="2">
        <v>0.36122863199999999</v>
      </c>
      <c r="P1379" s="2">
        <v>2.7608074779999998</v>
      </c>
      <c r="Q1379" s="2">
        <v>2.8032813480000001</v>
      </c>
      <c r="R1379" s="2">
        <v>2.7535329009999998</v>
      </c>
      <c r="S1379" s="2">
        <v>2.7962421439999998</v>
      </c>
      <c r="T1379" s="2">
        <v>0.200286037</v>
      </c>
      <c r="U1379" s="2">
        <v>0.19853511700000001</v>
      </c>
      <c r="V1379" s="2">
        <v>3.9964759719999998</v>
      </c>
      <c r="W1379" s="2">
        <v>0.16851680899999999</v>
      </c>
      <c r="X1379">
        <f t="shared" si="63"/>
        <v>0</v>
      </c>
      <c r="Y1379">
        <f t="shared" si="64"/>
        <v>1</v>
      </c>
      <c r="Z1379">
        <f t="shared" si="65"/>
        <v>0</v>
      </c>
    </row>
    <row r="1380" spans="1:26" ht="15.75" customHeight="1" x14ac:dyDescent="0.2">
      <c r="A1380" s="2" t="s">
        <v>23</v>
      </c>
      <c r="B1380" s="2" t="s">
        <v>35</v>
      </c>
      <c r="C1380" s="2" t="s">
        <v>25</v>
      </c>
      <c r="D1380" s="2" t="s">
        <v>25</v>
      </c>
      <c r="E1380" s="2">
        <v>275</v>
      </c>
      <c r="F1380" s="2">
        <v>242</v>
      </c>
      <c r="G1380" s="2">
        <v>849</v>
      </c>
      <c r="H1380" s="2">
        <v>1496</v>
      </c>
      <c r="I1380" s="2">
        <v>2796</v>
      </c>
      <c r="J1380" s="2">
        <v>2.42</v>
      </c>
      <c r="K1380" s="2">
        <v>7.57</v>
      </c>
      <c r="L1380" s="2">
        <v>11.08</v>
      </c>
      <c r="M1380" s="2">
        <v>15.23</v>
      </c>
      <c r="N1380" s="2">
        <v>0.50180968199999998</v>
      </c>
      <c r="O1380" s="2">
        <v>0.70113395000000001</v>
      </c>
      <c r="P1380" s="2">
        <v>2.7210516939999998</v>
      </c>
      <c r="Q1380" s="2">
        <v>2.7631906110000002</v>
      </c>
      <c r="R1380" s="2">
        <v>2.6607606050000001</v>
      </c>
      <c r="S1380" s="2">
        <v>2.7034698480000001</v>
      </c>
      <c r="T1380" s="2">
        <v>0.56962735799999997</v>
      </c>
      <c r="U1380" s="2">
        <v>0.57137827799999996</v>
      </c>
      <c r="V1380" s="2">
        <v>3.9037036760000001</v>
      </c>
      <c r="W1380" s="2">
        <v>0.204181484</v>
      </c>
      <c r="X1380">
        <f t="shared" si="63"/>
        <v>0</v>
      </c>
      <c r="Y1380">
        <f t="shared" si="64"/>
        <v>1</v>
      </c>
      <c r="Z1380">
        <f t="shared" si="65"/>
        <v>0</v>
      </c>
    </row>
    <row r="1381" spans="1:26" ht="15.75" customHeight="1" x14ac:dyDescent="0.2">
      <c r="A1381" s="2" t="s">
        <v>23</v>
      </c>
      <c r="B1381" s="2" t="s">
        <v>35</v>
      </c>
      <c r="C1381" s="2" t="s">
        <v>27</v>
      </c>
      <c r="D1381" s="2" t="s">
        <v>27</v>
      </c>
      <c r="E1381" s="2">
        <v>234</v>
      </c>
      <c r="F1381" s="2">
        <v>254</v>
      </c>
      <c r="G1381" s="2">
        <v>427.33333329999999</v>
      </c>
      <c r="H1381" s="2">
        <v>2410.666667</v>
      </c>
      <c r="I1381" s="2">
        <v>2997</v>
      </c>
      <c r="J1381" s="2">
        <v>2.5499999999999998</v>
      </c>
      <c r="K1381" s="2">
        <v>4.2699999999999996</v>
      </c>
      <c r="L1381" s="2">
        <v>14.26</v>
      </c>
      <c r="M1381" s="2">
        <v>15.68</v>
      </c>
      <c r="N1381" s="2">
        <v>0.228331531</v>
      </c>
      <c r="O1381" s="2">
        <v>0.27503785400000003</v>
      </c>
      <c r="P1381" s="2">
        <v>2.690389009</v>
      </c>
      <c r="Q1381" s="2">
        <v>2.6787901029999999</v>
      </c>
      <c r="R1381" s="2">
        <v>0.64337113599999995</v>
      </c>
      <c r="S1381" s="2">
        <v>0.60066189299999995</v>
      </c>
      <c r="T1381" s="2">
        <v>2.6123297270000001</v>
      </c>
      <c r="U1381" s="2">
        <v>2.610578807</v>
      </c>
      <c r="V1381" s="2">
        <v>0.59957193499999994</v>
      </c>
      <c r="W1381" s="2">
        <v>0.13588158</v>
      </c>
      <c r="X1381">
        <f t="shared" si="63"/>
        <v>0</v>
      </c>
      <c r="Y1381">
        <f t="shared" si="64"/>
        <v>1</v>
      </c>
      <c r="Z1381">
        <f t="shared" si="65"/>
        <v>0</v>
      </c>
    </row>
    <row r="1382" spans="1:26" ht="15.75" customHeight="1" x14ac:dyDescent="0.2">
      <c r="A1382" s="2" t="s">
        <v>23</v>
      </c>
      <c r="B1382" s="2" t="s">
        <v>35</v>
      </c>
      <c r="C1382" s="2" t="s">
        <v>30</v>
      </c>
      <c r="D1382" s="2" t="s">
        <v>31</v>
      </c>
      <c r="E1382" s="2">
        <v>193</v>
      </c>
      <c r="F1382" s="2">
        <v>217</v>
      </c>
      <c r="G1382" s="2">
        <v>692</v>
      </c>
      <c r="H1382" s="2">
        <v>1121.666667</v>
      </c>
      <c r="I1382" s="2">
        <v>2207.666667</v>
      </c>
      <c r="J1382" s="2">
        <v>2.14</v>
      </c>
      <c r="K1382" s="2">
        <v>6.47</v>
      </c>
      <c r="L1382" s="2">
        <v>9.23</v>
      </c>
      <c r="M1382" s="2">
        <v>13.67</v>
      </c>
      <c r="N1382" s="2">
        <v>5.2746790429999999</v>
      </c>
      <c r="O1382" s="2">
        <v>5.2174303320000002</v>
      </c>
      <c r="P1382" s="2">
        <v>2.8727217629999999</v>
      </c>
      <c r="Q1382" s="2">
        <v>2.8974990329999999</v>
      </c>
      <c r="R1382" s="2">
        <v>1.553302569</v>
      </c>
      <c r="S1382" s="2">
        <v>1.596011812</v>
      </c>
      <c r="T1382" s="2">
        <v>2.4165639780000001</v>
      </c>
      <c r="U1382" s="2">
        <v>2.4183148980000002</v>
      </c>
      <c r="V1382" s="2">
        <v>2.79624564</v>
      </c>
      <c r="W1382" s="2">
        <v>0.12670268900000001</v>
      </c>
      <c r="X1382">
        <f t="shared" si="63"/>
        <v>0</v>
      </c>
      <c r="Y1382">
        <f t="shared" si="64"/>
        <v>1</v>
      </c>
      <c r="Z1382">
        <f t="shared" si="65"/>
        <v>1</v>
      </c>
    </row>
    <row r="1383" spans="1:26" ht="15.75" customHeight="1" x14ac:dyDescent="0.2">
      <c r="A1383" s="2" t="s">
        <v>23</v>
      </c>
      <c r="B1383" s="2" t="s">
        <v>35</v>
      </c>
      <c r="C1383" s="2" t="s">
        <v>28</v>
      </c>
      <c r="D1383" s="2" t="s">
        <v>29</v>
      </c>
      <c r="E1383" s="2">
        <v>207</v>
      </c>
      <c r="F1383" s="2">
        <v>246.66666670000001</v>
      </c>
      <c r="G1383" s="2">
        <v>586.66666669999995</v>
      </c>
      <c r="H1383" s="2">
        <v>1336.333333</v>
      </c>
      <c r="I1383" s="2">
        <v>2820.333333</v>
      </c>
      <c r="J1383" s="2">
        <v>2.4700000000000002</v>
      </c>
      <c r="K1383" s="2">
        <v>5.65</v>
      </c>
      <c r="L1383" s="2">
        <v>10.34</v>
      </c>
      <c r="M1383" s="2">
        <v>15.29</v>
      </c>
      <c r="N1383" s="2">
        <v>2.0038646899999999</v>
      </c>
      <c r="O1383" s="2">
        <v>1.906097513</v>
      </c>
      <c r="P1383" s="2">
        <v>1.4981060399999999</v>
      </c>
      <c r="Q1383" s="2">
        <v>1.52098621</v>
      </c>
      <c r="R1383" s="2">
        <v>0.73375703199999998</v>
      </c>
      <c r="S1383" s="2">
        <v>0.77646627499999998</v>
      </c>
      <c r="T1383" s="2">
        <v>1.3061096139999999</v>
      </c>
      <c r="U1383" s="2">
        <v>1.307860534</v>
      </c>
      <c r="V1383" s="2">
        <v>1.976700103</v>
      </c>
      <c r="W1383" s="2">
        <v>0.17519126199999999</v>
      </c>
      <c r="X1383">
        <f t="shared" si="63"/>
        <v>0</v>
      </c>
      <c r="Y1383">
        <f t="shared" si="64"/>
        <v>1</v>
      </c>
      <c r="Z1383">
        <f t="shared" si="65"/>
        <v>1</v>
      </c>
    </row>
    <row r="1384" spans="1:26" ht="15.75" customHeight="1" x14ac:dyDescent="0.2">
      <c r="A1384" s="2" t="s">
        <v>23</v>
      </c>
      <c r="B1384" s="2" t="s">
        <v>35</v>
      </c>
      <c r="C1384" s="2" t="s">
        <v>28</v>
      </c>
      <c r="D1384" s="2" t="s">
        <v>29</v>
      </c>
      <c r="E1384" s="2">
        <v>208</v>
      </c>
      <c r="F1384" s="2">
        <v>247.33333329999999</v>
      </c>
      <c r="G1384" s="2">
        <v>420.66666670000001</v>
      </c>
      <c r="H1384" s="2">
        <v>1163</v>
      </c>
      <c r="I1384" s="2">
        <v>3030.666667</v>
      </c>
      <c r="J1384" s="2">
        <v>2.4700000000000002</v>
      </c>
      <c r="K1384" s="2">
        <v>4.21</v>
      </c>
      <c r="L1384" s="2">
        <v>9.4499999999999993</v>
      </c>
      <c r="M1384" s="2">
        <v>15.75</v>
      </c>
      <c r="N1384" s="2">
        <v>0.79900455199999998</v>
      </c>
      <c r="O1384" s="2">
        <v>0.69434957799999997</v>
      </c>
      <c r="P1384" s="2">
        <v>2.3015222909999999</v>
      </c>
      <c r="Q1384" s="2">
        <v>2.2904766520000002</v>
      </c>
      <c r="R1384" s="2">
        <v>0.70500933899999996</v>
      </c>
      <c r="S1384" s="2">
        <v>0.66230009700000003</v>
      </c>
      <c r="T1384" s="2">
        <v>2.1908826280000002</v>
      </c>
      <c r="U1384" s="2">
        <v>2.1926335479999999</v>
      </c>
      <c r="V1384" s="2">
        <v>0.53793373200000005</v>
      </c>
      <c r="W1384" s="2">
        <v>0.15237978199999999</v>
      </c>
      <c r="X1384">
        <f t="shared" si="63"/>
        <v>0</v>
      </c>
      <c r="Y1384">
        <f t="shared" si="64"/>
        <v>1</v>
      </c>
      <c r="Z1384">
        <f t="shared" si="65"/>
        <v>1</v>
      </c>
    </row>
    <row r="1385" spans="1:26" ht="15.75" customHeight="1" x14ac:dyDescent="0.2">
      <c r="A1385" s="2" t="s">
        <v>23</v>
      </c>
      <c r="B1385" s="2" t="s">
        <v>35</v>
      </c>
      <c r="C1385" s="2" t="s">
        <v>32</v>
      </c>
      <c r="D1385" s="2" t="s">
        <v>33</v>
      </c>
      <c r="E1385" s="2">
        <v>233</v>
      </c>
      <c r="F1385" s="2">
        <v>238</v>
      </c>
      <c r="G1385" s="2">
        <v>761.66666669999995</v>
      </c>
      <c r="H1385" s="2">
        <v>998.33333330000005</v>
      </c>
      <c r="I1385" s="2">
        <v>2368</v>
      </c>
      <c r="J1385" s="2">
        <v>2.37</v>
      </c>
      <c r="K1385" s="2">
        <v>6.97</v>
      </c>
      <c r="L1385" s="2">
        <v>8.52</v>
      </c>
      <c r="M1385" s="2">
        <v>14.14</v>
      </c>
      <c r="N1385" s="2">
        <v>3.0915023330000002</v>
      </c>
      <c r="O1385" s="2">
        <v>3.2320358269999998</v>
      </c>
      <c r="P1385" s="2">
        <v>3.74520674</v>
      </c>
      <c r="Q1385" s="2">
        <v>3.7703257859999999</v>
      </c>
      <c r="R1385" s="2">
        <v>2.0604911449999999</v>
      </c>
      <c r="S1385" s="2">
        <v>2.1032003879999999</v>
      </c>
      <c r="T1385" s="2">
        <v>3.1274510019999999</v>
      </c>
      <c r="U1385" s="2">
        <v>3.129201922</v>
      </c>
      <c r="V1385" s="2">
        <v>3.3034342159999999</v>
      </c>
      <c r="W1385" s="2">
        <v>0.142312093</v>
      </c>
      <c r="X1385">
        <f t="shared" si="63"/>
        <v>0</v>
      </c>
      <c r="Y1385">
        <f t="shared" si="64"/>
        <v>1</v>
      </c>
      <c r="Z1385">
        <f t="shared" si="65"/>
        <v>1</v>
      </c>
    </row>
    <row r="1386" spans="1:26" ht="15.75" customHeight="1" x14ac:dyDescent="0.2">
      <c r="A1386" s="2" t="s">
        <v>23</v>
      </c>
      <c r="B1386" s="2" t="s">
        <v>35</v>
      </c>
      <c r="C1386" s="2" t="s">
        <v>26</v>
      </c>
      <c r="D1386" s="2" t="s">
        <v>26</v>
      </c>
      <c r="E1386" s="2">
        <v>204</v>
      </c>
      <c r="F1386" s="2">
        <v>246.33333329999999</v>
      </c>
      <c r="G1386" s="2">
        <v>490</v>
      </c>
      <c r="H1386" s="2">
        <v>1104.333333</v>
      </c>
      <c r="I1386" s="2">
        <v>2760.333333</v>
      </c>
      <c r="J1386" s="2">
        <v>2.46</v>
      </c>
      <c r="K1386" s="2">
        <v>4.83</v>
      </c>
      <c r="L1386" s="2">
        <v>9.1300000000000008</v>
      </c>
      <c r="M1386" s="2">
        <v>15.15</v>
      </c>
      <c r="N1386" s="2">
        <v>0.54958911200000005</v>
      </c>
      <c r="O1386" s="2">
        <v>0.45994258700000001</v>
      </c>
      <c r="P1386" s="2">
        <v>2.5143012410000001</v>
      </c>
      <c r="Q1386" s="2">
        <v>2.5150493219999999</v>
      </c>
      <c r="R1386" s="2">
        <v>8.0368622000000001E-2</v>
      </c>
      <c r="S1386" s="2">
        <v>3.7659379999999999E-2</v>
      </c>
      <c r="T1386" s="2">
        <v>2.5130164380000002</v>
      </c>
      <c r="U1386" s="2">
        <v>2.5147673579999998</v>
      </c>
      <c r="V1386" s="2">
        <v>1.1625744490000001</v>
      </c>
      <c r="W1386" s="2">
        <v>0.15025111499999999</v>
      </c>
      <c r="X1386">
        <f t="shared" si="63"/>
        <v>0</v>
      </c>
      <c r="Y1386">
        <f t="shared" si="64"/>
        <v>1</v>
      </c>
      <c r="Z1386">
        <f t="shared" si="65"/>
        <v>0</v>
      </c>
    </row>
    <row r="1387" spans="1:26" ht="15.75" customHeight="1" x14ac:dyDescent="0.2">
      <c r="A1387" s="2" t="s">
        <v>23</v>
      </c>
      <c r="B1387" s="2" t="s">
        <v>35</v>
      </c>
      <c r="C1387" s="2" t="s">
        <v>25</v>
      </c>
      <c r="D1387" s="2" t="s">
        <v>25</v>
      </c>
      <c r="E1387" s="2">
        <v>224</v>
      </c>
      <c r="F1387" s="2">
        <v>237.33333329999999</v>
      </c>
      <c r="G1387" s="2">
        <v>835.66666669999995</v>
      </c>
      <c r="H1387" s="2">
        <v>1755.333333</v>
      </c>
      <c r="I1387" s="2">
        <v>2764.333333</v>
      </c>
      <c r="J1387" s="2">
        <v>2.37</v>
      </c>
      <c r="K1387" s="2">
        <v>7.48</v>
      </c>
      <c r="L1387" s="2">
        <v>12.14</v>
      </c>
      <c r="M1387" s="2">
        <v>15.16</v>
      </c>
      <c r="N1387" s="2">
        <v>0.56895681499999995</v>
      </c>
      <c r="O1387" s="2">
        <v>0.43672652699999998</v>
      </c>
      <c r="P1387" s="2">
        <v>2.618124318</v>
      </c>
      <c r="Q1387" s="2">
        <v>2.6597626879999998</v>
      </c>
      <c r="R1387" s="2">
        <v>2.5715421919999999</v>
      </c>
      <c r="S1387" s="2">
        <v>2.6142514349999999</v>
      </c>
      <c r="T1387" s="2">
        <v>0.49167641899999998</v>
      </c>
      <c r="U1387" s="2">
        <v>0.48992549899999999</v>
      </c>
      <c r="V1387" s="2">
        <v>3.8144852629999999</v>
      </c>
      <c r="W1387" s="2">
        <v>0.22008881299999999</v>
      </c>
      <c r="X1387">
        <f t="shared" si="63"/>
        <v>0</v>
      </c>
      <c r="Y1387">
        <f t="shared" si="64"/>
        <v>1</v>
      </c>
      <c r="Z1387">
        <f t="shared" si="65"/>
        <v>0</v>
      </c>
    </row>
    <row r="1388" spans="1:26" ht="15.75" customHeight="1" x14ac:dyDescent="0.2">
      <c r="A1388" s="2" t="s">
        <v>23</v>
      </c>
      <c r="B1388" s="2" t="s">
        <v>35</v>
      </c>
      <c r="C1388" s="2" t="s">
        <v>30</v>
      </c>
      <c r="D1388" s="2" t="s">
        <v>31</v>
      </c>
      <c r="E1388" s="2">
        <v>237</v>
      </c>
      <c r="F1388" s="2">
        <v>204</v>
      </c>
      <c r="G1388" s="2">
        <v>609</v>
      </c>
      <c r="H1388" s="2">
        <v>1091.666667</v>
      </c>
      <c r="I1388" s="2">
        <v>2680</v>
      </c>
      <c r="J1388" s="2">
        <v>2</v>
      </c>
      <c r="K1388" s="2">
        <v>5.83</v>
      </c>
      <c r="L1388" s="2">
        <v>9.06</v>
      </c>
      <c r="M1388" s="2">
        <v>14.96</v>
      </c>
      <c r="N1388" s="2">
        <v>5.2232940719999998</v>
      </c>
      <c r="O1388" s="2">
        <v>5.1626892270000004</v>
      </c>
      <c r="P1388" s="2">
        <v>2.7407798479999999</v>
      </c>
      <c r="Q1388" s="2">
        <v>2.7569456649999999</v>
      </c>
      <c r="R1388" s="2">
        <v>0.91313546499999998</v>
      </c>
      <c r="S1388" s="2">
        <v>0.95584470799999999</v>
      </c>
      <c r="T1388" s="2">
        <v>2.5841938390000001</v>
      </c>
      <c r="U1388" s="2">
        <v>2.5859447590000002</v>
      </c>
      <c r="V1388" s="2">
        <v>2.1560785359999999</v>
      </c>
      <c r="W1388" s="2">
        <v>0.16959111299999999</v>
      </c>
      <c r="X1388">
        <f t="shared" si="63"/>
        <v>0</v>
      </c>
      <c r="Y1388">
        <f t="shared" si="64"/>
        <v>1</v>
      </c>
      <c r="Z1388">
        <f t="shared" si="65"/>
        <v>1</v>
      </c>
    </row>
    <row r="1389" spans="1:26" ht="15.75" customHeight="1" x14ac:dyDescent="0.2">
      <c r="A1389" s="2" t="s">
        <v>23</v>
      </c>
      <c r="B1389" s="2" t="s">
        <v>35</v>
      </c>
      <c r="C1389" s="2" t="s">
        <v>27</v>
      </c>
      <c r="D1389" s="2" t="s">
        <v>27</v>
      </c>
      <c r="E1389" s="2">
        <v>202</v>
      </c>
      <c r="F1389" s="2">
        <v>227.33333329999999</v>
      </c>
      <c r="G1389" s="2">
        <v>453.66666670000001</v>
      </c>
      <c r="H1389" s="2">
        <v>2333.666667</v>
      </c>
      <c r="I1389" s="2">
        <v>3114</v>
      </c>
      <c r="J1389" s="2">
        <v>2.2599999999999998</v>
      </c>
      <c r="K1389" s="2">
        <v>4.51</v>
      </c>
      <c r="L1389" s="2">
        <v>14.04</v>
      </c>
      <c r="M1389" s="2">
        <v>15.92</v>
      </c>
      <c r="N1389" s="2">
        <v>9.6132593000000002E-2</v>
      </c>
      <c r="O1389" s="2">
        <v>8.7310197000000006E-2</v>
      </c>
      <c r="P1389" s="2">
        <v>2.4304037049999998</v>
      </c>
      <c r="Q1389" s="2">
        <v>2.421952348</v>
      </c>
      <c r="R1389" s="2">
        <v>0.40322900099999998</v>
      </c>
      <c r="S1389" s="2">
        <v>0.36051975800000002</v>
      </c>
      <c r="T1389" s="2">
        <v>2.3967203719999999</v>
      </c>
      <c r="U1389" s="2">
        <v>2.3949694529999999</v>
      </c>
      <c r="V1389" s="2">
        <v>0.83971406999999998</v>
      </c>
      <c r="W1389" s="2">
        <v>0.13359227600000001</v>
      </c>
      <c r="X1389">
        <f t="shared" si="63"/>
        <v>0</v>
      </c>
      <c r="Y1389">
        <f t="shared" si="64"/>
        <v>1</v>
      </c>
      <c r="Z1389">
        <f t="shared" si="65"/>
        <v>0</v>
      </c>
    </row>
    <row r="1390" spans="1:26" ht="15.75" customHeight="1" x14ac:dyDescent="0.2">
      <c r="A1390" s="2" t="s">
        <v>23</v>
      </c>
      <c r="B1390" s="2" t="s">
        <v>35</v>
      </c>
      <c r="C1390" s="2" t="s">
        <v>30</v>
      </c>
      <c r="D1390" s="2" t="s">
        <v>31</v>
      </c>
      <c r="E1390" s="2">
        <v>190</v>
      </c>
      <c r="F1390" s="2">
        <v>230</v>
      </c>
      <c r="G1390" s="2">
        <v>534.66666669999995</v>
      </c>
      <c r="H1390" s="2">
        <v>1159</v>
      </c>
      <c r="I1390" s="2">
        <v>2590.333333</v>
      </c>
      <c r="J1390" s="2">
        <v>2.29</v>
      </c>
      <c r="K1390" s="2">
        <v>5.22</v>
      </c>
      <c r="L1390" s="2">
        <v>9.43</v>
      </c>
      <c r="M1390" s="2">
        <v>14.73</v>
      </c>
      <c r="N1390" s="2">
        <v>4.727314561</v>
      </c>
      <c r="O1390" s="2">
        <v>4.6646759610000004</v>
      </c>
      <c r="P1390" s="2">
        <v>2.2332020680000002</v>
      </c>
      <c r="Q1390" s="2">
        <v>2.2411390070000001</v>
      </c>
      <c r="R1390" s="2">
        <v>0.30365489400000001</v>
      </c>
      <c r="S1390" s="2">
        <v>0.34636413700000002</v>
      </c>
      <c r="T1390" s="2">
        <v>2.2124613399999999</v>
      </c>
      <c r="U1390" s="2">
        <v>2.21421226</v>
      </c>
      <c r="V1390" s="2">
        <v>1.5465979649999999</v>
      </c>
      <c r="W1390" s="2">
        <v>0.11609622999999999</v>
      </c>
      <c r="X1390">
        <f t="shared" si="63"/>
        <v>0</v>
      </c>
      <c r="Y1390">
        <f t="shared" si="64"/>
        <v>1</v>
      </c>
      <c r="Z1390">
        <f t="shared" si="65"/>
        <v>1</v>
      </c>
    </row>
    <row r="1391" spans="1:26" ht="15.75" customHeight="1" x14ac:dyDescent="0.2">
      <c r="A1391" s="2" t="s">
        <v>23</v>
      </c>
      <c r="B1391" s="2" t="s">
        <v>35</v>
      </c>
      <c r="C1391" s="2" t="s">
        <v>27</v>
      </c>
      <c r="D1391" s="2" t="s">
        <v>27</v>
      </c>
      <c r="E1391" s="2">
        <v>190</v>
      </c>
      <c r="F1391" s="2">
        <v>234.33333329999999</v>
      </c>
      <c r="G1391" s="2">
        <v>461.33333329999999</v>
      </c>
      <c r="H1391" s="2">
        <v>2326.333333</v>
      </c>
      <c r="I1391" s="2">
        <v>3072.666667</v>
      </c>
      <c r="J1391" s="2">
        <v>2.33</v>
      </c>
      <c r="K1391" s="2">
        <v>4.58</v>
      </c>
      <c r="L1391" s="2">
        <v>14.02</v>
      </c>
      <c r="M1391" s="2">
        <v>15.84</v>
      </c>
      <c r="N1391" s="2">
        <v>0.16659634000000001</v>
      </c>
      <c r="O1391" s="2">
        <v>0.15558132999999999</v>
      </c>
      <c r="P1391" s="2">
        <v>2.3991862249999998</v>
      </c>
      <c r="Q1391" s="2">
        <v>2.391871031</v>
      </c>
      <c r="R1391" s="2">
        <v>0.33429593499999999</v>
      </c>
      <c r="S1391" s="2">
        <v>0.29158669199999998</v>
      </c>
      <c r="T1391" s="2">
        <v>2.375782139</v>
      </c>
      <c r="U1391" s="2">
        <v>2.3740312189999999</v>
      </c>
      <c r="V1391" s="2">
        <v>0.90864713600000002</v>
      </c>
      <c r="W1391" s="2">
        <v>0.16362049100000001</v>
      </c>
      <c r="X1391">
        <f t="shared" si="63"/>
        <v>0</v>
      </c>
      <c r="Y1391">
        <f t="shared" si="64"/>
        <v>1</v>
      </c>
      <c r="Z1391">
        <f t="shared" si="65"/>
        <v>0</v>
      </c>
    </row>
    <row r="1392" spans="1:26" ht="15.75" customHeight="1" x14ac:dyDescent="0.2">
      <c r="A1392" s="2" t="s">
        <v>23</v>
      </c>
      <c r="B1392" s="2" t="s">
        <v>35</v>
      </c>
      <c r="C1392" s="2" t="s">
        <v>26</v>
      </c>
      <c r="D1392" s="2" t="s">
        <v>26</v>
      </c>
      <c r="E1392" s="2">
        <v>230</v>
      </c>
      <c r="F1392" s="2">
        <v>218.66666670000001</v>
      </c>
      <c r="G1392" s="2">
        <v>446</v>
      </c>
      <c r="H1392" s="2">
        <v>1069</v>
      </c>
      <c r="I1392" s="2">
        <v>2599.666667</v>
      </c>
      <c r="J1392" s="2">
        <v>2.16</v>
      </c>
      <c r="K1392" s="2">
        <v>4.4400000000000004</v>
      </c>
      <c r="L1392" s="2">
        <v>8.93</v>
      </c>
      <c r="M1392" s="2">
        <v>14.76</v>
      </c>
      <c r="N1392" s="2">
        <v>0.23138483200000001</v>
      </c>
      <c r="O1392" s="2">
        <v>0.122839395</v>
      </c>
      <c r="P1392" s="2">
        <v>2.753904634</v>
      </c>
      <c r="Q1392" s="2">
        <v>2.7486268659999999</v>
      </c>
      <c r="R1392" s="2">
        <v>0.47260137400000002</v>
      </c>
      <c r="S1392" s="2">
        <v>0.42989213100000001</v>
      </c>
      <c r="T1392" s="2">
        <v>2.7130497</v>
      </c>
      <c r="U1392" s="2">
        <v>2.7148006200000001</v>
      </c>
      <c r="V1392" s="2">
        <v>0.77034169699999999</v>
      </c>
      <c r="W1392" s="2">
        <v>0.16877772899999999</v>
      </c>
      <c r="X1392">
        <f t="shared" si="63"/>
        <v>0</v>
      </c>
      <c r="Y1392">
        <f t="shared" si="64"/>
        <v>1</v>
      </c>
      <c r="Z1392">
        <f t="shared" si="65"/>
        <v>0</v>
      </c>
    </row>
    <row r="1393" spans="1:26" ht="15.75" customHeight="1" x14ac:dyDescent="0.2">
      <c r="A1393" s="2" t="s">
        <v>23</v>
      </c>
      <c r="B1393" s="2" t="s">
        <v>35</v>
      </c>
      <c r="C1393" s="2" t="s">
        <v>27</v>
      </c>
      <c r="D1393" s="2" t="s">
        <v>27</v>
      </c>
      <c r="E1393" s="2">
        <v>279</v>
      </c>
      <c r="F1393" s="2">
        <v>221.66666670000001</v>
      </c>
      <c r="G1393" s="2">
        <v>438</v>
      </c>
      <c r="H1393" s="2">
        <v>2282</v>
      </c>
      <c r="I1393" s="2">
        <v>2978</v>
      </c>
      <c r="J1393" s="2">
        <v>2.19</v>
      </c>
      <c r="K1393" s="2">
        <v>4.37</v>
      </c>
      <c r="L1393" s="2">
        <v>13.89</v>
      </c>
      <c r="M1393" s="2">
        <v>15.64</v>
      </c>
      <c r="N1393" s="2">
        <v>0.210270283</v>
      </c>
      <c r="O1393" s="2">
        <v>0.14756740099999999</v>
      </c>
      <c r="P1393" s="2">
        <v>2.312899029</v>
      </c>
      <c r="Q1393" s="2">
        <v>2.3014920179999998</v>
      </c>
      <c r="R1393" s="2">
        <v>0.54546286799999999</v>
      </c>
      <c r="S1393" s="2">
        <v>0.50275362499999998</v>
      </c>
      <c r="T1393" s="2">
        <v>2.247659267</v>
      </c>
      <c r="U1393" s="2">
        <v>2.2459083469999999</v>
      </c>
      <c r="V1393" s="2">
        <v>0.69748020300000002</v>
      </c>
      <c r="W1393" s="2">
        <v>0.153542448</v>
      </c>
      <c r="X1393">
        <f t="shared" si="63"/>
        <v>0</v>
      </c>
      <c r="Y1393">
        <f t="shared" si="64"/>
        <v>1</v>
      </c>
      <c r="Z1393">
        <f t="shared" si="65"/>
        <v>0</v>
      </c>
    </row>
    <row r="1394" spans="1:26" ht="15.75" customHeight="1" x14ac:dyDescent="0.2">
      <c r="A1394" s="2" t="s">
        <v>23</v>
      </c>
      <c r="B1394" s="2" t="s">
        <v>35</v>
      </c>
      <c r="C1394" s="2" t="s">
        <v>30</v>
      </c>
      <c r="D1394" s="2" t="s">
        <v>31</v>
      </c>
      <c r="E1394" s="2">
        <v>185</v>
      </c>
      <c r="F1394" s="2">
        <v>246</v>
      </c>
      <c r="G1394" s="2">
        <v>746.66666669999995</v>
      </c>
      <c r="H1394" s="2">
        <v>1149</v>
      </c>
      <c r="I1394" s="2">
        <v>2402.666667</v>
      </c>
      <c r="J1394" s="2">
        <v>2.46</v>
      </c>
      <c r="K1394" s="2">
        <v>6.87</v>
      </c>
      <c r="L1394" s="2">
        <v>9.3800000000000008</v>
      </c>
      <c r="M1394" s="2">
        <v>14.24</v>
      </c>
      <c r="N1394" s="2">
        <v>5.3081804220000004</v>
      </c>
      <c r="O1394" s="2">
        <v>5.2535637880000001</v>
      </c>
      <c r="P1394" s="2">
        <v>2.992297379</v>
      </c>
      <c r="Q1394" s="2">
        <v>3.0216671970000002</v>
      </c>
      <c r="R1394" s="2">
        <v>1.953493446</v>
      </c>
      <c r="S1394" s="2">
        <v>1.996202689</v>
      </c>
      <c r="T1394" s="2">
        <v>2.2666510450000001</v>
      </c>
      <c r="U1394" s="2">
        <v>2.2684019649999998</v>
      </c>
      <c r="V1394" s="2">
        <v>3.1964365180000001</v>
      </c>
      <c r="W1394" s="2">
        <v>0.11077801600000001</v>
      </c>
      <c r="X1394">
        <f t="shared" si="63"/>
        <v>0</v>
      </c>
      <c r="Y1394">
        <f t="shared" si="64"/>
        <v>1</v>
      </c>
      <c r="Z1394">
        <f t="shared" si="65"/>
        <v>1</v>
      </c>
    </row>
    <row r="1395" spans="1:26" ht="15.75" customHeight="1" x14ac:dyDescent="0.2">
      <c r="A1395" s="2" t="s">
        <v>23</v>
      </c>
      <c r="B1395" s="2" t="s">
        <v>35</v>
      </c>
      <c r="C1395" s="2" t="s">
        <v>27</v>
      </c>
      <c r="D1395" s="2" t="s">
        <v>27</v>
      </c>
      <c r="E1395" s="2">
        <v>212</v>
      </c>
      <c r="F1395" s="2">
        <v>223.33333329999999</v>
      </c>
      <c r="G1395" s="2">
        <v>450.66666670000001</v>
      </c>
      <c r="H1395" s="2">
        <v>2365.666667</v>
      </c>
      <c r="I1395" s="2">
        <v>3024.666667</v>
      </c>
      <c r="J1395" s="2">
        <v>2.21</v>
      </c>
      <c r="K1395" s="2">
        <v>4.4800000000000004</v>
      </c>
      <c r="L1395" s="2">
        <v>14.13</v>
      </c>
      <c r="M1395" s="2">
        <v>15.74</v>
      </c>
      <c r="N1395" s="2">
        <v>6.6098869000000005E-2</v>
      </c>
      <c r="O1395" s="2">
        <v>0.11885677</v>
      </c>
      <c r="P1395" s="2">
        <v>2.5242071269999999</v>
      </c>
      <c r="Q1395" s="2">
        <v>2.5155479170000001</v>
      </c>
      <c r="R1395" s="2">
        <v>0.43032216200000001</v>
      </c>
      <c r="S1395" s="2">
        <v>0.38761292000000003</v>
      </c>
      <c r="T1395" s="2">
        <v>2.4872564110000002</v>
      </c>
      <c r="U1395" s="2">
        <v>2.4855054910000001</v>
      </c>
      <c r="V1395" s="2">
        <v>0.81262090899999995</v>
      </c>
      <c r="W1395" s="2">
        <v>0.12766429100000001</v>
      </c>
      <c r="X1395">
        <f t="shared" si="63"/>
        <v>0</v>
      </c>
      <c r="Y1395">
        <f t="shared" si="64"/>
        <v>1</v>
      </c>
      <c r="Z1395">
        <f t="shared" si="65"/>
        <v>0</v>
      </c>
    </row>
    <row r="1396" spans="1:26" ht="15.75" customHeight="1" x14ac:dyDescent="0.2">
      <c r="A1396" s="2" t="s">
        <v>23</v>
      </c>
      <c r="B1396" s="2" t="s">
        <v>35</v>
      </c>
      <c r="C1396" s="2" t="s">
        <v>26</v>
      </c>
      <c r="D1396" s="2" t="s">
        <v>26</v>
      </c>
      <c r="E1396" s="2">
        <v>240</v>
      </c>
      <c r="F1396" s="2">
        <v>221</v>
      </c>
      <c r="G1396" s="2">
        <v>439.33333329999999</v>
      </c>
      <c r="H1396" s="2">
        <v>1059.666667</v>
      </c>
      <c r="I1396" s="2">
        <v>2686.333333</v>
      </c>
      <c r="J1396" s="2">
        <v>2.19</v>
      </c>
      <c r="K1396" s="2">
        <v>4.38</v>
      </c>
      <c r="L1396" s="2">
        <v>8.8800000000000008</v>
      </c>
      <c r="M1396" s="2">
        <v>14.97</v>
      </c>
      <c r="N1396" s="2">
        <v>0.20336852899999999</v>
      </c>
      <c r="O1396" s="2">
        <v>0.12737296200000001</v>
      </c>
      <c r="P1396" s="2">
        <v>2.8175978819999998</v>
      </c>
      <c r="Q1396" s="2">
        <v>2.8115513440000002</v>
      </c>
      <c r="R1396" s="2">
        <v>0.53328554399999994</v>
      </c>
      <c r="S1396" s="2">
        <v>0.49057630099999999</v>
      </c>
      <c r="T1396" s="2">
        <v>2.766670264</v>
      </c>
      <c r="U1396" s="2">
        <v>2.7684211840000001</v>
      </c>
      <c r="V1396" s="2">
        <v>0.70965752699999995</v>
      </c>
      <c r="W1396" s="2">
        <v>0.15351585500000001</v>
      </c>
      <c r="X1396">
        <f t="shared" si="63"/>
        <v>0</v>
      </c>
      <c r="Y1396">
        <f t="shared" si="64"/>
        <v>1</v>
      </c>
      <c r="Z1396">
        <f t="shared" si="65"/>
        <v>0</v>
      </c>
    </row>
    <row r="1397" spans="1:26" ht="15.75" customHeight="1" x14ac:dyDescent="0.2">
      <c r="A1397" s="2" t="s">
        <v>23</v>
      </c>
      <c r="B1397" s="2" t="s">
        <v>35</v>
      </c>
      <c r="C1397" s="2" t="s">
        <v>30</v>
      </c>
      <c r="D1397" s="2" t="s">
        <v>31</v>
      </c>
      <c r="E1397" s="2">
        <v>205</v>
      </c>
      <c r="F1397" s="2">
        <v>216.66666670000001</v>
      </c>
      <c r="G1397" s="2">
        <v>635.33333330000005</v>
      </c>
      <c r="H1397" s="2">
        <v>1047.333333</v>
      </c>
      <c r="I1397" s="2">
        <v>2452</v>
      </c>
      <c r="J1397" s="2">
        <v>2.14</v>
      </c>
      <c r="K1397" s="2">
        <v>6.03</v>
      </c>
      <c r="L1397" s="2">
        <v>8.81</v>
      </c>
      <c r="M1397" s="2">
        <v>14.37</v>
      </c>
      <c r="N1397" s="2">
        <v>5.5249809110000001</v>
      </c>
      <c r="O1397" s="2">
        <v>5.4649380259999996</v>
      </c>
      <c r="P1397" s="2">
        <v>3.0512889570000001</v>
      </c>
      <c r="Q1397" s="2">
        <v>3.068852584</v>
      </c>
      <c r="R1397" s="2">
        <v>1.1206753030000001</v>
      </c>
      <c r="S1397" s="2">
        <v>1.163384545</v>
      </c>
      <c r="T1397" s="2">
        <v>2.8380364990000002</v>
      </c>
      <c r="U1397" s="2">
        <v>2.8397874189999999</v>
      </c>
      <c r="V1397" s="2">
        <v>2.3636183740000001</v>
      </c>
      <c r="W1397" s="2">
        <v>0.10893775</v>
      </c>
      <c r="X1397">
        <f t="shared" si="63"/>
        <v>0</v>
      </c>
      <c r="Y1397">
        <f t="shared" si="64"/>
        <v>1</v>
      </c>
      <c r="Z1397">
        <f t="shared" si="65"/>
        <v>1</v>
      </c>
    </row>
    <row r="1398" spans="1:26" ht="15.75" customHeight="1" x14ac:dyDescent="0.2">
      <c r="A1398" s="2" t="s">
        <v>23</v>
      </c>
      <c r="B1398" s="2" t="s">
        <v>35</v>
      </c>
      <c r="C1398" s="2" t="s">
        <v>32</v>
      </c>
      <c r="D1398" s="2" t="s">
        <v>33</v>
      </c>
      <c r="E1398" s="2">
        <v>195</v>
      </c>
      <c r="F1398" s="2">
        <v>212.33333329999999</v>
      </c>
      <c r="G1398" s="2">
        <v>620.66666669999995</v>
      </c>
      <c r="H1398" s="2">
        <v>987.66666669999995</v>
      </c>
      <c r="I1398" s="2">
        <v>2463</v>
      </c>
      <c r="J1398" s="2">
        <v>2.09</v>
      </c>
      <c r="K1398" s="2">
        <v>5.92</v>
      </c>
      <c r="L1398" s="2">
        <v>8.4499999999999993</v>
      </c>
      <c r="M1398" s="2">
        <v>14.4</v>
      </c>
      <c r="N1398" s="2">
        <v>3.482635835</v>
      </c>
      <c r="O1398" s="2">
        <v>3.5658864530000001</v>
      </c>
      <c r="P1398" s="2">
        <v>3.346396822</v>
      </c>
      <c r="Q1398" s="2">
        <v>3.3611416369999998</v>
      </c>
      <c r="R1398" s="2">
        <v>1.0056060609999999</v>
      </c>
      <c r="S1398" s="2">
        <v>1.0483153039999999</v>
      </c>
      <c r="T1398" s="2">
        <v>3.1917280809999999</v>
      </c>
      <c r="U1398" s="2">
        <v>3.193479</v>
      </c>
      <c r="V1398" s="2">
        <v>2.248549132</v>
      </c>
      <c r="W1398" s="2">
        <v>0.146991015</v>
      </c>
      <c r="X1398">
        <f t="shared" si="63"/>
        <v>0</v>
      </c>
      <c r="Y1398">
        <f t="shared" si="64"/>
        <v>1</v>
      </c>
      <c r="Z1398">
        <f t="shared" si="65"/>
        <v>1</v>
      </c>
    </row>
    <row r="1399" spans="1:26" ht="15.75" customHeight="1" x14ac:dyDescent="0.2">
      <c r="A1399" s="2" t="s">
        <v>23</v>
      </c>
      <c r="B1399" s="2" t="s">
        <v>35</v>
      </c>
      <c r="C1399" s="2" t="s">
        <v>28</v>
      </c>
      <c r="D1399" s="2" t="s">
        <v>29</v>
      </c>
      <c r="E1399" s="2">
        <v>184</v>
      </c>
      <c r="F1399" s="2">
        <v>226</v>
      </c>
      <c r="G1399" s="2">
        <v>409</v>
      </c>
      <c r="H1399" s="2">
        <v>1145.666667</v>
      </c>
      <c r="I1399" s="2">
        <v>2748</v>
      </c>
      <c r="J1399" s="2">
        <v>2.2400000000000002</v>
      </c>
      <c r="K1399" s="2">
        <v>4.0999999999999996</v>
      </c>
      <c r="L1399" s="2">
        <v>9.36</v>
      </c>
      <c r="M1399" s="2">
        <v>15.12</v>
      </c>
      <c r="N1399" s="2">
        <v>0.76085654300000005</v>
      </c>
      <c r="O1399" s="2">
        <v>0.66780919999999999</v>
      </c>
      <c r="P1399" s="2">
        <v>2.4253657940000002</v>
      </c>
      <c r="Q1399" s="2">
        <v>2.413031578</v>
      </c>
      <c r="R1399" s="2">
        <v>0.81371096099999995</v>
      </c>
      <c r="S1399" s="2">
        <v>0.77100171799999995</v>
      </c>
      <c r="T1399" s="2">
        <v>2.2847918300000001</v>
      </c>
      <c r="U1399" s="2">
        <v>2.2865427500000002</v>
      </c>
      <c r="V1399" s="2">
        <v>0.42923211</v>
      </c>
      <c r="W1399" s="2">
        <v>0.205734683</v>
      </c>
      <c r="X1399">
        <f t="shared" si="63"/>
        <v>0</v>
      </c>
      <c r="Y1399">
        <f t="shared" si="64"/>
        <v>1</v>
      </c>
      <c r="Z1399">
        <f t="shared" si="65"/>
        <v>1</v>
      </c>
    </row>
    <row r="1400" spans="1:26" ht="15.75" customHeight="1" x14ac:dyDescent="0.2">
      <c r="A1400" s="2" t="s">
        <v>23</v>
      </c>
      <c r="B1400" s="2" t="s">
        <v>35</v>
      </c>
      <c r="C1400" s="2" t="s">
        <v>28</v>
      </c>
      <c r="D1400" s="2" t="s">
        <v>29</v>
      </c>
      <c r="E1400" s="2">
        <v>160</v>
      </c>
      <c r="F1400" s="2">
        <v>212</v>
      </c>
      <c r="G1400" s="2">
        <v>377.33333329999999</v>
      </c>
      <c r="H1400" s="2">
        <v>1031.666667</v>
      </c>
      <c r="I1400" s="2">
        <v>2609.333333</v>
      </c>
      <c r="J1400" s="2">
        <v>2.09</v>
      </c>
      <c r="K1400" s="2">
        <v>3.8</v>
      </c>
      <c r="L1400" s="2">
        <v>8.7200000000000006</v>
      </c>
      <c r="M1400" s="2">
        <v>14.78</v>
      </c>
      <c r="N1400" s="2">
        <v>0.68768846400000005</v>
      </c>
      <c r="O1400" s="2">
        <v>0.70279250299999996</v>
      </c>
      <c r="P1400" s="2">
        <v>3.13427912</v>
      </c>
      <c r="Q1400" s="2">
        <v>3.1209959679999999</v>
      </c>
      <c r="R1400" s="2">
        <v>1.114228292</v>
      </c>
      <c r="S1400" s="2">
        <v>1.0715190489999999</v>
      </c>
      <c r="T1400" s="2">
        <v>2.929539369</v>
      </c>
      <c r="U1400" s="2">
        <v>2.9312902890000001</v>
      </c>
      <c r="V1400" s="2">
        <v>0.128714779</v>
      </c>
      <c r="W1400" s="2">
        <v>0.118062769</v>
      </c>
      <c r="X1400">
        <f t="shared" si="63"/>
        <v>0</v>
      </c>
      <c r="Y1400">
        <f t="shared" si="64"/>
        <v>1</v>
      </c>
      <c r="Z1400">
        <f t="shared" si="65"/>
        <v>1</v>
      </c>
    </row>
    <row r="1401" spans="1:26" ht="15.75" customHeight="1" x14ac:dyDescent="0.2">
      <c r="A1401" s="2" t="s">
        <v>23</v>
      </c>
      <c r="B1401" s="2" t="s">
        <v>35</v>
      </c>
      <c r="C1401" s="2" t="s">
        <v>26</v>
      </c>
      <c r="D1401" s="2" t="s">
        <v>26</v>
      </c>
      <c r="E1401" s="2">
        <v>199</v>
      </c>
      <c r="F1401" s="2">
        <v>241.33333329999999</v>
      </c>
      <c r="G1401" s="2">
        <v>477.33333329999999</v>
      </c>
      <c r="H1401" s="2">
        <v>1083.666667</v>
      </c>
      <c r="I1401" s="2">
        <v>2622.666667</v>
      </c>
      <c r="J1401" s="2">
        <v>2.41</v>
      </c>
      <c r="K1401" s="2">
        <v>4.72</v>
      </c>
      <c r="L1401" s="2">
        <v>9.02</v>
      </c>
      <c r="M1401" s="2">
        <v>14.81</v>
      </c>
      <c r="N1401" s="2">
        <v>0.38916648100000001</v>
      </c>
      <c r="O1401" s="2">
        <v>0.29928307300000001</v>
      </c>
      <c r="P1401" s="2">
        <v>2.6364415399999999</v>
      </c>
      <c r="Q1401" s="2">
        <v>2.6354265350000001</v>
      </c>
      <c r="R1401" s="2">
        <v>0.19183251700000001</v>
      </c>
      <c r="S1401" s="2">
        <v>0.149123275</v>
      </c>
      <c r="T1401" s="2">
        <v>2.629453228</v>
      </c>
      <c r="U1401" s="2">
        <v>2.6312041480000001</v>
      </c>
      <c r="V1401" s="2">
        <v>1.0511105540000001</v>
      </c>
      <c r="W1401" s="2">
        <v>0.16638567200000001</v>
      </c>
      <c r="X1401">
        <f t="shared" si="63"/>
        <v>0</v>
      </c>
      <c r="Y1401">
        <f t="shared" si="64"/>
        <v>1</v>
      </c>
      <c r="Z1401">
        <f t="shared" si="65"/>
        <v>0</v>
      </c>
    </row>
    <row r="1402" spans="1:26" ht="15.75" customHeight="1" x14ac:dyDescent="0.2">
      <c r="A1402" s="2" t="s">
        <v>23</v>
      </c>
      <c r="B1402" s="2" t="s">
        <v>35</v>
      </c>
      <c r="C1402" s="2" t="s">
        <v>25</v>
      </c>
      <c r="D1402" s="2" t="s">
        <v>25</v>
      </c>
      <c r="E1402" s="2">
        <v>197</v>
      </c>
      <c r="F1402" s="2">
        <v>213.33333329999999</v>
      </c>
      <c r="G1402" s="2">
        <v>808.66666669999995</v>
      </c>
      <c r="H1402" s="2">
        <v>1558.333333</v>
      </c>
      <c r="I1402" s="2">
        <v>2639</v>
      </c>
      <c r="J1402" s="2">
        <v>2.1</v>
      </c>
      <c r="K1402" s="2">
        <v>7.3</v>
      </c>
      <c r="L1402" s="2">
        <v>11.34</v>
      </c>
      <c r="M1402" s="2">
        <v>14.85</v>
      </c>
      <c r="N1402" s="2">
        <v>0.28396349500000001</v>
      </c>
      <c r="O1402" s="2">
        <v>0.38644131199999998</v>
      </c>
      <c r="P1402" s="2">
        <v>2.4070426</v>
      </c>
      <c r="Q1402" s="2">
        <v>2.4496393090000002</v>
      </c>
      <c r="R1402" s="2">
        <v>2.3882429840000001</v>
      </c>
      <c r="S1402" s="2">
        <v>2.430952226</v>
      </c>
      <c r="T1402" s="2">
        <v>0.30024911199999998</v>
      </c>
      <c r="U1402" s="2">
        <v>0.30200003199999997</v>
      </c>
      <c r="V1402" s="2">
        <v>3.6311860550000001</v>
      </c>
      <c r="W1402" s="2">
        <v>0.17805325499999999</v>
      </c>
      <c r="X1402">
        <f t="shared" si="63"/>
        <v>0</v>
      </c>
      <c r="Y1402">
        <f t="shared" si="64"/>
        <v>1</v>
      </c>
      <c r="Z1402">
        <f t="shared" si="65"/>
        <v>0</v>
      </c>
    </row>
    <row r="1403" spans="1:26" ht="15.75" customHeight="1" x14ac:dyDescent="0.2">
      <c r="A1403" s="2" t="s">
        <v>23</v>
      </c>
      <c r="B1403" s="2" t="s">
        <v>35</v>
      </c>
      <c r="C1403" s="2" t="s">
        <v>30</v>
      </c>
      <c r="D1403" s="2" t="s">
        <v>31</v>
      </c>
      <c r="E1403" s="2">
        <v>214</v>
      </c>
      <c r="F1403" s="2">
        <v>214.33333329999999</v>
      </c>
      <c r="G1403" s="2">
        <v>626.66666669999995</v>
      </c>
      <c r="H1403" s="2">
        <v>1086</v>
      </c>
      <c r="I1403" s="2">
        <v>2672</v>
      </c>
      <c r="J1403" s="2">
        <v>2.11</v>
      </c>
      <c r="K1403" s="2">
        <v>5.97</v>
      </c>
      <c r="L1403" s="2">
        <v>9.0299999999999994</v>
      </c>
      <c r="M1403" s="2">
        <v>14.94</v>
      </c>
      <c r="N1403" s="2">
        <v>5.2930311039999998</v>
      </c>
      <c r="O1403" s="2">
        <v>5.2329883219999997</v>
      </c>
      <c r="P1403" s="2">
        <v>2.8201269409999998</v>
      </c>
      <c r="Q1403" s="2">
        <v>2.8379634440000001</v>
      </c>
      <c r="R1403" s="2">
        <v>1.052837563</v>
      </c>
      <c r="S1403" s="2">
        <v>1.095546806</v>
      </c>
      <c r="T1403" s="2">
        <v>2.6162280149999999</v>
      </c>
      <c r="U1403" s="2">
        <v>2.617978935</v>
      </c>
      <c r="V1403" s="2">
        <v>2.2957806340000002</v>
      </c>
      <c r="W1403" s="2">
        <v>0.11938360000000001</v>
      </c>
      <c r="X1403">
        <f t="shared" si="63"/>
        <v>0</v>
      </c>
      <c r="Y1403">
        <f t="shared" si="64"/>
        <v>1</v>
      </c>
      <c r="Z1403">
        <f t="shared" si="65"/>
        <v>1</v>
      </c>
    </row>
    <row r="1404" spans="1:26" ht="15.75" customHeight="1" x14ac:dyDescent="0.2">
      <c r="A1404" s="2" t="s">
        <v>23</v>
      </c>
      <c r="B1404" s="2" t="s">
        <v>35</v>
      </c>
      <c r="C1404" s="2" t="s">
        <v>28</v>
      </c>
      <c r="D1404" s="2" t="s">
        <v>29</v>
      </c>
      <c r="E1404" s="2">
        <v>222</v>
      </c>
      <c r="F1404" s="2">
        <v>204.66666670000001</v>
      </c>
      <c r="G1404" s="2">
        <v>430.66666670000001</v>
      </c>
      <c r="H1404" s="2">
        <v>1186.666667</v>
      </c>
      <c r="I1404" s="2">
        <v>2759</v>
      </c>
      <c r="J1404" s="2">
        <v>2</v>
      </c>
      <c r="K1404" s="2">
        <v>4.3</v>
      </c>
      <c r="L1404" s="2">
        <v>9.58</v>
      </c>
      <c r="M1404" s="2">
        <v>15.14</v>
      </c>
      <c r="N1404" s="2">
        <v>0.89504135699999998</v>
      </c>
      <c r="O1404" s="2">
        <v>0.78365732600000004</v>
      </c>
      <c r="P1404" s="2">
        <v>2.153332534</v>
      </c>
      <c r="Q1404" s="2">
        <v>2.143259859</v>
      </c>
      <c r="R1404" s="2">
        <v>0.61268094799999995</v>
      </c>
      <c r="S1404" s="2">
        <v>0.56997170500000005</v>
      </c>
      <c r="T1404" s="2">
        <v>2.0643311400000002</v>
      </c>
      <c r="U1404" s="2">
        <v>2.0660820599999998</v>
      </c>
      <c r="V1404" s="2">
        <v>0.63026212299999995</v>
      </c>
      <c r="W1404" s="2">
        <v>9.2202909E-2</v>
      </c>
      <c r="X1404">
        <f t="shared" si="63"/>
        <v>0</v>
      </c>
      <c r="Y1404">
        <f t="shared" si="64"/>
        <v>1</v>
      </c>
      <c r="Z1404">
        <f t="shared" si="65"/>
        <v>1</v>
      </c>
    </row>
    <row r="1405" spans="1:26" ht="15.75" customHeight="1" x14ac:dyDescent="0.2">
      <c r="A1405" s="2" t="s">
        <v>23</v>
      </c>
      <c r="B1405" s="2" t="s">
        <v>35</v>
      </c>
      <c r="C1405" s="2" t="s">
        <v>28</v>
      </c>
      <c r="D1405" s="2" t="s">
        <v>29</v>
      </c>
      <c r="E1405" s="2">
        <v>217</v>
      </c>
      <c r="F1405" s="2">
        <v>226</v>
      </c>
      <c r="G1405" s="2">
        <v>511</v>
      </c>
      <c r="H1405" s="2">
        <v>1158.666667</v>
      </c>
      <c r="I1405" s="2">
        <v>2715.333333</v>
      </c>
      <c r="J1405" s="2">
        <v>2.2400000000000002</v>
      </c>
      <c r="K1405" s="2">
        <v>5.01</v>
      </c>
      <c r="L1405" s="2">
        <v>9.43</v>
      </c>
      <c r="M1405" s="2">
        <v>15.04</v>
      </c>
      <c r="N1405" s="2">
        <v>0.89764822799999999</v>
      </c>
      <c r="O1405" s="2">
        <v>0.80207544500000005</v>
      </c>
      <c r="P1405" s="2">
        <v>2.2166059489999999</v>
      </c>
      <c r="Q1405" s="2">
        <v>2.2207269040000002</v>
      </c>
      <c r="R1405" s="2">
        <v>0.101908998</v>
      </c>
      <c r="S1405" s="2">
        <v>0.14461824100000001</v>
      </c>
      <c r="T1405" s="2">
        <v>2.2142620649999998</v>
      </c>
      <c r="U1405" s="2">
        <v>2.2160129839999998</v>
      </c>
      <c r="V1405" s="2">
        <v>1.3448520690000001</v>
      </c>
      <c r="W1405" s="2">
        <v>9.6946109000000003E-2</v>
      </c>
      <c r="X1405">
        <f t="shared" si="63"/>
        <v>0</v>
      </c>
      <c r="Y1405">
        <f t="shared" si="64"/>
        <v>1</v>
      </c>
      <c r="Z1405">
        <f t="shared" si="65"/>
        <v>1</v>
      </c>
    </row>
    <row r="1406" spans="1:26" ht="15.75" customHeight="1" x14ac:dyDescent="0.2">
      <c r="A1406" s="2" t="s">
        <v>23</v>
      </c>
      <c r="B1406" s="2" t="s">
        <v>35</v>
      </c>
      <c r="C1406" s="2" t="s">
        <v>32</v>
      </c>
      <c r="D1406" s="2" t="s">
        <v>33</v>
      </c>
      <c r="E1406" s="2">
        <v>180</v>
      </c>
      <c r="F1406" s="2">
        <v>216</v>
      </c>
      <c r="G1406" s="2">
        <v>700.33333330000005</v>
      </c>
      <c r="H1406" s="2">
        <v>898.66666669999995</v>
      </c>
      <c r="I1406" s="2">
        <v>2543</v>
      </c>
      <c r="J1406" s="2">
        <v>2.13</v>
      </c>
      <c r="K1406" s="2">
        <v>6.53</v>
      </c>
      <c r="L1406" s="2">
        <v>7.9</v>
      </c>
      <c r="M1406" s="2">
        <v>14.61</v>
      </c>
      <c r="N1406" s="2">
        <v>3.790148582</v>
      </c>
      <c r="O1406" s="2">
        <v>3.913983429</v>
      </c>
      <c r="P1406" s="2">
        <v>4.0801308269999996</v>
      </c>
      <c r="Q1406" s="2">
        <v>4.0988288119999998</v>
      </c>
      <c r="R1406" s="2">
        <v>1.615369756</v>
      </c>
      <c r="S1406" s="2">
        <v>1.658078999</v>
      </c>
      <c r="T1406" s="2">
        <v>3.746738331</v>
      </c>
      <c r="U1406" s="2">
        <v>3.7484892510000001</v>
      </c>
      <c r="V1406" s="2">
        <v>2.8583128269999998</v>
      </c>
      <c r="W1406" s="2">
        <v>0.122667727</v>
      </c>
      <c r="X1406">
        <f t="shared" si="63"/>
        <v>0</v>
      </c>
      <c r="Y1406">
        <f t="shared" si="64"/>
        <v>1</v>
      </c>
      <c r="Z1406">
        <f t="shared" si="65"/>
        <v>1</v>
      </c>
    </row>
    <row r="1407" spans="1:26" ht="15.75" customHeight="1" x14ac:dyDescent="0.2">
      <c r="A1407" s="2" t="s">
        <v>23</v>
      </c>
      <c r="B1407" s="2" t="s">
        <v>35</v>
      </c>
      <c r="C1407" s="2" t="s">
        <v>25</v>
      </c>
      <c r="D1407" s="2" t="s">
        <v>25</v>
      </c>
      <c r="E1407" s="2">
        <v>160</v>
      </c>
      <c r="F1407" s="2">
        <v>242.66666670000001</v>
      </c>
      <c r="G1407" s="2">
        <v>821.66666669999995</v>
      </c>
      <c r="H1407" s="2">
        <v>1801</v>
      </c>
      <c r="I1407" s="2">
        <v>2706.666667</v>
      </c>
      <c r="J1407" s="2">
        <v>2.42</v>
      </c>
      <c r="K1407" s="2">
        <v>7.39</v>
      </c>
      <c r="L1407" s="2">
        <v>12.31</v>
      </c>
      <c r="M1407" s="2">
        <v>15.02</v>
      </c>
      <c r="N1407" s="2">
        <v>0.74574054400000001</v>
      </c>
      <c r="O1407" s="2">
        <v>0.58163585699999998</v>
      </c>
      <c r="P1407" s="2">
        <v>2.5642453120000002</v>
      </c>
      <c r="Q1407" s="2">
        <v>2.6050786320000001</v>
      </c>
      <c r="R1407" s="2">
        <v>2.4769423420000001</v>
      </c>
      <c r="S1407" s="2">
        <v>2.5196515850000001</v>
      </c>
      <c r="T1407" s="2">
        <v>0.663408361</v>
      </c>
      <c r="U1407" s="2">
        <v>0.66165744100000001</v>
      </c>
      <c r="V1407" s="2">
        <v>3.7198854130000001</v>
      </c>
      <c r="W1407" s="2">
        <v>0.17476013900000001</v>
      </c>
      <c r="X1407">
        <f t="shared" si="63"/>
        <v>0</v>
      </c>
      <c r="Y1407">
        <f t="shared" si="64"/>
        <v>1</v>
      </c>
      <c r="Z1407">
        <f t="shared" si="65"/>
        <v>0</v>
      </c>
    </row>
    <row r="1408" spans="1:26" ht="15.75" customHeight="1" x14ac:dyDescent="0.2">
      <c r="A1408" s="2" t="s">
        <v>23</v>
      </c>
      <c r="B1408" s="2" t="s">
        <v>35</v>
      </c>
      <c r="C1408" s="2" t="s">
        <v>27</v>
      </c>
      <c r="D1408" s="2" t="s">
        <v>27</v>
      </c>
      <c r="E1408" s="2">
        <v>150</v>
      </c>
      <c r="F1408" s="2">
        <v>237</v>
      </c>
      <c r="G1408" s="2">
        <v>468</v>
      </c>
      <c r="H1408" s="2">
        <v>2347.666667</v>
      </c>
      <c r="I1408" s="2">
        <v>3009.666667</v>
      </c>
      <c r="J1408" s="2">
        <v>2.36</v>
      </c>
      <c r="K1408" s="2">
        <v>4.6399999999999997</v>
      </c>
      <c r="L1408" s="2">
        <v>14.08</v>
      </c>
      <c r="M1408" s="2">
        <v>15.71</v>
      </c>
      <c r="N1408" s="2">
        <v>0.209707229</v>
      </c>
      <c r="O1408" s="2">
        <v>0.221193426</v>
      </c>
      <c r="P1408" s="2">
        <v>2.4519327729999998</v>
      </c>
      <c r="Q1408" s="2">
        <v>2.4457727029999998</v>
      </c>
      <c r="R1408" s="2">
        <v>0.27470799600000001</v>
      </c>
      <c r="S1408" s="2">
        <v>0.231998754</v>
      </c>
      <c r="T1408" s="2">
        <v>2.4364954019999998</v>
      </c>
      <c r="U1408" s="2">
        <v>2.4347444820000002</v>
      </c>
      <c r="V1408" s="2">
        <v>0.96823507499999995</v>
      </c>
      <c r="W1408" s="2">
        <v>0.12106816400000001</v>
      </c>
      <c r="X1408">
        <f t="shared" si="63"/>
        <v>0</v>
      </c>
      <c r="Y1408">
        <f t="shared" si="64"/>
        <v>1</v>
      </c>
      <c r="Z1408">
        <f t="shared" si="65"/>
        <v>0</v>
      </c>
    </row>
    <row r="1409" spans="1:26" ht="15.75" customHeight="1" x14ac:dyDescent="0.2">
      <c r="A1409" s="2" t="s">
        <v>23</v>
      </c>
      <c r="B1409" s="2" t="s">
        <v>35</v>
      </c>
      <c r="C1409" s="2" t="s">
        <v>32</v>
      </c>
      <c r="D1409" s="2" t="s">
        <v>33</v>
      </c>
      <c r="E1409" s="2">
        <v>185</v>
      </c>
      <c r="F1409" s="2">
        <v>224.33333329999999</v>
      </c>
      <c r="G1409" s="2">
        <v>698.33333330000005</v>
      </c>
      <c r="H1409" s="2">
        <v>901.33333330000005</v>
      </c>
      <c r="I1409" s="2">
        <v>2614.333333</v>
      </c>
      <c r="J1409" s="2">
        <v>2.2200000000000002</v>
      </c>
      <c r="K1409" s="2">
        <v>6.51</v>
      </c>
      <c r="L1409" s="2">
        <v>7.92</v>
      </c>
      <c r="M1409" s="2">
        <v>14.79</v>
      </c>
      <c r="N1409" s="2">
        <v>3.7773282949999998</v>
      </c>
      <c r="O1409" s="2">
        <v>3.9002724780000002</v>
      </c>
      <c r="P1409" s="2">
        <v>4.0585216830000004</v>
      </c>
      <c r="Q1409" s="2">
        <v>4.0771557420000004</v>
      </c>
      <c r="R1409" s="2">
        <v>1.6005091199999999</v>
      </c>
      <c r="S1409" s="2">
        <v>1.6432183629999999</v>
      </c>
      <c r="T1409" s="2">
        <v>3.7296070569999999</v>
      </c>
      <c r="U1409" s="2">
        <v>3.731357977</v>
      </c>
      <c r="V1409" s="2">
        <v>2.843452192</v>
      </c>
      <c r="W1409" s="2">
        <v>9.6532359999999998E-2</v>
      </c>
      <c r="X1409">
        <f t="shared" si="63"/>
        <v>0</v>
      </c>
      <c r="Y1409">
        <f t="shared" si="64"/>
        <v>1</v>
      </c>
      <c r="Z1409">
        <f t="shared" si="65"/>
        <v>1</v>
      </c>
    </row>
    <row r="1410" spans="1:26" ht="15.75" customHeight="1" x14ac:dyDescent="0.2">
      <c r="A1410" s="2" t="s">
        <v>23</v>
      </c>
      <c r="B1410" s="2" t="s">
        <v>35</v>
      </c>
      <c r="C1410" s="2" t="s">
        <v>28</v>
      </c>
      <c r="D1410" s="2" t="s">
        <v>29</v>
      </c>
      <c r="E1410" s="2">
        <v>243</v>
      </c>
      <c r="F1410" s="2">
        <v>225.66666670000001</v>
      </c>
      <c r="G1410" s="2">
        <v>469</v>
      </c>
      <c r="H1410" s="2">
        <v>1378.333333</v>
      </c>
      <c r="I1410" s="2">
        <v>2638.666667</v>
      </c>
      <c r="J1410" s="2">
        <v>2.2400000000000002</v>
      </c>
      <c r="K1410" s="2">
        <v>4.6500000000000004</v>
      </c>
      <c r="L1410" s="2">
        <v>10.54</v>
      </c>
      <c r="M1410" s="2">
        <v>14.85</v>
      </c>
      <c r="N1410" s="2">
        <v>1.8413044409999999</v>
      </c>
      <c r="O1410" s="2">
        <v>1.725093051</v>
      </c>
      <c r="P1410" s="2">
        <v>1.1370538969999999</v>
      </c>
      <c r="Q1410" s="2">
        <v>1.1295512860000001</v>
      </c>
      <c r="R1410" s="2">
        <v>0.265798017</v>
      </c>
      <c r="S1410" s="2">
        <v>0.22308877399999999</v>
      </c>
      <c r="T1410" s="2">
        <v>1.105550984</v>
      </c>
      <c r="U1410" s="2">
        <v>1.1073019040000001</v>
      </c>
      <c r="V1410" s="2">
        <v>0.97714505399999996</v>
      </c>
      <c r="W1410" s="2">
        <v>7.9363900000000001E-2</v>
      </c>
      <c r="X1410">
        <f t="shared" si="63"/>
        <v>0</v>
      </c>
      <c r="Y1410">
        <f t="shared" si="64"/>
        <v>1</v>
      </c>
      <c r="Z1410">
        <f t="shared" si="65"/>
        <v>1</v>
      </c>
    </row>
    <row r="1411" spans="1:26" ht="15.75" customHeight="1" x14ac:dyDescent="0.2">
      <c r="A1411" s="2" t="s">
        <v>23</v>
      </c>
      <c r="B1411" s="2" t="s">
        <v>35</v>
      </c>
      <c r="C1411" s="2" t="s">
        <v>27</v>
      </c>
      <c r="D1411" s="2" t="s">
        <v>27</v>
      </c>
      <c r="E1411" s="2">
        <v>200</v>
      </c>
      <c r="F1411" s="2">
        <v>232.66666670000001</v>
      </c>
      <c r="G1411" s="2">
        <v>451.66666670000001</v>
      </c>
      <c r="H1411" s="2">
        <v>2439</v>
      </c>
      <c r="I1411" s="2">
        <v>3033.333333</v>
      </c>
      <c r="J1411" s="2">
        <v>2.31</v>
      </c>
      <c r="K1411" s="2">
        <v>4.49</v>
      </c>
      <c r="L1411" s="2">
        <v>14.33</v>
      </c>
      <c r="M1411" s="2">
        <v>15.76</v>
      </c>
      <c r="N1411" s="2">
        <v>0.249044389</v>
      </c>
      <c r="O1411" s="2">
        <v>0.31305896100000002</v>
      </c>
      <c r="P1411" s="2">
        <v>2.7225585950000002</v>
      </c>
      <c r="Q1411" s="2">
        <v>2.7145437760000002</v>
      </c>
      <c r="R1411" s="2">
        <v>0.421283619</v>
      </c>
      <c r="S1411" s="2">
        <v>0.37857437599999999</v>
      </c>
      <c r="T1411" s="2">
        <v>2.6897667959999998</v>
      </c>
      <c r="U1411" s="2">
        <v>2.6880158760000001</v>
      </c>
      <c r="V1411" s="2">
        <v>0.82165945200000001</v>
      </c>
      <c r="W1411" s="2">
        <v>0.120600915</v>
      </c>
      <c r="X1411">
        <f t="shared" ref="X1411:X1474" si="66">IF(B1411="normal",1,0)</f>
        <v>0</v>
      </c>
      <c r="Y1411">
        <f t="shared" ref="Y1411:Y1474" si="67">IF(A1411="lecture",1,0)</f>
        <v>1</v>
      </c>
      <c r="Z1411">
        <f t="shared" ref="Z1411:Z1474" si="68">IF(ISNUMBER(FIND("~",D1411)),1,0)</f>
        <v>0</v>
      </c>
    </row>
    <row r="1412" spans="1:26" ht="15.75" customHeight="1" x14ac:dyDescent="0.2">
      <c r="A1412" s="2" t="s">
        <v>23</v>
      </c>
      <c r="B1412" s="2" t="s">
        <v>35</v>
      </c>
      <c r="C1412" s="2" t="s">
        <v>26</v>
      </c>
      <c r="D1412" s="2" t="s">
        <v>26</v>
      </c>
      <c r="E1412" s="2">
        <v>208</v>
      </c>
      <c r="F1412" s="2">
        <v>208.66666670000001</v>
      </c>
      <c r="G1412" s="2">
        <v>472.33333329999999</v>
      </c>
      <c r="H1412" s="2">
        <v>1024</v>
      </c>
      <c r="I1412" s="2">
        <v>2603</v>
      </c>
      <c r="J1412" s="2">
        <v>2.0499999999999998</v>
      </c>
      <c r="K1412" s="2">
        <v>4.68</v>
      </c>
      <c r="L1412" s="2">
        <v>8.67</v>
      </c>
      <c r="M1412" s="2">
        <v>14.76</v>
      </c>
      <c r="N1412" s="2">
        <v>0.19362743399999999</v>
      </c>
      <c r="O1412" s="2">
        <v>0.237399218</v>
      </c>
      <c r="P1412" s="2">
        <v>2.9840264900000002</v>
      </c>
      <c r="Q1412" s="2">
        <v>2.9826978369999999</v>
      </c>
      <c r="R1412" s="2">
        <v>0.236150999</v>
      </c>
      <c r="S1412" s="2">
        <v>0.19344175599999999</v>
      </c>
      <c r="T1412" s="2">
        <v>2.9746675100000002</v>
      </c>
      <c r="U1412" s="2">
        <v>2.9764184299999998</v>
      </c>
      <c r="V1412" s="2">
        <v>1.0067920720000001</v>
      </c>
      <c r="W1412" s="2">
        <v>0.151029155</v>
      </c>
      <c r="X1412">
        <f t="shared" si="66"/>
        <v>0</v>
      </c>
      <c r="Y1412">
        <f t="shared" si="67"/>
        <v>1</v>
      </c>
      <c r="Z1412">
        <f t="shared" si="68"/>
        <v>0</v>
      </c>
    </row>
    <row r="1413" spans="1:26" ht="15.75" customHeight="1" x14ac:dyDescent="0.2">
      <c r="A1413" s="2" t="s">
        <v>23</v>
      </c>
      <c r="B1413" s="2" t="s">
        <v>35</v>
      </c>
      <c r="C1413" s="2" t="s">
        <v>27</v>
      </c>
      <c r="D1413" s="2" t="s">
        <v>27</v>
      </c>
      <c r="E1413" s="2">
        <v>191</v>
      </c>
      <c r="F1413" s="2">
        <v>204</v>
      </c>
      <c r="G1413" s="2">
        <v>413</v>
      </c>
      <c r="H1413" s="2">
        <v>2308.666667</v>
      </c>
      <c r="I1413" s="2">
        <v>3115.333333</v>
      </c>
      <c r="J1413" s="2">
        <v>2</v>
      </c>
      <c r="K1413" s="2">
        <v>4.1399999999999997</v>
      </c>
      <c r="L1413" s="2">
        <v>13.97</v>
      </c>
      <c r="M1413" s="2">
        <v>15.93</v>
      </c>
      <c r="N1413" s="2">
        <v>0.31737252900000001</v>
      </c>
      <c r="O1413" s="2">
        <v>0.29272797099999998</v>
      </c>
      <c r="P1413" s="2">
        <v>2.4512256909999999</v>
      </c>
      <c r="Q1413" s="2">
        <v>2.4363662289999999</v>
      </c>
      <c r="R1413" s="2">
        <v>0.77632142500000001</v>
      </c>
      <c r="S1413" s="2">
        <v>0.733612182</v>
      </c>
      <c r="T1413" s="2">
        <v>2.3250446089999999</v>
      </c>
      <c r="U1413" s="2">
        <v>2.3232936890000002</v>
      </c>
      <c r="V1413" s="2">
        <v>0.466621646</v>
      </c>
      <c r="W1413" s="2">
        <v>0.144113872</v>
      </c>
      <c r="X1413">
        <f t="shared" si="66"/>
        <v>0</v>
      </c>
      <c r="Y1413">
        <f t="shared" si="67"/>
        <v>1</v>
      </c>
      <c r="Z1413">
        <f t="shared" si="68"/>
        <v>0</v>
      </c>
    </row>
    <row r="1414" spans="1:26" ht="15.75" customHeight="1" x14ac:dyDescent="0.2">
      <c r="A1414" s="2" t="s">
        <v>23</v>
      </c>
      <c r="B1414" s="2" t="s">
        <v>35</v>
      </c>
      <c r="C1414" s="2" t="s">
        <v>27</v>
      </c>
      <c r="D1414" s="2" t="s">
        <v>27</v>
      </c>
      <c r="E1414" s="2">
        <v>148</v>
      </c>
      <c r="F1414" s="2">
        <v>216</v>
      </c>
      <c r="G1414" s="2">
        <v>461</v>
      </c>
      <c r="H1414" s="2">
        <v>2376</v>
      </c>
      <c r="I1414" s="2">
        <v>2986.333333</v>
      </c>
      <c r="J1414" s="2">
        <v>2.13</v>
      </c>
      <c r="K1414" s="2">
        <v>4.58</v>
      </c>
      <c r="L1414" s="2">
        <v>14.16</v>
      </c>
      <c r="M1414" s="2">
        <v>15.66</v>
      </c>
      <c r="N1414" s="2">
        <v>0.161526057</v>
      </c>
      <c r="O1414" s="2">
        <v>0.201552116</v>
      </c>
      <c r="P1414" s="2">
        <v>2.5387114799999999</v>
      </c>
      <c r="Q1414" s="2">
        <v>2.5316519290000001</v>
      </c>
      <c r="R1414" s="2">
        <v>0.33728394699999997</v>
      </c>
      <c r="S1414" s="2">
        <v>0.29457470400000002</v>
      </c>
      <c r="T1414" s="2">
        <v>2.5162065729999998</v>
      </c>
      <c r="U1414" s="2">
        <v>2.5144556530000002</v>
      </c>
      <c r="V1414" s="2">
        <v>0.90565912400000004</v>
      </c>
      <c r="W1414" s="2">
        <v>0.145040317</v>
      </c>
      <c r="X1414">
        <f t="shared" si="66"/>
        <v>0</v>
      </c>
      <c r="Y1414">
        <f t="shared" si="67"/>
        <v>1</v>
      </c>
      <c r="Z1414">
        <f t="shared" si="68"/>
        <v>0</v>
      </c>
    </row>
    <row r="1415" spans="1:26" ht="15.75" customHeight="1" x14ac:dyDescent="0.2">
      <c r="A1415" s="2" t="s">
        <v>23</v>
      </c>
      <c r="B1415" s="2" t="s">
        <v>35</v>
      </c>
      <c r="C1415" s="2" t="s">
        <v>32</v>
      </c>
      <c r="D1415" s="2" t="s">
        <v>33</v>
      </c>
      <c r="E1415" s="2">
        <v>216</v>
      </c>
      <c r="F1415" s="2">
        <v>212.66666670000001</v>
      </c>
      <c r="G1415" s="2">
        <v>679.66666669999995</v>
      </c>
      <c r="H1415" s="2">
        <v>1021</v>
      </c>
      <c r="I1415" s="2">
        <v>2277</v>
      </c>
      <c r="J1415" s="2">
        <v>2.09</v>
      </c>
      <c r="K1415" s="2">
        <v>6.37</v>
      </c>
      <c r="L1415" s="2">
        <v>8.65</v>
      </c>
      <c r="M1415" s="2">
        <v>13.88</v>
      </c>
      <c r="N1415" s="2">
        <v>3.116956268</v>
      </c>
      <c r="O1415" s="2">
        <v>3.2212718420000002</v>
      </c>
      <c r="P1415" s="2">
        <v>3.329881313</v>
      </c>
      <c r="Q1415" s="2">
        <v>3.3504012300000001</v>
      </c>
      <c r="R1415" s="2">
        <v>1.4607239400000001</v>
      </c>
      <c r="S1415" s="2">
        <v>1.5034331830000001</v>
      </c>
      <c r="T1415" s="2">
        <v>2.992389535</v>
      </c>
      <c r="U1415" s="2">
        <v>2.9941404550000001</v>
      </c>
      <c r="V1415" s="2">
        <v>2.7036670109999998</v>
      </c>
      <c r="W1415" s="2">
        <v>0.17029266200000001</v>
      </c>
      <c r="X1415">
        <f t="shared" si="66"/>
        <v>0</v>
      </c>
      <c r="Y1415">
        <f t="shared" si="67"/>
        <v>1</v>
      </c>
      <c r="Z1415">
        <f t="shared" si="68"/>
        <v>1</v>
      </c>
    </row>
    <row r="1416" spans="1:26" ht="15.75" customHeight="1" x14ac:dyDescent="0.2">
      <c r="A1416" s="2" t="s">
        <v>23</v>
      </c>
      <c r="B1416" s="2" t="s">
        <v>35</v>
      </c>
      <c r="C1416" s="2" t="s">
        <v>28</v>
      </c>
      <c r="D1416" s="2" t="s">
        <v>29</v>
      </c>
      <c r="E1416" s="2">
        <v>218</v>
      </c>
      <c r="F1416" s="2">
        <v>229</v>
      </c>
      <c r="G1416" s="2">
        <v>462</v>
      </c>
      <c r="H1416" s="2">
        <v>1177</v>
      </c>
      <c r="I1416" s="2">
        <v>2768.333333</v>
      </c>
      <c r="J1416" s="2">
        <v>2.27</v>
      </c>
      <c r="K1416" s="2">
        <v>4.58</v>
      </c>
      <c r="L1416" s="2">
        <v>9.5299999999999994</v>
      </c>
      <c r="M1416" s="2">
        <v>15.17</v>
      </c>
      <c r="N1416" s="2">
        <v>0.82987038099999999</v>
      </c>
      <c r="O1416" s="2">
        <v>0.71383713999999998</v>
      </c>
      <c r="P1416" s="2">
        <v>2.1411130329999999</v>
      </c>
      <c r="Q1416" s="2">
        <v>2.1367162949999998</v>
      </c>
      <c r="R1416" s="2">
        <v>0.32832238000000002</v>
      </c>
      <c r="S1416" s="2">
        <v>0.28561313700000002</v>
      </c>
      <c r="T1416" s="2">
        <v>2.115790499</v>
      </c>
      <c r="U1416" s="2">
        <v>2.1175414190000001</v>
      </c>
      <c r="V1416" s="2">
        <v>0.91462069099999999</v>
      </c>
      <c r="W1416" s="2">
        <v>0.103989261</v>
      </c>
      <c r="X1416">
        <f t="shared" si="66"/>
        <v>0</v>
      </c>
      <c r="Y1416">
        <f t="shared" si="67"/>
        <v>1</v>
      </c>
      <c r="Z1416">
        <f t="shared" si="68"/>
        <v>1</v>
      </c>
    </row>
    <row r="1417" spans="1:26" ht="15.75" customHeight="1" x14ac:dyDescent="0.2">
      <c r="A1417" s="2" t="s">
        <v>23</v>
      </c>
      <c r="B1417" s="2" t="s">
        <v>35</v>
      </c>
      <c r="C1417" s="2" t="s">
        <v>26</v>
      </c>
      <c r="D1417" s="2" t="s">
        <v>26</v>
      </c>
      <c r="E1417" s="2">
        <v>190</v>
      </c>
      <c r="F1417" s="2">
        <v>244.33333329999999</v>
      </c>
      <c r="G1417" s="2">
        <v>465.66666670000001</v>
      </c>
      <c r="H1417" s="2">
        <v>1098.333333</v>
      </c>
      <c r="I1417" s="2">
        <v>2670.666667</v>
      </c>
      <c r="J1417" s="2">
        <v>2.44</v>
      </c>
      <c r="K1417" s="2">
        <v>4.62</v>
      </c>
      <c r="L1417" s="2">
        <v>9.1</v>
      </c>
      <c r="M1417" s="2">
        <v>14.93</v>
      </c>
      <c r="N1417" s="2">
        <v>0.414439159</v>
      </c>
      <c r="O1417" s="2">
        <v>0.30357055999999999</v>
      </c>
      <c r="P1417" s="2">
        <v>2.5637483720000001</v>
      </c>
      <c r="Q1417" s="2">
        <v>2.5609192529999998</v>
      </c>
      <c r="R1417" s="2">
        <v>0.29552651699999999</v>
      </c>
      <c r="S1417" s="2">
        <v>0.25281727399999998</v>
      </c>
      <c r="T1417" s="2">
        <v>2.546658554</v>
      </c>
      <c r="U1417" s="2">
        <v>2.5484094740000001</v>
      </c>
      <c r="V1417" s="2">
        <v>0.94741655400000002</v>
      </c>
      <c r="W1417" s="2">
        <v>0.13187875399999999</v>
      </c>
      <c r="X1417">
        <f t="shared" si="66"/>
        <v>0</v>
      </c>
      <c r="Y1417">
        <f t="shared" si="67"/>
        <v>1</v>
      </c>
      <c r="Z1417">
        <f t="shared" si="68"/>
        <v>0</v>
      </c>
    </row>
    <row r="1418" spans="1:26" ht="15.75" customHeight="1" x14ac:dyDescent="0.2">
      <c r="A1418" s="2" t="s">
        <v>23</v>
      </c>
      <c r="B1418" s="2" t="s">
        <v>35</v>
      </c>
      <c r="C1418" s="2" t="s">
        <v>30</v>
      </c>
      <c r="D1418" s="2" t="s">
        <v>31</v>
      </c>
      <c r="E1418" s="2">
        <v>201</v>
      </c>
      <c r="F1418" s="2">
        <v>240.66666670000001</v>
      </c>
      <c r="G1418" s="2">
        <v>768.33333330000005</v>
      </c>
      <c r="H1418" s="2">
        <v>1091.333333</v>
      </c>
      <c r="I1418" s="2">
        <v>2440</v>
      </c>
      <c r="J1418" s="2">
        <v>2.4</v>
      </c>
      <c r="K1418" s="2">
        <v>7.02</v>
      </c>
      <c r="L1418" s="2">
        <v>9.06</v>
      </c>
      <c r="M1418" s="2">
        <v>14.34</v>
      </c>
      <c r="N1418" s="2">
        <v>5.6627404009999998</v>
      </c>
      <c r="O1418" s="2">
        <v>5.6080566870000004</v>
      </c>
      <c r="P1418" s="2">
        <v>3.336172651</v>
      </c>
      <c r="Q1418" s="2">
        <v>3.3646641640000001</v>
      </c>
      <c r="R1418" s="2">
        <v>2.1076680300000001</v>
      </c>
      <c r="S1418" s="2">
        <v>2.1503772730000001</v>
      </c>
      <c r="T1418" s="2">
        <v>2.5860749090000001</v>
      </c>
      <c r="U1418" s="2">
        <v>2.5878258289999998</v>
      </c>
      <c r="V1418" s="2">
        <v>3.3506111010000001</v>
      </c>
      <c r="W1418" s="2">
        <v>0.111322193</v>
      </c>
      <c r="X1418">
        <f t="shared" si="66"/>
        <v>0</v>
      </c>
      <c r="Y1418">
        <f t="shared" si="67"/>
        <v>1</v>
      </c>
      <c r="Z1418">
        <f t="shared" si="68"/>
        <v>1</v>
      </c>
    </row>
    <row r="1419" spans="1:26" ht="15.75" customHeight="1" x14ac:dyDescent="0.2">
      <c r="A1419" s="2" t="s">
        <v>23</v>
      </c>
      <c r="B1419" s="2" t="s">
        <v>35</v>
      </c>
      <c r="C1419" s="2" t="s">
        <v>27</v>
      </c>
      <c r="D1419" s="2" t="s">
        <v>27</v>
      </c>
      <c r="E1419" s="2">
        <v>208</v>
      </c>
      <c r="F1419" s="2">
        <v>242.66666670000001</v>
      </c>
      <c r="G1419" s="2">
        <v>409</v>
      </c>
      <c r="H1419" s="2">
        <v>2362</v>
      </c>
      <c r="I1419" s="2">
        <v>2971</v>
      </c>
      <c r="J1419" s="2">
        <v>2.42</v>
      </c>
      <c r="K1419" s="2">
        <v>4.0999999999999996</v>
      </c>
      <c r="L1419" s="2">
        <v>14.12</v>
      </c>
      <c r="M1419" s="2">
        <v>15.62</v>
      </c>
      <c r="N1419" s="2">
        <v>0.33085776300000003</v>
      </c>
      <c r="O1419" s="2">
        <v>0.337059479</v>
      </c>
      <c r="P1419" s="2">
        <v>2.60718417</v>
      </c>
      <c r="Q1419" s="2">
        <v>2.592500067</v>
      </c>
      <c r="R1419" s="2">
        <v>0.81371096099999995</v>
      </c>
      <c r="S1419" s="2">
        <v>0.77100171799999995</v>
      </c>
      <c r="T1419" s="2">
        <v>2.4769504969999998</v>
      </c>
      <c r="U1419" s="2">
        <v>2.4751995779999998</v>
      </c>
      <c r="V1419" s="2">
        <v>0.42923211</v>
      </c>
      <c r="W1419" s="2">
        <v>0.10004495200000001</v>
      </c>
      <c r="X1419">
        <f t="shared" si="66"/>
        <v>0</v>
      </c>
      <c r="Y1419">
        <f t="shared" si="67"/>
        <v>1</v>
      </c>
      <c r="Z1419">
        <f t="shared" si="68"/>
        <v>0</v>
      </c>
    </row>
    <row r="1420" spans="1:26" ht="15.75" customHeight="1" x14ac:dyDescent="0.2">
      <c r="A1420" s="2" t="s">
        <v>23</v>
      </c>
      <c r="B1420" s="2" t="s">
        <v>35</v>
      </c>
      <c r="C1420" s="2" t="s">
        <v>30</v>
      </c>
      <c r="D1420" s="2" t="s">
        <v>31</v>
      </c>
      <c r="E1420" s="2">
        <v>207</v>
      </c>
      <c r="F1420" s="2">
        <v>218.33333329999999</v>
      </c>
      <c r="G1420" s="2">
        <v>671</v>
      </c>
      <c r="H1420" s="2">
        <v>1066.666667</v>
      </c>
      <c r="I1420" s="2">
        <v>2789</v>
      </c>
      <c r="J1420" s="2">
        <v>2.16</v>
      </c>
      <c r="K1420" s="2">
        <v>6.31</v>
      </c>
      <c r="L1420" s="2">
        <v>8.92</v>
      </c>
      <c r="M1420" s="2">
        <v>15.22</v>
      </c>
      <c r="N1420" s="2">
        <v>5.5058127859999999</v>
      </c>
      <c r="O1420" s="2">
        <v>5.4471620679999999</v>
      </c>
      <c r="P1420" s="2">
        <v>3.0626506299999998</v>
      </c>
      <c r="Q1420" s="2">
        <v>3.0838896020000002</v>
      </c>
      <c r="R1420" s="2">
        <v>1.3951494310000001</v>
      </c>
      <c r="S1420" s="2">
        <v>1.4378586739999999</v>
      </c>
      <c r="T1420" s="2">
        <v>2.7264238380000001</v>
      </c>
      <c r="U1420" s="2">
        <v>2.7281747580000002</v>
      </c>
      <c r="V1420" s="2">
        <v>2.6380925030000002</v>
      </c>
      <c r="W1420" s="2">
        <v>0.122064424</v>
      </c>
      <c r="X1420">
        <f t="shared" si="66"/>
        <v>0</v>
      </c>
      <c r="Y1420">
        <f t="shared" si="67"/>
        <v>1</v>
      </c>
      <c r="Z1420">
        <f t="shared" si="68"/>
        <v>1</v>
      </c>
    </row>
    <row r="1421" spans="1:26" ht="15.75" customHeight="1" x14ac:dyDescent="0.2">
      <c r="A1421" s="2" t="s">
        <v>23</v>
      </c>
      <c r="B1421" s="2" t="s">
        <v>35</v>
      </c>
      <c r="C1421" s="2" t="s">
        <v>26</v>
      </c>
      <c r="D1421" s="2" t="s">
        <v>26</v>
      </c>
      <c r="E1421" s="2">
        <v>189</v>
      </c>
      <c r="F1421" s="2">
        <v>223.66666670000001</v>
      </c>
      <c r="G1421" s="2">
        <v>419.33333329999999</v>
      </c>
      <c r="H1421" s="2">
        <v>997.66666669999995</v>
      </c>
      <c r="I1421" s="2">
        <v>2747.666667</v>
      </c>
      <c r="J1421" s="2">
        <v>2.2200000000000002</v>
      </c>
      <c r="K1421" s="2">
        <v>4.1900000000000004</v>
      </c>
      <c r="L1421" s="2">
        <v>8.51</v>
      </c>
      <c r="M1421" s="2">
        <v>15.12</v>
      </c>
      <c r="N1421" s="2">
        <v>0.34823359100000001</v>
      </c>
      <c r="O1421" s="2">
        <v>0.42828391799999999</v>
      </c>
      <c r="P1421" s="2">
        <v>3.2125753810000002</v>
      </c>
      <c r="Q1421" s="2">
        <v>3.2050204670000002</v>
      </c>
      <c r="R1421" s="2">
        <v>0.71737842900000004</v>
      </c>
      <c r="S1421" s="2">
        <v>0.67466918600000003</v>
      </c>
      <c r="T1421" s="2">
        <v>3.1314547359999998</v>
      </c>
      <c r="U1421" s="2">
        <v>3.1332056559999999</v>
      </c>
      <c r="V1421" s="2">
        <v>0.52556464199999997</v>
      </c>
      <c r="W1421" s="2">
        <v>0.16891719199999999</v>
      </c>
      <c r="X1421">
        <f t="shared" si="66"/>
        <v>0</v>
      </c>
      <c r="Y1421">
        <f t="shared" si="67"/>
        <v>1</v>
      </c>
      <c r="Z1421">
        <f t="shared" si="68"/>
        <v>0</v>
      </c>
    </row>
    <row r="1422" spans="1:26" ht="15.75" customHeight="1" x14ac:dyDescent="0.2">
      <c r="A1422" s="2" t="s">
        <v>23</v>
      </c>
      <c r="B1422" s="2" t="s">
        <v>35</v>
      </c>
      <c r="C1422" s="2" t="s">
        <v>26</v>
      </c>
      <c r="D1422" s="2" t="s">
        <v>26</v>
      </c>
      <c r="E1422" s="2">
        <v>185</v>
      </c>
      <c r="F1422" s="2">
        <v>243.33333329999999</v>
      </c>
      <c r="G1422" s="2">
        <v>406.66666670000001</v>
      </c>
      <c r="H1422" s="2">
        <v>991</v>
      </c>
      <c r="I1422" s="2">
        <v>2686.333333</v>
      </c>
      <c r="J1422" s="2">
        <v>2.4300000000000002</v>
      </c>
      <c r="K1422" s="2">
        <v>4.08</v>
      </c>
      <c r="L1422" s="2">
        <v>8.4700000000000006</v>
      </c>
      <c r="M1422" s="2">
        <v>14.97</v>
      </c>
      <c r="N1422" s="2">
        <v>0.47007384200000002</v>
      </c>
      <c r="O1422" s="2">
        <v>0.54234788899999997</v>
      </c>
      <c r="P1422" s="2">
        <v>3.2798150690000001</v>
      </c>
      <c r="Q1422" s="2">
        <v>3.2708938330000001</v>
      </c>
      <c r="R1422" s="2">
        <v>0.83557988999999999</v>
      </c>
      <c r="S1422" s="2">
        <v>0.79287064699999998</v>
      </c>
      <c r="T1422" s="2">
        <v>3.1715915780000001</v>
      </c>
      <c r="U1422" s="2">
        <v>3.1733424970000002</v>
      </c>
      <c r="V1422" s="2">
        <v>0.40736318100000002</v>
      </c>
      <c r="W1422" s="2">
        <v>0.17158573099999999</v>
      </c>
      <c r="X1422">
        <f t="shared" si="66"/>
        <v>0</v>
      </c>
      <c r="Y1422">
        <f t="shared" si="67"/>
        <v>1</v>
      </c>
      <c r="Z1422">
        <f t="shared" si="68"/>
        <v>0</v>
      </c>
    </row>
    <row r="1423" spans="1:26" ht="15.75" customHeight="1" x14ac:dyDescent="0.2">
      <c r="A1423" s="2" t="s">
        <v>23</v>
      </c>
      <c r="B1423" s="2" t="s">
        <v>35</v>
      </c>
      <c r="C1423" s="2" t="s">
        <v>26</v>
      </c>
      <c r="D1423" s="2" t="s">
        <v>26</v>
      </c>
      <c r="E1423" s="2">
        <v>217</v>
      </c>
      <c r="F1423" s="2">
        <v>208.33333329999999</v>
      </c>
      <c r="G1423" s="2">
        <v>483.33333329999999</v>
      </c>
      <c r="H1423" s="2">
        <v>973.33333330000005</v>
      </c>
      <c r="I1423" s="2">
        <v>2764.333333</v>
      </c>
      <c r="J1423" s="2">
        <v>2.0499999999999998</v>
      </c>
      <c r="K1423" s="2">
        <v>4.7699999999999996</v>
      </c>
      <c r="L1423" s="2">
        <v>8.3699999999999992</v>
      </c>
      <c r="M1423" s="2">
        <v>15.16</v>
      </c>
      <c r="N1423" s="2">
        <v>0.44465673</v>
      </c>
      <c r="O1423" s="2">
        <v>0.53457983600000003</v>
      </c>
      <c r="P1423" s="2">
        <v>3.2817768630000002</v>
      </c>
      <c r="Q1423" s="2">
        <v>3.281997064</v>
      </c>
      <c r="R1423" s="2">
        <v>0.138889768</v>
      </c>
      <c r="S1423" s="2">
        <v>9.6180526000000002E-2</v>
      </c>
      <c r="T1423" s="2">
        <v>3.2788365330000002</v>
      </c>
      <c r="U1423" s="2">
        <v>3.2805874529999999</v>
      </c>
      <c r="V1423" s="2">
        <v>1.1040533029999999</v>
      </c>
      <c r="W1423" s="2">
        <v>0.15248490100000001</v>
      </c>
      <c r="X1423">
        <f t="shared" si="66"/>
        <v>0</v>
      </c>
      <c r="Y1423">
        <f t="shared" si="67"/>
        <v>1</v>
      </c>
      <c r="Z1423">
        <f t="shared" si="68"/>
        <v>0</v>
      </c>
    </row>
    <row r="1424" spans="1:26" ht="15.75" customHeight="1" x14ac:dyDescent="0.2">
      <c r="A1424" s="2" t="s">
        <v>23</v>
      </c>
      <c r="B1424" s="2" t="s">
        <v>35</v>
      </c>
      <c r="C1424" s="2" t="s">
        <v>25</v>
      </c>
      <c r="D1424" s="2" t="s">
        <v>25</v>
      </c>
      <c r="E1424" s="2">
        <v>190</v>
      </c>
      <c r="F1424" s="2">
        <v>225.33333329999999</v>
      </c>
      <c r="G1424" s="2">
        <v>809.33333330000005</v>
      </c>
      <c r="H1424" s="2">
        <v>1695.333333</v>
      </c>
      <c r="I1424" s="2">
        <v>2740</v>
      </c>
      <c r="J1424" s="2">
        <v>2.23</v>
      </c>
      <c r="K1424" s="2">
        <v>7.31</v>
      </c>
      <c r="L1424" s="2">
        <v>11.9</v>
      </c>
      <c r="M1424" s="2">
        <v>15.1</v>
      </c>
      <c r="N1424" s="2">
        <v>0.377775311</v>
      </c>
      <c r="O1424" s="2">
        <v>0.174950456</v>
      </c>
      <c r="P1424" s="2">
        <v>2.4068443890000002</v>
      </c>
      <c r="Q1424" s="2">
        <v>2.4491240539999999</v>
      </c>
      <c r="R1424" s="2">
        <v>2.3928119259999998</v>
      </c>
      <c r="S1424" s="2">
        <v>2.4355211689999998</v>
      </c>
      <c r="T1424" s="2">
        <v>0.25952071199999999</v>
      </c>
      <c r="U1424" s="2">
        <v>0.257769792</v>
      </c>
      <c r="V1424" s="2">
        <v>3.6357549969999998</v>
      </c>
      <c r="W1424" s="2">
        <v>0.18108048700000001</v>
      </c>
      <c r="X1424">
        <f t="shared" si="66"/>
        <v>0</v>
      </c>
      <c r="Y1424">
        <f t="shared" si="67"/>
        <v>1</v>
      </c>
      <c r="Z1424">
        <f t="shared" si="68"/>
        <v>0</v>
      </c>
    </row>
    <row r="1425" spans="1:26" ht="15.75" customHeight="1" x14ac:dyDescent="0.2">
      <c r="A1425" s="2" t="s">
        <v>23</v>
      </c>
      <c r="B1425" s="2" t="s">
        <v>35</v>
      </c>
      <c r="C1425" s="2" t="s">
        <v>25</v>
      </c>
      <c r="D1425" s="2" t="s">
        <v>25</v>
      </c>
      <c r="E1425" s="2">
        <v>168</v>
      </c>
      <c r="F1425" s="2">
        <v>160</v>
      </c>
      <c r="G1425" s="2">
        <v>807.66666669999995</v>
      </c>
      <c r="H1425" s="2">
        <v>1497</v>
      </c>
      <c r="I1425" s="2">
        <v>2768</v>
      </c>
      <c r="J1425" s="2">
        <v>1.49</v>
      </c>
      <c r="K1425" s="2">
        <v>7.29</v>
      </c>
      <c r="L1425" s="2">
        <v>11.08</v>
      </c>
      <c r="M1425" s="2">
        <v>15.17</v>
      </c>
      <c r="N1425" s="2">
        <v>0.52105503600000003</v>
      </c>
      <c r="O1425" s="2">
        <v>0.65142389599999995</v>
      </c>
      <c r="P1425" s="2">
        <v>2.4475458259999998</v>
      </c>
      <c r="Q1425" s="2">
        <v>2.4895183059999999</v>
      </c>
      <c r="R1425" s="2">
        <v>2.381385442</v>
      </c>
      <c r="S1425" s="2">
        <v>2.424094685</v>
      </c>
      <c r="T1425" s="2">
        <v>0.56522910900000001</v>
      </c>
      <c r="U1425" s="2">
        <v>0.566980029</v>
      </c>
      <c r="V1425" s="2">
        <v>3.624328513</v>
      </c>
      <c r="W1425" s="2">
        <v>0.15046274100000001</v>
      </c>
      <c r="X1425">
        <f t="shared" si="66"/>
        <v>0</v>
      </c>
      <c r="Y1425">
        <f t="shared" si="67"/>
        <v>1</v>
      </c>
      <c r="Z1425">
        <f t="shared" si="68"/>
        <v>0</v>
      </c>
    </row>
    <row r="1426" spans="1:26" ht="15.75" customHeight="1" x14ac:dyDescent="0.2">
      <c r="A1426" s="2" t="s">
        <v>23</v>
      </c>
      <c r="B1426" s="2" t="s">
        <v>35</v>
      </c>
      <c r="C1426" s="2" t="s">
        <v>25</v>
      </c>
      <c r="D1426" s="2" t="s">
        <v>25</v>
      </c>
      <c r="E1426" s="2">
        <v>199</v>
      </c>
      <c r="F1426" s="2">
        <v>248.33333329999999</v>
      </c>
      <c r="G1426" s="2">
        <v>864.33333330000005</v>
      </c>
      <c r="H1426" s="2">
        <v>1588.666667</v>
      </c>
      <c r="I1426" s="2">
        <v>2765</v>
      </c>
      <c r="J1426" s="2">
        <v>2.48</v>
      </c>
      <c r="K1426" s="2">
        <v>7.67</v>
      </c>
      <c r="L1426" s="2">
        <v>11.47</v>
      </c>
      <c r="M1426" s="2">
        <v>15.16</v>
      </c>
      <c r="N1426" s="2">
        <v>0.220033692</v>
      </c>
      <c r="O1426" s="2">
        <v>0.43592420399999998</v>
      </c>
      <c r="P1426" s="2">
        <v>2.7677065079999998</v>
      </c>
      <c r="Q1426" s="2">
        <v>2.810441966</v>
      </c>
      <c r="R1426" s="2">
        <v>2.7623203900000002</v>
      </c>
      <c r="S1426" s="2">
        <v>2.8050296320000001</v>
      </c>
      <c r="T1426" s="2">
        <v>0.17258441099999999</v>
      </c>
      <c r="U1426" s="2">
        <v>0.17433533100000001</v>
      </c>
      <c r="V1426" s="2">
        <v>4.0052634610000002</v>
      </c>
      <c r="W1426" s="2">
        <v>0.19200421200000001</v>
      </c>
      <c r="X1426">
        <f t="shared" si="66"/>
        <v>0</v>
      </c>
      <c r="Y1426">
        <f t="shared" si="67"/>
        <v>1</v>
      </c>
      <c r="Z1426">
        <f t="shared" si="68"/>
        <v>0</v>
      </c>
    </row>
    <row r="1427" spans="1:26" ht="15.75" customHeight="1" x14ac:dyDescent="0.2">
      <c r="A1427" s="2" t="s">
        <v>23</v>
      </c>
      <c r="B1427" s="2" t="s">
        <v>35</v>
      </c>
      <c r="C1427" s="2" t="s">
        <v>28</v>
      </c>
      <c r="D1427" s="2" t="s">
        <v>29</v>
      </c>
      <c r="E1427" s="2">
        <v>169</v>
      </c>
      <c r="F1427" s="2">
        <v>226.66666670000001</v>
      </c>
      <c r="G1427" s="2">
        <v>401.66666670000001</v>
      </c>
      <c r="H1427" s="2">
        <v>1079</v>
      </c>
      <c r="I1427" s="2">
        <v>2556</v>
      </c>
      <c r="J1427" s="2">
        <v>2.25</v>
      </c>
      <c r="K1427" s="2">
        <v>4.03</v>
      </c>
      <c r="L1427" s="2">
        <v>8.99</v>
      </c>
      <c r="M1427" s="2">
        <v>14.64</v>
      </c>
      <c r="N1427" s="2">
        <v>0.53710583499999998</v>
      </c>
      <c r="O1427" s="2">
        <v>0.49261818000000002</v>
      </c>
      <c r="P1427" s="2">
        <v>2.79876908</v>
      </c>
      <c r="Q1427" s="2">
        <v>2.7872651450000001</v>
      </c>
      <c r="R1427" s="2">
        <v>0.88258739500000005</v>
      </c>
      <c r="S1427" s="2">
        <v>0.83987815200000004</v>
      </c>
      <c r="T1427" s="2">
        <v>2.6559645810000001</v>
      </c>
      <c r="U1427" s="2">
        <v>2.6577155000000001</v>
      </c>
      <c r="V1427" s="2">
        <v>0.36035567699999999</v>
      </c>
      <c r="W1427" s="2">
        <v>9.9023651000000004E-2</v>
      </c>
      <c r="X1427">
        <f t="shared" si="66"/>
        <v>0</v>
      </c>
      <c r="Y1427">
        <f t="shared" si="67"/>
        <v>1</v>
      </c>
      <c r="Z1427">
        <f t="shared" si="68"/>
        <v>1</v>
      </c>
    </row>
    <row r="1428" spans="1:26" ht="15.75" customHeight="1" x14ac:dyDescent="0.2">
      <c r="A1428" s="2" t="s">
        <v>23</v>
      </c>
      <c r="B1428" s="2" t="s">
        <v>35</v>
      </c>
      <c r="C1428" s="2" t="s">
        <v>30</v>
      </c>
      <c r="D1428" s="2" t="s">
        <v>31</v>
      </c>
      <c r="E1428" s="2">
        <v>225</v>
      </c>
      <c r="F1428" s="2">
        <v>204.33333329999999</v>
      </c>
      <c r="G1428" s="2">
        <v>778.66666669999995</v>
      </c>
      <c r="H1428" s="2">
        <v>1159</v>
      </c>
      <c r="I1428" s="2">
        <v>2864</v>
      </c>
      <c r="J1428" s="2">
        <v>2</v>
      </c>
      <c r="K1428" s="2">
        <v>7.09</v>
      </c>
      <c r="L1428" s="2">
        <v>9.43</v>
      </c>
      <c r="M1428" s="2">
        <v>15.39</v>
      </c>
      <c r="N1428" s="2">
        <v>5.368986102</v>
      </c>
      <c r="O1428" s="2">
        <v>5.3158904610000004</v>
      </c>
      <c r="P1428" s="2">
        <v>3.1062614580000001</v>
      </c>
      <c r="Q1428" s="2">
        <v>3.13762271</v>
      </c>
      <c r="R1428" s="2">
        <v>2.180338291</v>
      </c>
      <c r="S1428" s="2">
        <v>2.223047534</v>
      </c>
      <c r="T1428" s="2">
        <v>2.2124613399999999</v>
      </c>
      <c r="U1428" s="2">
        <v>2.21421226</v>
      </c>
      <c r="V1428" s="2">
        <v>3.423281362</v>
      </c>
      <c r="W1428" s="2">
        <v>0.155423009</v>
      </c>
      <c r="X1428">
        <f t="shared" si="66"/>
        <v>0</v>
      </c>
      <c r="Y1428">
        <f t="shared" si="67"/>
        <v>1</v>
      </c>
      <c r="Z1428">
        <f t="shared" si="68"/>
        <v>1</v>
      </c>
    </row>
    <row r="1429" spans="1:26" ht="15.75" customHeight="1" x14ac:dyDescent="0.2">
      <c r="A1429" s="2" t="s">
        <v>23</v>
      </c>
      <c r="B1429" s="2" t="s">
        <v>35</v>
      </c>
      <c r="C1429" s="2" t="s">
        <v>32</v>
      </c>
      <c r="D1429" s="2" t="s">
        <v>33</v>
      </c>
      <c r="E1429" s="2">
        <v>207</v>
      </c>
      <c r="F1429" s="2">
        <v>233.66666670000001</v>
      </c>
      <c r="G1429" s="2">
        <v>540</v>
      </c>
      <c r="H1429" s="2">
        <v>992.66666669999995</v>
      </c>
      <c r="I1429" s="2">
        <v>2792</v>
      </c>
      <c r="J1429" s="2">
        <v>2.33</v>
      </c>
      <c r="K1429" s="2">
        <v>5.26</v>
      </c>
      <c r="L1429" s="2">
        <v>8.48</v>
      </c>
      <c r="M1429" s="2">
        <v>15.22</v>
      </c>
      <c r="N1429" s="2">
        <v>3.7975118700000001</v>
      </c>
      <c r="O1429" s="2">
        <v>3.8466889649999998</v>
      </c>
      <c r="P1429" s="2">
        <v>3.1807001580000001</v>
      </c>
      <c r="Q1429" s="2">
        <v>3.1874014490000002</v>
      </c>
      <c r="R1429" s="2">
        <v>0.34859137800000001</v>
      </c>
      <c r="S1429" s="2">
        <v>0.39130061999999999</v>
      </c>
      <c r="T1429" s="2">
        <v>3.161540375</v>
      </c>
      <c r="U1429" s="2">
        <v>3.1632912950000001</v>
      </c>
      <c r="V1429" s="2">
        <v>1.5915344490000001</v>
      </c>
      <c r="W1429" s="2">
        <v>0.17099197399999999</v>
      </c>
      <c r="X1429">
        <f t="shared" si="66"/>
        <v>0</v>
      </c>
      <c r="Y1429">
        <f t="shared" si="67"/>
        <v>1</v>
      </c>
      <c r="Z1429">
        <f t="shared" si="68"/>
        <v>1</v>
      </c>
    </row>
    <row r="1430" spans="1:26" ht="15.75" customHeight="1" x14ac:dyDescent="0.2">
      <c r="A1430" s="2" t="s">
        <v>23</v>
      </c>
      <c r="B1430" s="2" t="s">
        <v>35</v>
      </c>
      <c r="C1430" s="2" t="s">
        <v>26</v>
      </c>
      <c r="D1430" s="2" t="s">
        <v>26</v>
      </c>
      <c r="E1430" s="2">
        <v>231</v>
      </c>
      <c r="F1430" s="2">
        <v>213.33333329999999</v>
      </c>
      <c r="G1430" s="2">
        <v>468.66666670000001</v>
      </c>
      <c r="H1430" s="2">
        <v>1065.333333</v>
      </c>
      <c r="I1430" s="2">
        <v>2716.666667</v>
      </c>
      <c r="J1430" s="2">
        <v>2.1</v>
      </c>
      <c r="K1430" s="2">
        <v>4.6399999999999997</v>
      </c>
      <c r="L1430" s="2">
        <v>8.91</v>
      </c>
      <c r="M1430" s="2">
        <v>15.04</v>
      </c>
      <c r="N1430" s="2">
        <v>0.25932004400000003</v>
      </c>
      <c r="O1430" s="2">
        <v>0.17535689199999999</v>
      </c>
      <c r="P1430" s="2">
        <v>2.7472539839999999</v>
      </c>
      <c r="Q1430" s="2">
        <v>2.7451499419999998</v>
      </c>
      <c r="R1430" s="2">
        <v>0.26876719500000001</v>
      </c>
      <c r="S1430" s="2">
        <v>0.22605795200000001</v>
      </c>
      <c r="T1430" s="2">
        <v>2.7340754650000001</v>
      </c>
      <c r="U1430" s="2">
        <v>2.7358263850000002</v>
      </c>
      <c r="V1430" s="2">
        <v>0.974175876</v>
      </c>
      <c r="W1430" s="2">
        <v>0.13412064400000001</v>
      </c>
      <c r="X1430">
        <f t="shared" si="66"/>
        <v>0</v>
      </c>
      <c r="Y1430">
        <f t="shared" si="67"/>
        <v>1</v>
      </c>
      <c r="Z1430">
        <f t="shared" si="68"/>
        <v>0</v>
      </c>
    </row>
    <row r="1431" spans="1:26" ht="15.75" customHeight="1" x14ac:dyDescent="0.2">
      <c r="A1431" s="2" t="s">
        <v>23</v>
      </c>
      <c r="B1431" s="2" t="s">
        <v>35</v>
      </c>
      <c r="C1431" s="2" t="s">
        <v>32</v>
      </c>
      <c r="D1431" s="2" t="s">
        <v>33</v>
      </c>
      <c r="E1431" s="2">
        <v>180</v>
      </c>
      <c r="F1431" s="2">
        <v>243</v>
      </c>
      <c r="G1431" s="2">
        <v>669</v>
      </c>
      <c r="H1431" s="2">
        <v>923.66666669999995</v>
      </c>
      <c r="I1431" s="2">
        <v>2190</v>
      </c>
      <c r="J1431" s="2">
        <v>2.4300000000000002</v>
      </c>
      <c r="K1431" s="2">
        <v>6.29</v>
      </c>
      <c r="L1431" s="2">
        <v>8.06</v>
      </c>
      <c r="M1431" s="2">
        <v>13.62</v>
      </c>
      <c r="N1431" s="2">
        <v>3.7044750980000001</v>
      </c>
      <c r="O1431" s="2">
        <v>3.8148742840000001</v>
      </c>
      <c r="P1431" s="2">
        <v>3.843637234</v>
      </c>
      <c r="Q1431" s="2">
        <v>3.8608043790000002</v>
      </c>
      <c r="R1431" s="2">
        <v>1.3799554549999999</v>
      </c>
      <c r="S1431" s="2">
        <v>1.4226646979999999</v>
      </c>
      <c r="T1431" s="2">
        <v>3.5873764970000002</v>
      </c>
      <c r="U1431" s="2">
        <v>3.5891274169999998</v>
      </c>
      <c r="V1431" s="2">
        <v>2.6228985260000002</v>
      </c>
      <c r="W1431" s="2">
        <v>0.15414386899999999</v>
      </c>
      <c r="X1431">
        <f t="shared" si="66"/>
        <v>0</v>
      </c>
      <c r="Y1431">
        <f t="shared" si="67"/>
        <v>1</v>
      </c>
      <c r="Z1431">
        <f t="shared" si="68"/>
        <v>1</v>
      </c>
    </row>
    <row r="1432" spans="1:26" ht="15.75" customHeight="1" x14ac:dyDescent="0.2">
      <c r="A1432" s="2" t="s">
        <v>23</v>
      </c>
      <c r="B1432" s="2" t="s">
        <v>35</v>
      </c>
      <c r="C1432" s="2" t="s">
        <v>28</v>
      </c>
      <c r="D1432" s="2" t="s">
        <v>29</v>
      </c>
      <c r="E1432" s="2">
        <v>180</v>
      </c>
      <c r="F1432" s="2">
        <v>213.33333329999999</v>
      </c>
      <c r="G1432" s="2">
        <v>443.66666670000001</v>
      </c>
      <c r="H1432" s="2">
        <v>1129</v>
      </c>
      <c r="I1432" s="2">
        <v>2921.666667</v>
      </c>
      <c r="J1432" s="2">
        <v>2.1</v>
      </c>
      <c r="K1432" s="2">
        <v>4.42</v>
      </c>
      <c r="L1432" s="2">
        <v>9.27</v>
      </c>
      <c r="M1432" s="2">
        <v>15.52</v>
      </c>
      <c r="N1432" s="2">
        <v>0.56772552399999998</v>
      </c>
      <c r="O1432" s="2">
        <v>0.45383976700000001</v>
      </c>
      <c r="P1432" s="2">
        <v>2.4268521760000001</v>
      </c>
      <c r="Q1432" s="2">
        <v>2.4202436710000002</v>
      </c>
      <c r="R1432" s="2">
        <v>0.49380254299999998</v>
      </c>
      <c r="S1432" s="2">
        <v>0.45109329999999997</v>
      </c>
      <c r="T1432" s="2">
        <v>2.3760830240000002</v>
      </c>
      <c r="U1432" s="2">
        <v>2.3778339430000002</v>
      </c>
      <c r="V1432" s="2">
        <v>0.74914052799999997</v>
      </c>
      <c r="W1432" s="2">
        <v>7.7278455999999995E-2</v>
      </c>
      <c r="X1432">
        <f t="shared" si="66"/>
        <v>0</v>
      </c>
      <c r="Y1432">
        <f t="shared" si="67"/>
        <v>1</v>
      </c>
      <c r="Z1432">
        <f t="shared" si="68"/>
        <v>1</v>
      </c>
    </row>
    <row r="1433" spans="1:26" ht="15.75" customHeight="1" x14ac:dyDescent="0.2">
      <c r="A1433" s="2" t="s">
        <v>23</v>
      </c>
      <c r="B1433" s="2" t="s">
        <v>35</v>
      </c>
      <c r="C1433" s="2" t="s">
        <v>32</v>
      </c>
      <c r="D1433" s="2" t="s">
        <v>33</v>
      </c>
      <c r="E1433" s="2">
        <v>198</v>
      </c>
      <c r="F1433" s="2">
        <v>245.33333329999999</v>
      </c>
      <c r="G1433" s="2">
        <v>753.33333330000005</v>
      </c>
      <c r="H1433" s="2">
        <v>1055.333333</v>
      </c>
      <c r="I1433" s="2">
        <v>3041</v>
      </c>
      <c r="J1433" s="2">
        <v>2.4500000000000002</v>
      </c>
      <c r="K1433" s="2">
        <v>6.91</v>
      </c>
      <c r="L1433" s="2">
        <v>8.85</v>
      </c>
      <c r="M1433" s="2">
        <v>15.77</v>
      </c>
      <c r="N1433" s="2">
        <v>2.772183402</v>
      </c>
      <c r="O1433" s="2">
        <v>2.9062398329999999</v>
      </c>
      <c r="P1433" s="2">
        <v>3.434857439</v>
      </c>
      <c r="Q1433" s="2">
        <v>3.4613274540000001</v>
      </c>
      <c r="R1433" s="2">
        <v>2.0011940309999998</v>
      </c>
      <c r="S1433" s="2">
        <v>2.0439032739999998</v>
      </c>
      <c r="T1433" s="2">
        <v>2.7916783619999999</v>
      </c>
      <c r="U1433" s="2">
        <v>2.793429282</v>
      </c>
      <c r="V1433" s="2">
        <v>3.2441371019999998</v>
      </c>
      <c r="W1433" s="2">
        <v>0.12886345099999999</v>
      </c>
      <c r="X1433">
        <f t="shared" si="66"/>
        <v>0</v>
      </c>
      <c r="Y1433">
        <f t="shared" si="67"/>
        <v>1</v>
      </c>
      <c r="Z1433">
        <f t="shared" si="68"/>
        <v>1</v>
      </c>
    </row>
    <row r="1434" spans="1:26" ht="15.75" customHeight="1" x14ac:dyDescent="0.2">
      <c r="A1434" s="2" t="s">
        <v>23</v>
      </c>
      <c r="B1434" s="2" t="s">
        <v>35</v>
      </c>
      <c r="C1434" s="2" t="s">
        <v>25</v>
      </c>
      <c r="D1434" s="2" t="s">
        <v>25</v>
      </c>
      <c r="E1434" s="2">
        <v>201</v>
      </c>
      <c r="F1434" s="2">
        <v>216.66666670000001</v>
      </c>
      <c r="G1434" s="2">
        <v>770.33333330000005</v>
      </c>
      <c r="H1434" s="2">
        <v>1711.666667</v>
      </c>
      <c r="I1434" s="2">
        <v>2608.666667</v>
      </c>
      <c r="J1434" s="2">
        <v>2.14</v>
      </c>
      <c r="K1434" s="2">
        <v>7.03</v>
      </c>
      <c r="L1434" s="2">
        <v>11.97</v>
      </c>
      <c r="M1434" s="2">
        <v>14.78</v>
      </c>
      <c r="N1434" s="2">
        <v>0.59677641000000003</v>
      </c>
      <c r="O1434" s="2">
        <v>0.37454272100000002</v>
      </c>
      <c r="P1434" s="2">
        <v>2.1462914820000001</v>
      </c>
      <c r="Q1434" s="2">
        <v>2.1882642520000002</v>
      </c>
      <c r="R1434" s="2">
        <v>2.121776171</v>
      </c>
      <c r="S1434" s="2">
        <v>2.164485413</v>
      </c>
      <c r="T1434" s="2">
        <v>0.32347025899999998</v>
      </c>
      <c r="U1434" s="2">
        <v>0.32171934000000002</v>
      </c>
      <c r="V1434" s="2">
        <v>3.3647192420000001</v>
      </c>
      <c r="W1434" s="2">
        <v>0.13755511000000001</v>
      </c>
      <c r="X1434">
        <f t="shared" si="66"/>
        <v>0</v>
      </c>
      <c r="Y1434">
        <f t="shared" si="67"/>
        <v>1</v>
      </c>
      <c r="Z1434">
        <f t="shared" si="68"/>
        <v>0</v>
      </c>
    </row>
    <row r="1435" spans="1:26" ht="15.75" customHeight="1" x14ac:dyDescent="0.2">
      <c r="A1435" s="2" t="s">
        <v>23</v>
      </c>
      <c r="B1435" s="2" t="s">
        <v>35</v>
      </c>
      <c r="C1435" s="2" t="s">
        <v>27</v>
      </c>
      <c r="D1435" s="2" t="s">
        <v>27</v>
      </c>
      <c r="E1435" s="2">
        <v>184</v>
      </c>
      <c r="F1435" s="2">
        <v>226</v>
      </c>
      <c r="G1435" s="2">
        <v>440</v>
      </c>
      <c r="H1435" s="2">
        <v>2342</v>
      </c>
      <c r="I1435" s="2">
        <v>3045.333333</v>
      </c>
      <c r="J1435" s="2">
        <v>2.2400000000000002</v>
      </c>
      <c r="K1435" s="2">
        <v>4.3899999999999997</v>
      </c>
      <c r="L1435" s="2">
        <v>14.07</v>
      </c>
      <c r="M1435" s="2">
        <v>15.78</v>
      </c>
      <c r="N1435" s="2">
        <v>5.1618772E-2</v>
      </c>
      <c r="O1435" s="2">
        <v>5.2137264000000003E-2</v>
      </c>
      <c r="P1435" s="2">
        <v>2.4771777469999998</v>
      </c>
      <c r="Q1435" s="2">
        <v>2.466724143</v>
      </c>
      <c r="R1435" s="2">
        <v>0.52720195599999997</v>
      </c>
      <c r="S1435" s="2">
        <v>0.48449271300000002</v>
      </c>
      <c r="T1435" s="2">
        <v>2.420427171</v>
      </c>
      <c r="U1435" s="2">
        <v>2.4186762509999999</v>
      </c>
      <c r="V1435" s="2">
        <v>0.71574111500000004</v>
      </c>
      <c r="W1435" s="2">
        <v>0.10574899</v>
      </c>
      <c r="X1435">
        <f t="shared" si="66"/>
        <v>0</v>
      </c>
      <c r="Y1435">
        <f t="shared" si="67"/>
        <v>1</v>
      </c>
      <c r="Z1435">
        <f t="shared" si="68"/>
        <v>0</v>
      </c>
    </row>
    <row r="1436" spans="1:26" ht="15.75" customHeight="1" x14ac:dyDescent="0.2">
      <c r="A1436" s="2" t="s">
        <v>23</v>
      </c>
      <c r="B1436" s="2" t="s">
        <v>35</v>
      </c>
      <c r="C1436" s="2" t="s">
        <v>30</v>
      </c>
      <c r="D1436" s="2" t="s">
        <v>31</v>
      </c>
      <c r="E1436" s="2">
        <v>221</v>
      </c>
      <c r="F1436" s="2">
        <v>211.66666670000001</v>
      </c>
      <c r="G1436" s="2">
        <v>691</v>
      </c>
      <c r="H1436" s="2">
        <v>1041.666667</v>
      </c>
      <c r="I1436" s="2">
        <v>2205.666667</v>
      </c>
      <c r="J1436" s="2">
        <v>2.08</v>
      </c>
      <c r="K1436" s="2">
        <v>6.46</v>
      </c>
      <c r="L1436" s="2">
        <v>8.77</v>
      </c>
      <c r="M1436" s="2">
        <v>13.67</v>
      </c>
      <c r="N1436" s="2">
        <v>5.6939051770000004</v>
      </c>
      <c r="O1436" s="2">
        <v>5.6357064819999998</v>
      </c>
      <c r="P1436" s="2">
        <v>3.260729714</v>
      </c>
      <c r="Q1436" s="2">
        <v>3.28272472</v>
      </c>
      <c r="R1436" s="2">
        <v>1.5458282839999999</v>
      </c>
      <c r="S1436" s="2">
        <v>1.5885375269999999</v>
      </c>
      <c r="T1436" s="2">
        <v>2.87102302</v>
      </c>
      <c r="U1436" s="2">
        <v>2.8727739400000001</v>
      </c>
      <c r="V1436" s="2">
        <v>2.7887713550000002</v>
      </c>
      <c r="W1436" s="2">
        <v>0.117167268</v>
      </c>
      <c r="X1436">
        <f t="shared" si="66"/>
        <v>0</v>
      </c>
      <c r="Y1436">
        <f t="shared" si="67"/>
        <v>1</v>
      </c>
      <c r="Z1436">
        <f t="shared" si="68"/>
        <v>1</v>
      </c>
    </row>
    <row r="1437" spans="1:26" ht="15.75" customHeight="1" x14ac:dyDescent="0.2">
      <c r="A1437" s="2" t="s">
        <v>23</v>
      </c>
      <c r="B1437" s="2" t="s">
        <v>35</v>
      </c>
      <c r="C1437" s="2" t="s">
        <v>25</v>
      </c>
      <c r="D1437" s="2" t="s">
        <v>25</v>
      </c>
      <c r="E1437" s="2">
        <v>190</v>
      </c>
      <c r="F1437" s="2">
        <v>214.33333329999999</v>
      </c>
      <c r="G1437" s="2">
        <v>893</v>
      </c>
      <c r="H1437" s="2">
        <v>1434</v>
      </c>
      <c r="I1437" s="2">
        <v>2818.333333</v>
      </c>
      <c r="J1437" s="2">
        <v>2.11</v>
      </c>
      <c r="K1437" s="2">
        <v>7.86</v>
      </c>
      <c r="L1437" s="2">
        <v>10.8</v>
      </c>
      <c r="M1437" s="2">
        <v>15.28</v>
      </c>
      <c r="N1437" s="2">
        <v>0.86112902599999996</v>
      </c>
      <c r="O1437" s="2">
        <v>1.077038188</v>
      </c>
      <c r="P1437" s="2">
        <v>3.0685853870000002</v>
      </c>
      <c r="Q1437" s="2">
        <v>3.1101338460000001</v>
      </c>
      <c r="R1437" s="2">
        <v>2.9492647459999999</v>
      </c>
      <c r="S1437" s="2">
        <v>2.9919739889999999</v>
      </c>
      <c r="T1437" s="2">
        <v>0.84738051400000003</v>
      </c>
      <c r="U1437" s="2">
        <v>0.84913143400000002</v>
      </c>
      <c r="V1437" s="2">
        <v>4.1922078169999999</v>
      </c>
      <c r="W1437" s="2">
        <v>0.24122142099999999</v>
      </c>
      <c r="X1437">
        <f t="shared" si="66"/>
        <v>0</v>
      </c>
      <c r="Y1437">
        <f t="shared" si="67"/>
        <v>1</v>
      </c>
      <c r="Z1437">
        <f t="shared" si="68"/>
        <v>0</v>
      </c>
    </row>
    <row r="1438" spans="1:26" ht="15.75" customHeight="1" x14ac:dyDescent="0.2">
      <c r="A1438" s="2" t="s">
        <v>23</v>
      </c>
      <c r="B1438" s="2" t="s">
        <v>35</v>
      </c>
      <c r="C1438" s="2" t="s">
        <v>30</v>
      </c>
      <c r="D1438" s="2" t="s">
        <v>31</v>
      </c>
      <c r="E1438" s="2">
        <v>226</v>
      </c>
      <c r="F1438" s="2">
        <v>228</v>
      </c>
      <c r="G1438" s="2">
        <v>768.66666669999995</v>
      </c>
      <c r="H1438" s="2">
        <v>1135.666667</v>
      </c>
      <c r="I1438" s="2">
        <v>2214</v>
      </c>
      <c r="J1438" s="2">
        <v>2.2599999999999998</v>
      </c>
      <c r="K1438" s="2">
        <v>7.02</v>
      </c>
      <c r="L1438" s="2">
        <v>9.31</v>
      </c>
      <c r="M1438" s="2">
        <v>13.69</v>
      </c>
      <c r="N1438" s="2">
        <v>5.445751306</v>
      </c>
      <c r="O1438" s="2">
        <v>5.3918196739999997</v>
      </c>
      <c r="P1438" s="2">
        <v>3.150429742</v>
      </c>
      <c r="Q1438" s="2">
        <v>3.180481388</v>
      </c>
      <c r="R1438" s="2">
        <v>2.1100208230000002</v>
      </c>
      <c r="S1438" s="2">
        <v>2.1527300660000002</v>
      </c>
      <c r="T1438" s="2">
        <v>2.3394485860000001</v>
      </c>
      <c r="U1438" s="2">
        <v>2.3411995060000002</v>
      </c>
      <c r="V1438" s="2">
        <v>3.3529638940000002</v>
      </c>
      <c r="W1438" s="2">
        <v>0.17407262900000001</v>
      </c>
      <c r="X1438">
        <f t="shared" si="66"/>
        <v>0</v>
      </c>
      <c r="Y1438">
        <f t="shared" si="67"/>
        <v>1</v>
      </c>
      <c r="Z1438">
        <f t="shared" si="68"/>
        <v>1</v>
      </c>
    </row>
    <row r="1439" spans="1:26" ht="15.75" customHeight="1" x14ac:dyDescent="0.2">
      <c r="A1439" s="2" t="s">
        <v>23</v>
      </c>
      <c r="B1439" s="2" t="s">
        <v>35</v>
      </c>
      <c r="C1439" s="2" t="s">
        <v>25</v>
      </c>
      <c r="D1439" s="2" t="s">
        <v>25</v>
      </c>
      <c r="E1439" s="2">
        <v>198</v>
      </c>
      <c r="F1439" s="2">
        <v>215</v>
      </c>
      <c r="G1439" s="2">
        <v>946.66666669999995</v>
      </c>
      <c r="H1439" s="2">
        <v>1512</v>
      </c>
      <c r="I1439" s="2">
        <v>3230.333333</v>
      </c>
      <c r="J1439" s="2">
        <v>2.12</v>
      </c>
      <c r="K1439" s="2">
        <v>8.1999999999999993</v>
      </c>
      <c r="L1439" s="2">
        <v>11.15</v>
      </c>
      <c r="M1439" s="2">
        <v>16.16</v>
      </c>
      <c r="N1439" s="2">
        <v>0.245406177</v>
      </c>
      <c r="O1439" s="2">
        <v>0.263891337</v>
      </c>
      <c r="P1439" s="2">
        <v>3.124633481</v>
      </c>
      <c r="Q1439" s="2">
        <v>3.0367238890000001</v>
      </c>
      <c r="R1439" s="2">
        <v>3.1220405410000001</v>
      </c>
      <c r="S1439" s="2">
        <v>3.030817689</v>
      </c>
      <c r="T1439" s="2">
        <v>0.127268416</v>
      </c>
      <c r="U1439" s="2">
        <v>0.18930427699999999</v>
      </c>
      <c r="V1439" s="2">
        <v>4.7505837509999997</v>
      </c>
      <c r="W1439" s="2">
        <v>0.232457528</v>
      </c>
      <c r="X1439">
        <f t="shared" si="66"/>
        <v>0</v>
      </c>
      <c r="Y1439">
        <f t="shared" si="67"/>
        <v>1</v>
      </c>
      <c r="Z1439">
        <f t="shared" si="68"/>
        <v>0</v>
      </c>
    </row>
    <row r="1440" spans="1:26" ht="15.75" customHeight="1" x14ac:dyDescent="0.2">
      <c r="A1440" s="2" t="s">
        <v>23</v>
      </c>
      <c r="B1440" s="2" t="s">
        <v>35</v>
      </c>
      <c r="C1440" s="2" t="s">
        <v>26</v>
      </c>
      <c r="D1440" s="2" t="s">
        <v>26</v>
      </c>
      <c r="E1440" s="2">
        <v>123</v>
      </c>
      <c r="F1440" s="2">
        <v>226</v>
      </c>
      <c r="G1440" s="2">
        <v>407</v>
      </c>
      <c r="H1440" s="2">
        <v>978.66666669999995</v>
      </c>
      <c r="I1440" s="2">
        <v>2681.666667</v>
      </c>
      <c r="J1440" s="2">
        <v>2.2400000000000002</v>
      </c>
      <c r="K1440" s="2">
        <v>4.08</v>
      </c>
      <c r="L1440" s="2">
        <v>8.4</v>
      </c>
      <c r="M1440" s="2">
        <v>14.96</v>
      </c>
      <c r="N1440" s="2">
        <v>0.46705373900000002</v>
      </c>
      <c r="O1440" s="2">
        <v>0.78351363399999996</v>
      </c>
      <c r="P1440" s="2">
        <v>3.042951349</v>
      </c>
      <c r="Q1440" s="2">
        <v>3.1322049390000002</v>
      </c>
      <c r="R1440" s="2">
        <v>0.99974120200000005</v>
      </c>
      <c r="S1440" s="2">
        <v>1.090964053</v>
      </c>
      <c r="T1440" s="2">
        <v>2.874033828</v>
      </c>
      <c r="U1440" s="2">
        <v>2.936069689</v>
      </c>
      <c r="V1440" s="2">
        <v>0.62880200900000005</v>
      </c>
      <c r="W1440" s="2">
        <v>0.22964395300000001</v>
      </c>
      <c r="X1440">
        <f t="shared" si="66"/>
        <v>0</v>
      </c>
      <c r="Y1440">
        <f t="shared" si="67"/>
        <v>1</v>
      </c>
      <c r="Z1440">
        <f t="shared" si="68"/>
        <v>0</v>
      </c>
    </row>
    <row r="1441" spans="1:26" ht="15.75" customHeight="1" x14ac:dyDescent="0.2">
      <c r="A1441" s="2" t="s">
        <v>23</v>
      </c>
      <c r="B1441" s="2" t="s">
        <v>35</v>
      </c>
      <c r="C1441" s="2" t="s">
        <v>27</v>
      </c>
      <c r="D1441" s="2" t="s">
        <v>27</v>
      </c>
      <c r="E1441" s="2">
        <v>183</v>
      </c>
      <c r="F1441" s="2">
        <v>261</v>
      </c>
      <c r="G1441" s="2">
        <v>491</v>
      </c>
      <c r="H1441" s="2">
        <v>2485.333333</v>
      </c>
      <c r="I1441" s="2">
        <v>3416.666667</v>
      </c>
      <c r="J1441" s="2">
        <v>2.62</v>
      </c>
      <c r="K1441" s="2">
        <v>4.84</v>
      </c>
      <c r="L1441" s="2">
        <v>14.46</v>
      </c>
      <c r="M1441" s="2">
        <v>16.510000000000002</v>
      </c>
      <c r="N1441" s="2">
        <v>0.22881923300000001</v>
      </c>
      <c r="O1441" s="2">
        <v>0.108187713</v>
      </c>
      <c r="P1441" s="2">
        <v>3.1955063639999999</v>
      </c>
      <c r="Q1441" s="2">
        <v>3.1419191550000001</v>
      </c>
      <c r="R1441" s="2">
        <v>0.23890599300000001</v>
      </c>
      <c r="S1441" s="2">
        <v>0.33012884399999998</v>
      </c>
      <c r="T1441" s="2">
        <v>3.1865631720000001</v>
      </c>
      <c r="U1441" s="2">
        <v>3.1245273120000001</v>
      </c>
      <c r="V1441" s="2">
        <v>1.3896372180000001</v>
      </c>
      <c r="W1441" s="2">
        <v>0.13207038900000001</v>
      </c>
      <c r="X1441">
        <f t="shared" si="66"/>
        <v>0</v>
      </c>
      <c r="Y1441">
        <f t="shared" si="67"/>
        <v>1</v>
      </c>
      <c r="Z1441">
        <f t="shared" si="68"/>
        <v>0</v>
      </c>
    </row>
    <row r="1442" spans="1:26" ht="15.75" customHeight="1" x14ac:dyDescent="0.2">
      <c r="A1442" s="2" t="s">
        <v>23</v>
      </c>
      <c r="B1442" s="2" t="s">
        <v>35</v>
      </c>
      <c r="C1442" s="2" t="s">
        <v>28</v>
      </c>
      <c r="D1442" s="2" t="s">
        <v>29</v>
      </c>
      <c r="E1442" s="2">
        <v>238</v>
      </c>
      <c r="F1442" s="2">
        <v>222.33333329999999</v>
      </c>
      <c r="G1442" s="2">
        <v>359</v>
      </c>
      <c r="H1442" s="2">
        <v>1282.666667</v>
      </c>
      <c r="I1442" s="2">
        <v>2769</v>
      </c>
      <c r="J1442" s="2">
        <v>2.2000000000000002</v>
      </c>
      <c r="K1442" s="2">
        <v>3.62</v>
      </c>
      <c r="L1442" s="2">
        <v>10.07</v>
      </c>
      <c r="M1442" s="2">
        <v>15.17</v>
      </c>
      <c r="N1442" s="2">
        <v>1.807990472</v>
      </c>
      <c r="O1442" s="2">
        <v>1.774296702</v>
      </c>
      <c r="P1442" s="2">
        <v>1.8877967609999999</v>
      </c>
      <c r="Q1442" s="2">
        <v>1.99769245</v>
      </c>
      <c r="R1442" s="2">
        <v>1.4592513600000001</v>
      </c>
      <c r="S1442" s="2">
        <v>1.550474211</v>
      </c>
      <c r="T1442" s="2">
        <v>1.1976485619999999</v>
      </c>
      <c r="U1442" s="2">
        <v>1.2596844229999999</v>
      </c>
      <c r="V1442" s="2">
        <v>0.16929185099999999</v>
      </c>
      <c r="W1442" s="2">
        <v>0.11374999700000001</v>
      </c>
      <c r="X1442">
        <f t="shared" si="66"/>
        <v>0</v>
      </c>
      <c r="Y1442">
        <f t="shared" si="67"/>
        <v>1</v>
      </c>
      <c r="Z1442">
        <f t="shared" si="68"/>
        <v>1</v>
      </c>
    </row>
    <row r="1443" spans="1:26" ht="15.75" customHeight="1" x14ac:dyDescent="0.2">
      <c r="A1443" s="2" t="s">
        <v>23</v>
      </c>
      <c r="B1443" s="2" t="s">
        <v>35</v>
      </c>
      <c r="C1443" s="2" t="s">
        <v>30</v>
      </c>
      <c r="D1443" s="2" t="s">
        <v>31</v>
      </c>
      <c r="E1443" s="2">
        <v>210</v>
      </c>
      <c r="F1443" s="2">
        <v>249.33333329999999</v>
      </c>
      <c r="G1443" s="2">
        <v>731</v>
      </c>
      <c r="H1443" s="2">
        <v>1308.666667</v>
      </c>
      <c r="I1443" s="2">
        <v>3067.666667</v>
      </c>
      <c r="J1443" s="2">
        <v>2.5</v>
      </c>
      <c r="K1443" s="2">
        <v>6.75</v>
      </c>
      <c r="L1443" s="2">
        <v>10.199999999999999</v>
      </c>
      <c r="M1443" s="2">
        <v>15.83</v>
      </c>
      <c r="N1443" s="2">
        <v>4.6917793229999996</v>
      </c>
      <c r="O1443" s="2">
        <v>4.5757945549999999</v>
      </c>
      <c r="P1443" s="2">
        <v>1.985384123</v>
      </c>
      <c r="Q1443" s="2">
        <v>1.9445455439999999</v>
      </c>
      <c r="R1443" s="2">
        <v>1.67317867</v>
      </c>
      <c r="S1443" s="2">
        <v>1.581955819</v>
      </c>
      <c r="T1443" s="2">
        <v>1.068748451</v>
      </c>
      <c r="U1443" s="2">
        <v>1.1307843120000001</v>
      </c>
      <c r="V1443" s="2">
        <v>3.3017218810000002</v>
      </c>
      <c r="W1443" s="2">
        <v>0.125205909</v>
      </c>
      <c r="X1443">
        <f t="shared" si="66"/>
        <v>0</v>
      </c>
      <c r="Y1443">
        <f t="shared" si="67"/>
        <v>1</v>
      </c>
      <c r="Z1443">
        <f t="shared" si="68"/>
        <v>1</v>
      </c>
    </row>
    <row r="1444" spans="1:26" ht="15.75" customHeight="1" x14ac:dyDescent="0.2">
      <c r="A1444" s="2" t="s">
        <v>23</v>
      </c>
      <c r="B1444" s="2" t="s">
        <v>35</v>
      </c>
      <c r="C1444" s="2" t="s">
        <v>26</v>
      </c>
      <c r="D1444" s="2" t="s">
        <v>26</v>
      </c>
      <c r="E1444" s="2">
        <v>233</v>
      </c>
      <c r="F1444" s="2">
        <v>233.33333329999999</v>
      </c>
      <c r="G1444" s="2">
        <v>530</v>
      </c>
      <c r="H1444" s="2">
        <v>871.66666669999995</v>
      </c>
      <c r="I1444" s="2">
        <v>2920.333333</v>
      </c>
      <c r="J1444" s="2">
        <v>2.3199999999999998</v>
      </c>
      <c r="K1444" s="2">
        <v>5.18</v>
      </c>
      <c r="L1444" s="2">
        <v>7.72</v>
      </c>
      <c r="M1444" s="2">
        <v>15.51</v>
      </c>
      <c r="N1444" s="2">
        <v>1.0200430540000001</v>
      </c>
      <c r="O1444" s="2">
        <v>1.087076589</v>
      </c>
      <c r="P1444" s="2">
        <v>3.5510407709999998</v>
      </c>
      <c r="Q1444" s="2">
        <v>3.611759025</v>
      </c>
      <c r="R1444" s="2">
        <v>9.6889478000000001E-2</v>
      </c>
      <c r="S1444" s="2">
        <v>5.6666260000000001E-3</v>
      </c>
      <c r="T1444" s="2">
        <v>3.5497187189999999</v>
      </c>
      <c r="U1444" s="2">
        <v>3.6117545799999999</v>
      </c>
      <c r="V1444" s="2">
        <v>1.7254326879999999</v>
      </c>
      <c r="W1444" s="2">
        <v>0.24070904700000001</v>
      </c>
      <c r="X1444">
        <f t="shared" si="66"/>
        <v>0</v>
      </c>
      <c r="Y1444">
        <f t="shared" si="67"/>
        <v>1</v>
      </c>
      <c r="Z1444">
        <f t="shared" si="68"/>
        <v>0</v>
      </c>
    </row>
    <row r="1445" spans="1:26" ht="15.75" customHeight="1" x14ac:dyDescent="0.2">
      <c r="A1445" s="2" t="s">
        <v>23</v>
      </c>
      <c r="B1445" s="2" t="s">
        <v>35</v>
      </c>
      <c r="C1445" s="2" t="s">
        <v>28</v>
      </c>
      <c r="D1445" s="2" t="s">
        <v>29</v>
      </c>
      <c r="E1445" s="2">
        <v>159</v>
      </c>
      <c r="F1445" s="2">
        <v>247</v>
      </c>
      <c r="G1445" s="2">
        <v>356.33333329999999</v>
      </c>
      <c r="H1445" s="2">
        <v>1273.333333</v>
      </c>
      <c r="I1445" s="2">
        <v>2829.666667</v>
      </c>
      <c r="J1445" s="2">
        <v>2.4700000000000002</v>
      </c>
      <c r="K1445" s="2">
        <v>3.59</v>
      </c>
      <c r="L1445" s="2">
        <v>10.029999999999999</v>
      </c>
      <c r="M1445" s="2">
        <v>15.31</v>
      </c>
      <c r="N1445" s="2">
        <v>1.7813593109999999</v>
      </c>
      <c r="O1445" s="2">
        <v>1.756901474</v>
      </c>
      <c r="P1445" s="2">
        <v>1.937737201</v>
      </c>
      <c r="Q1445" s="2">
        <v>2.0475319660000002</v>
      </c>
      <c r="R1445" s="2">
        <v>1.4853381000000001</v>
      </c>
      <c r="S1445" s="2">
        <v>1.576560951</v>
      </c>
      <c r="T1445" s="2">
        <v>1.244426048</v>
      </c>
      <c r="U1445" s="2">
        <v>1.306461909</v>
      </c>
      <c r="V1445" s="2">
        <v>0.143205111</v>
      </c>
      <c r="W1445" s="2">
        <v>0.12207275500000001</v>
      </c>
      <c r="X1445">
        <f t="shared" si="66"/>
        <v>0</v>
      </c>
      <c r="Y1445">
        <f t="shared" si="67"/>
        <v>1</v>
      </c>
      <c r="Z1445">
        <f t="shared" si="68"/>
        <v>1</v>
      </c>
    </row>
    <row r="1446" spans="1:26" ht="15.75" customHeight="1" x14ac:dyDescent="0.2">
      <c r="A1446" s="2" t="s">
        <v>23</v>
      </c>
      <c r="B1446" s="2" t="s">
        <v>35</v>
      </c>
      <c r="C1446" s="2" t="s">
        <v>32</v>
      </c>
      <c r="D1446" s="2" t="s">
        <v>33</v>
      </c>
      <c r="E1446" s="2">
        <v>240</v>
      </c>
      <c r="F1446" s="2">
        <v>214.66666670000001</v>
      </c>
      <c r="G1446" s="2">
        <v>689.33333330000005</v>
      </c>
      <c r="H1446" s="2">
        <v>1126</v>
      </c>
      <c r="I1446" s="2">
        <v>2390</v>
      </c>
      <c r="J1446" s="2">
        <v>2.12</v>
      </c>
      <c r="K1446" s="2">
        <v>6.45</v>
      </c>
      <c r="L1446" s="2">
        <v>9.25</v>
      </c>
      <c r="M1446" s="2">
        <v>14.2</v>
      </c>
      <c r="N1446" s="2">
        <v>2.5986175569999999</v>
      </c>
      <c r="O1446" s="2">
        <v>2.5083905010000001</v>
      </c>
      <c r="P1446" s="2">
        <v>2.4388273040000001</v>
      </c>
      <c r="Q1446" s="2">
        <v>2.4416143629999998</v>
      </c>
      <c r="R1446" s="2">
        <v>1.3660705200000001</v>
      </c>
      <c r="S1446" s="2">
        <v>1.2748476689999999</v>
      </c>
      <c r="T1446" s="2">
        <v>2.020329169</v>
      </c>
      <c r="U1446" s="2">
        <v>2.0823650300000001</v>
      </c>
      <c r="V1446" s="2">
        <v>2.9946137309999998</v>
      </c>
      <c r="W1446" s="2">
        <v>0.13752599200000001</v>
      </c>
      <c r="X1446">
        <f t="shared" si="66"/>
        <v>0</v>
      </c>
      <c r="Y1446">
        <f t="shared" si="67"/>
        <v>1</v>
      </c>
      <c r="Z1446">
        <f t="shared" si="68"/>
        <v>1</v>
      </c>
    </row>
    <row r="1447" spans="1:26" ht="15.75" customHeight="1" x14ac:dyDescent="0.2">
      <c r="A1447" s="2" t="s">
        <v>23</v>
      </c>
      <c r="B1447" s="2" t="s">
        <v>35</v>
      </c>
      <c r="C1447" s="2" t="s">
        <v>32</v>
      </c>
      <c r="D1447" s="2" t="s">
        <v>33</v>
      </c>
      <c r="E1447" s="2">
        <v>204</v>
      </c>
      <c r="F1447" s="2">
        <v>247.66666670000001</v>
      </c>
      <c r="G1447" s="2">
        <v>687.66666669999995</v>
      </c>
      <c r="H1447" s="2">
        <v>1276.666667</v>
      </c>
      <c r="I1447" s="2">
        <v>2845.666667</v>
      </c>
      <c r="J1447" s="2">
        <v>2.48</v>
      </c>
      <c r="K1447" s="2">
        <v>6.43</v>
      </c>
      <c r="L1447" s="2">
        <v>10.039999999999999</v>
      </c>
      <c r="M1447" s="2">
        <v>15.35</v>
      </c>
      <c r="N1447" s="2">
        <v>2.037008701</v>
      </c>
      <c r="O1447" s="2">
        <v>1.9463843030000001</v>
      </c>
      <c r="P1447" s="2">
        <v>1.827405978</v>
      </c>
      <c r="Q1447" s="2">
        <v>1.804701731</v>
      </c>
      <c r="R1447" s="2">
        <v>1.3535851409999999</v>
      </c>
      <c r="S1447" s="2">
        <v>1.26236229</v>
      </c>
      <c r="T1447" s="2">
        <v>1.2276888340000001</v>
      </c>
      <c r="U1447" s="2">
        <v>1.2897246950000001</v>
      </c>
      <c r="V1447" s="2">
        <v>2.9821283520000001</v>
      </c>
      <c r="W1447" s="2">
        <v>0.12782638900000001</v>
      </c>
      <c r="X1447">
        <f t="shared" si="66"/>
        <v>0</v>
      </c>
      <c r="Y1447">
        <f t="shared" si="67"/>
        <v>1</v>
      </c>
      <c r="Z1447">
        <f t="shared" si="68"/>
        <v>1</v>
      </c>
    </row>
    <row r="1448" spans="1:26" ht="15.75" customHeight="1" x14ac:dyDescent="0.2">
      <c r="A1448" s="2" t="s">
        <v>23</v>
      </c>
      <c r="B1448" s="2" t="s">
        <v>35</v>
      </c>
      <c r="C1448" s="2" t="s">
        <v>25</v>
      </c>
      <c r="D1448" s="2" t="s">
        <v>25</v>
      </c>
      <c r="E1448" s="2">
        <v>273</v>
      </c>
      <c r="F1448" s="2">
        <v>254</v>
      </c>
      <c r="G1448" s="2">
        <v>965</v>
      </c>
      <c r="H1448" s="2">
        <v>1395.333333</v>
      </c>
      <c r="I1448" s="2">
        <v>2481</v>
      </c>
      <c r="J1448" s="2">
        <v>2.5499999999999998</v>
      </c>
      <c r="K1448" s="2">
        <v>8.32</v>
      </c>
      <c r="L1448" s="2">
        <v>10.62</v>
      </c>
      <c r="M1448" s="2">
        <v>14.45</v>
      </c>
      <c r="N1448" s="2">
        <v>0.75459909700000005</v>
      </c>
      <c r="O1448" s="2">
        <v>0.72540559699999996</v>
      </c>
      <c r="P1448" s="2">
        <v>3.300693179</v>
      </c>
      <c r="Q1448" s="2">
        <v>3.2245234460000001</v>
      </c>
      <c r="R1448" s="2">
        <v>3.2353518399999999</v>
      </c>
      <c r="S1448" s="2">
        <v>3.1441289889999999</v>
      </c>
      <c r="T1448" s="2">
        <v>0.65350893799999998</v>
      </c>
      <c r="U1448" s="2">
        <v>0.71554479900000001</v>
      </c>
      <c r="V1448" s="2">
        <v>4.8638950510000001</v>
      </c>
      <c r="W1448" s="2">
        <v>0.16209732800000001</v>
      </c>
      <c r="X1448">
        <f t="shared" si="66"/>
        <v>0</v>
      </c>
      <c r="Y1448">
        <f t="shared" si="67"/>
        <v>1</v>
      </c>
      <c r="Z1448">
        <f t="shared" si="68"/>
        <v>0</v>
      </c>
    </row>
    <row r="1449" spans="1:26" ht="15.75" customHeight="1" x14ac:dyDescent="0.2">
      <c r="A1449" s="2" t="s">
        <v>23</v>
      </c>
      <c r="B1449" s="2" t="s">
        <v>35</v>
      </c>
      <c r="C1449" s="2" t="s">
        <v>32</v>
      </c>
      <c r="D1449" s="2" t="s">
        <v>33</v>
      </c>
      <c r="E1449" s="2">
        <v>175</v>
      </c>
      <c r="F1449" s="2">
        <v>246</v>
      </c>
      <c r="G1449" s="2">
        <v>818.33333330000005</v>
      </c>
      <c r="H1449" s="2">
        <v>1292</v>
      </c>
      <c r="I1449" s="2">
        <v>3377.333333</v>
      </c>
      <c r="J1449" s="2">
        <v>2.46</v>
      </c>
      <c r="K1449" s="2">
        <v>7.37</v>
      </c>
      <c r="L1449" s="2">
        <v>10.119999999999999</v>
      </c>
      <c r="M1449" s="2">
        <v>16.43</v>
      </c>
      <c r="N1449" s="2">
        <v>1.363859648</v>
      </c>
      <c r="O1449" s="2">
        <v>1.2767551909999999</v>
      </c>
      <c r="P1449" s="2">
        <v>2.560360411</v>
      </c>
      <c r="Q1449" s="2">
        <v>2.5086227029999999</v>
      </c>
      <c r="R1449" s="2">
        <v>2.286989964</v>
      </c>
      <c r="S1449" s="2">
        <v>2.195767112</v>
      </c>
      <c r="T1449" s="2">
        <v>1.1511395820000001</v>
      </c>
      <c r="U1449" s="2">
        <v>1.2131754429999999</v>
      </c>
      <c r="V1449" s="2">
        <v>3.9155331740000001</v>
      </c>
      <c r="W1449" s="2">
        <v>0.15572280099999999</v>
      </c>
      <c r="X1449">
        <f t="shared" si="66"/>
        <v>0</v>
      </c>
      <c r="Y1449">
        <f t="shared" si="67"/>
        <v>1</v>
      </c>
      <c r="Z1449">
        <f t="shared" si="68"/>
        <v>1</v>
      </c>
    </row>
    <row r="1450" spans="1:26" ht="15.75" customHeight="1" x14ac:dyDescent="0.2">
      <c r="A1450" s="2" t="s">
        <v>23</v>
      </c>
      <c r="B1450" s="2" t="s">
        <v>35</v>
      </c>
      <c r="C1450" s="2" t="s">
        <v>32</v>
      </c>
      <c r="D1450" s="2" t="s">
        <v>33</v>
      </c>
      <c r="E1450" s="2">
        <v>183</v>
      </c>
      <c r="F1450" s="2">
        <v>253.66666670000001</v>
      </c>
      <c r="G1450" s="2">
        <v>603.33333330000005</v>
      </c>
      <c r="H1450" s="2">
        <v>1097.666667</v>
      </c>
      <c r="I1450" s="2">
        <v>2500.666667</v>
      </c>
      <c r="J1450" s="2">
        <v>2.54</v>
      </c>
      <c r="K1450" s="2">
        <v>5.78</v>
      </c>
      <c r="L1450" s="2">
        <v>9.09</v>
      </c>
      <c r="M1450" s="2">
        <v>14.5</v>
      </c>
      <c r="N1450" s="2">
        <v>3.1581259039999998</v>
      </c>
      <c r="O1450" s="2">
        <v>3.0669826640000002</v>
      </c>
      <c r="P1450" s="2">
        <v>2.2880255530000002</v>
      </c>
      <c r="Q1450" s="2">
        <v>2.3215612179999998</v>
      </c>
      <c r="R1450" s="2">
        <v>0.700629379</v>
      </c>
      <c r="S1450" s="2">
        <v>0.60940652699999998</v>
      </c>
      <c r="T1450" s="2">
        <v>2.1781137259999999</v>
      </c>
      <c r="U1450" s="2">
        <v>2.2401495869999999</v>
      </c>
      <c r="V1450" s="2">
        <v>2.3291725900000002</v>
      </c>
      <c r="W1450" s="2">
        <v>0.163369495</v>
      </c>
      <c r="X1450">
        <f t="shared" si="66"/>
        <v>0</v>
      </c>
      <c r="Y1450">
        <f t="shared" si="67"/>
        <v>1</v>
      </c>
      <c r="Z1450">
        <f t="shared" si="68"/>
        <v>1</v>
      </c>
    </row>
    <row r="1451" spans="1:26" ht="15.75" customHeight="1" x14ac:dyDescent="0.2">
      <c r="A1451" s="2" t="s">
        <v>23</v>
      </c>
      <c r="B1451" s="2" t="s">
        <v>35</v>
      </c>
      <c r="C1451" s="2" t="s">
        <v>25</v>
      </c>
      <c r="D1451" s="2" t="s">
        <v>25</v>
      </c>
      <c r="E1451" s="2">
        <v>146</v>
      </c>
      <c r="F1451" s="2">
        <v>269</v>
      </c>
      <c r="G1451" s="2">
        <v>879.66666669999995</v>
      </c>
      <c r="H1451" s="2">
        <v>1450.333333</v>
      </c>
      <c r="I1451" s="2">
        <v>2796.666667</v>
      </c>
      <c r="J1451" s="2">
        <v>2.71</v>
      </c>
      <c r="K1451" s="2">
        <v>7.78</v>
      </c>
      <c r="L1451" s="2">
        <v>10.87</v>
      </c>
      <c r="M1451" s="2">
        <v>15.23</v>
      </c>
      <c r="N1451" s="2">
        <v>0.50967889600000005</v>
      </c>
      <c r="O1451" s="2">
        <v>0.42283598500000003</v>
      </c>
      <c r="P1451" s="2">
        <v>2.725150706</v>
      </c>
      <c r="Q1451" s="2">
        <v>2.6451049090000001</v>
      </c>
      <c r="R1451" s="2">
        <v>2.6954953060000002</v>
      </c>
      <c r="S1451" s="2">
        <v>2.6042724549999998</v>
      </c>
      <c r="T1451" s="2">
        <v>0.40093817700000001</v>
      </c>
      <c r="U1451" s="2">
        <v>0.46297403799999998</v>
      </c>
      <c r="V1451" s="2">
        <v>4.324038517</v>
      </c>
      <c r="W1451" s="2">
        <v>0.21615398999999999</v>
      </c>
      <c r="X1451">
        <f t="shared" si="66"/>
        <v>0</v>
      </c>
      <c r="Y1451">
        <f t="shared" si="67"/>
        <v>1</v>
      </c>
      <c r="Z1451">
        <f t="shared" si="68"/>
        <v>0</v>
      </c>
    </row>
    <row r="1452" spans="1:26" ht="15.75" customHeight="1" x14ac:dyDescent="0.2">
      <c r="A1452" s="2" t="s">
        <v>23</v>
      </c>
      <c r="B1452" s="2" t="s">
        <v>35</v>
      </c>
      <c r="C1452" s="2" t="s">
        <v>25</v>
      </c>
      <c r="D1452" s="2" t="s">
        <v>25</v>
      </c>
      <c r="E1452" s="2">
        <v>194</v>
      </c>
      <c r="F1452" s="2">
        <v>222</v>
      </c>
      <c r="G1452" s="2">
        <v>952.33333330000005</v>
      </c>
      <c r="H1452" s="2">
        <v>1491.666667</v>
      </c>
      <c r="I1452" s="2">
        <v>3135.333333</v>
      </c>
      <c r="J1452" s="2">
        <v>2.2000000000000002</v>
      </c>
      <c r="K1452" s="2">
        <v>8.24</v>
      </c>
      <c r="L1452" s="2">
        <v>11.06</v>
      </c>
      <c r="M1452" s="2">
        <v>15.97</v>
      </c>
      <c r="N1452" s="2">
        <v>0.335003579</v>
      </c>
      <c r="O1452" s="2">
        <v>0.33882338099999998</v>
      </c>
      <c r="P1452" s="2">
        <v>3.164625553</v>
      </c>
      <c r="Q1452" s="2">
        <v>3.078612771</v>
      </c>
      <c r="R1452" s="2">
        <v>3.1572163620000002</v>
      </c>
      <c r="S1452" s="2">
        <v>3.0659935100000002</v>
      </c>
      <c r="T1452" s="2">
        <v>0.21642489300000001</v>
      </c>
      <c r="U1452" s="2">
        <v>0.27846075399999998</v>
      </c>
      <c r="V1452" s="2">
        <v>4.7857595719999999</v>
      </c>
      <c r="W1452" s="2">
        <v>0.24393964500000001</v>
      </c>
      <c r="X1452">
        <f t="shared" si="66"/>
        <v>0</v>
      </c>
      <c r="Y1452">
        <f t="shared" si="67"/>
        <v>1</v>
      </c>
      <c r="Z1452">
        <f t="shared" si="68"/>
        <v>0</v>
      </c>
    </row>
    <row r="1453" spans="1:26" ht="15.75" customHeight="1" x14ac:dyDescent="0.2">
      <c r="A1453" s="2" t="s">
        <v>23</v>
      </c>
      <c r="B1453" s="2" t="s">
        <v>35</v>
      </c>
      <c r="C1453" s="2" t="s">
        <v>27</v>
      </c>
      <c r="D1453" s="2" t="s">
        <v>27</v>
      </c>
      <c r="E1453" s="2">
        <v>168</v>
      </c>
      <c r="F1453" s="2">
        <v>231</v>
      </c>
      <c r="G1453" s="2">
        <v>446.33333329999999</v>
      </c>
      <c r="H1453" s="2">
        <v>1999.333333</v>
      </c>
      <c r="I1453" s="2">
        <v>3061.333333</v>
      </c>
      <c r="J1453" s="2">
        <v>2.2999999999999998</v>
      </c>
      <c r="K1453" s="2">
        <v>4.4400000000000004</v>
      </c>
      <c r="L1453" s="2">
        <v>13.01</v>
      </c>
      <c r="M1453" s="2">
        <v>15.82</v>
      </c>
      <c r="N1453" s="2">
        <v>1.3887372579999999</v>
      </c>
      <c r="O1453" s="2">
        <v>1.396938005</v>
      </c>
      <c r="P1453" s="2">
        <v>1.848737238</v>
      </c>
      <c r="Q1453" s="2">
        <v>1.8250633700000001</v>
      </c>
      <c r="R1453" s="2">
        <v>0.63686407599999995</v>
      </c>
      <c r="S1453" s="2">
        <v>0.72808692799999997</v>
      </c>
      <c r="T1453" s="2">
        <v>1.735578729</v>
      </c>
      <c r="U1453" s="2">
        <v>1.673542868</v>
      </c>
      <c r="V1453" s="2">
        <v>0.99167913399999996</v>
      </c>
      <c r="W1453" s="2">
        <v>0.13132149100000001</v>
      </c>
      <c r="X1453">
        <f t="shared" si="66"/>
        <v>0</v>
      </c>
      <c r="Y1453">
        <f t="shared" si="67"/>
        <v>1</v>
      </c>
      <c r="Z1453">
        <f t="shared" si="68"/>
        <v>0</v>
      </c>
    </row>
    <row r="1454" spans="1:26" ht="15.75" customHeight="1" x14ac:dyDescent="0.2">
      <c r="A1454" s="2" t="s">
        <v>23</v>
      </c>
      <c r="B1454" s="2" t="s">
        <v>35</v>
      </c>
      <c r="C1454" s="2" t="s">
        <v>30</v>
      </c>
      <c r="D1454" s="2" t="s">
        <v>31</v>
      </c>
      <c r="E1454" s="2">
        <v>197</v>
      </c>
      <c r="F1454" s="2">
        <v>256</v>
      </c>
      <c r="G1454" s="2">
        <v>728.33333330000005</v>
      </c>
      <c r="H1454" s="2">
        <v>1267.666667</v>
      </c>
      <c r="I1454" s="2">
        <v>3241.666667</v>
      </c>
      <c r="J1454" s="2">
        <v>2.57</v>
      </c>
      <c r="K1454" s="2">
        <v>6.73</v>
      </c>
      <c r="L1454" s="2">
        <v>10</v>
      </c>
      <c r="M1454" s="2">
        <v>16.18</v>
      </c>
      <c r="N1454" s="2">
        <v>4.8662182100000004</v>
      </c>
      <c r="O1454" s="2">
        <v>4.7539033330000002</v>
      </c>
      <c r="P1454" s="2">
        <v>2.0869852799999999</v>
      </c>
      <c r="Q1454" s="2">
        <v>2.0552093469999999</v>
      </c>
      <c r="R1454" s="2">
        <v>1.6538088849999999</v>
      </c>
      <c r="S1454" s="2">
        <v>1.562586034</v>
      </c>
      <c r="T1454" s="2">
        <v>1.2729586509999999</v>
      </c>
      <c r="U1454" s="2">
        <v>1.334994512</v>
      </c>
      <c r="V1454" s="2">
        <v>3.2823520959999999</v>
      </c>
      <c r="W1454" s="2">
        <v>0.189376398</v>
      </c>
      <c r="X1454">
        <f t="shared" si="66"/>
        <v>0</v>
      </c>
      <c r="Y1454">
        <f t="shared" si="67"/>
        <v>1</v>
      </c>
      <c r="Z1454">
        <f t="shared" si="68"/>
        <v>1</v>
      </c>
    </row>
    <row r="1455" spans="1:26" ht="15.75" customHeight="1" x14ac:dyDescent="0.2">
      <c r="A1455" s="2" t="s">
        <v>23</v>
      </c>
      <c r="B1455" s="2" t="s">
        <v>35</v>
      </c>
      <c r="C1455" s="2" t="s">
        <v>28</v>
      </c>
      <c r="D1455" s="2" t="s">
        <v>29</v>
      </c>
      <c r="E1455" s="2">
        <v>189</v>
      </c>
      <c r="F1455" s="2">
        <v>234.66666670000001</v>
      </c>
      <c r="G1455" s="2">
        <v>327</v>
      </c>
      <c r="H1455" s="2">
        <v>1212.666667</v>
      </c>
      <c r="I1455" s="2">
        <v>2822.666667</v>
      </c>
      <c r="J1455" s="2">
        <v>2.34</v>
      </c>
      <c r="K1455" s="2">
        <v>3.3</v>
      </c>
      <c r="L1455" s="2">
        <v>9.7200000000000006</v>
      </c>
      <c r="M1455" s="2">
        <v>15.29</v>
      </c>
      <c r="N1455" s="2">
        <v>1.72025669</v>
      </c>
      <c r="O1455" s="2">
        <v>1.777478946</v>
      </c>
      <c r="P1455" s="2">
        <v>2.3609061919999998</v>
      </c>
      <c r="Q1455" s="2">
        <v>2.4704417859999999</v>
      </c>
      <c r="R1455" s="2">
        <v>1.7763073410000001</v>
      </c>
      <c r="S1455" s="2">
        <v>1.867530192</v>
      </c>
      <c r="T1455" s="2">
        <v>1.5551881809999999</v>
      </c>
      <c r="U1455" s="2">
        <v>1.6172240419999999</v>
      </c>
      <c r="V1455" s="2">
        <v>-0.14776412999999999</v>
      </c>
      <c r="W1455" s="2">
        <v>0.157883739</v>
      </c>
      <c r="X1455">
        <f t="shared" si="66"/>
        <v>0</v>
      </c>
      <c r="Y1455">
        <f t="shared" si="67"/>
        <v>1</v>
      </c>
      <c r="Z1455">
        <f t="shared" si="68"/>
        <v>1</v>
      </c>
    </row>
    <row r="1456" spans="1:26" ht="15.75" customHeight="1" x14ac:dyDescent="0.2">
      <c r="A1456" s="2" t="s">
        <v>23</v>
      </c>
      <c r="B1456" s="2" t="s">
        <v>35</v>
      </c>
      <c r="C1456" s="2" t="s">
        <v>28</v>
      </c>
      <c r="D1456" s="2" t="s">
        <v>29</v>
      </c>
      <c r="E1456" s="2">
        <v>200</v>
      </c>
      <c r="F1456" s="2">
        <v>242.33333329999999</v>
      </c>
      <c r="G1456" s="2">
        <v>364</v>
      </c>
      <c r="H1456" s="2">
        <v>1128.333333</v>
      </c>
      <c r="I1456" s="2">
        <v>2774.333333</v>
      </c>
      <c r="J1456" s="2">
        <v>2.42</v>
      </c>
      <c r="K1456" s="2">
        <v>3.67</v>
      </c>
      <c r="L1456" s="2">
        <v>9.27</v>
      </c>
      <c r="M1456" s="2">
        <v>15.18</v>
      </c>
      <c r="N1456" s="2">
        <v>1.144437736</v>
      </c>
      <c r="O1456" s="2">
        <v>1.235498963</v>
      </c>
      <c r="P1456" s="2">
        <v>2.4534512209999999</v>
      </c>
      <c r="Q1456" s="2">
        <v>2.556951733</v>
      </c>
      <c r="R1456" s="2">
        <v>1.41050008</v>
      </c>
      <c r="S1456" s="2">
        <v>1.5017229320000001</v>
      </c>
      <c r="T1456" s="2">
        <v>2.007464175</v>
      </c>
      <c r="U1456" s="2">
        <v>2.069500036</v>
      </c>
      <c r="V1456" s="2">
        <v>0.21804313</v>
      </c>
      <c r="W1456" s="2">
        <v>0.23161937899999999</v>
      </c>
      <c r="X1456">
        <f t="shared" si="66"/>
        <v>0</v>
      </c>
      <c r="Y1456">
        <f t="shared" si="67"/>
        <v>1</v>
      </c>
      <c r="Z1456">
        <f t="shared" si="68"/>
        <v>1</v>
      </c>
    </row>
    <row r="1457" spans="1:26" ht="15.75" customHeight="1" x14ac:dyDescent="0.2">
      <c r="A1457" s="2" t="s">
        <v>23</v>
      </c>
      <c r="B1457" s="2" t="s">
        <v>35</v>
      </c>
      <c r="C1457" s="2" t="s">
        <v>32</v>
      </c>
      <c r="D1457" s="2" t="s">
        <v>33</v>
      </c>
      <c r="E1457" s="2">
        <v>185</v>
      </c>
      <c r="F1457" s="2">
        <v>251</v>
      </c>
      <c r="G1457" s="2">
        <v>781.33333330000005</v>
      </c>
      <c r="H1457" s="2">
        <v>1515.333333</v>
      </c>
      <c r="I1457" s="2">
        <v>2899</v>
      </c>
      <c r="J1457" s="2">
        <v>2.5099999999999998</v>
      </c>
      <c r="K1457" s="2">
        <v>7.11</v>
      </c>
      <c r="L1457" s="2">
        <v>11.16</v>
      </c>
      <c r="M1457" s="2">
        <v>15.47</v>
      </c>
      <c r="N1457" s="2">
        <v>0.92700989499999997</v>
      </c>
      <c r="O1457" s="2">
        <v>0.853848092</v>
      </c>
      <c r="P1457" s="2">
        <v>2.0348411319999999</v>
      </c>
      <c r="Q1457" s="2">
        <v>1.9483480660000001</v>
      </c>
      <c r="R1457" s="2">
        <v>2.0317148889999999</v>
      </c>
      <c r="S1457" s="2">
        <v>1.9404920370000001</v>
      </c>
      <c r="T1457" s="2">
        <v>0.112752132</v>
      </c>
      <c r="U1457" s="2">
        <v>0.174787993</v>
      </c>
      <c r="V1457" s="2">
        <v>3.660258099</v>
      </c>
      <c r="W1457" s="2">
        <v>0.192772159</v>
      </c>
      <c r="X1457">
        <f t="shared" si="66"/>
        <v>0</v>
      </c>
      <c r="Y1457">
        <f t="shared" si="67"/>
        <v>1</v>
      </c>
      <c r="Z1457">
        <f t="shared" si="68"/>
        <v>1</v>
      </c>
    </row>
    <row r="1458" spans="1:26" ht="15.75" customHeight="1" x14ac:dyDescent="0.2">
      <c r="A1458" s="2" t="s">
        <v>23</v>
      </c>
      <c r="B1458" s="2" t="s">
        <v>35</v>
      </c>
      <c r="C1458" s="2" t="s">
        <v>26</v>
      </c>
      <c r="D1458" s="2" t="s">
        <v>26</v>
      </c>
      <c r="E1458" s="2">
        <v>177</v>
      </c>
      <c r="F1458" s="2">
        <v>254</v>
      </c>
      <c r="G1458" s="2">
        <v>483.33333329999999</v>
      </c>
      <c r="H1458" s="2">
        <v>1040.666667</v>
      </c>
      <c r="I1458" s="2">
        <v>2867.666667</v>
      </c>
      <c r="J1458" s="2">
        <v>2.5499999999999998</v>
      </c>
      <c r="K1458" s="2">
        <v>4.7699999999999996</v>
      </c>
      <c r="L1458" s="2">
        <v>8.77</v>
      </c>
      <c r="M1458" s="2">
        <v>15.4</v>
      </c>
      <c r="N1458" s="2">
        <v>0.35022103700000001</v>
      </c>
      <c r="O1458" s="2">
        <v>3.3120774999999998E-2</v>
      </c>
      <c r="P1458" s="2">
        <v>2.5232115039999998</v>
      </c>
      <c r="Q1458" s="2">
        <v>2.597185595</v>
      </c>
      <c r="R1458" s="2">
        <v>0.306177853</v>
      </c>
      <c r="S1458" s="2">
        <v>0.39740070399999999</v>
      </c>
      <c r="T1458" s="2">
        <v>2.5045661130000001</v>
      </c>
      <c r="U1458" s="2">
        <v>2.5666019740000001</v>
      </c>
      <c r="V1458" s="2">
        <v>1.3223653580000001</v>
      </c>
      <c r="W1458" s="2">
        <v>0.18162583199999999</v>
      </c>
      <c r="X1458">
        <f t="shared" si="66"/>
        <v>0</v>
      </c>
      <c r="Y1458">
        <f t="shared" si="67"/>
        <v>1</v>
      </c>
      <c r="Z1458">
        <f t="shared" si="68"/>
        <v>0</v>
      </c>
    </row>
    <row r="1459" spans="1:26" ht="15.75" customHeight="1" x14ac:dyDescent="0.2">
      <c r="A1459" s="2" t="s">
        <v>23</v>
      </c>
      <c r="B1459" s="2" t="s">
        <v>35</v>
      </c>
      <c r="C1459" s="2" t="s">
        <v>25</v>
      </c>
      <c r="D1459" s="2" t="s">
        <v>25</v>
      </c>
      <c r="E1459" s="2">
        <v>232</v>
      </c>
      <c r="F1459" s="2">
        <v>240.33333329999999</v>
      </c>
      <c r="G1459" s="2">
        <v>924</v>
      </c>
      <c r="H1459" s="2">
        <v>1639.333333</v>
      </c>
      <c r="I1459" s="2">
        <v>3082.333333</v>
      </c>
      <c r="J1459" s="2">
        <v>2.4</v>
      </c>
      <c r="K1459" s="2">
        <v>8.06</v>
      </c>
      <c r="L1459" s="2">
        <v>11.68</v>
      </c>
      <c r="M1459" s="2">
        <v>15.86</v>
      </c>
      <c r="N1459" s="2">
        <v>0.36656518500000002</v>
      </c>
      <c r="O1459" s="2">
        <v>0.44027699199999998</v>
      </c>
      <c r="P1459" s="2">
        <v>3.0077762199999998</v>
      </c>
      <c r="Q1459" s="2">
        <v>2.9093930669999999</v>
      </c>
      <c r="R1459" s="2">
        <v>2.9799549440000002</v>
      </c>
      <c r="S1459" s="2">
        <v>2.8887320920000001</v>
      </c>
      <c r="T1459" s="2">
        <v>0.40814988099999999</v>
      </c>
      <c r="U1459" s="2">
        <v>0.34611402099999999</v>
      </c>
      <c r="V1459" s="2">
        <v>4.6084981540000003</v>
      </c>
      <c r="W1459" s="2">
        <v>0.29388295800000003</v>
      </c>
      <c r="X1459">
        <f t="shared" si="66"/>
        <v>0</v>
      </c>
      <c r="Y1459">
        <f t="shared" si="67"/>
        <v>1</v>
      </c>
      <c r="Z1459">
        <f t="shared" si="68"/>
        <v>0</v>
      </c>
    </row>
    <row r="1460" spans="1:26" ht="15.75" customHeight="1" x14ac:dyDescent="0.2">
      <c r="A1460" s="2" t="s">
        <v>23</v>
      </c>
      <c r="B1460" s="2" t="s">
        <v>35</v>
      </c>
      <c r="C1460" s="2" t="s">
        <v>30</v>
      </c>
      <c r="D1460" s="2" t="s">
        <v>31</v>
      </c>
      <c r="E1460" s="2">
        <v>197</v>
      </c>
      <c r="F1460" s="2">
        <v>252</v>
      </c>
      <c r="G1460" s="2">
        <v>672.33333330000005</v>
      </c>
      <c r="H1460" s="2">
        <v>1212</v>
      </c>
      <c r="I1460" s="2">
        <v>2732.333333</v>
      </c>
      <c r="J1460" s="2">
        <v>2.52</v>
      </c>
      <c r="K1460" s="2">
        <v>6.32</v>
      </c>
      <c r="L1460" s="2">
        <v>9.7100000000000009</v>
      </c>
      <c r="M1460" s="2">
        <v>15.08</v>
      </c>
      <c r="N1460" s="2">
        <v>4.9685397030000003</v>
      </c>
      <c r="O1460" s="2">
        <v>4.8736195120000003</v>
      </c>
      <c r="P1460" s="2">
        <v>1.9904870619999999</v>
      </c>
      <c r="Q1460" s="2">
        <v>1.985379518</v>
      </c>
      <c r="R1460" s="2">
        <v>1.2379778379999999</v>
      </c>
      <c r="S1460" s="2">
        <v>1.1467549859999999</v>
      </c>
      <c r="T1460" s="2">
        <v>1.558669181</v>
      </c>
      <c r="U1460" s="2">
        <v>1.620705042</v>
      </c>
      <c r="V1460" s="2">
        <v>2.8665210480000001</v>
      </c>
      <c r="W1460" s="2">
        <v>0.245588424</v>
      </c>
      <c r="X1460">
        <f t="shared" si="66"/>
        <v>0</v>
      </c>
      <c r="Y1460">
        <f t="shared" si="67"/>
        <v>1</v>
      </c>
      <c r="Z1460">
        <f t="shared" si="68"/>
        <v>1</v>
      </c>
    </row>
    <row r="1461" spans="1:26" ht="15.75" customHeight="1" x14ac:dyDescent="0.2">
      <c r="A1461" s="2" t="s">
        <v>23</v>
      </c>
      <c r="B1461" s="2" t="s">
        <v>35</v>
      </c>
      <c r="C1461" s="2" t="s">
        <v>27</v>
      </c>
      <c r="D1461" s="2" t="s">
        <v>27</v>
      </c>
      <c r="E1461" s="2">
        <v>194</v>
      </c>
      <c r="F1461" s="2">
        <v>228</v>
      </c>
      <c r="G1461" s="2">
        <v>454.33333329999999</v>
      </c>
      <c r="H1461" s="2">
        <v>2563.333333</v>
      </c>
      <c r="I1461" s="2">
        <v>3512.333333</v>
      </c>
      <c r="J1461" s="2">
        <v>2.2599999999999998</v>
      </c>
      <c r="K1461" s="2">
        <v>4.5199999999999996</v>
      </c>
      <c r="L1461" s="2">
        <v>14.66</v>
      </c>
      <c r="M1461" s="2">
        <v>16.68</v>
      </c>
      <c r="N1461" s="2">
        <v>0.298648044</v>
      </c>
      <c r="O1461" s="2">
        <v>0.43684144499999999</v>
      </c>
      <c r="P1461" s="2">
        <v>3.437075026</v>
      </c>
      <c r="Q1461" s="2">
        <v>3.3923433670000001</v>
      </c>
      <c r="R1461" s="2">
        <v>0.56450552600000004</v>
      </c>
      <c r="S1461" s="2">
        <v>0.65572837799999995</v>
      </c>
      <c r="T1461" s="2">
        <v>3.3904008970000001</v>
      </c>
      <c r="U1461" s="2">
        <v>3.3283650360000001</v>
      </c>
      <c r="V1461" s="2">
        <v>1.0640376840000001</v>
      </c>
      <c r="W1461" s="2">
        <v>0.24636699000000001</v>
      </c>
      <c r="X1461">
        <f t="shared" si="66"/>
        <v>0</v>
      </c>
      <c r="Y1461">
        <f t="shared" si="67"/>
        <v>1</v>
      </c>
      <c r="Z1461">
        <f t="shared" si="68"/>
        <v>0</v>
      </c>
    </row>
    <row r="1462" spans="1:26" ht="15.75" customHeight="1" x14ac:dyDescent="0.2">
      <c r="A1462" s="2" t="s">
        <v>23</v>
      </c>
      <c r="B1462" s="2" t="s">
        <v>35</v>
      </c>
      <c r="C1462" s="2" t="s">
        <v>30</v>
      </c>
      <c r="D1462" s="2" t="s">
        <v>31</v>
      </c>
      <c r="E1462" s="2">
        <v>183</v>
      </c>
      <c r="F1462" s="2">
        <v>251</v>
      </c>
      <c r="G1462" s="2">
        <v>564.66666669999995</v>
      </c>
      <c r="H1462" s="2">
        <v>1275</v>
      </c>
      <c r="I1462" s="2">
        <v>2869.333333</v>
      </c>
      <c r="J1462" s="2">
        <v>2.5099999999999998</v>
      </c>
      <c r="K1462" s="2">
        <v>5.47</v>
      </c>
      <c r="L1462" s="2">
        <v>10.039999999999999</v>
      </c>
      <c r="M1462" s="2">
        <v>15.4</v>
      </c>
      <c r="N1462" s="2">
        <v>4.4292355209999998</v>
      </c>
      <c r="O1462" s="2">
        <v>4.3637469580000001</v>
      </c>
      <c r="P1462" s="2">
        <v>1.295120496</v>
      </c>
      <c r="Q1462" s="2">
        <v>1.331285485</v>
      </c>
      <c r="R1462" s="2">
        <v>0.38666492000000002</v>
      </c>
      <c r="S1462" s="2">
        <v>0.295442068</v>
      </c>
      <c r="T1462" s="2">
        <v>1.2360531299999999</v>
      </c>
      <c r="U1462" s="2">
        <v>1.2980889900000001</v>
      </c>
      <c r="V1462" s="2">
        <v>2.01520813</v>
      </c>
      <c r="W1462" s="2">
        <v>0.16980943400000001</v>
      </c>
      <c r="X1462">
        <f t="shared" si="66"/>
        <v>0</v>
      </c>
      <c r="Y1462">
        <f t="shared" si="67"/>
        <v>1</v>
      </c>
      <c r="Z1462">
        <f t="shared" si="68"/>
        <v>1</v>
      </c>
    </row>
    <row r="1463" spans="1:26" ht="15.75" customHeight="1" x14ac:dyDescent="0.2">
      <c r="A1463" s="2" t="s">
        <v>23</v>
      </c>
      <c r="B1463" s="2" t="s">
        <v>35</v>
      </c>
      <c r="C1463" s="2" t="s">
        <v>27</v>
      </c>
      <c r="D1463" s="2" t="s">
        <v>27</v>
      </c>
      <c r="E1463" s="2">
        <v>187</v>
      </c>
      <c r="F1463" s="2">
        <v>259.33333329999999</v>
      </c>
      <c r="G1463" s="2">
        <v>498.33333329999999</v>
      </c>
      <c r="H1463" s="2">
        <v>2447.333333</v>
      </c>
      <c r="I1463" s="2">
        <v>3391</v>
      </c>
      <c r="J1463" s="2">
        <v>2.6</v>
      </c>
      <c r="K1463" s="2">
        <v>4.9000000000000004</v>
      </c>
      <c r="L1463" s="2">
        <v>14.36</v>
      </c>
      <c r="M1463" s="2">
        <v>16.46</v>
      </c>
      <c r="N1463" s="2">
        <v>0.28179448699999998</v>
      </c>
      <c r="O1463" s="2">
        <v>8.2378101999999995E-2</v>
      </c>
      <c r="P1463" s="2">
        <v>3.0896012929999999</v>
      </c>
      <c r="Q1463" s="2">
        <v>3.0343052419999998</v>
      </c>
      <c r="R1463" s="2">
        <v>0.174951622</v>
      </c>
      <c r="S1463" s="2">
        <v>0.26617447399999999</v>
      </c>
      <c r="T1463" s="2">
        <v>3.084643915</v>
      </c>
      <c r="U1463" s="2">
        <v>3.022608054</v>
      </c>
      <c r="V1463" s="2">
        <v>1.4535915880000001</v>
      </c>
      <c r="W1463" s="2">
        <v>0.23914334500000001</v>
      </c>
      <c r="X1463">
        <f t="shared" si="66"/>
        <v>0</v>
      </c>
      <c r="Y1463">
        <f t="shared" si="67"/>
        <v>1</v>
      </c>
      <c r="Z1463">
        <f t="shared" si="68"/>
        <v>0</v>
      </c>
    </row>
    <row r="1464" spans="1:26" ht="15.75" customHeight="1" x14ac:dyDescent="0.2">
      <c r="A1464" s="2" t="s">
        <v>23</v>
      </c>
      <c r="B1464" s="2" t="s">
        <v>35</v>
      </c>
      <c r="C1464" s="2" t="s">
        <v>26</v>
      </c>
      <c r="D1464" s="2" t="s">
        <v>26</v>
      </c>
      <c r="E1464" s="2">
        <v>178</v>
      </c>
      <c r="F1464" s="2">
        <v>234.66666670000001</v>
      </c>
      <c r="G1464" s="2">
        <v>504.66666670000001</v>
      </c>
      <c r="H1464" s="2">
        <v>1062.666667</v>
      </c>
      <c r="I1464" s="2">
        <v>2747.333333</v>
      </c>
      <c r="J1464" s="2">
        <v>2.34</v>
      </c>
      <c r="K1464" s="2">
        <v>4.96</v>
      </c>
      <c r="L1464" s="2">
        <v>8.9</v>
      </c>
      <c r="M1464" s="2">
        <v>15.12</v>
      </c>
      <c r="N1464" s="2">
        <v>0.57275943200000001</v>
      </c>
      <c r="O1464" s="2">
        <v>0.23451063899999999</v>
      </c>
      <c r="P1464" s="2">
        <v>2.3801361820000002</v>
      </c>
      <c r="Q1464" s="2">
        <v>2.448274525</v>
      </c>
      <c r="R1464" s="2">
        <v>0.120024573</v>
      </c>
      <c r="S1464" s="2">
        <v>0.21124742399999999</v>
      </c>
      <c r="T1464" s="2">
        <v>2.3771079789999998</v>
      </c>
      <c r="U1464" s="2">
        <v>2.4391438399999998</v>
      </c>
      <c r="V1464" s="2">
        <v>1.508518638</v>
      </c>
      <c r="W1464" s="2">
        <v>0.231482304</v>
      </c>
      <c r="X1464">
        <f t="shared" si="66"/>
        <v>0</v>
      </c>
      <c r="Y1464">
        <f t="shared" si="67"/>
        <v>1</v>
      </c>
      <c r="Z1464">
        <f t="shared" si="68"/>
        <v>0</v>
      </c>
    </row>
    <row r="1465" spans="1:26" ht="15.75" customHeight="1" x14ac:dyDescent="0.2">
      <c r="A1465" s="2" t="s">
        <v>23</v>
      </c>
      <c r="B1465" s="2" t="s">
        <v>35</v>
      </c>
      <c r="C1465" s="2" t="s">
        <v>27</v>
      </c>
      <c r="D1465" s="2" t="s">
        <v>27</v>
      </c>
      <c r="E1465" s="2">
        <v>170</v>
      </c>
      <c r="F1465" s="2">
        <v>253.33333329999999</v>
      </c>
      <c r="G1465" s="2">
        <v>491.66666670000001</v>
      </c>
      <c r="H1465" s="2">
        <v>2464.333333</v>
      </c>
      <c r="I1465" s="2">
        <v>3136.666667</v>
      </c>
      <c r="J1465" s="2">
        <v>2.54</v>
      </c>
      <c r="K1465" s="2">
        <v>4.8499999999999996</v>
      </c>
      <c r="L1465" s="2">
        <v>14.4</v>
      </c>
      <c r="M1465" s="2">
        <v>15.97</v>
      </c>
      <c r="N1465" s="2">
        <v>0.22303068400000001</v>
      </c>
      <c r="O1465" s="2">
        <v>5.5984952999999997E-2</v>
      </c>
      <c r="P1465" s="2">
        <v>3.1391205690000001</v>
      </c>
      <c r="Q1465" s="2">
        <v>3.0855097969999998</v>
      </c>
      <c r="R1465" s="2">
        <v>0.23307614900000001</v>
      </c>
      <c r="S1465" s="2">
        <v>0.32429900099999998</v>
      </c>
      <c r="T1465" s="2">
        <v>3.1304557900000001</v>
      </c>
      <c r="U1465" s="2">
        <v>3.068419929</v>
      </c>
      <c r="V1465" s="2">
        <v>1.395467061</v>
      </c>
      <c r="W1465" s="2">
        <v>0.12716000999999999</v>
      </c>
      <c r="X1465">
        <f t="shared" si="66"/>
        <v>0</v>
      </c>
      <c r="Y1465">
        <f t="shared" si="67"/>
        <v>1</v>
      </c>
      <c r="Z1465">
        <f t="shared" si="68"/>
        <v>0</v>
      </c>
    </row>
    <row r="1466" spans="1:26" ht="15.75" customHeight="1" x14ac:dyDescent="0.2">
      <c r="A1466" s="2" t="s">
        <v>23</v>
      </c>
      <c r="B1466" s="2" t="s">
        <v>35</v>
      </c>
      <c r="C1466" s="2" t="s">
        <v>30</v>
      </c>
      <c r="D1466" s="2" t="s">
        <v>31</v>
      </c>
      <c r="E1466" s="2">
        <v>180</v>
      </c>
      <c r="F1466" s="2">
        <v>246.66666670000001</v>
      </c>
      <c r="G1466" s="2">
        <v>557.66666669999995</v>
      </c>
      <c r="H1466" s="2">
        <v>1272.666667</v>
      </c>
      <c r="I1466" s="2">
        <v>3134.666667</v>
      </c>
      <c r="J1466" s="2">
        <v>2.4700000000000002</v>
      </c>
      <c r="K1466" s="2">
        <v>5.41</v>
      </c>
      <c r="L1466" s="2">
        <v>10.02</v>
      </c>
      <c r="M1466" s="2">
        <v>15.97</v>
      </c>
      <c r="N1466" s="2">
        <v>4.4301381500000003</v>
      </c>
      <c r="O1466" s="2">
        <v>4.3672027560000002</v>
      </c>
      <c r="P1466" s="2">
        <v>1.2903703129999999</v>
      </c>
      <c r="Q1466" s="2">
        <v>1.331184503</v>
      </c>
      <c r="R1466" s="2">
        <v>0.32879556399999998</v>
      </c>
      <c r="S1466" s="2">
        <v>0.23757271199999999</v>
      </c>
      <c r="T1466" s="2">
        <v>1.2477776330000001</v>
      </c>
      <c r="U1466" s="2">
        <v>1.3098134939999999</v>
      </c>
      <c r="V1466" s="2">
        <v>1.9573387739999999</v>
      </c>
      <c r="W1466" s="2">
        <v>0.101792666</v>
      </c>
      <c r="X1466">
        <f t="shared" si="66"/>
        <v>0</v>
      </c>
      <c r="Y1466">
        <f t="shared" si="67"/>
        <v>1</v>
      </c>
      <c r="Z1466">
        <f t="shared" si="68"/>
        <v>1</v>
      </c>
    </row>
    <row r="1467" spans="1:26" ht="15.75" customHeight="1" x14ac:dyDescent="0.2">
      <c r="A1467" s="2" t="s">
        <v>23</v>
      </c>
      <c r="B1467" s="2" t="s">
        <v>35</v>
      </c>
      <c r="C1467" s="2" t="s">
        <v>27</v>
      </c>
      <c r="D1467" s="2" t="s">
        <v>27</v>
      </c>
      <c r="E1467" s="2">
        <v>194</v>
      </c>
      <c r="F1467" s="2">
        <v>215.66666670000001</v>
      </c>
      <c r="G1467" s="2">
        <v>474</v>
      </c>
      <c r="H1467" s="2">
        <v>2598.333333</v>
      </c>
      <c r="I1467" s="2">
        <v>3335.666667</v>
      </c>
      <c r="J1467" s="2">
        <v>2.13</v>
      </c>
      <c r="K1467" s="2">
        <v>4.6900000000000004</v>
      </c>
      <c r="L1467" s="2">
        <v>14.75</v>
      </c>
      <c r="M1467" s="2">
        <v>16.36</v>
      </c>
      <c r="N1467" s="2">
        <v>0.37320728800000003</v>
      </c>
      <c r="O1467" s="2">
        <v>0.42072890099999999</v>
      </c>
      <c r="P1467" s="2">
        <v>3.5012363309999999</v>
      </c>
      <c r="Q1467" s="2">
        <v>3.4510886470000002</v>
      </c>
      <c r="R1467" s="2">
        <v>0.38864602500000001</v>
      </c>
      <c r="S1467" s="2">
        <v>0.479868876</v>
      </c>
      <c r="T1467" s="2">
        <v>3.4795991310000001</v>
      </c>
      <c r="U1467" s="2">
        <v>3.4175632710000001</v>
      </c>
      <c r="V1467" s="2">
        <v>1.2398971860000001</v>
      </c>
      <c r="W1467" s="2">
        <v>0.156980392</v>
      </c>
      <c r="X1467">
        <f t="shared" si="66"/>
        <v>0</v>
      </c>
      <c r="Y1467">
        <f t="shared" si="67"/>
        <v>1</v>
      </c>
      <c r="Z1467">
        <f t="shared" si="68"/>
        <v>0</v>
      </c>
    </row>
    <row r="1468" spans="1:26" ht="15.75" customHeight="1" x14ac:dyDescent="0.2">
      <c r="A1468" s="2" t="s">
        <v>23</v>
      </c>
      <c r="B1468" s="2" t="s">
        <v>35</v>
      </c>
      <c r="C1468" s="2" t="s">
        <v>26</v>
      </c>
      <c r="D1468" s="2" t="s">
        <v>26</v>
      </c>
      <c r="E1468" s="2">
        <v>118</v>
      </c>
      <c r="F1468" s="2">
        <v>213.33333329999999</v>
      </c>
      <c r="G1468" s="2">
        <v>416.33333329999999</v>
      </c>
      <c r="H1468" s="2">
        <v>1079</v>
      </c>
      <c r="I1468" s="2">
        <v>2780</v>
      </c>
      <c r="J1468" s="2">
        <v>2.1</v>
      </c>
      <c r="K1468" s="2">
        <v>4.17</v>
      </c>
      <c r="L1468" s="2">
        <v>8.99</v>
      </c>
      <c r="M1468" s="2">
        <v>15.19</v>
      </c>
      <c r="N1468" s="2">
        <v>0.59930907499999997</v>
      </c>
      <c r="O1468" s="2">
        <v>0.668311498</v>
      </c>
      <c r="P1468" s="2">
        <v>2.4592495599999999</v>
      </c>
      <c r="Q1468" s="2">
        <v>2.5514521700000001</v>
      </c>
      <c r="R1468" s="2">
        <v>0.91254771499999998</v>
      </c>
      <c r="S1468" s="2">
        <v>1.0037705669999999</v>
      </c>
      <c r="T1468" s="2">
        <v>2.2836735899999998</v>
      </c>
      <c r="U1468" s="2">
        <v>2.3457094500000002</v>
      </c>
      <c r="V1468" s="2">
        <v>0.71599549500000004</v>
      </c>
      <c r="W1468" s="2">
        <v>0.24464809500000001</v>
      </c>
      <c r="X1468">
        <f t="shared" si="66"/>
        <v>0</v>
      </c>
      <c r="Y1468">
        <f t="shared" si="67"/>
        <v>1</v>
      </c>
      <c r="Z1468">
        <f t="shared" si="68"/>
        <v>0</v>
      </c>
    </row>
    <row r="1469" spans="1:26" ht="15.75" customHeight="1" x14ac:dyDescent="0.2">
      <c r="A1469" s="2" t="s">
        <v>23</v>
      </c>
      <c r="B1469" s="2" t="s">
        <v>35</v>
      </c>
      <c r="C1469" s="2" t="s">
        <v>30</v>
      </c>
      <c r="D1469" s="2" t="s">
        <v>31</v>
      </c>
      <c r="E1469" s="2">
        <v>179</v>
      </c>
      <c r="F1469" s="2">
        <v>247.33333329999999</v>
      </c>
      <c r="G1469" s="2">
        <v>522</v>
      </c>
      <c r="H1469" s="2">
        <v>1236.666667</v>
      </c>
      <c r="I1469" s="2">
        <v>2230.333333</v>
      </c>
      <c r="J1469" s="2">
        <v>2.4700000000000002</v>
      </c>
      <c r="K1469" s="2">
        <v>5.1100000000000003</v>
      </c>
      <c r="L1469" s="2">
        <v>9.84</v>
      </c>
      <c r="M1469" s="2">
        <v>13.74</v>
      </c>
      <c r="N1469" s="2">
        <v>4.5689788440000001</v>
      </c>
      <c r="O1469" s="2">
        <v>4.5198333540000002</v>
      </c>
      <c r="P1469" s="2">
        <v>1.43113037</v>
      </c>
      <c r="Q1469" s="2">
        <v>1.4941766649999999</v>
      </c>
      <c r="R1469" s="2">
        <v>2.8868675999999999E-2</v>
      </c>
      <c r="S1469" s="2">
        <v>6.2354175999999997E-2</v>
      </c>
      <c r="T1469" s="2">
        <v>1.430839172</v>
      </c>
      <c r="U1469" s="2">
        <v>1.492875033</v>
      </c>
      <c r="V1469" s="2">
        <v>1.657411886</v>
      </c>
      <c r="W1469" s="2">
        <v>0.166777601</v>
      </c>
      <c r="X1469">
        <f t="shared" si="66"/>
        <v>0</v>
      </c>
      <c r="Y1469">
        <f t="shared" si="67"/>
        <v>1</v>
      </c>
      <c r="Z1469">
        <f t="shared" si="68"/>
        <v>1</v>
      </c>
    </row>
    <row r="1470" spans="1:26" ht="15.75" customHeight="1" x14ac:dyDescent="0.2">
      <c r="A1470" s="2" t="s">
        <v>23</v>
      </c>
      <c r="B1470" s="2" t="s">
        <v>35</v>
      </c>
      <c r="C1470" s="2" t="s">
        <v>32</v>
      </c>
      <c r="D1470" s="2" t="s">
        <v>33</v>
      </c>
      <c r="E1470" s="2">
        <v>188</v>
      </c>
      <c r="F1470" s="2">
        <v>215</v>
      </c>
      <c r="G1470" s="2">
        <v>648.33333330000005</v>
      </c>
      <c r="H1470" s="2">
        <v>1194.666667</v>
      </c>
      <c r="I1470" s="2">
        <v>2441.666667</v>
      </c>
      <c r="J1470" s="2">
        <v>2.12</v>
      </c>
      <c r="K1470" s="2">
        <v>6.13</v>
      </c>
      <c r="L1470" s="2">
        <v>9.6199999999999992</v>
      </c>
      <c r="M1470" s="2">
        <v>14.34</v>
      </c>
      <c r="N1470" s="2">
        <v>2.5382258100000001</v>
      </c>
      <c r="O1470" s="2">
        <v>2.4471910989999999</v>
      </c>
      <c r="P1470" s="2">
        <v>1.957811993</v>
      </c>
      <c r="Q1470" s="2">
        <v>1.964058474</v>
      </c>
      <c r="R1470" s="2">
        <v>1.0542985650000001</v>
      </c>
      <c r="S1470" s="2">
        <v>0.96307571300000006</v>
      </c>
      <c r="T1470" s="2">
        <v>1.649691588</v>
      </c>
      <c r="U1470" s="2">
        <v>1.7117274490000001</v>
      </c>
      <c r="V1470" s="2">
        <v>2.682841775</v>
      </c>
      <c r="W1470" s="2">
        <v>0.23050430199999999</v>
      </c>
      <c r="X1470">
        <f t="shared" si="66"/>
        <v>0</v>
      </c>
      <c r="Y1470">
        <f t="shared" si="67"/>
        <v>1</v>
      </c>
      <c r="Z1470">
        <f t="shared" si="68"/>
        <v>1</v>
      </c>
    </row>
    <row r="1471" spans="1:26" ht="15.75" customHeight="1" x14ac:dyDescent="0.2">
      <c r="A1471" s="2" t="s">
        <v>23</v>
      </c>
      <c r="B1471" s="2" t="s">
        <v>35</v>
      </c>
      <c r="C1471" s="2" t="s">
        <v>28</v>
      </c>
      <c r="D1471" s="2" t="s">
        <v>29</v>
      </c>
      <c r="E1471" s="2">
        <v>162</v>
      </c>
      <c r="F1471" s="2">
        <v>227.66666670000001</v>
      </c>
      <c r="G1471" s="2">
        <v>326.66666670000001</v>
      </c>
      <c r="H1471" s="2">
        <v>1238</v>
      </c>
      <c r="I1471" s="2">
        <v>2651.333333</v>
      </c>
      <c r="J1471" s="2">
        <v>2.2599999999999998</v>
      </c>
      <c r="K1471" s="2">
        <v>3.3</v>
      </c>
      <c r="L1471" s="2">
        <v>9.85</v>
      </c>
      <c r="M1471" s="2">
        <v>14.88</v>
      </c>
      <c r="N1471" s="2">
        <v>1.816741999</v>
      </c>
      <c r="O1471" s="2">
        <v>1.8557271339999999</v>
      </c>
      <c r="P1471" s="2">
        <v>2.2792351860000002</v>
      </c>
      <c r="Q1471" s="2">
        <v>2.3892363130000001</v>
      </c>
      <c r="R1471" s="2">
        <v>1.779656707</v>
      </c>
      <c r="S1471" s="2">
        <v>1.8708795579999999</v>
      </c>
      <c r="T1471" s="2">
        <v>1.4239856179999999</v>
      </c>
      <c r="U1471" s="2">
        <v>1.4860214789999999</v>
      </c>
      <c r="V1471" s="2">
        <v>-0.15111349600000001</v>
      </c>
      <c r="W1471" s="2">
        <v>0.142436327</v>
      </c>
      <c r="X1471">
        <f t="shared" si="66"/>
        <v>0</v>
      </c>
      <c r="Y1471">
        <f t="shared" si="67"/>
        <v>1</v>
      </c>
      <c r="Z1471">
        <f t="shared" si="68"/>
        <v>1</v>
      </c>
    </row>
    <row r="1472" spans="1:26" ht="15.75" customHeight="1" x14ac:dyDescent="0.2">
      <c r="A1472" s="2" t="s">
        <v>23</v>
      </c>
      <c r="B1472" s="2" t="s">
        <v>35</v>
      </c>
      <c r="C1472" s="2" t="s">
        <v>28</v>
      </c>
      <c r="D1472" s="2" t="s">
        <v>29</v>
      </c>
      <c r="E1472" s="2">
        <v>206</v>
      </c>
      <c r="F1472" s="2">
        <v>207.33333329999999</v>
      </c>
      <c r="G1472" s="2">
        <v>380.33333329999999</v>
      </c>
      <c r="H1472" s="2">
        <v>1281.333333</v>
      </c>
      <c r="I1472" s="2">
        <v>2780.666667</v>
      </c>
      <c r="J1472" s="2">
        <v>2.0299999999999998</v>
      </c>
      <c r="K1472" s="2">
        <v>3.83</v>
      </c>
      <c r="L1472" s="2">
        <v>10.07</v>
      </c>
      <c r="M1472" s="2">
        <v>15.2</v>
      </c>
      <c r="N1472" s="2">
        <v>1.707023867</v>
      </c>
      <c r="O1472" s="2">
        <v>1.6405355340000001</v>
      </c>
      <c r="P1472" s="2">
        <v>1.7377067690000001</v>
      </c>
      <c r="Q1472" s="2">
        <v>1.8465550479999999</v>
      </c>
      <c r="R1472" s="2">
        <v>1.2526975840000001</v>
      </c>
      <c r="S1472" s="2">
        <v>1.3439204360000001</v>
      </c>
      <c r="T1472" s="2">
        <v>1.2043145669999999</v>
      </c>
      <c r="U1472" s="2">
        <v>1.266350428</v>
      </c>
      <c r="V1472" s="2">
        <v>0.37584562599999999</v>
      </c>
      <c r="W1472" s="2">
        <v>0.230017268</v>
      </c>
      <c r="X1472">
        <f t="shared" si="66"/>
        <v>0</v>
      </c>
      <c r="Y1472">
        <f t="shared" si="67"/>
        <v>1</v>
      </c>
      <c r="Z1472">
        <f t="shared" si="68"/>
        <v>1</v>
      </c>
    </row>
    <row r="1473" spans="1:26" ht="15.75" customHeight="1" x14ac:dyDescent="0.2">
      <c r="A1473" s="2" t="s">
        <v>23</v>
      </c>
      <c r="B1473" s="2" t="s">
        <v>35</v>
      </c>
      <c r="C1473" s="2" t="s">
        <v>26</v>
      </c>
      <c r="D1473" s="2" t="s">
        <v>26</v>
      </c>
      <c r="E1473" s="2">
        <v>190</v>
      </c>
      <c r="F1473" s="2">
        <v>213.66666670000001</v>
      </c>
      <c r="G1473" s="2">
        <v>480.33333329999999</v>
      </c>
      <c r="H1473" s="2">
        <v>1003.333333</v>
      </c>
      <c r="I1473" s="2">
        <v>2872.333333</v>
      </c>
      <c r="J1473" s="2">
        <v>2.11</v>
      </c>
      <c r="K1473" s="2">
        <v>4.75</v>
      </c>
      <c r="L1473" s="2">
        <v>8.5500000000000007</v>
      </c>
      <c r="M1473" s="2">
        <v>15.41</v>
      </c>
      <c r="N1473" s="2">
        <v>0.217135786</v>
      </c>
      <c r="O1473" s="2">
        <v>0.194111809</v>
      </c>
      <c r="P1473" s="2">
        <v>2.7454127640000001</v>
      </c>
      <c r="Q1473" s="2">
        <v>2.8192667010000001</v>
      </c>
      <c r="R1473" s="2">
        <v>0.33261668500000002</v>
      </c>
      <c r="S1473" s="2">
        <v>0.42383953600000002</v>
      </c>
      <c r="T1473" s="2">
        <v>2.7251894220000001</v>
      </c>
      <c r="U1473" s="2">
        <v>2.7872252830000002</v>
      </c>
      <c r="V1473" s="2">
        <v>1.2959265259999999</v>
      </c>
      <c r="W1473" s="2">
        <v>0.17495448499999999</v>
      </c>
      <c r="X1473">
        <f t="shared" si="66"/>
        <v>0</v>
      </c>
      <c r="Y1473">
        <f t="shared" si="67"/>
        <v>1</v>
      </c>
      <c r="Z1473">
        <f t="shared" si="68"/>
        <v>0</v>
      </c>
    </row>
    <row r="1474" spans="1:26" ht="15.75" customHeight="1" x14ac:dyDescent="0.2">
      <c r="A1474" s="2" t="s">
        <v>23</v>
      </c>
      <c r="B1474" s="2" t="s">
        <v>35</v>
      </c>
      <c r="C1474" s="2" t="s">
        <v>25</v>
      </c>
      <c r="D1474" s="2" t="s">
        <v>25</v>
      </c>
      <c r="E1474" s="2">
        <v>187</v>
      </c>
      <c r="F1474" s="2">
        <v>244.33333329999999</v>
      </c>
      <c r="G1474" s="2">
        <v>902.66666669999995</v>
      </c>
      <c r="H1474" s="2">
        <v>1532.666667</v>
      </c>
      <c r="I1474" s="2">
        <v>3266.666667</v>
      </c>
      <c r="J1474" s="2">
        <v>2.44</v>
      </c>
      <c r="K1474" s="2">
        <v>7.92</v>
      </c>
      <c r="L1474" s="2">
        <v>11.23</v>
      </c>
      <c r="M1474" s="2">
        <v>16.23</v>
      </c>
      <c r="N1474" s="2">
        <v>0.12968369099999999</v>
      </c>
      <c r="O1474" s="2">
        <v>4.0170998999999999E-2</v>
      </c>
      <c r="P1474" s="2">
        <v>2.844421927</v>
      </c>
      <c r="Q1474" s="2">
        <v>2.7547556100000001</v>
      </c>
      <c r="R1474" s="2">
        <v>2.8441718909999998</v>
      </c>
      <c r="S1474" s="2">
        <v>2.7529490399999998</v>
      </c>
      <c r="T1474" s="2">
        <v>3.7714112000000001E-2</v>
      </c>
      <c r="U1474" s="2">
        <v>9.9749973000000006E-2</v>
      </c>
      <c r="V1474" s="2">
        <v>4.4727151020000004</v>
      </c>
      <c r="W1474" s="2">
        <v>0.201058716</v>
      </c>
      <c r="X1474">
        <f t="shared" si="66"/>
        <v>0</v>
      </c>
      <c r="Y1474">
        <f t="shared" si="67"/>
        <v>1</v>
      </c>
      <c r="Z1474">
        <f t="shared" si="68"/>
        <v>0</v>
      </c>
    </row>
    <row r="1475" spans="1:26" ht="15.75" customHeight="1" x14ac:dyDescent="0.2">
      <c r="A1475" s="2" t="s">
        <v>23</v>
      </c>
      <c r="B1475" s="2" t="s">
        <v>35</v>
      </c>
      <c r="C1475" s="2" t="s">
        <v>30</v>
      </c>
      <c r="D1475" s="2" t="s">
        <v>31</v>
      </c>
      <c r="E1475" s="2">
        <v>217</v>
      </c>
      <c r="F1475" s="2">
        <v>251.66666670000001</v>
      </c>
      <c r="G1475" s="2">
        <v>535.66666669999995</v>
      </c>
      <c r="H1475" s="2">
        <v>1353.666667</v>
      </c>
      <c r="I1475" s="2">
        <v>2162</v>
      </c>
      <c r="J1475" s="2">
        <v>2.52</v>
      </c>
      <c r="K1475" s="2">
        <v>5.22</v>
      </c>
      <c r="L1475" s="2">
        <v>10.42</v>
      </c>
      <c r="M1475" s="2">
        <v>13.53</v>
      </c>
      <c r="N1475" s="2">
        <v>4.0080300400000004</v>
      </c>
      <c r="O1475" s="2">
        <v>3.9508698770000001</v>
      </c>
      <c r="P1475" s="2">
        <v>0.86267265199999998</v>
      </c>
      <c r="Q1475" s="2">
        <v>0.91404011699999999</v>
      </c>
      <c r="R1475" s="2">
        <v>0.14480703</v>
      </c>
      <c r="S1475" s="2">
        <v>5.3584179000000003E-2</v>
      </c>
      <c r="T1475" s="2">
        <v>0.85043226000000005</v>
      </c>
      <c r="U1475" s="2">
        <v>0.91246812099999997</v>
      </c>
      <c r="V1475" s="2">
        <v>1.7733502409999999</v>
      </c>
      <c r="W1475" s="2">
        <v>0.16825330399999999</v>
      </c>
      <c r="X1475">
        <f t="shared" ref="X1475:X1538" si="69">IF(B1475="normal",1,0)</f>
        <v>0</v>
      </c>
      <c r="Y1475">
        <f t="shared" ref="Y1475:Y1538" si="70">IF(A1475="lecture",1,0)</f>
        <v>1</v>
      </c>
      <c r="Z1475">
        <f t="shared" ref="Z1475:Z1538" si="71">IF(ISNUMBER(FIND("~",D1475)),1,0)</f>
        <v>1</v>
      </c>
    </row>
    <row r="1476" spans="1:26" ht="15.75" customHeight="1" x14ac:dyDescent="0.2">
      <c r="A1476" s="2" t="s">
        <v>23</v>
      </c>
      <c r="B1476" s="2" t="s">
        <v>35</v>
      </c>
      <c r="C1476" s="2" t="s">
        <v>28</v>
      </c>
      <c r="D1476" s="2" t="s">
        <v>29</v>
      </c>
      <c r="E1476" s="2">
        <v>230</v>
      </c>
      <c r="F1476" s="2">
        <v>234</v>
      </c>
      <c r="G1476" s="2">
        <v>374</v>
      </c>
      <c r="H1476" s="2">
        <v>1270</v>
      </c>
      <c r="I1476" s="2">
        <v>2609</v>
      </c>
      <c r="J1476" s="2">
        <v>2.33</v>
      </c>
      <c r="K1476" s="2">
        <v>3.77</v>
      </c>
      <c r="L1476" s="2">
        <v>10.01</v>
      </c>
      <c r="M1476" s="2">
        <v>14.78</v>
      </c>
      <c r="N1476" s="2">
        <v>1.682264467</v>
      </c>
      <c r="O1476" s="2">
        <v>1.632117678</v>
      </c>
      <c r="P1476" s="2">
        <v>1.8210514280000001</v>
      </c>
      <c r="Q1476" s="2">
        <v>1.929907362</v>
      </c>
      <c r="R1476" s="2">
        <v>1.3136241449999999</v>
      </c>
      <c r="S1476" s="2">
        <v>1.4048469960000001</v>
      </c>
      <c r="T1476" s="2">
        <v>1.2611978079999999</v>
      </c>
      <c r="U1476" s="2">
        <v>1.3232336689999999</v>
      </c>
      <c r="V1476" s="2">
        <v>0.31491906600000003</v>
      </c>
      <c r="W1476" s="2">
        <v>0.101242186</v>
      </c>
      <c r="X1476">
        <f t="shared" si="69"/>
        <v>0</v>
      </c>
      <c r="Y1476">
        <f t="shared" si="70"/>
        <v>1</v>
      </c>
      <c r="Z1476">
        <f t="shared" si="71"/>
        <v>1</v>
      </c>
    </row>
    <row r="1477" spans="1:26" ht="15.75" customHeight="1" x14ac:dyDescent="0.2">
      <c r="A1477" s="2" t="s">
        <v>23</v>
      </c>
      <c r="B1477" s="2" t="s">
        <v>35</v>
      </c>
      <c r="C1477" s="2" t="s">
        <v>28</v>
      </c>
      <c r="D1477" s="2" t="s">
        <v>29</v>
      </c>
      <c r="E1477" s="2">
        <v>195</v>
      </c>
      <c r="F1477" s="2">
        <v>239.33333329999999</v>
      </c>
      <c r="G1477" s="2">
        <v>425.66666670000001</v>
      </c>
      <c r="H1477" s="2">
        <v>1216.333333</v>
      </c>
      <c r="I1477" s="2">
        <v>2817.333333</v>
      </c>
      <c r="J1477" s="2">
        <v>2.39</v>
      </c>
      <c r="K1477" s="2">
        <v>4.25</v>
      </c>
      <c r="L1477" s="2">
        <v>9.74</v>
      </c>
      <c r="M1477" s="2">
        <v>15.28</v>
      </c>
      <c r="N1477" s="2">
        <v>1.2540413530000001</v>
      </c>
      <c r="O1477" s="2">
        <v>1.132177524</v>
      </c>
      <c r="P1477" s="2">
        <v>1.744088192</v>
      </c>
      <c r="Q1477" s="2">
        <v>1.8426348480000001</v>
      </c>
      <c r="R1477" s="2">
        <v>0.82603647499999999</v>
      </c>
      <c r="S1477" s="2">
        <v>0.91725932600000004</v>
      </c>
      <c r="T1477" s="2">
        <v>1.5360688010000001</v>
      </c>
      <c r="U1477" s="2">
        <v>1.5981046619999999</v>
      </c>
      <c r="V1477" s="2">
        <v>0.802506736</v>
      </c>
      <c r="W1477" s="2">
        <v>8.9547208000000003E-2</v>
      </c>
      <c r="X1477">
        <f t="shared" si="69"/>
        <v>0</v>
      </c>
      <c r="Y1477">
        <f t="shared" si="70"/>
        <v>1</v>
      </c>
      <c r="Z1477">
        <f t="shared" si="71"/>
        <v>1</v>
      </c>
    </row>
    <row r="1478" spans="1:26" ht="15.75" customHeight="1" x14ac:dyDescent="0.2">
      <c r="A1478" s="2" t="s">
        <v>23</v>
      </c>
      <c r="B1478" s="2" t="s">
        <v>35</v>
      </c>
      <c r="C1478" s="2" t="s">
        <v>32</v>
      </c>
      <c r="D1478" s="2" t="s">
        <v>33</v>
      </c>
      <c r="E1478" s="2">
        <v>220</v>
      </c>
      <c r="F1478" s="2">
        <v>244.66666670000001</v>
      </c>
      <c r="G1478" s="2">
        <v>704.33333330000005</v>
      </c>
      <c r="H1478" s="2">
        <v>1264.333333</v>
      </c>
      <c r="I1478" s="2">
        <v>2455.666667</v>
      </c>
      <c r="J1478" s="2">
        <v>2.4500000000000002</v>
      </c>
      <c r="K1478" s="2">
        <v>6.56</v>
      </c>
      <c r="L1478" s="2">
        <v>9.98</v>
      </c>
      <c r="M1478" s="2">
        <v>14.38</v>
      </c>
      <c r="N1478" s="2">
        <v>1.982736209</v>
      </c>
      <c r="O1478" s="2">
        <v>1.8916721780000001</v>
      </c>
      <c r="P1478" s="2">
        <v>1.961443442</v>
      </c>
      <c r="Q1478" s="2">
        <v>1.9364530040000001</v>
      </c>
      <c r="R1478" s="2">
        <v>1.477736012</v>
      </c>
      <c r="S1478" s="2">
        <v>1.38651316</v>
      </c>
      <c r="T1478" s="2">
        <v>1.2897893840000001</v>
      </c>
      <c r="U1478" s="2">
        <v>1.3518252449999999</v>
      </c>
      <c r="V1478" s="2">
        <v>3.106279222</v>
      </c>
      <c r="W1478" s="2">
        <v>0.16616467800000001</v>
      </c>
      <c r="X1478">
        <f t="shared" si="69"/>
        <v>0</v>
      </c>
      <c r="Y1478">
        <f t="shared" si="70"/>
        <v>1</v>
      </c>
      <c r="Z1478">
        <f t="shared" si="71"/>
        <v>1</v>
      </c>
    </row>
    <row r="1479" spans="1:26" ht="15.75" customHeight="1" x14ac:dyDescent="0.2">
      <c r="A1479" s="2" t="s">
        <v>23</v>
      </c>
      <c r="B1479" s="2" t="s">
        <v>35</v>
      </c>
      <c r="C1479" s="2" t="s">
        <v>25</v>
      </c>
      <c r="D1479" s="2" t="s">
        <v>25</v>
      </c>
      <c r="E1479" s="2">
        <v>180</v>
      </c>
      <c r="F1479" s="2">
        <v>225.66666670000001</v>
      </c>
      <c r="G1479" s="2">
        <v>906.33333330000005</v>
      </c>
      <c r="H1479" s="2">
        <v>1633.333333</v>
      </c>
      <c r="I1479" s="2">
        <v>3081</v>
      </c>
      <c r="J1479" s="2">
        <v>2.2400000000000002</v>
      </c>
      <c r="K1479" s="2">
        <v>7.95</v>
      </c>
      <c r="L1479" s="2">
        <v>11.66</v>
      </c>
      <c r="M1479" s="2">
        <v>15.86</v>
      </c>
      <c r="N1479" s="2">
        <v>0.34935252300000003</v>
      </c>
      <c r="O1479" s="2">
        <v>0.40474833799999999</v>
      </c>
      <c r="P1479" s="2">
        <v>2.893219266</v>
      </c>
      <c r="Q1479" s="2">
        <v>2.7950100889999998</v>
      </c>
      <c r="R1479" s="2">
        <v>2.8676534459999998</v>
      </c>
      <c r="S1479" s="2">
        <v>2.7764305939999998</v>
      </c>
      <c r="T1479" s="2">
        <v>0.38377264</v>
      </c>
      <c r="U1479" s="2">
        <v>0.32173677899999997</v>
      </c>
      <c r="V1479" s="2">
        <v>4.4961966560000004</v>
      </c>
      <c r="W1479" s="2">
        <v>0.175128851</v>
      </c>
      <c r="X1479">
        <f t="shared" si="69"/>
        <v>0</v>
      </c>
      <c r="Y1479">
        <f t="shared" si="70"/>
        <v>1</v>
      </c>
      <c r="Z1479">
        <f t="shared" si="71"/>
        <v>0</v>
      </c>
    </row>
    <row r="1480" spans="1:26" ht="15.75" customHeight="1" x14ac:dyDescent="0.2">
      <c r="A1480" s="2" t="s">
        <v>23</v>
      </c>
      <c r="B1480" s="2" t="s">
        <v>35</v>
      </c>
      <c r="C1480" s="2" t="s">
        <v>27</v>
      </c>
      <c r="D1480" s="2" t="s">
        <v>27</v>
      </c>
      <c r="E1480" s="2">
        <v>183</v>
      </c>
      <c r="F1480" s="2">
        <v>254.66666670000001</v>
      </c>
      <c r="G1480" s="2">
        <v>488.66666670000001</v>
      </c>
      <c r="H1480" s="2">
        <v>2509</v>
      </c>
      <c r="I1480" s="2">
        <v>3426.333333</v>
      </c>
      <c r="J1480" s="2">
        <v>2.5499999999999998</v>
      </c>
      <c r="K1480" s="2">
        <v>4.82</v>
      </c>
      <c r="L1480" s="2">
        <v>14.52</v>
      </c>
      <c r="M1480" s="2">
        <v>16.52</v>
      </c>
      <c r="N1480" s="2">
        <v>0.239027614</v>
      </c>
      <c r="O1480" s="2">
        <v>0.169244335</v>
      </c>
      <c r="P1480" s="2">
        <v>3.2594964480000002</v>
      </c>
      <c r="Q1480" s="2">
        <v>3.2063487799999999</v>
      </c>
      <c r="R1480" s="2">
        <v>0.259335443</v>
      </c>
      <c r="S1480" s="2">
        <v>0.35055829500000002</v>
      </c>
      <c r="T1480" s="2">
        <v>3.2491633110000002</v>
      </c>
      <c r="U1480" s="2">
        <v>3.1871274500000002</v>
      </c>
      <c r="V1480" s="2">
        <v>1.369207767</v>
      </c>
      <c r="W1480" s="2">
        <v>0.22670035599999999</v>
      </c>
      <c r="X1480">
        <f t="shared" si="69"/>
        <v>0</v>
      </c>
      <c r="Y1480">
        <f t="shared" si="70"/>
        <v>1</v>
      </c>
      <c r="Z1480">
        <f t="shared" si="71"/>
        <v>0</v>
      </c>
    </row>
    <row r="1481" spans="1:26" ht="15.75" customHeight="1" x14ac:dyDescent="0.2">
      <c r="A1481" s="2" t="s">
        <v>23</v>
      </c>
      <c r="B1481" s="2" t="s">
        <v>35</v>
      </c>
      <c r="C1481" s="2" t="s">
        <v>32</v>
      </c>
      <c r="D1481" s="2" t="s">
        <v>33</v>
      </c>
      <c r="E1481" s="2">
        <v>149</v>
      </c>
      <c r="F1481" s="2">
        <v>266</v>
      </c>
      <c r="G1481" s="2">
        <v>674</v>
      </c>
      <c r="H1481" s="2">
        <v>1344</v>
      </c>
      <c r="I1481" s="2">
        <v>3388</v>
      </c>
      <c r="J1481" s="2">
        <v>2.67</v>
      </c>
      <c r="K1481" s="2">
        <v>6.33</v>
      </c>
      <c r="L1481" s="2">
        <v>10.38</v>
      </c>
      <c r="M1481" s="2">
        <v>16.45</v>
      </c>
      <c r="N1481" s="2">
        <v>1.938133044</v>
      </c>
      <c r="O1481" s="2">
        <v>1.8504947899999999</v>
      </c>
      <c r="P1481" s="2">
        <v>1.538935985</v>
      </c>
      <c r="Q1481" s="2">
        <v>1.504525441</v>
      </c>
      <c r="R1481" s="2">
        <v>1.2506090489999999</v>
      </c>
      <c r="S1481" s="2">
        <v>1.1593861969999999</v>
      </c>
      <c r="T1481" s="2">
        <v>0.896828285</v>
      </c>
      <c r="U1481" s="2">
        <v>0.95886414600000003</v>
      </c>
      <c r="V1481" s="2">
        <v>2.879152259</v>
      </c>
      <c r="W1481" s="2">
        <v>0.14666475000000001</v>
      </c>
      <c r="X1481">
        <f t="shared" si="69"/>
        <v>0</v>
      </c>
      <c r="Y1481">
        <f t="shared" si="70"/>
        <v>1</v>
      </c>
      <c r="Z1481">
        <f t="shared" si="71"/>
        <v>1</v>
      </c>
    </row>
    <row r="1482" spans="1:26" ht="15.75" customHeight="1" x14ac:dyDescent="0.2">
      <c r="A1482" s="2" t="s">
        <v>23</v>
      </c>
      <c r="B1482" s="2" t="s">
        <v>35</v>
      </c>
      <c r="C1482" s="2" t="s">
        <v>28</v>
      </c>
      <c r="D1482" s="2" t="s">
        <v>29</v>
      </c>
      <c r="E1482" s="2">
        <v>185</v>
      </c>
      <c r="F1482" s="2">
        <v>226</v>
      </c>
      <c r="G1482" s="2">
        <v>363.66666670000001</v>
      </c>
      <c r="H1482" s="2">
        <v>1290.333333</v>
      </c>
      <c r="I1482" s="2">
        <v>2852.666667</v>
      </c>
      <c r="J1482" s="2">
        <v>2.2400000000000002</v>
      </c>
      <c r="K1482" s="2">
        <v>3.67</v>
      </c>
      <c r="L1482" s="2">
        <v>10.11</v>
      </c>
      <c r="M1482" s="2">
        <v>15.36</v>
      </c>
      <c r="N1482" s="2">
        <v>1.8189788520000001</v>
      </c>
      <c r="O1482" s="2">
        <v>1.7742005409999999</v>
      </c>
      <c r="P1482" s="2">
        <v>1.8283702559999999</v>
      </c>
      <c r="Q1482" s="2">
        <v>1.938270151</v>
      </c>
      <c r="R1482" s="2">
        <v>1.4137436379999999</v>
      </c>
      <c r="S1482" s="2">
        <v>1.5049664899999999</v>
      </c>
      <c r="T1482" s="2">
        <v>1.1594251680000001</v>
      </c>
      <c r="U1482" s="2">
        <v>1.221461028</v>
      </c>
      <c r="V1482" s="2">
        <v>0.21479957199999999</v>
      </c>
      <c r="W1482" s="2">
        <v>0.10215938200000001</v>
      </c>
      <c r="X1482">
        <f t="shared" si="69"/>
        <v>0</v>
      </c>
      <c r="Y1482">
        <f t="shared" si="70"/>
        <v>1</v>
      </c>
      <c r="Z1482">
        <f t="shared" si="71"/>
        <v>1</v>
      </c>
    </row>
    <row r="1483" spans="1:26" ht="15.75" customHeight="1" x14ac:dyDescent="0.2">
      <c r="A1483" s="2" t="s">
        <v>23</v>
      </c>
      <c r="B1483" s="2" t="s">
        <v>35</v>
      </c>
      <c r="C1483" s="2" t="s">
        <v>27</v>
      </c>
      <c r="D1483" s="2" t="s">
        <v>27</v>
      </c>
      <c r="E1483" s="2">
        <v>172</v>
      </c>
      <c r="F1483" s="2">
        <v>244.33333329999999</v>
      </c>
      <c r="G1483" s="2">
        <v>446.66666670000001</v>
      </c>
      <c r="H1483" s="2">
        <v>2456.666667</v>
      </c>
      <c r="I1483" s="2">
        <v>3261.333333</v>
      </c>
      <c r="J1483" s="2">
        <v>2.44</v>
      </c>
      <c r="K1483" s="2">
        <v>4.45</v>
      </c>
      <c r="L1483" s="2">
        <v>14.38</v>
      </c>
      <c r="M1483" s="2">
        <v>16.22</v>
      </c>
      <c r="N1483" s="2">
        <v>0.178482746</v>
      </c>
      <c r="O1483" s="2">
        <v>0.37783011999999999</v>
      </c>
      <c r="P1483" s="2">
        <v>3.173775725</v>
      </c>
      <c r="Q1483" s="2">
        <v>3.1328614090000002</v>
      </c>
      <c r="R1483" s="2">
        <v>0.63383953199999998</v>
      </c>
      <c r="S1483" s="2">
        <v>0.725062384</v>
      </c>
      <c r="T1483" s="2">
        <v>3.1098391919999999</v>
      </c>
      <c r="U1483" s="2">
        <v>3.0478033309999999</v>
      </c>
      <c r="V1483" s="2">
        <v>0.99470367800000004</v>
      </c>
      <c r="W1483" s="2">
        <v>0.18609658800000001</v>
      </c>
      <c r="X1483">
        <f t="shared" si="69"/>
        <v>0</v>
      </c>
      <c r="Y1483">
        <f t="shared" si="70"/>
        <v>1</v>
      </c>
      <c r="Z1483">
        <f t="shared" si="71"/>
        <v>0</v>
      </c>
    </row>
    <row r="1484" spans="1:26" ht="15.75" customHeight="1" x14ac:dyDescent="0.2">
      <c r="A1484" s="2" t="s">
        <v>23</v>
      </c>
      <c r="B1484" s="2" t="s">
        <v>35</v>
      </c>
      <c r="C1484" s="2" t="s">
        <v>26</v>
      </c>
      <c r="D1484" s="2" t="s">
        <v>26</v>
      </c>
      <c r="E1484" s="2">
        <v>186</v>
      </c>
      <c r="F1484" s="2">
        <v>248</v>
      </c>
      <c r="G1484" s="2">
        <v>457.66666670000001</v>
      </c>
      <c r="H1484" s="2">
        <v>902.33333330000005</v>
      </c>
      <c r="I1484" s="2">
        <v>2663</v>
      </c>
      <c r="J1484" s="2">
        <v>2.48</v>
      </c>
      <c r="K1484" s="2">
        <v>4.55</v>
      </c>
      <c r="L1484" s="2">
        <v>7.92</v>
      </c>
      <c r="M1484" s="2">
        <v>14.91</v>
      </c>
      <c r="N1484" s="2">
        <v>0.59232906500000004</v>
      </c>
      <c r="O1484" s="2">
        <v>0.85070535300000005</v>
      </c>
      <c r="P1484" s="2">
        <v>3.3932607930000001</v>
      </c>
      <c r="Q1484" s="2">
        <v>3.4698209709999999</v>
      </c>
      <c r="R1484" s="2">
        <v>0.53449746200000003</v>
      </c>
      <c r="S1484" s="2">
        <v>0.62572031400000006</v>
      </c>
      <c r="T1484" s="2">
        <v>3.3509000690000001</v>
      </c>
      <c r="U1484" s="2">
        <v>3.4129359290000001</v>
      </c>
      <c r="V1484" s="2">
        <v>1.0940457480000001</v>
      </c>
      <c r="W1484" s="2">
        <v>0.18362504800000001</v>
      </c>
      <c r="X1484">
        <f t="shared" si="69"/>
        <v>0</v>
      </c>
      <c r="Y1484">
        <f t="shared" si="70"/>
        <v>1</v>
      </c>
      <c r="Z1484">
        <f t="shared" si="71"/>
        <v>0</v>
      </c>
    </row>
    <row r="1485" spans="1:26" ht="15.75" customHeight="1" x14ac:dyDescent="0.2">
      <c r="A1485" s="2" t="s">
        <v>23</v>
      </c>
      <c r="B1485" s="2" t="s">
        <v>35</v>
      </c>
      <c r="C1485" s="2" t="s">
        <v>27</v>
      </c>
      <c r="D1485" s="2" t="s">
        <v>27</v>
      </c>
      <c r="E1485" s="2">
        <v>173</v>
      </c>
      <c r="F1485" s="2">
        <v>225.66666670000001</v>
      </c>
      <c r="G1485" s="2">
        <v>434.66666670000001</v>
      </c>
      <c r="H1485" s="2">
        <v>2415.333333</v>
      </c>
      <c r="I1485" s="2">
        <v>3296.666667</v>
      </c>
      <c r="J1485" s="2">
        <v>2.2400000000000002</v>
      </c>
      <c r="K1485" s="2">
        <v>4.34</v>
      </c>
      <c r="L1485" s="2">
        <v>14.27</v>
      </c>
      <c r="M1485" s="2">
        <v>16.28</v>
      </c>
      <c r="N1485" s="2">
        <v>0.309984133</v>
      </c>
      <c r="O1485" s="2">
        <v>0.49300852899999997</v>
      </c>
      <c r="P1485" s="2">
        <v>3.088219021</v>
      </c>
      <c r="Q1485" s="2">
        <v>3.051716264</v>
      </c>
      <c r="R1485" s="2">
        <v>0.74325358900000005</v>
      </c>
      <c r="S1485" s="2">
        <v>0.83447643999999999</v>
      </c>
      <c r="T1485" s="2">
        <v>2.9974440480000002</v>
      </c>
      <c r="U1485" s="2">
        <v>2.9354081879999998</v>
      </c>
      <c r="V1485" s="2">
        <v>0.88528962200000005</v>
      </c>
      <c r="W1485" s="2">
        <v>0.208108618</v>
      </c>
      <c r="X1485">
        <f t="shared" si="69"/>
        <v>0</v>
      </c>
      <c r="Y1485">
        <f t="shared" si="70"/>
        <v>1</v>
      </c>
      <c r="Z1485">
        <f t="shared" si="71"/>
        <v>0</v>
      </c>
    </row>
    <row r="1486" spans="1:26" ht="15.75" customHeight="1" x14ac:dyDescent="0.2">
      <c r="A1486" s="2" t="s">
        <v>23</v>
      </c>
      <c r="B1486" s="2" t="s">
        <v>35</v>
      </c>
      <c r="C1486" s="2" t="s">
        <v>27</v>
      </c>
      <c r="D1486" s="2" t="s">
        <v>27</v>
      </c>
      <c r="E1486" s="2">
        <v>214</v>
      </c>
      <c r="F1486" s="2">
        <v>244</v>
      </c>
      <c r="G1486" s="2">
        <v>450.33333329999999</v>
      </c>
      <c r="H1486" s="2">
        <v>2591.666667</v>
      </c>
      <c r="I1486" s="2">
        <v>3369</v>
      </c>
      <c r="J1486" s="2">
        <v>2.44</v>
      </c>
      <c r="K1486" s="2">
        <v>4.4800000000000004</v>
      </c>
      <c r="L1486" s="2">
        <v>14.74</v>
      </c>
      <c r="M1486" s="2">
        <v>16.420000000000002</v>
      </c>
      <c r="N1486" s="2">
        <v>0.37922781500000002</v>
      </c>
      <c r="O1486" s="2">
        <v>0.51426289199999997</v>
      </c>
      <c r="P1486" s="2">
        <v>3.5144193769999998</v>
      </c>
      <c r="Q1486" s="2">
        <v>3.4703414879999999</v>
      </c>
      <c r="R1486" s="2">
        <v>0.60062476099999995</v>
      </c>
      <c r="S1486" s="2">
        <v>0.69184761299999997</v>
      </c>
      <c r="T1486" s="2">
        <v>3.4627147520000001</v>
      </c>
      <c r="U1486" s="2">
        <v>3.4006788910000001</v>
      </c>
      <c r="V1486" s="2">
        <v>1.027918449</v>
      </c>
      <c r="W1486" s="2">
        <v>0.191825102</v>
      </c>
      <c r="X1486">
        <f t="shared" si="69"/>
        <v>0</v>
      </c>
      <c r="Y1486">
        <f t="shared" si="70"/>
        <v>1</v>
      </c>
      <c r="Z1486">
        <f t="shared" si="71"/>
        <v>0</v>
      </c>
    </row>
    <row r="1487" spans="1:26" ht="15.75" customHeight="1" x14ac:dyDescent="0.2">
      <c r="A1487" s="2" t="s">
        <v>23</v>
      </c>
      <c r="B1487" s="2" t="s">
        <v>35</v>
      </c>
      <c r="C1487" s="2" t="s">
        <v>32</v>
      </c>
      <c r="D1487" s="2" t="s">
        <v>33</v>
      </c>
      <c r="E1487" s="2">
        <v>156</v>
      </c>
      <c r="F1487" s="2">
        <v>240</v>
      </c>
      <c r="G1487" s="2">
        <v>726.66666669999995</v>
      </c>
      <c r="H1487" s="2">
        <v>1573</v>
      </c>
      <c r="I1487" s="2">
        <v>3874.666667</v>
      </c>
      <c r="J1487" s="2">
        <v>2.39</v>
      </c>
      <c r="K1487" s="2">
        <v>6.72</v>
      </c>
      <c r="L1487" s="2">
        <v>11.41</v>
      </c>
      <c r="M1487" s="2">
        <v>17.27</v>
      </c>
      <c r="N1487" s="2">
        <v>1.3069887200000001</v>
      </c>
      <c r="O1487" s="2">
        <v>1.2485457790000001</v>
      </c>
      <c r="P1487" s="2">
        <v>1.647146489</v>
      </c>
      <c r="Q1487" s="2">
        <v>1.5521316119999999</v>
      </c>
      <c r="R1487" s="2">
        <v>1.641683244</v>
      </c>
      <c r="S1487" s="2">
        <v>1.550460392</v>
      </c>
      <c r="T1487" s="2">
        <v>0.13404359099999999</v>
      </c>
      <c r="U1487" s="2">
        <v>7.2007731000000005E-2</v>
      </c>
      <c r="V1487" s="2">
        <v>3.2702264539999999</v>
      </c>
      <c r="W1487" s="2">
        <v>0.16407000899999999</v>
      </c>
      <c r="X1487">
        <f t="shared" si="69"/>
        <v>0</v>
      </c>
      <c r="Y1487">
        <f t="shared" si="70"/>
        <v>1</v>
      </c>
      <c r="Z1487">
        <f t="shared" si="71"/>
        <v>1</v>
      </c>
    </row>
    <row r="1488" spans="1:26" ht="15.75" customHeight="1" x14ac:dyDescent="0.2">
      <c r="A1488" s="2" t="s">
        <v>23</v>
      </c>
      <c r="B1488" s="2" t="s">
        <v>35</v>
      </c>
      <c r="C1488" s="2" t="s">
        <v>28</v>
      </c>
      <c r="D1488" s="2" t="s">
        <v>29</v>
      </c>
      <c r="E1488" s="2">
        <v>190</v>
      </c>
      <c r="F1488" s="2">
        <v>241</v>
      </c>
      <c r="G1488" s="2">
        <v>421.33333329999999</v>
      </c>
      <c r="H1488" s="2">
        <v>1194.666667</v>
      </c>
      <c r="I1488" s="2">
        <v>2695.666667</v>
      </c>
      <c r="J1488" s="2">
        <v>2.41</v>
      </c>
      <c r="K1488" s="2">
        <v>4.21</v>
      </c>
      <c r="L1488" s="2">
        <v>9.6199999999999992</v>
      </c>
      <c r="M1488" s="2">
        <v>14.99</v>
      </c>
      <c r="N1488" s="2">
        <v>1.153973087</v>
      </c>
      <c r="O1488" s="2">
        <v>1.0545244199999999</v>
      </c>
      <c r="P1488" s="2">
        <v>1.863234514</v>
      </c>
      <c r="Q1488" s="2">
        <v>1.9612527900000001</v>
      </c>
      <c r="R1488" s="2">
        <v>0.86611807299999999</v>
      </c>
      <c r="S1488" s="2">
        <v>0.95734092500000001</v>
      </c>
      <c r="T1488" s="2">
        <v>1.649691588</v>
      </c>
      <c r="U1488" s="2">
        <v>1.7117274490000001</v>
      </c>
      <c r="V1488" s="2">
        <v>0.762425138</v>
      </c>
      <c r="W1488" s="2">
        <v>0.15586712599999999</v>
      </c>
      <c r="X1488">
        <f t="shared" si="69"/>
        <v>0</v>
      </c>
      <c r="Y1488">
        <f t="shared" si="70"/>
        <v>1</v>
      </c>
      <c r="Z1488">
        <f t="shared" si="71"/>
        <v>1</v>
      </c>
    </row>
    <row r="1489" spans="1:26" ht="15.75" customHeight="1" x14ac:dyDescent="0.2">
      <c r="A1489" s="2" t="s">
        <v>23</v>
      </c>
      <c r="B1489" s="2" t="s">
        <v>35</v>
      </c>
      <c r="C1489" s="2" t="s">
        <v>26</v>
      </c>
      <c r="D1489" s="2" t="s">
        <v>26</v>
      </c>
      <c r="E1489" s="2">
        <v>109</v>
      </c>
      <c r="F1489" s="2">
        <v>208.33333329999999</v>
      </c>
      <c r="G1489" s="2">
        <v>391.33333329999999</v>
      </c>
      <c r="H1489" s="2">
        <v>1138.333333</v>
      </c>
      <c r="I1489" s="2">
        <v>2625.666667</v>
      </c>
      <c r="J1489" s="2">
        <v>2.0499999999999998</v>
      </c>
      <c r="K1489" s="2">
        <v>3.93</v>
      </c>
      <c r="L1489" s="2">
        <v>9.32</v>
      </c>
      <c r="M1489" s="2">
        <v>14.82</v>
      </c>
      <c r="N1489" s="2">
        <v>1.005236588</v>
      </c>
      <c r="O1489" s="2">
        <v>1.0340370480000001</v>
      </c>
      <c r="P1489" s="2">
        <v>2.2648536520000002</v>
      </c>
      <c r="Q1489" s="2">
        <v>2.365031364</v>
      </c>
      <c r="R1489" s="2">
        <v>1.147657841</v>
      </c>
      <c r="S1489" s="2">
        <v>1.238880692</v>
      </c>
      <c r="T1489" s="2">
        <v>1.952547963</v>
      </c>
      <c r="U1489" s="2">
        <v>2.0145838239999998</v>
      </c>
      <c r="V1489" s="2">
        <v>0.48088536999999998</v>
      </c>
      <c r="W1489" s="2">
        <v>0.19387460200000001</v>
      </c>
      <c r="X1489">
        <f t="shared" si="69"/>
        <v>0</v>
      </c>
      <c r="Y1489">
        <f t="shared" si="70"/>
        <v>1</v>
      </c>
      <c r="Z1489">
        <f t="shared" si="71"/>
        <v>0</v>
      </c>
    </row>
    <row r="1490" spans="1:26" ht="15.75" customHeight="1" x14ac:dyDescent="0.2">
      <c r="A1490" s="2" t="s">
        <v>23</v>
      </c>
      <c r="B1490" s="2" t="s">
        <v>35</v>
      </c>
      <c r="C1490" s="2" t="s">
        <v>30</v>
      </c>
      <c r="D1490" s="2" t="s">
        <v>31</v>
      </c>
      <c r="E1490" s="2">
        <v>204</v>
      </c>
      <c r="F1490" s="2">
        <v>247.33333329999999</v>
      </c>
      <c r="G1490" s="2">
        <v>584.33333330000005</v>
      </c>
      <c r="H1490" s="2">
        <v>1238</v>
      </c>
      <c r="I1490" s="2">
        <v>2038.666667</v>
      </c>
      <c r="J1490" s="2">
        <v>2.4700000000000002</v>
      </c>
      <c r="K1490" s="2">
        <v>5.63</v>
      </c>
      <c r="L1490" s="2">
        <v>9.85</v>
      </c>
      <c r="M1490" s="2">
        <v>13.14</v>
      </c>
      <c r="N1490" s="2">
        <v>4.6459336210000002</v>
      </c>
      <c r="O1490" s="2">
        <v>4.5752471830000001</v>
      </c>
      <c r="P1490" s="2">
        <v>1.5256283669999999</v>
      </c>
      <c r="Q1490" s="2">
        <v>1.554506629</v>
      </c>
      <c r="R1490" s="2">
        <v>0.54754622799999997</v>
      </c>
      <c r="S1490" s="2">
        <v>0.456323376</v>
      </c>
      <c r="T1490" s="2">
        <v>1.4239856179999999</v>
      </c>
      <c r="U1490" s="2">
        <v>1.4860214789999999</v>
      </c>
      <c r="V1490" s="2">
        <v>2.176089438</v>
      </c>
      <c r="W1490" s="2">
        <v>0.131289451</v>
      </c>
      <c r="X1490">
        <f t="shared" si="69"/>
        <v>0</v>
      </c>
      <c r="Y1490">
        <f t="shared" si="70"/>
        <v>1</v>
      </c>
      <c r="Z1490">
        <f t="shared" si="71"/>
        <v>1</v>
      </c>
    </row>
    <row r="1491" spans="1:26" ht="15.75" customHeight="1" x14ac:dyDescent="0.2">
      <c r="A1491" s="2" t="s">
        <v>23</v>
      </c>
      <c r="B1491" s="2" t="s">
        <v>35</v>
      </c>
      <c r="C1491" s="2" t="s">
        <v>27</v>
      </c>
      <c r="D1491" s="2" t="s">
        <v>27</v>
      </c>
      <c r="E1491" s="2">
        <v>164</v>
      </c>
      <c r="F1491" s="2">
        <v>229.66666670000001</v>
      </c>
      <c r="G1491" s="2">
        <v>444.66666670000001</v>
      </c>
      <c r="H1491" s="2">
        <v>2546.666667</v>
      </c>
      <c r="I1491" s="2">
        <v>3378.333333</v>
      </c>
      <c r="J1491" s="2">
        <v>2.2799999999999998</v>
      </c>
      <c r="K1491" s="2">
        <v>4.43</v>
      </c>
      <c r="L1491" s="2">
        <v>14.62</v>
      </c>
      <c r="M1491" s="2">
        <v>16.440000000000001</v>
      </c>
      <c r="N1491" s="2">
        <v>0.30643340000000002</v>
      </c>
      <c r="O1491" s="2">
        <v>0.47689630399999999</v>
      </c>
      <c r="P1491" s="2">
        <v>3.4103443069999999</v>
      </c>
      <c r="Q1491" s="2">
        <v>3.3684195649999999</v>
      </c>
      <c r="R1491" s="2">
        <v>0.65199937399999996</v>
      </c>
      <c r="S1491" s="2">
        <v>0.74322222500000001</v>
      </c>
      <c r="T1491" s="2">
        <v>3.3474385889999998</v>
      </c>
      <c r="U1491" s="2">
        <v>3.2854027280000002</v>
      </c>
      <c r="V1491" s="2">
        <v>0.97654383700000003</v>
      </c>
      <c r="W1491" s="2">
        <v>0.14672009</v>
      </c>
      <c r="X1491">
        <f t="shared" si="69"/>
        <v>0</v>
      </c>
      <c r="Y1491">
        <f t="shared" si="70"/>
        <v>1</v>
      </c>
      <c r="Z1491">
        <f t="shared" si="71"/>
        <v>0</v>
      </c>
    </row>
    <row r="1492" spans="1:26" ht="15.75" customHeight="1" x14ac:dyDescent="0.2">
      <c r="A1492" s="2" t="s">
        <v>23</v>
      </c>
      <c r="B1492" s="2" t="s">
        <v>35</v>
      </c>
      <c r="C1492" s="2" t="s">
        <v>30</v>
      </c>
      <c r="D1492" s="2" t="s">
        <v>31</v>
      </c>
      <c r="E1492" s="2">
        <v>151</v>
      </c>
      <c r="F1492" s="2">
        <v>207</v>
      </c>
      <c r="G1492" s="2">
        <v>484.66666670000001</v>
      </c>
      <c r="H1492" s="2">
        <v>1210</v>
      </c>
      <c r="I1492" s="2">
        <v>3015.666667</v>
      </c>
      <c r="J1492" s="2">
        <v>2.0299999999999998</v>
      </c>
      <c r="K1492" s="2">
        <v>4.79</v>
      </c>
      <c r="L1492" s="2">
        <v>9.6999999999999993</v>
      </c>
      <c r="M1492" s="2">
        <v>15.72</v>
      </c>
      <c r="N1492" s="2">
        <v>4.6842919480000003</v>
      </c>
      <c r="O1492" s="2">
        <v>4.649202732</v>
      </c>
      <c r="P1492" s="2">
        <v>1.5965087790000001</v>
      </c>
      <c r="Q1492" s="2">
        <v>1.6761308619999999</v>
      </c>
      <c r="R1492" s="2">
        <v>0.29444808900000002</v>
      </c>
      <c r="S1492" s="2">
        <v>0.38567094099999999</v>
      </c>
      <c r="T1492" s="2">
        <v>1.569120965</v>
      </c>
      <c r="U1492" s="2">
        <v>1.631156826</v>
      </c>
      <c r="V1492" s="2">
        <v>1.3340951210000001</v>
      </c>
      <c r="W1492" s="2">
        <v>0.14300679499999999</v>
      </c>
      <c r="X1492">
        <f t="shared" si="69"/>
        <v>0</v>
      </c>
      <c r="Y1492">
        <f t="shared" si="70"/>
        <v>1</v>
      </c>
      <c r="Z1492">
        <f t="shared" si="71"/>
        <v>1</v>
      </c>
    </row>
    <row r="1493" spans="1:26" ht="15.75" customHeight="1" x14ac:dyDescent="0.2">
      <c r="A1493" s="2" t="s">
        <v>23</v>
      </c>
      <c r="B1493" s="2" t="s">
        <v>35</v>
      </c>
      <c r="C1493" s="2" t="s">
        <v>26</v>
      </c>
      <c r="D1493" s="2" t="s">
        <v>26</v>
      </c>
      <c r="E1493" s="2">
        <v>158</v>
      </c>
      <c r="F1493" s="2">
        <v>233</v>
      </c>
      <c r="G1493" s="2">
        <v>413.33333329999999</v>
      </c>
      <c r="H1493" s="2">
        <v>1008.666667</v>
      </c>
      <c r="I1493" s="2">
        <v>2622.666667</v>
      </c>
      <c r="J1493" s="2">
        <v>2.3199999999999998</v>
      </c>
      <c r="K1493" s="2">
        <v>4.1399999999999997</v>
      </c>
      <c r="L1493" s="2">
        <v>8.58</v>
      </c>
      <c r="M1493" s="2">
        <v>14.81</v>
      </c>
      <c r="N1493" s="2">
        <v>0.39874485599999998</v>
      </c>
      <c r="O1493" s="2">
        <v>0.66623159899999995</v>
      </c>
      <c r="P1493" s="2">
        <v>2.8528190910000002</v>
      </c>
      <c r="Q1493" s="2">
        <v>2.942193611</v>
      </c>
      <c r="R1493" s="2">
        <v>0.94049940300000001</v>
      </c>
      <c r="S1493" s="2">
        <v>1.031722255</v>
      </c>
      <c r="T1493" s="2">
        <v>2.6933320699999999</v>
      </c>
      <c r="U1493" s="2">
        <v>2.7553679309999999</v>
      </c>
      <c r="V1493" s="2">
        <v>0.68804380700000001</v>
      </c>
      <c r="W1493" s="2">
        <v>0.129715258</v>
      </c>
      <c r="X1493">
        <f t="shared" si="69"/>
        <v>0</v>
      </c>
      <c r="Y1493">
        <f t="shared" si="70"/>
        <v>1</v>
      </c>
      <c r="Z1493">
        <f t="shared" si="71"/>
        <v>0</v>
      </c>
    </row>
    <row r="1494" spans="1:26" ht="15.75" customHeight="1" x14ac:dyDescent="0.2">
      <c r="A1494" s="2" t="s">
        <v>23</v>
      </c>
      <c r="B1494" s="2" t="s">
        <v>35</v>
      </c>
      <c r="C1494" s="2" t="s">
        <v>26</v>
      </c>
      <c r="D1494" s="2" t="s">
        <v>26</v>
      </c>
      <c r="E1494" s="2">
        <v>171</v>
      </c>
      <c r="F1494" s="2">
        <v>248.33333329999999</v>
      </c>
      <c r="G1494" s="2">
        <v>454.66666670000001</v>
      </c>
      <c r="H1494" s="2">
        <v>980.33333330000005</v>
      </c>
      <c r="I1494" s="2">
        <v>2897.666667</v>
      </c>
      <c r="J1494" s="2">
        <v>2.48</v>
      </c>
      <c r="K1494" s="2">
        <v>4.5199999999999996</v>
      </c>
      <c r="L1494" s="2">
        <v>8.41</v>
      </c>
      <c r="M1494" s="2">
        <v>15.46</v>
      </c>
      <c r="N1494" s="2">
        <v>0.106166356</v>
      </c>
      <c r="O1494" s="2">
        <v>0.424295162</v>
      </c>
      <c r="P1494" s="2">
        <v>2.9184234990000002</v>
      </c>
      <c r="Q1494" s="2">
        <v>2.9978555650000001</v>
      </c>
      <c r="R1494" s="2">
        <v>0.56150099200000003</v>
      </c>
      <c r="S1494" s="2">
        <v>0.65272384299999997</v>
      </c>
      <c r="T1494" s="2">
        <v>2.8638981050000001</v>
      </c>
      <c r="U1494" s="2">
        <v>2.925933965</v>
      </c>
      <c r="V1494" s="2">
        <v>1.067042219</v>
      </c>
      <c r="W1494" s="2">
        <v>0.157508077</v>
      </c>
      <c r="X1494">
        <f t="shared" si="69"/>
        <v>0</v>
      </c>
      <c r="Y1494">
        <f t="shared" si="70"/>
        <v>1</v>
      </c>
      <c r="Z1494">
        <f t="shared" si="71"/>
        <v>0</v>
      </c>
    </row>
    <row r="1495" spans="1:26" ht="15.75" customHeight="1" x14ac:dyDescent="0.2">
      <c r="A1495" s="2" t="s">
        <v>23</v>
      </c>
      <c r="B1495" s="2" t="s">
        <v>35</v>
      </c>
      <c r="C1495" s="2" t="s">
        <v>26</v>
      </c>
      <c r="D1495" s="2" t="s">
        <v>26</v>
      </c>
      <c r="E1495" s="2">
        <v>200</v>
      </c>
      <c r="F1495" s="2">
        <v>259</v>
      </c>
      <c r="G1495" s="2">
        <v>481</v>
      </c>
      <c r="H1495" s="2">
        <v>920.33333330000005</v>
      </c>
      <c r="I1495" s="2">
        <v>3219.666667</v>
      </c>
      <c r="J1495" s="2">
        <v>2.6</v>
      </c>
      <c r="K1495" s="2">
        <v>4.75</v>
      </c>
      <c r="L1495" s="2">
        <v>8.0399999999999991</v>
      </c>
      <c r="M1495" s="2">
        <v>16.14</v>
      </c>
      <c r="N1495" s="2">
        <v>0.52588775499999996</v>
      </c>
      <c r="O1495" s="2">
        <v>0.70187485400000005</v>
      </c>
      <c r="P1495" s="2">
        <v>3.2526263040000001</v>
      </c>
      <c r="Q1495" s="2">
        <v>3.324586762</v>
      </c>
      <c r="R1495" s="2">
        <v>0.32673577300000001</v>
      </c>
      <c r="S1495" s="2">
        <v>0.417958624</v>
      </c>
      <c r="T1495" s="2">
        <v>3.2361739150000002</v>
      </c>
      <c r="U1495" s="2">
        <v>3.2982097760000002</v>
      </c>
      <c r="V1495" s="2">
        <v>1.301807438</v>
      </c>
      <c r="W1495" s="2">
        <v>0.17471841499999999</v>
      </c>
      <c r="X1495">
        <f t="shared" si="69"/>
        <v>0</v>
      </c>
      <c r="Y1495">
        <f t="shared" si="70"/>
        <v>1</v>
      </c>
      <c r="Z1495">
        <f t="shared" si="71"/>
        <v>0</v>
      </c>
    </row>
    <row r="1496" spans="1:26" ht="15.75" customHeight="1" x14ac:dyDescent="0.2">
      <c r="A1496" s="2" t="s">
        <v>23</v>
      </c>
      <c r="B1496" s="2" t="s">
        <v>35</v>
      </c>
      <c r="C1496" s="2" t="s">
        <v>25</v>
      </c>
      <c r="D1496" s="2" t="s">
        <v>25</v>
      </c>
      <c r="E1496" s="2">
        <v>213</v>
      </c>
      <c r="F1496" s="2">
        <v>224.66666670000001</v>
      </c>
      <c r="G1496" s="2">
        <v>864</v>
      </c>
      <c r="H1496" s="2">
        <v>1686.666667</v>
      </c>
      <c r="I1496" s="2">
        <v>3083.333333</v>
      </c>
      <c r="J1496" s="2">
        <v>2.23</v>
      </c>
      <c r="K1496" s="2">
        <v>7.67</v>
      </c>
      <c r="L1496" s="2">
        <v>11.87</v>
      </c>
      <c r="M1496" s="2">
        <v>15.86</v>
      </c>
      <c r="N1496" s="2">
        <v>0.65710256199999995</v>
      </c>
      <c r="O1496" s="2">
        <v>0.682086627</v>
      </c>
      <c r="P1496" s="2">
        <v>2.6608233970000001</v>
      </c>
      <c r="Q1496" s="2">
        <v>2.5583096630000002</v>
      </c>
      <c r="R1496" s="2">
        <v>2.5928362109999998</v>
      </c>
      <c r="S1496" s="2">
        <v>2.5016133599999999</v>
      </c>
      <c r="T1496" s="2">
        <v>0.59764666300000002</v>
      </c>
      <c r="U1496" s="2">
        <v>0.53561080299999997</v>
      </c>
      <c r="V1496" s="2">
        <v>4.221379422</v>
      </c>
      <c r="W1496" s="2">
        <v>0.18563601399999999</v>
      </c>
      <c r="X1496">
        <f t="shared" si="69"/>
        <v>0</v>
      </c>
      <c r="Y1496">
        <f t="shared" si="70"/>
        <v>1</v>
      </c>
      <c r="Z1496">
        <f t="shared" si="71"/>
        <v>0</v>
      </c>
    </row>
    <row r="1497" spans="1:26" ht="15.75" customHeight="1" x14ac:dyDescent="0.2">
      <c r="A1497" s="2" t="s">
        <v>23</v>
      </c>
      <c r="B1497" s="2" t="s">
        <v>35</v>
      </c>
      <c r="C1497" s="2" t="s">
        <v>25</v>
      </c>
      <c r="D1497" s="2" t="s">
        <v>25</v>
      </c>
      <c r="E1497" s="2">
        <v>189</v>
      </c>
      <c r="F1497" s="2">
        <v>234.66666670000001</v>
      </c>
      <c r="G1497" s="2">
        <v>908</v>
      </c>
      <c r="H1497" s="2">
        <v>1533.333333</v>
      </c>
      <c r="I1497" s="2">
        <v>3213.333333</v>
      </c>
      <c r="J1497" s="2">
        <v>2.34</v>
      </c>
      <c r="K1497" s="2">
        <v>7.96</v>
      </c>
      <c r="L1497" s="2">
        <v>11.24</v>
      </c>
      <c r="M1497" s="2">
        <v>16.12</v>
      </c>
      <c r="N1497" s="2">
        <v>0.10299586400000001</v>
      </c>
      <c r="O1497" s="2">
        <v>1.4258712E-2</v>
      </c>
      <c r="P1497" s="2">
        <v>2.8785179159999998</v>
      </c>
      <c r="Q1497" s="2">
        <v>2.788767419</v>
      </c>
      <c r="R1497" s="2">
        <v>2.8783070309999998</v>
      </c>
      <c r="S1497" s="2">
        <v>2.7870841789999998</v>
      </c>
      <c r="T1497" s="2">
        <v>3.4842905E-2</v>
      </c>
      <c r="U1497" s="2">
        <v>9.6878766000000005E-2</v>
      </c>
      <c r="V1497" s="2">
        <v>4.5068502410000004</v>
      </c>
      <c r="W1497" s="2">
        <v>0.14872470600000001</v>
      </c>
      <c r="X1497">
        <f t="shared" si="69"/>
        <v>0</v>
      </c>
      <c r="Y1497">
        <f t="shared" si="70"/>
        <v>1</v>
      </c>
      <c r="Z1497">
        <f t="shared" si="71"/>
        <v>0</v>
      </c>
    </row>
    <row r="1498" spans="1:26" ht="15.75" customHeight="1" x14ac:dyDescent="0.2">
      <c r="A1498" s="2" t="s">
        <v>23</v>
      </c>
      <c r="B1498" s="2" t="s">
        <v>35</v>
      </c>
      <c r="C1498" s="2" t="s">
        <v>25</v>
      </c>
      <c r="D1498" s="2" t="s">
        <v>25</v>
      </c>
      <c r="E1498" s="2">
        <v>217</v>
      </c>
      <c r="F1498" s="2">
        <v>228</v>
      </c>
      <c r="G1498" s="2">
        <v>950.33333330000005</v>
      </c>
      <c r="H1498" s="2">
        <v>1488</v>
      </c>
      <c r="I1498" s="2">
        <v>2734.666667</v>
      </c>
      <c r="J1498" s="2">
        <v>2.2599999999999998</v>
      </c>
      <c r="K1498" s="2">
        <v>8.2200000000000006</v>
      </c>
      <c r="L1498" s="2">
        <v>11.04</v>
      </c>
      <c r="M1498" s="2">
        <v>15.09</v>
      </c>
      <c r="N1498" s="2">
        <v>0.34029359599999998</v>
      </c>
      <c r="O1498" s="2">
        <v>0.33866253899999998</v>
      </c>
      <c r="P1498" s="2">
        <v>3.1534082159999999</v>
      </c>
      <c r="Q1498" s="2">
        <v>3.067777033</v>
      </c>
      <c r="R1498" s="2">
        <v>3.144817008</v>
      </c>
      <c r="S1498" s="2">
        <v>3.0535941559999999</v>
      </c>
      <c r="T1498" s="2">
        <v>0.23261419899999999</v>
      </c>
      <c r="U1498" s="2">
        <v>0.29465005900000002</v>
      </c>
      <c r="V1498" s="2">
        <v>4.7733602179999997</v>
      </c>
      <c r="W1498" s="2">
        <v>0.15678030600000001</v>
      </c>
      <c r="X1498">
        <f t="shared" si="69"/>
        <v>0</v>
      </c>
      <c r="Y1498">
        <f t="shared" si="70"/>
        <v>1</v>
      </c>
      <c r="Z1498">
        <f t="shared" si="71"/>
        <v>0</v>
      </c>
    </row>
    <row r="1499" spans="1:26" ht="15.75" customHeight="1" x14ac:dyDescent="0.2">
      <c r="A1499" s="2" t="s">
        <v>23</v>
      </c>
      <c r="B1499" s="2" t="s">
        <v>35</v>
      </c>
      <c r="C1499" s="2" t="s">
        <v>28</v>
      </c>
      <c r="D1499" s="2" t="s">
        <v>29</v>
      </c>
      <c r="E1499" s="2">
        <v>188</v>
      </c>
      <c r="F1499" s="2">
        <v>247</v>
      </c>
      <c r="G1499" s="2">
        <v>313</v>
      </c>
      <c r="H1499" s="2">
        <v>1239.333333</v>
      </c>
      <c r="I1499" s="2">
        <v>2672.666667</v>
      </c>
      <c r="J1499" s="2">
        <v>2.4700000000000002</v>
      </c>
      <c r="K1499" s="2">
        <v>3.16</v>
      </c>
      <c r="L1499" s="2">
        <v>9.86</v>
      </c>
      <c r="M1499" s="2">
        <v>14.94</v>
      </c>
      <c r="N1499" s="2">
        <v>1.917957149</v>
      </c>
      <c r="O1499" s="2">
        <v>1.972006277</v>
      </c>
      <c r="P1499" s="2">
        <v>2.3846043830000001</v>
      </c>
      <c r="Q1499" s="2">
        <v>2.4948414890000001</v>
      </c>
      <c r="R1499" s="2">
        <v>1.917826526</v>
      </c>
      <c r="S1499" s="2">
        <v>2.0090493779999998</v>
      </c>
      <c r="T1499" s="2">
        <v>1.417137777</v>
      </c>
      <c r="U1499" s="2">
        <v>1.479173638</v>
      </c>
      <c r="V1499" s="2">
        <v>-0.28928331600000001</v>
      </c>
      <c r="W1499" s="2">
        <v>0.166083809</v>
      </c>
      <c r="X1499">
        <f t="shared" si="69"/>
        <v>0</v>
      </c>
      <c r="Y1499">
        <f t="shared" si="70"/>
        <v>1</v>
      </c>
      <c r="Z1499">
        <f t="shared" si="71"/>
        <v>1</v>
      </c>
    </row>
    <row r="1500" spans="1:26" ht="15.75" customHeight="1" x14ac:dyDescent="0.2">
      <c r="A1500" s="2" t="s">
        <v>23</v>
      </c>
      <c r="B1500" s="2" t="s">
        <v>35</v>
      </c>
      <c r="C1500" s="2" t="s">
        <v>30</v>
      </c>
      <c r="D1500" s="2" t="s">
        <v>31</v>
      </c>
      <c r="E1500" s="2">
        <v>188</v>
      </c>
      <c r="F1500" s="2">
        <v>230.33333329999999</v>
      </c>
      <c r="G1500" s="2">
        <v>750</v>
      </c>
      <c r="H1500" s="2">
        <v>1151</v>
      </c>
      <c r="I1500" s="2">
        <v>2596.333333</v>
      </c>
      <c r="J1500" s="2">
        <v>2.29</v>
      </c>
      <c r="K1500" s="2">
        <v>6.89</v>
      </c>
      <c r="L1500" s="2">
        <v>9.39</v>
      </c>
      <c r="M1500" s="2">
        <v>14.75</v>
      </c>
      <c r="N1500" s="2">
        <v>5.4855563070000004</v>
      </c>
      <c r="O1500" s="2">
        <v>5.3767323950000003</v>
      </c>
      <c r="P1500" s="2">
        <v>2.6122707049999998</v>
      </c>
      <c r="Q1500" s="2">
        <v>2.5960690359999998</v>
      </c>
      <c r="R1500" s="2">
        <v>1.8100849910000001</v>
      </c>
      <c r="S1500" s="2">
        <v>1.7188621390000001</v>
      </c>
      <c r="T1500" s="2">
        <v>1.8834942429999999</v>
      </c>
      <c r="U1500" s="2">
        <v>1.9455301039999999</v>
      </c>
      <c r="V1500" s="2">
        <v>3.4386282010000002</v>
      </c>
      <c r="W1500" s="2">
        <v>0.14589065300000001</v>
      </c>
      <c r="X1500">
        <f t="shared" si="69"/>
        <v>0</v>
      </c>
      <c r="Y1500">
        <f t="shared" si="70"/>
        <v>1</v>
      </c>
      <c r="Z1500">
        <f t="shared" si="71"/>
        <v>1</v>
      </c>
    </row>
    <row r="1501" spans="1:26" ht="15.75" customHeight="1" x14ac:dyDescent="0.2">
      <c r="A1501" s="2" t="s">
        <v>23</v>
      </c>
      <c r="B1501" s="2" t="s">
        <v>35</v>
      </c>
      <c r="C1501" s="2" t="s">
        <v>32</v>
      </c>
      <c r="D1501" s="2" t="s">
        <v>33</v>
      </c>
      <c r="E1501" s="2">
        <v>166</v>
      </c>
      <c r="F1501" s="2">
        <v>231.33333329999999</v>
      </c>
      <c r="G1501" s="2">
        <v>635</v>
      </c>
      <c r="H1501" s="2">
        <v>1052</v>
      </c>
      <c r="I1501" s="2">
        <v>2880.333333</v>
      </c>
      <c r="J1501" s="2">
        <v>2.2999999999999998</v>
      </c>
      <c r="K1501" s="2">
        <v>6.03</v>
      </c>
      <c r="L1501" s="2">
        <v>8.83</v>
      </c>
      <c r="M1501" s="2">
        <v>15.42</v>
      </c>
      <c r="N1501" s="2">
        <v>3.1841255400000001</v>
      </c>
      <c r="O1501" s="2">
        <v>3.0936094330000001</v>
      </c>
      <c r="P1501" s="2">
        <v>2.617464901</v>
      </c>
      <c r="Q1501" s="2">
        <v>2.6443139109999998</v>
      </c>
      <c r="R1501" s="2">
        <v>0.95078645299999998</v>
      </c>
      <c r="S1501" s="2">
        <v>0.85956360200000004</v>
      </c>
      <c r="T1501" s="2">
        <v>2.4386733340000002</v>
      </c>
      <c r="U1501" s="2">
        <v>2.5007091950000002</v>
      </c>
      <c r="V1501" s="2">
        <v>2.5793296639999999</v>
      </c>
      <c r="W1501" s="2">
        <v>0.14827019699999999</v>
      </c>
      <c r="X1501">
        <f t="shared" si="69"/>
        <v>0</v>
      </c>
      <c r="Y1501">
        <f t="shared" si="70"/>
        <v>1</v>
      </c>
      <c r="Z1501">
        <f t="shared" si="71"/>
        <v>1</v>
      </c>
    </row>
    <row r="1502" spans="1:26" ht="15.75" customHeight="1" x14ac:dyDescent="0.2">
      <c r="A1502" s="2" t="s">
        <v>23</v>
      </c>
      <c r="B1502" s="2" t="s">
        <v>35</v>
      </c>
      <c r="C1502" s="2" t="s">
        <v>26</v>
      </c>
      <c r="D1502" s="2" t="s">
        <v>26</v>
      </c>
      <c r="E1502" s="2">
        <v>175</v>
      </c>
      <c r="F1502" s="2">
        <v>253</v>
      </c>
      <c r="G1502" s="2">
        <v>463.66666670000001</v>
      </c>
      <c r="H1502" s="2">
        <v>1008.666667</v>
      </c>
      <c r="I1502" s="2">
        <v>2868</v>
      </c>
      <c r="J1502" s="2">
        <v>2.54</v>
      </c>
      <c r="K1502" s="2">
        <v>4.5999999999999996</v>
      </c>
      <c r="L1502" s="2">
        <v>8.58</v>
      </c>
      <c r="M1502" s="2">
        <v>15.4</v>
      </c>
      <c r="N1502" s="2">
        <v>9.3223316000000001E-2</v>
      </c>
      <c r="O1502" s="2">
        <v>0.245239607</v>
      </c>
      <c r="P1502" s="2">
        <v>2.7358913409999999</v>
      </c>
      <c r="Q1502" s="2">
        <v>2.8140962730000001</v>
      </c>
      <c r="R1502" s="2">
        <v>0.480690952</v>
      </c>
      <c r="S1502" s="2">
        <v>0.57191380400000003</v>
      </c>
      <c r="T1502" s="2">
        <v>2.6933320699999999</v>
      </c>
      <c r="U1502" s="2">
        <v>2.7553679309999999</v>
      </c>
      <c r="V1502" s="2">
        <v>1.1478522579999999</v>
      </c>
      <c r="W1502" s="2">
        <v>0.13085628099999999</v>
      </c>
      <c r="X1502">
        <f t="shared" si="69"/>
        <v>0</v>
      </c>
      <c r="Y1502">
        <f t="shared" si="70"/>
        <v>1</v>
      </c>
      <c r="Z1502">
        <f t="shared" si="71"/>
        <v>0</v>
      </c>
    </row>
    <row r="1503" spans="1:26" ht="15.75" customHeight="1" x14ac:dyDescent="0.2">
      <c r="A1503" s="2" t="s">
        <v>23</v>
      </c>
      <c r="B1503" s="2" t="s">
        <v>35</v>
      </c>
      <c r="C1503" s="2" t="s">
        <v>32</v>
      </c>
      <c r="D1503" s="2" t="s">
        <v>33</v>
      </c>
      <c r="E1503" s="2">
        <v>200</v>
      </c>
      <c r="F1503" s="2">
        <v>232.66666670000001</v>
      </c>
      <c r="G1503" s="2">
        <v>752.66666669999995</v>
      </c>
      <c r="H1503" s="2">
        <v>1045.666667</v>
      </c>
      <c r="I1503" s="2">
        <v>2679</v>
      </c>
      <c r="J1503" s="2">
        <v>2.31</v>
      </c>
      <c r="K1503" s="2">
        <v>6.91</v>
      </c>
      <c r="L1503" s="2">
        <v>8.8000000000000007</v>
      </c>
      <c r="M1503" s="2">
        <v>14.95</v>
      </c>
      <c r="N1503" s="2">
        <v>2.7549634169999999</v>
      </c>
      <c r="O1503" s="2">
        <v>2.670379316</v>
      </c>
      <c r="P1503" s="2">
        <v>3.0779136980000001</v>
      </c>
      <c r="Q1503" s="2">
        <v>3.075570565</v>
      </c>
      <c r="R1503" s="2">
        <v>1.8291464390000001</v>
      </c>
      <c r="S1503" s="2">
        <v>1.737923587</v>
      </c>
      <c r="T1503" s="2">
        <v>2.4754345139999998</v>
      </c>
      <c r="U1503" s="2">
        <v>2.5374703749999998</v>
      </c>
      <c r="V1503" s="2">
        <v>3.4576896490000002</v>
      </c>
      <c r="W1503" s="2">
        <v>9.8837597999999999E-2</v>
      </c>
      <c r="X1503">
        <f t="shared" si="69"/>
        <v>0</v>
      </c>
      <c r="Y1503">
        <f t="shared" si="70"/>
        <v>1</v>
      </c>
      <c r="Z1503">
        <f t="shared" si="71"/>
        <v>1</v>
      </c>
    </row>
    <row r="1504" spans="1:26" ht="15.75" customHeight="1" x14ac:dyDescent="0.2">
      <c r="A1504" s="2" t="s">
        <v>23</v>
      </c>
      <c r="B1504" s="2" t="s">
        <v>35</v>
      </c>
      <c r="C1504" s="2" t="s">
        <v>28</v>
      </c>
      <c r="D1504" s="2" t="s">
        <v>29</v>
      </c>
      <c r="E1504" s="2">
        <v>235</v>
      </c>
      <c r="F1504" s="2">
        <v>234.66666670000001</v>
      </c>
      <c r="G1504" s="2">
        <v>373</v>
      </c>
      <c r="H1504" s="2">
        <v>1322.666667</v>
      </c>
      <c r="I1504" s="2">
        <v>3131</v>
      </c>
      <c r="J1504" s="2">
        <v>2.34</v>
      </c>
      <c r="K1504" s="2">
        <v>3.76</v>
      </c>
      <c r="L1504" s="2">
        <v>10.27</v>
      </c>
      <c r="M1504" s="2">
        <v>15.96</v>
      </c>
      <c r="N1504" s="2">
        <v>1.9221759709999999</v>
      </c>
      <c r="O1504" s="2">
        <v>1.8484380469999999</v>
      </c>
      <c r="P1504" s="2">
        <v>1.6587428909999999</v>
      </c>
      <c r="Q1504" s="2">
        <v>1.7689314890000001</v>
      </c>
      <c r="R1504" s="2">
        <v>1.3232743659999999</v>
      </c>
      <c r="S1504" s="2">
        <v>1.4144972179999999</v>
      </c>
      <c r="T1504" s="2">
        <v>1.000186448</v>
      </c>
      <c r="U1504" s="2">
        <v>1.0622223079999999</v>
      </c>
      <c r="V1504" s="2">
        <v>0.30526884399999998</v>
      </c>
      <c r="W1504" s="2">
        <v>7.9348650000000007E-2</v>
      </c>
      <c r="X1504">
        <f t="shared" si="69"/>
        <v>0</v>
      </c>
      <c r="Y1504">
        <f t="shared" si="70"/>
        <v>1</v>
      </c>
      <c r="Z1504">
        <f t="shared" si="71"/>
        <v>1</v>
      </c>
    </row>
    <row r="1505" spans="1:26" ht="15.75" customHeight="1" x14ac:dyDescent="0.2">
      <c r="A1505" s="2" t="s">
        <v>23</v>
      </c>
      <c r="B1505" s="2" t="s">
        <v>35</v>
      </c>
      <c r="C1505" s="2" t="s">
        <v>32</v>
      </c>
      <c r="D1505" s="2" t="s">
        <v>33</v>
      </c>
      <c r="E1505" s="2">
        <v>198</v>
      </c>
      <c r="F1505" s="2">
        <v>254.66666670000001</v>
      </c>
      <c r="G1505" s="2">
        <v>741</v>
      </c>
      <c r="H1505" s="2">
        <v>1115.666667</v>
      </c>
      <c r="I1505" s="2">
        <v>2066.333333</v>
      </c>
      <c r="J1505" s="2">
        <v>2.5499999999999998</v>
      </c>
      <c r="K1505" s="2">
        <v>6.83</v>
      </c>
      <c r="L1505" s="2">
        <v>9.1999999999999993</v>
      </c>
      <c r="M1505" s="2">
        <v>13.23</v>
      </c>
      <c r="N1505" s="2">
        <v>2.4367278610000001</v>
      </c>
      <c r="O1505" s="2">
        <v>2.349211049</v>
      </c>
      <c r="P1505" s="2">
        <v>2.7134559989999998</v>
      </c>
      <c r="Q1505" s="2">
        <v>2.7045004690000001</v>
      </c>
      <c r="R1505" s="2">
        <v>1.7454747260000001</v>
      </c>
      <c r="S1505" s="2">
        <v>1.6542518740000001</v>
      </c>
      <c r="T1505" s="2">
        <v>2.0775373500000001</v>
      </c>
      <c r="U1505" s="2">
        <v>2.1395732110000001</v>
      </c>
      <c r="V1505" s="2">
        <v>3.374017936</v>
      </c>
      <c r="W1505" s="2">
        <v>0.1430217</v>
      </c>
      <c r="X1505">
        <f t="shared" si="69"/>
        <v>0</v>
      </c>
      <c r="Y1505">
        <f t="shared" si="70"/>
        <v>1</v>
      </c>
      <c r="Z1505">
        <f t="shared" si="71"/>
        <v>1</v>
      </c>
    </row>
    <row r="1506" spans="1:26" ht="15.75" customHeight="1" x14ac:dyDescent="0.2">
      <c r="A1506" s="2" t="s">
        <v>23</v>
      </c>
      <c r="B1506" s="2" t="s">
        <v>35</v>
      </c>
      <c r="C1506" s="2" t="s">
        <v>25</v>
      </c>
      <c r="D1506" s="2" t="s">
        <v>25</v>
      </c>
      <c r="E1506" s="2">
        <v>228</v>
      </c>
      <c r="F1506" s="2">
        <v>242</v>
      </c>
      <c r="G1506" s="2">
        <v>881</v>
      </c>
      <c r="H1506" s="2">
        <v>1708.333333</v>
      </c>
      <c r="I1506" s="2">
        <v>3103</v>
      </c>
      <c r="J1506" s="2">
        <v>2.42</v>
      </c>
      <c r="K1506" s="2">
        <v>7.78</v>
      </c>
      <c r="L1506" s="2">
        <v>11.96</v>
      </c>
      <c r="M1506" s="2">
        <v>15.9</v>
      </c>
      <c r="N1506" s="2">
        <v>0.68356801199999995</v>
      </c>
      <c r="O1506" s="2">
        <v>0.72530669999999997</v>
      </c>
      <c r="P1506" s="2">
        <v>2.7890403099999999</v>
      </c>
      <c r="Q1506" s="2">
        <v>2.6856729339999998</v>
      </c>
      <c r="R1506" s="2">
        <v>2.7041799700000002</v>
      </c>
      <c r="S1506" s="2">
        <v>2.6129571189999998</v>
      </c>
      <c r="T1506" s="2">
        <v>0.68275657300000003</v>
      </c>
      <c r="U1506" s="2">
        <v>0.62072071200000001</v>
      </c>
      <c r="V1506" s="2">
        <v>4.3327231810000004</v>
      </c>
      <c r="W1506" s="2">
        <v>0.184329099</v>
      </c>
      <c r="X1506">
        <f t="shared" si="69"/>
        <v>0</v>
      </c>
      <c r="Y1506">
        <f t="shared" si="70"/>
        <v>1</v>
      </c>
      <c r="Z1506">
        <f t="shared" si="71"/>
        <v>0</v>
      </c>
    </row>
    <row r="1507" spans="1:26" ht="15.75" customHeight="1" x14ac:dyDescent="0.2">
      <c r="A1507" s="2" t="s">
        <v>23</v>
      </c>
      <c r="B1507" s="2" t="s">
        <v>35</v>
      </c>
      <c r="C1507" s="2" t="s">
        <v>27</v>
      </c>
      <c r="D1507" s="2" t="s">
        <v>27</v>
      </c>
      <c r="E1507" s="2">
        <v>177</v>
      </c>
      <c r="F1507" s="2">
        <v>245.33333329999999</v>
      </c>
      <c r="G1507" s="2">
        <v>479.66666670000001</v>
      </c>
      <c r="H1507" s="2">
        <v>2481</v>
      </c>
      <c r="I1507" s="2">
        <v>3295.666667</v>
      </c>
      <c r="J1507" s="2">
        <v>2.4500000000000002</v>
      </c>
      <c r="K1507" s="2">
        <v>4.74</v>
      </c>
      <c r="L1507" s="2">
        <v>14.45</v>
      </c>
      <c r="M1507" s="2">
        <v>16.28</v>
      </c>
      <c r="N1507" s="2">
        <v>0.13259441</v>
      </c>
      <c r="O1507" s="2">
        <v>0.125115859</v>
      </c>
      <c r="P1507" s="2">
        <v>3.1930222939999999</v>
      </c>
      <c r="Q1507" s="2">
        <v>3.1425130299999999</v>
      </c>
      <c r="R1507" s="2">
        <v>0.33850081100000001</v>
      </c>
      <c r="S1507" s="2">
        <v>0.42972366299999998</v>
      </c>
      <c r="T1507" s="2">
        <v>3.1750289089999999</v>
      </c>
      <c r="U1507" s="2">
        <v>3.1129930479999999</v>
      </c>
      <c r="V1507" s="2">
        <v>1.2900423990000001</v>
      </c>
      <c r="W1507" s="2">
        <v>0.12611749799999999</v>
      </c>
      <c r="X1507">
        <f t="shared" si="69"/>
        <v>0</v>
      </c>
      <c r="Y1507">
        <f t="shared" si="70"/>
        <v>1</v>
      </c>
      <c r="Z1507">
        <f t="shared" si="71"/>
        <v>0</v>
      </c>
    </row>
    <row r="1508" spans="1:26" ht="15.75" customHeight="1" x14ac:dyDescent="0.2">
      <c r="A1508" s="2" t="s">
        <v>23</v>
      </c>
      <c r="B1508" s="2" t="s">
        <v>35</v>
      </c>
      <c r="C1508" s="2" t="s">
        <v>30</v>
      </c>
      <c r="D1508" s="2" t="s">
        <v>31</v>
      </c>
      <c r="E1508" s="2">
        <v>176</v>
      </c>
      <c r="F1508" s="2">
        <v>216.33333329999999</v>
      </c>
      <c r="G1508" s="2">
        <v>656.66666669999995</v>
      </c>
      <c r="H1508" s="2">
        <v>1102.333333</v>
      </c>
      <c r="I1508" s="2">
        <v>1951</v>
      </c>
      <c r="J1508" s="2">
        <v>2.13</v>
      </c>
      <c r="K1508" s="2">
        <v>6.2</v>
      </c>
      <c r="L1508" s="2">
        <v>9.1199999999999992</v>
      </c>
      <c r="M1508" s="2">
        <v>12.84</v>
      </c>
      <c r="N1508" s="2">
        <v>5.4945544579999996</v>
      </c>
      <c r="O1508" s="2">
        <v>5.4096905680000003</v>
      </c>
      <c r="P1508" s="2">
        <v>2.425227552</v>
      </c>
      <c r="Q1508" s="2">
        <v>2.4406625960000001</v>
      </c>
      <c r="R1508" s="2">
        <v>1.1184579429999999</v>
      </c>
      <c r="S1508" s="2">
        <v>1.0272350910000001</v>
      </c>
      <c r="T1508" s="2">
        <v>2.1519248379999998</v>
      </c>
      <c r="U1508" s="2">
        <v>2.2139606989999998</v>
      </c>
      <c r="V1508" s="2">
        <v>2.7470011529999998</v>
      </c>
      <c r="W1508" s="2">
        <v>0.13966279500000001</v>
      </c>
      <c r="X1508">
        <f t="shared" si="69"/>
        <v>0</v>
      </c>
      <c r="Y1508">
        <f t="shared" si="70"/>
        <v>1</v>
      </c>
      <c r="Z1508">
        <f t="shared" si="71"/>
        <v>1</v>
      </c>
    </row>
    <row r="1509" spans="1:26" ht="15.75" customHeight="1" x14ac:dyDescent="0.2">
      <c r="A1509" s="2" t="s">
        <v>23</v>
      </c>
      <c r="B1509" s="2" t="s">
        <v>35</v>
      </c>
      <c r="C1509" s="2" t="s">
        <v>25</v>
      </c>
      <c r="D1509" s="2" t="s">
        <v>25</v>
      </c>
      <c r="E1509" s="2">
        <v>162</v>
      </c>
      <c r="F1509" s="2">
        <v>235.66666670000001</v>
      </c>
      <c r="G1509" s="2">
        <v>947</v>
      </c>
      <c r="H1509" s="2">
        <v>1576.666667</v>
      </c>
      <c r="I1509" s="2">
        <v>3200</v>
      </c>
      <c r="J1509" s="2">
        <v>2.35</v>
      </c>
      <c r="K1509" s="2">
        <v>8.1999999999999993</v>
      </c>
      <c r="L1509" s="2">
        <v>11.42</v>
      </c>
      <c r="M1509" s="2">
        <v>16.100000000000001</v>
      </c>
      <c r="N1509" s="2">
        <v>0.207820268</v>
      </c>
      <c r="O1509" s="2">
        <v>0.29712096700000001</v>
      </c>
      <c r="P1509" s="2">
        <v>3.127686776</v>
      </c>
      <c r="Q1509" s="2">
        <v>3.034150511</v>
      </c>
      <c r="R1509" s="2">
        <v>3.1241135029999998</v>
      </c>
      <c r="S1509" s="2">
        <v>3.0328906519999999</v>
      </c>
      <c r="T1509" s="2">
        <v>0.14946366899999999</v>
      </c>
      <c r="U1509" s="2">
        <v>8.7427807999999996E-2</v>
      </c>
      <c r="V1509" s="2">
        <v>4.7526567139999996</v>
      </c>
      <c r="W1509" s="2">
        <v>0.20485088400000001</v>
      </c>
      <c r="X1509">
        <f t="shared" si="69"/>
        <v>0</v>
      </c>
      <c r="Y1509">
        <f t="shared" si="70"/>
        <v>1</v>
      </c>
      <c r="Z1509">
        <f t="shared" si="71"/>
        <v>0</v>
      </c>
    </row>
    <row r="1510" spans="1:26" ht="15.75" customHeight="1" x14ac:dyDescent="0.2">
      <c r="A1510" s="2" t="s">
        <v>23</v>
      </c>
      <c r="B1510" s="2" t="s">
        <v>35</v>
      </c>
      <c r="C1510" s="2" t="s">
        <v>30</v>
      </c>
      <c r="D1510" s="2" t="s">
        <v>31</v>
      </c>
      <c r="E1510" s="2">
        <v>177</v>
      </c>
      <c r="F1510" s="2">
        <v>223.66666670000001</v>
      </c>
      <c r="G1510" s="2">
        <v>591.66666669999995</v>
      </c>
      <c r="H1510" s="2">
        <v>1076.666667</v>
      </c>
      <c r="I1510" s="2">
        <v>3140.333333</v>
      </c>
      <c r="J1510" s="2">
        <v>2.2200000000000002</v>
      </c>
      <c r="K1510" s="2">
        <v>5.69</v>
      </c>
      <c r="L1510" s="2">
        <v>8.98</v>
      </c>
      <c r="M1510" s="2">
        <v>15.98</v>
      </c>
      <c r="N1510" s="2">
        <v>5.5126824880000003</v>
      </c>
      <c r="O1510" s="2">
        <v>5.4458822099999997</v>
      </c>
      <c r="P1510" s="2">
        <v>2.37578479</v>
      </c>
      <c r="Q1510" s="2">
        <v>2.4147017800000001</v>
      </c>
      <c r="R1510" s="2">
        <v>0.606901099</v>
      </c>
      <c r="S1510" s="2">
        <v>0.51567824699999998</v>
      </c>
      <c r="T1510" s="2">
        <v>2.2969598219999998</v>
      </c>
      <c r="U1510" s="2">
        <v>2.3589956829999998</v>
      </c>
      <c r="V1510" s="2">
        <v>2.235444309</v>
      </c>
      <c r="W1510" s="2">
        <v>0.174777039</v>
      </c>
      <c r="X1510">
        <f t="shared" si="69"/>
        <v>0</v>
      </c>
      <c r="Y1510">
        <f t="shared" si="70"/>
        <v>1</v>
      </c>
      <c r="Z1510">
        <f t="shared" si="71"/>
        <v>1</v>
      </c>
    </row>
    <row r="1511" spans="1:26" ht="15.75" customHeight="1" x14ac:dyDescent="0.2">
      <c r="A1511" s="2" t="s">
        <v>23</v>
      </c>
      <c r="B1511" s="2" t="s">
        <v>35</v>
      </c>
      <c r="C1511" s="2" t="s">
        <v>25</v>
      </c>
      <c r="D1511" s="2" t="s">
        <v>25</v>
      </c>
      <c r="E1511" s="2">
        <v>110</v>
      </c>
      <c r="F1511" s="2">
        <v>139.66666670000001</v>
      </c>
      <c r="G1511" s="2">
        <v>673</v>
      </c>
      <c r="H1511" s="2">
        <v>1374.333333</v>
      </c>
      <c r="I1511" s="2">
        <v>2608.333333</v>
      </c>
      <c r="J1511" s="2">
        <v>1.25</v>
      </c>
      <c r="K1511" s="2">
        <v>6.32</v>
      </c>
      <c r="L1511" s="2">
        <v>10.52</v>
      </c>
      <c r="M1511" s="2">
        <v>14.78</v>
      </c>
      <c r="N1511" s="2">
        <v>0.38128326000000001</v>
      </c>
      <c r="O1511" s="2">
        <v>0.33326881200000003</v>
      </c>
      <c r="P1511" s="2">
        <v>2.2182573040000002</v>
      </c>
      <c r="Q1511" s="2">
        <v>2.1967661650000001</v>
      </c>
      <c r="R1511" s="2">
        <v>2.1644631310000002</v>
      </c>
      <c r="S1511" s="2">
        <v>2.1340779009999999</v>
      </c>
      <c r="T1511" s="2">
        <v>0.48555619999999999</v>
      </c>
      <c r="U1511" s="2">
        <v>0.52104999299999999</v>
      </c>
      <c r="V1511" s="2">
        <v>3.1604857819999999</v>
      </c>
      <c r="W1511" s="2">
        <v>0.218948909</v>
      </c>
      <c r="X1511">
        <f t="shared" si="69"/>
        <v>0</v>
      </c>
      <c r="Y1511">
        <f t="shared" si="70"/>
        <v>1</v>
      </c>
      <c r="Z1511">
        <f t="shared" si="71"/>
        <v>0</v>
      </c>
    </row>
    <row r="1512" spans="1:26" ht="15.75" customHeight="1" x14ac:dyDescent="0.2">
      <c r="A1512" s="2" t="s">
        <v>23</v>
      </c>
      <c r="B1512" s="2" t="s">
        <v>35</v>
      </c>
      <c r="C1512" s="2" t="s">
        <v>26</v>
      </c>
      <c r="D1512" s="2" t="s">
        <v>26</v>
      </c>
      <c r="E1512" s="2">
        <v>130</v>
      </c>
      <c r="F1512" s="2">
        <v>128.33333329999999</v>
      </c>
      <c r="G1512" s="2">
        <v>360</v>
      </c>
      <c r="H1512" s="2">
        <v>860.33333330000005</v>
      </c>
      <c r="I1512" s="2">
        <v>2494.666667</v>
      </c>
      <c r="J1512" s="2">
        <v>1.1200000000000001</v>
      </c>
      <c r="K1512" s="2">
        <v>3.63</v>
      </c>
      <c r="L1512" s="2">
        <v>7.65</v>
      </c>
      <c r="M1512" s="2">
        <v>14.48</v>
      </c>
      <c r="N1512" s="2">
        <v>0.24549088199999999</v>
      </c>
      <c r="O1512" s="2">
        <v>0.16895705499999999</v>
      </c>
      <c r="P1512" s="2">
        <v>3.3989713319999999</v>
      </c>
      <c r="Q1512" s="2">
        <v>3.4388420179999999</v>
      </c>
      <c r="R1512" s="2">
        <v>0.52805340300000003</v>
      </c>
      <c r="S1512" s="2">
        <v>0.55843863299999996</v>
      </c>
      <c r="T1512" s="2">
        <v>3.3577024469999999</v>
      </c>
      <c r="U1512" s="2">
        <v>3.3931962389999999</v>
      </c>
      <c r="V1512" s="2">
        <v>0.467969248</v>
      </c>
      <c r="W1512" s="2">
        <v>0.27036222300000001</v>
      </c>
      <c r="X1512">
        <f t="shared" si="69"/>
        <v>0</v>
      </c>
      <c r="Y1512">
        <f t="shared" si="70"/>
        <v>1</v>
      </c>
      <c r="Z1512">
        <f t="shared" si="71"/>
        <v>0</v>
      </c>
    </row>
    <row r="1513" spans="1:26" ht="15.75" customHeight="1" x14ac:dyDescent="0.2">
      <c r="A1513" s="2" t="s">
        <v>23</v>
      </c>
      <c r="B1513" s="2" t="s">
        <v>35</v>
      </c>
      <c r="C1513" s="2" t="s">
        <v>27</v>
      </c>
      <c r="D1513" s="2" t="s">
        <v>27</v>
      </c>
      <c r="E1513" s="2">
        <v>179</v>
      </c>
      <c r="F1513" s="2">
        <v>156.33333329999999</v>
      </c>
      <c r="G1513" s="2">
        <v>340.66666670000001</v>
      </c>
      <c r="H1513" s="2">
        <v>2313.666667</v>
      </c>
      <c r="I1513" s="2">
        <v>2856.333333</v>
      </c>
      <c r="J1513" s="2">
        <v>1.45</v>
      </c>
      <c r="K1513" s="2">
        <v>3.44</v>
      </c>
      <c r="L1513" s="2">
        <v>13.98</v>
      </c>
      <c r="M1513" s="2">
        <v>15.37</v>
      </c>
      <c r="N1513" s="2">
        <v>0.42470355100000001</v>
      </c>
      <c r="O1513" s="2">
        <v>0.49102532399999999</v>
      </c>
      <c r="P1513" s="2">
        <v>3.0637395249999999</v>
      </c>
      <c r="Q1513" s="2">
        <v>3.0365960620000001</v>
      </c>
      <c r="R1513" s="2">
        <v>0.71838808899999995</v>
      </c>
      <c r="S1513" s="2">
        <v>0.74877331800000002</v>
      </c>
      <c r="T1513" s="2">
        <v>2.9783247689999999</v>
      </c>
      <c r="U1513" s="2">
        <v>2.9428309769999998</v>
      </c>
      <c r="V1513" s="2">
        <v>0.27763456199999997</v>
      </c>
      <c r="W1513" s="2">
        <v>0.200862492</v>
      </c>
      <c r="X1513">
        <f t="shared" si="69"/>
        <v>0</v>
      </c>
      <c r="Y1513">
        <f t="shared" si="70"/>
        <v>1</v>
      </c>
      <c r="Z1513">
        <f t="shared" si="71"/>
        <v>0</v>
      </c>
    </row>
    <row r="1514" spans="1:26" ht="15.75" customHeight="1" x14ac:dyDescent="0.2">
      <c r="A1514" s="2" t="s">
        <v>23</v>
      </c>
      <c r="B1514" s="2" t="s">
        <v>35</v>
      </c>
      <c r="C1514" s="2" t="s">
        <v>28</v>
      </c>
      <c r="D1514" s="2" t="s">
        <v>29</v>
      </c>
      <c r="E1514" s="2">
        <v>129</v>
      </c>
      <c r="F1514" s="2">
        <v>158</v>
      </c>
      <c r="G1514" s="2">
        <v>592.33333330000005</v>
      </c>
      <c r="H1514" s="2">
        <v>1800.333333</v>
      </c>
      <c r="I1514" s="2">
        <v>3166</v>
      </c>
      <c r="J1514" s="2">
        <v>1.47</v>
      </c>
      <c r="K1514" s="2">
        <v>5.69</v>
      </c>
      <c r="L1514" s="2">
        <v>12.31</v>
      </c>
      <c r="M1514" s="2">
        <v>16.03</v>
      </c>
      <c r="N1514" s="2">
        <v>5.3087917060000001</v>
      </c>
      <c r="O1514" s="2">
        <v>4.9515743099999998</v>
      </c>
      <c r="P1514" s="2">
        <v>2.0104162329999999</v>
      </c>
      <c r="Q1514" s="2">
        <v>1.964301877</v>
      </c>
      <c r="R1514" s="2">
        <v>1.533710973</v>
      </c>
      <c r="S1514" s="2">
        <v>1.503325743</v>
      </c>
      <c r="T1514" s="2">
        <v>1.2998092480000001</v>
      </c>
      <c r="U1514" s="2">
        <v>1.2643154560000001</v>
      </c>
      <c r="V1514" s="2">
        <v>2.5297336239999999</v>
      </c>
      <c r="W1514" s="2">
        <v>0.12622994800000001</v>
      </c>
      <c r="X1514">
        <f t="shared" si="69"/>
        <v>0</v>
      </c>
      <c r="Y1514">
        <f t="shared" si="70"/>
        <v>1</v>
      </c>
      <c r="Z1514">
        <f t="shared" si="71"/>
        <v>1</v>
      </c>
    </row>
    <row r="1515" spans="1:26" ht="15.75" customHeight="1" x14ac:dyDescent="0.2">
      <c r="A1515" s="2" t="s">
        <v>23</v>
      </c>
      <c r="B1515" s="2" t="s">
        <v>35</v>
      </c>
      <c r="C1515" s="2" t="s">
        <v>30</v>
      </c>
      <c r="D1515" s="2" t="s">
        <v>31</v>
      </c>
      <c r="E1515" s="2">
        <v>140</v>
      </c>
      <c r="F1515" s="2">
        <v>127.33333330000001</v>
      </c>
      <c r="G1515" s="2">
        <v>766.33333330000005</v>
      </c>
      <c r="H1515" s="2">
        <v>1507</v>
      </c>
      <c r="I1515" s="2">
        <v>3261.333333</v>
      </c>
      <c r="J1515" s="2">
        <v>1.1100000000000001</v>
      </c>
      <c r="K1515" s="2">
        <v>7.01</v>
      </c>
      <c r="L1515" s="2">
        <v>11.12</v>
      </c>
      <c r="M1515" s="2">
        <v>16.22</v>
      </c>
      <c r="N1515" s="2">
        <v>4.268069959</v>
      </c>
      <c r="O1515" s="2">
        <v>4.139954844</v>
      </c>
      <c r="P1515" s="2">
        <v>2.8501047449999999</v>
      </c>
      <c r="Q1515" s="2">
        <v>2.8184897969999998</v>
      </c>
      <c r="R1515" s="2">
        <v>2.8476819959999999</v>
      </c>
      <c r="S1515" s="2">
        <v>2.8172967660000001</v>
      </c>
      <c r="T1515" s="2">
        <v>0.117491752</v>
      </c>
      <c r="U1515" s="2">
        <v>8.1997958999999995E-2</v>
      </c>
      <c r="V1515" s="2">
        <v>3.843704647</v>
      </c>
      <c r="W1515" s="2">
        <v>0.144649367</v>
      </c>
      <c r="X1515">
        <f t="shared" si="69"/>
        <v>0</v>
      </c>
      <c r="Y1515">
        <f t="shared" si="70"/>
        <v>1</v>
      </c>
      <c r="Z1515">
        <f t="shared" si="71"/>
        <v>1</v>
      </c>
    </row>
    <row r="1516" spans="1:26" ht="15.75" customHeight="1" x14ac:dyDescent="0.2">
      <c r="A1516" s="2" t="s">
        <v>23</v>
      </c>
      <c r="B1516" s="2" t="s">
        <v>35</v>
      </c>
      <c r="C1516" s="2" t="s">
        <v>26</v>
      </c>
      <c r="D1516" s="2" t="s">
        <v>26</v>
      </c>
      <c r="E1516" s="2">
        <v>107</v>
      </c>
      <c r="F1516" s="2">
        <v>146.66666670000001</v>
      </c>
      <c r="G1516" s="2">
        <v>367.33333329999999</v>
      </c>
      <c r="H1516" s="2">
        <v>660</v>
      </c>
      <c r="I1516" s="2">
        <v>2885</v>
      </c>
      <c r="J1516" s="2">
        <v>1.34</v>
      </c>
      <c r="K1516" s="2">
        <v>3.7</v>
      </c>
      <c r="L1516" s="2">
        <v>6.22</v>
      </c>
      <c r="M1516" s="2">
        <v>15.43</v>
      </c>
      <c r="N1516" s="2">
        <v>1.181240251</v>
      </c>
      <c r="O1516" s="2">
        <v>1.520089373</v>
      </c>
      <c r="P1516" s="2">
        <v>4.8040957799999999</v>
      </c>
      <c r="Q1516" s="2">
        <v>4.8423918720000003</v>
      </c>
      <c r="R1516" s="2">
        <v>0.45668471100000002</v>
      </c>
      <c r="S1516" s="2">
        <v>0.48706994100000001</v>
      </c>
      <c r="T1516" s="2">
        <v>4.7823399440000003</v>
      </c>
      <c r="U1516" s="2">
        <v>4.8178337359999999</v>
      </c>
      <c r="V1516" s="2">
        <v>0.53933794000000002</v>
      </c>
      <c r="W1516" s="2">
        <v>0.223173333</v>
      </c>
      <c r="X1516">
        <f t="shared" si="69"/>
        <v>0</v>
      </c>
      <c r="Y1516">
        <f t="shared" si="70"/>
        <v>1</v>
      </c>
      <c r="Z1516">
        <f t="shared" si="71"/>
        <v>0</v>
      </c>
    </row>
    <row r="1517" spans="1:26" ht="15.75" customHeight="1" x14ac:dyDescent="0.2">
      <c r="A1517" s="2" t="s">
        <v>23</v>
      </c>
      <c r="B1517" s="2" t="s">
        <v>35</v>
      </c>
      <c r="C1517" s="2" t="s">
        <v>28</v>
      </c>
      <c r="D1517" s="2" t="s">
        <v>29</v>
      </c>
      <c r="E1517" s="2">
        <v>120</v>
      </c>
      <c r="F1517" s="2">
        <v>114.66666669999999</v>
      </c>
      <c r="G1517" s="2">
        <v>481.33333329999999</v>
      </c>
      <c r="H1517" s="2">
        <v>1807.333333</v>
      </c>
      <c r="I1517" s="2">
        <v>2881.666667</v>
      </c>
      <c r="J1517" s="2">
        <v>0.95</v>
      </c>
      <c r="K1517" s="2">
        <v>4.76</v>
      </c>
      <c r="L1517" s="2">
        <v>12.33</v>
      </c>
      <c r="M1517" s="2">
        <v>15.43</v>
      </c>
      <c r="N1517" s="2">
        <v>5.0496196700000002</v>
      </c>
      <c r="O1517" s="2">
        <v>4.6941498340000001</v>
      </c>
      <c r="P1517" s="2">
        <v>1.4542505100000001</v>
      </c>
      <c r="Q1517" s="2">
        <v>1.409466417</v>
      </c>
      <c r="R1517" s="2">
        <v>0.597634369</v>
      </c>
      <c r="S1517" s="2">
        <v>0.56724913899999996</v>
      </c>
      <c r="T1517" s="2">
        <v>1.3257743799999999</v>
      </c>
      <c r="U1517" s="2">
        <v>1.2902805879999999</v>
      </c>
      <c r="V1517" s="2">
        <v>1.59365702</v>
      </c>
      <c r="W1517" s="2">
        <v>0.15091281100000001</v>
      </c>
      <c r="X1517">
        <f t="shared" si="69"/>
        <v>0</v>
      </c>
      <c r="Y1517">
        <f t="shared" si="70"/>
        <v>1</v>
      </c>
      <c r="Z1517">
        <f t="shared" si="71"/>
        <v>1</v>
      </c>
    </row>
    <row r="1518" spans="1:26" ht="15.75" customHeight="1" x14ac:dyDescent="0.2">
      <c r="A1518" s="2" t="s">
        <v>23</v>
      </c>
      <c r="B1518" s="2" t="s">
        <v>35</v>
      </c>
      <c r="C1518" s="2" t="s">
        <v>32</v>
      </c>
      <c r="D1518" s="2" t="s">
        <v>33</v>
      </c>
      <c r="E1518" s="2">
        <v>151</v>
      </c>
      <c r="F1518" s="2">
        <v>147.66666670000001</v>
      </c>
      <c r="G1518" s="2">
        <v>618.33333330000005</v>
      </c>
      <c r="H1518" s="2">
        <v>1528</v>
      </c>
      <c r="I1518" s="2">
        <v>3170.333333</v>
      </c>
      <c r="J1518" s="2">
        <v>1.35</v>
      </c>
      <c r="K1518" s="2">
        <v>5.9</v>
      </c>
      <c r="L1518" s="2">
        <v>11.21</v>
      </c>
      <c r="M1518" s="2">
        <v>16.04</v>
      </c>
      <c r="N1518" s="2">
        <v>0.79904367499999995</v>
      </c>
      <c r="O1518" s="2">
        <v>0.687744146</v>
      </c>
      <c r="P1518" s="2">
        <v>1.7537887990000001</v>
      </c>
      <c r="Q1518" s="2">
        <v>1.719685755</v>
      </c>
      <c r="R1518" s="2">
        <v>1.741321694</v>
      </c>
      <c r="S1518" s="2">
        <v>1.7109364650000001</v>
      </c>
      <c r="T1518" s="2">
        <v>0.20874364000000001</v>
      </c>
      <c r="U1518" s="2">
        <v>0.17324984800000001</v>
      </c>
      <c r="V1518" s="2">
        <v>2.7373443449999999</v>
      </c>
      <c r="W1518" s="2">
        <v>0.14118412799999999</v>
      </c>
      <c r="X1518">
        <f t="shared" si="69"/>
        <v>0</v>
      </c>
      <c r="Y1518">
        <f t="shared" si="70"/>
        <v>1</v>
      </c>
      <c r="Z1518">
        <f t="shared" si="71"/>
        <v>1</v>
      </c>
    </row>
    <row r="1519" spans="1:26" ht="15.75" customHeight="1" x14ac:dyDescent="0.2">
      <c r="A1519" s="2" t="s">
        <v>23</v>
      </c>
      <c r="B1519" s="2" t="s">
        <v>35</v>
      </c>
      <c r="C1519" s="2" t="s">
        <v>32</v>
      </c>
      <c r="D1519" s="2" t="s">
        <v>33</v>
      </c>
      <c r="E1519" s="2">
        <v>134</v>
      </c>
      <c r="F1519" s="2">
        <v>136.66666670000001</v>
      </c>
      <c r="G1519" s="2">
        <v>655.33333330000005</v>
      </c>
      <c r="H1519" s="2">
        <v>1525.333333</v>
      </c>
      <c r="I1519" s="2">
        <v>3054.666667</v>
      </c>
      <c r="J1519" s="2">
        <v>1.22</v>
      </c>
      <c r="K1519" s="2">
        <v>6.19</v>
      </c>
      <c r="L1519" s="2">
        <v>11.2</v>
      </c>
      <c r="M1519" s="2">
        <v>15.8</v>
      </c>
      <c r="N1519" s="2">
        <v>0.564304786</v>
      </c>
      <c r="O1519" s="2">
        <v>0.47071990000000002</v>
      </c>
      <c r="P1519" s="2">
        <v>2.0392098879999998</v>
      </c>
      <c r="Q1519" s="2">
        <v>2.005795918</v>
      </c>
      <c r="R1519" s="2">
        <v>2.029650808</v>
      </c>
      <c r="S1519" s="2">
        <v>1.9992655779999999</v>
      </c>
      <c r="T1519" s="2">
        <v>0.197217051</v>
      </c>
      <c r="U1519" s="2">
        <v>0.16172325800000001</v>
      </c>
      <c r="V1519" s="2">
        <v>3.0256734590000001</v>
      </c>
      <c r="W1519" s="2">
        <v>0.18121441299999999</v>
      </c>
      <c r="X1519">
        <f t="shared" si="69"/>
        <v>0</v>
      </c>
      <c r="Y1519">
        <f t="shared" si="70"/>
        <v>1</v>
      </c>
      <c r="Z1519">
        <f t="shared" si="71"/>
        <v>1</v>
      </c>
    </row>
    <row r="1520" spans="1:26" ht="15.75" customHeight="1" x14ac:dyDescent="0.2">
      <c r="A1520" s="2" t="s">
        <v>23</v>
      </c>
      <c r="B1520" s="2" t="s">
        <v>35</v>
      </c>
      <c r="C1520" s="2" t="s">
        <v>25</v>
      </c>
      <c r="D1520" s="2" t="s">
        <v>25</v>
      </c>
      <c r="E1520" s="2">
        <v>266</v>
      </c>
      <c r="F1520" s="2">
        <v>139.66666670000001</v>
      </c>
      <c r="G1520" s="2">
        <v>787.66666669999995</v>
      </c>
      <c r="H1520" s="2">
        <v>1522.333333</v>
      </c>
      <c r="I1520" s="2">
        <v>2802</v>
      </c>
      <c r="J1520" s="2">
        <v>1.25</v>
      </c>
      <c r="K1520" s="2">
        <v>7.16</v>
      </c>
      <c r="L1520" s="2">
        <v>11.19</v>
      </c>
      <c r="M1520" s="2">
        <v>15.25</v>
      </c>
      <c r="N1520" s="2">
        <v>0.69363591300000005</v>
      </c>
      <c r="O1520" s="2">
        <v>0.783197794</v>
      </c>
      <c r="P1520" s="2">
        <v>3.0029855950000002</v>
      </c>
      <c r="Q1520" s="2">
        <v>2.9706697129999999</v>
      </c>
      <c r="R1520" s="2">
        <v>2.9973291990000002</v>
      </c>
      <c r="S1520" s="2">
        <v>2.96694397</v>
      </c>
      <c r="T1520" s="2">
        <v>0.184228537</v>
      </c>
      <c r="U1520" s="2">
        <v>0.148734744</v>
      </c>
      <c r="V1520" s="2">
        <v>3.9933518499999998</v>
      </c>
      <c r="W1520" s="2">
        <v>0.19349967600000001</v>
      </c>
      <c r="X1520">
        <f t="shared" si="69"/>
        <v>0</v>
      </c>
      <c r="Y1520">
        <f t="shared" si="70"/>
        <v>1</v>
      </c>
      <c r="Z1520">
        <f t="shared" si="71"/>
        <v>0</v>
      </c>
    </row>
    <row r="1521" spans="1:26" ht="15.75" customHeight="1" x14ac:dyDescent="0.2">
      <c r="A1521" s="2" t="s">
        <v>23</v>
      </c>
      <c r="B1521" s="2" t="s">
        <v>35</v>
      </c>
      <c r="C1521" s="2" t="s">
        <v>32</v>
      </c>
      <c r="D1521" s="2" t="s">
        <v>33</v>
      </c>
      <c r="E1521" s="2">
        <v>120</v>
      </c>
      <c r="F1521" s="2">
        <v>123</v>
      </c>
      <c r="G1521" s="2">
        <v>697.33333330000005</v>
      </c>
      <c r="H1521" s="2">
        <v>1307</v>
      </c>
      <c r="I1521" s="2">
        <v>2673.666667</v>
      </c>
      <c r="J1521" s="2">
        <v>1.05</v>
      </c>
      <c r="K1521" s="2">
        <v>6.51</v>
      </c>
      <c r="L1521" s="2">
        <v>10.199999999999999</v>
      </c>
      <c r="M1521" s="2">
        <v>14.94</v>
      </c>
      <c r="N1521" s="2">
        <v>0.60890512500000005</v>
      </c>
      <c r="O1521" s="2">
        <v>0.62787710299999999</v>
      </c>
      <c r="P1521" s="2">
        <v>2.4831628569999999</v>
      </c>
      <c r="Q1521" s="2">
        <v>2.4664073709999998</v>
      </c>
      <c r="R1521" s="2">
        <v>2.34721322</v>
      </c>
      <c r="S1521" s="2">
        <v>2.3168279900000002</v>
      </c>
      <c r="T1521" s="2">
        <v>0.81036280500000002</v>
      </c>
      <c r="U1521" s="2">
        <v>0.84585659700000004</v>
      </c>
      <c r="V1521" s="2">
        <v>3.3432358710000001</v>
      </c>
      <c r="W1521" s="2">
        <v>0.213219981</v>
      </c>
      <c r="X1521">
        <f t="shared" si="69"/>
        <v>0</v>
      </c>
      <c r="Y1521">
        <f t="shared" si="70"/>
        <v>1</v>
      </c>
      <c r="Z1521">
        <f t="shared" si="71"/>
        <v>1</v>
      </c>
    </row>
    <row r="1522" spans="1:26" ht="15.75" customHeight="1" x14ac:dyDescent="0.2">
      <c r="A1522" s="2" t="s">
        <v>23</v>
      </c>
      <c r="B1522" s="2" t="s">
        <v>35</v>
      </c>
      <c r="C1522" s="2" t="s">
        <v>32</v>
      </c>
      <c r="D1522" s="2" t="s">
        <v>33</v>
      </c>
      <c r="E1522" s="2">
        <v>154</v>
      </c>
      <c r="F1522" s="2">
        <v>147.66666670000001</v>
      </c>
      <c r="G1522" s="2">
        <v>697</v>
      </c>
      <c r="H1522" s="2">
        <v>1615</v>
      </c>
      <c r="I1522" s="2">
        <v>3376</v>
      </c>
      <c r="J1522" s="2">
        <v>1.35</v>
      </c>
      <c r="K1522" s="2">
        <v>6.5</v>
      </c>
      <c r="L1522" s="2">
        <v>11.58</v>
      </c>
      <c r="M1522" s="2">
        <v>16.43</v>
      </c>
      <c r="N1522" s="2">
        <v>0.78571644699999998</v>
      </c>
      <c r="O1522" s="2">
        <v>0.76019274400000003</v>
      </c>
      <c r="P1522" s="2">
        <v>2.414294253</v>
      </c>
      <c r="Q1522" s="2">
        <v>2.3764817410000001</v>
      </c>
      <c r="R1522" s="2">
        <v>2.3447324059999999</v>
      </c>
      <c r="S1522" s="2">
        <v>2.3143471770000001</v>
      </c>
      <c r="T1522" s="2">
        <v>0.575366563</v>
      </c>
      <c r="U1522" s="2">
        <v>0.53987277099999997</v>
      </c>
      <c r="V1522" s="2">
        <v>3.3407550580000001</v>
      </c>
      <c r="W1522" s="2">
        <v>0.27139507000000002</v>
      </c>
      <c r="X1522">
        <f t="shared" si="69"/>
        <v>0</v>
      </c>
      <c r="Y1522">
        <f t="shared" si="70"/>
        <v>1</v>
      </c>
      <c r="Z1522">
        <f t="shared" si="71"/>
        <v>1</v>
      </c>
    </row>
    <row r="1523" spans="1:26" ht="15.75" customHeight="1" x14ac:dyDescent="0.2">
      <c r="A1523" s="2" t="s">
        <v>23</v>
      </c>
      <c r="B1523" s="2" t="s">
        <v>35</v>
      </c>
      <c r="C1523" s="2" t="s">
        <v>25</v>
      </c>
      <c r="D1523" s="2" t="s">
        <v>25</v>
      </c>
      <c r="E1523" s="2">
        <v>97</v>
      </c>
      <c r="F1523" s="2">
        <v>134.66666670000001</v>
      </c>
      <c r="G1523" s="2">
        <v>705.33333330000005</v>
      </c>
      <c r="H1523" s="2">
        <v>1453.333333</v>
      </c>
      <c r="I1523" s="2">
        <v>2618</v>
      </c>
      <c r="J1523" s="2">
        <v>1.19</v>
      </c>
      <c r="K1523" s="2">
        <v>6.56</v>
      </c>
      <c r="L1523" s="2">
        <v>10.89</v>
      </c>
      <c r="M1523" s="2">
        <v>14.8</v>
      </c>
      <c r="N1523" s="2">
        <v>8.7300897000000002E-2</v>
      </c>
      <c r="O1523" s="2">
        <v>0.11867962999999999</v>
      </c>
      <c r="P1523" s="2">
        <v>2.409596949</v>
      </c>
      <c r="Q1523" s="2">
        <v>2.3813165039999999</v>
      </c>
      <c r="R1523" s="2">
        <v>2.4065665790000002</v>
      </c>
      <c r="S1523" s="2">
        <v>2.37618135</v>
      </c>
      <c r="T1523" s="2">
        <v>0.120808754</v>
      </c>
      <c r="U1523" s="2">
        <v>0.15630254599999999</v>
      </c>
      <c r="V1523" s="2">
        <v>3.4025892299999998</v>
      </c>
      <c r="W1523" s="2">
        <v>0.19155825300000001</v>
      </c>
      <c r="X1523">
        <f t="shared" si="69"/>
        <v>0</v>
      </c>
      <c r="Y1523">
        <f t="shared" si="70"/>
        <v>1</v>
      </c>
      <c r="Z1523">
        <f t="shared" si="71"/>
        <v>0</v>
      </c>
    </row>
    <row r="1524" spans="1:26" ht="15.75" customHeight="1" x14ac:dyDescent="0.2">
      <c r="A1524" s="2" t="s">
        <v>23</v>
      </c>
      <c r="B1524" s="2" t="s">
        <v>35</v>
      </c>
      <c r="C1524" s="2" t="s">
        <v>25</v>
      </c>
      <c r="D1524" s="2" t="s">
        <v>25</v>
      </c>
      <c r="E1524" s="2">
        <v>160</v>
      </c>
      <c r="F1524" s="2">
        <v>132</v>
      </c>
      <c r="G1524" s="2">
        <v>785.33333330000005</v>
      </c>
      <c r="H1524" s="2">
        <v>1354.333333</v>
      </c>
      <c r="I1524" s="2">
        <v>2920</v>
      </c>
      <c r="J1524" s="2">
        <v>1.1599999999999999</v>
      </c>
      <c r="K1524" s="2">
        <v>7.14</v>
      </c>
      <c r="L1524" s="2">
        <v>10.43</v>
      </c>
      <c r="M1524" s="2">
        <v>15.51</v>
      </c>
      <c r="N1524" s="2">
        <v>0.67107507700000002</v>
      </c>
      <c r="O1524" s="2">
        <v>0.78305703900000001</v>
      </c>
      <c r="P1524" s="2">
        <v>3.0370986069999999</v>
      </c>
      <c r="Q1524" s="2">
        <v>3.0143339359999999</v>
      </c>
      <c r="R1524" s="2">
        <v>2.9810748139999999</v>
      </c>
      <c r="S1524" s="2">
        <v>2.9506895850000001</v>
      </c>
      <c r="T1524" s="2">
        <v>0.58065557999999995</v>
      </c>
      <c r="U1524" s="2">
        <v>0.61614937199999997</v>
      </c>
      <c r="V1524" s="2">
        <v>3.9770974649999999</v>
      </c>
      <c r="W1524" s="2">
        <v>0.24453738</v>
      </c>
      <c r="X1524">
        <f t="shared" si="69"/>
        <v>0</v>
      </c>
      <c r="Y1524">
        <f t="shared" si="70"/>
        <v>1</v>
      </c>
      <c r="Z1524">
        <f t="shared" si="71"/>
        <v>0</v>
      </c>
    </row>
    <row r="1525" spans="1:26" ht="15.75" customHeight="1" x14ac:dyDescent="0.2">
      <c r="A1525" s="2" t="s">
        <v>23</v>
      </c>
      <c r="B1525" s="2" t="s">
        <v>35</v>
      </c>
      <c r="C1525" s="2" t="s">
        <v>27</v>
      </c>
      <c r="D1525" s="2" t="s">
        <v>27</v>
      </c>
      <c r="E1525" s="2">
        <v>140</v>
      </c>
      <c r="F1525" s="2">
        <v>154</v>
      </c>
      <c r="G1525" s="2">
        <v>341</v>
      </c>
      <c r="H1525" s="2">
        <v>2166</v>
      </c>
      <c r="I1525" s="2">
        <v>2851.333333</v>
      </c>
      <c r="J1525" s="2">
        <v>1.42</v>
      </c>
      <c r="K1525" s="2">
        <v>3.44</v>
      </c>
      <c r="L1525" s="2">
        <v>13.54</v>
      </c>
      <c r="M1525" s="2">
        <v>15.36</v>
      </c>
      <c r="N1525" s="2">
        <v>6.4994227000000002E-2</v>
      </c>
      <c r="O1525" s="2">
        <v>0.19919388599999999</v>
      </c>
      <c r="P1525" s="2">
        <v>2.6370740380000002</v>
      </c>
      <c r="Q1525" s="2">
        <v>2.611438782</v>
      </c>
      <c r="R1525" s="2">
        <v>0.71507935899999997</v>
      </c>
      <c r="S1525" s="2">
        <v>0.74546458800000004</v>
      </c>
      <c r="T1525" s="2">
        <v>2.5382712609999998</v>
      </c>
      <c r="U1525" s="2">
        <v>2.5027774690000002</v>
      </c>
      <c r="V1525" s="2">
        <v>0.28094329200000001</v>
      </c>
      <c r="W1525" s="2">
        <v>0.194202132</v>
      </c>
      <c r="X1525">
        <f t="shared" si="69"/>
        <v>0</v>
      </c>
      <c r="Y1525">
        <f t="shared" si="70"/>
        <v>1</v>
      </c>
      <c r="Z1525">
        <f t="shared" si="71"/>
        <v>0</v>
      </c>
    </row>
    <row r="1526" spans="1:26" ht="15.75" customHeight="1" x14ac:dyDescent="0.2">
      <c r="A1526" s="2" t="s">
        <v>23</v>
      </c>
      <c r="B1526" s="2" t="s">
        <v>35</v>
      </c>
      <c r="C1526" s="2" t="s">
        <v>30</v>
      </c>
      <c r="D1526" s="2" t="s">
        <v>31</v>
      </c>
      <c r="E1526" s="2">
        <v>150</v>
      </c>
      <c r="F1526" s="2">
        <v>135.66666670000001</v>
      </c>
      <c r="G1526" s="2">
        <v>610</v>
      </c>
      <c r="H1526" s="2">
        <v>1270.666667</v>
      </c>
      <c r="I1526" s="2">
        <v>2397.666667</v>
      </c>
      <c r="J1526" s="2">
        <v>1.21</v>
      </c>
      <c r="K1526" s="2">
        <v>5.83</v>
      </c>
      <c r="L1526" s="2">
        <v>10.01</v>
      </c>
      <c r="M1526" s="2">
        <v>14.22</v>
      </c>
      <c r="N1526" s="2">
        <v>4.2454703880000002</v>
      </c>
      <c r="O1526" s="2">
        <v>4.1481873650000001</v>
      </c>
      <c r="P1526" s="2">
        <v>1.946536346</v>
      </c>
      <c r="Q1526" s="2">
        <v>1.9390071149999999</v>
      </c>
      <c r="R1526" s="2">
        <v>1.6752372179999999</v>
      </c>
      <c r="S1526" s="2">
        <v>1.6448519880000001</v>
      </c>
      <c r="T1526" s="2">
        <v>0.99125375699999996</v>
      </c>
      <c r="U1526" s="2">
        <v>1.026747549</v>
      </c>
      <c r="V1526" s="2">
        <v>2.671259869</v>
      </c>
      <c r="W1526" s="2">
        <v>0.23498205899999999</v>
      </c>
      <c r="X1526">
        <f t="shared" si="69"/>
        <v>0</v>
      </c>
      <c r="Y1526">
        <f t="shared" si="70"/>
        <v>1</v>
      </c>
      <c r="Z1526">
        <f t="shared" si="71"/>
        <v>1</v>
      </c>
    </row>
    <row r="1527" spans="1:26" ht="15.75" customHeight="1" x14ac:dyDescent="0.2">
      <c r="A1527" s="2" t="s">
        <v>23</v>
      </c>
      <c r="B1527" s="2" t="s">
        <v>35</v>
      </c>
      <c r="C1527" s="2" t="s">
        <v>28</v>
      </c>
      <c r="D1527" s="2" t="s">
        <v>29</v>
      </c>
      <c r="E1527" s="2">
        <v>115</v>
      </c>
      <c r="F1527" s="2">
        <v>137.33333329999999</v>
      </c>
      <c r="G1527" s="2">
        <v>682.66666669999995</v>
      </c>
      <c r="H1527" s="2">
        <v>1786</v>
      </c>
      <c r="I1527" s="2">
        <v>2923.666667</v>
      </c>
      <c r="J1527" s="2">
        <v>1.23</v>
      </c>
      <c r="K1527" s="2">
        <v>6.4</v>
      </c>
      <c r="L1527" s="2">
        <v>12.25</v>
      </c>
      <c r="M1527" s="2">
        <v>15.52</v>
      </c>
      <c r="N1527" s="2">
        <v>5.5701144200000003</v>
      </c>
      <c r="O1527" s="2">
        <v>5.2184691670000003</v>
      </c>
      <c r="P1527" s="2">
        <v>2.5611743890000001</v>
      </c>
      <c r="Q1527" s="2">
        <v>2.517409556</v>
      </c>
      <c r="R1527" s="2">
        <v>2.2374654039999999</v>
      </c>
      <c r="S1527" s="2">
        <v>2.2070801740000001</v>
      </c>
      <c r="T1527" s="2">
        <v>1.246339767</v>
      </c>
      <c r="U1527" s="2">
        <v>1.210845975</v>
      </c>
      <c r="V1527" s="2">
        <v>3.233488055</v>
      </c>
      <c r="W1527" s="2">
        <v>0.16458779000000001</v>
      </c>
      <c r="X1527">
        <f t="shared" si="69"/>
        <v>0</v>
      </c>
      <c r="Y1527">
        <f t="shared" si="70"/>
        <v>1</v>
      </c>
      <c r="Z1527">
        <f t="shared" si="71"/>
        <v>1</v>
      </c>
    </row>
    <row r="1528" spans="1:26" ht="15.75" customHeight="1" x14ac:dyDescent="0.2">
      <c r="A1528" s="2" t="s">
        <v>23</v>
      </c>
      <c r="B1528" s="2" t="s">
        <v>35</v>
      </c>
      <c r="C1528" s="2" t="s">
        <v>28</v>
      </c>
      <c r="D1528" s="2" t="s">
        <v>29</v>
      </c>
      <c r="E1528" s="2">
        <v>140</v>
      </c>
      <c r="F1528" s="2">
        <v>151.66666670000001</v>
      </c>
      <c r="G1528" s="2">
        <v>397.33333329999999</v>
      </c>
      <c r="H1528" s="2">
        <v>1112</v>
      </c>
      <c r="I1528" s="2">
        <v>2423</v>
      </c>
      <c r="J1528" s="2">
        <v>1.4</v>
      </c>
      <c r="K1528" s="2">
        <v>3.99</v>
      </c>
      <c r="L1528" s="2">
        <v>9.17</v>
      </c>
      <c r="M1528" s="2">
        <v>14.29</v>
      </c>
      <c r="N1528" s="2">
        <v>1.8021929160000001</v>
      </c>
      <c r="O1528" s="2">
        <v>1.4490078179999999</v>
      </c>
      <c r="P1528" s="2">
        <v>1.8391557089999999</v>
      </c>
      <c r="Q1528" s="2">
        <v>1.877490506</v>
      </c>
      <c r="R1528" s="2">
        <v>0.169345727</v>
      </c>
      <c r="S1528" s="2">
        <v>0.19973095599999999</v>
      </c>
      <c r="T1528" s="2">
        <v>1.8313426079999999</v>
      </c>
      <c r="U1528" s="2">
        <v>1.8668364</v>
      </c>
      <c r="V1528" s="2">
        <v>0.82667692500000001</v>
      </c>
      <c r="W1528" s="2">
        <v>0.22682969</v>
      </c>
      <c r="X1528">
        <f t="shared" si="69"/>
        <v>0</v>
      </c>
      <c r="Y1528">
        <f t="shared" si="70"/>
        <v>1</v>
      </c>
      <c r="Z1528">
        <f t="shared" si="71"/>
        <v>1</v>
      </c>
    </row>
    <row r="1529" spans="1:26" ht="15.75" customHeight="1" x14ac:dyDescent="0.2">
      <c r="A1529" s="2" t="s">
        <v>23</v>
      </c>
      <c r="B1529" s="2" t="s">
        <v>35</v>
      </c>
      <c r="C1529" s="2" t="s">
        <v>32</v>
      </c>
      <c r="D1529" s="2" t="s">
        <v>33</v>
      </c>
      <c r="E1529" s="2">
        <v>130</v>
      </c>
      <c r="F1529" s="2">
        <v>147.33333329999999</v>
      </c>
      <c r="G1529" s="2">
        <v>650.33333330000005</v>
      </c>
      <c r="H1529" s="2">
        <v>1465</v>
      </c>
      <c r="I1529" s="2">
        <v>2997.333333</v>
      </c>
      <c r="J1529" s="2">
        <v>1.34</v>
      </c>
      <c r="K1529" s="2">
        <v>6.15</v>
      </c>
      <c r="L1529" s="2">
        <v>10.94</v>
      </c>
      <c r="M1529" s="2">
        <v>15.68</v>
      </c>
      <c r="N1529" s="2">
        <v>0.45438376000000003</v>
      </c>
      <c r="O1529" s="2">
        <v>0.33534979300000001</v>
      </c>
      <c r="P1529" s="2">
        <v>1.992338486</v>
      </c>
      <c r="Q1529" s="2">
        <v>1.9635287239999999</v>
      </c>
      <c r="R1529" s="2">
        <v>1.9911650649999999</v>
      </c>
      <c r="S1529" s="2">
        <v>1.9607798359999999</v>
      </c>
      <c r="T1529" s="2">
        <v>6.8369029999999997E-2</v>
      </c>
      <c r="U1529" s="2">
        <v>0.10386282199999999</v>
      </c>
      <c r="V1529" s="2">
        <v>2.9871877160000002</v>
      </c>
      <c r="W1529" s="2">
        <v>0.19862211399999999</v>
      </c>
      <c r="X1529">
        <f t="shared" si="69"/>
        <v>0</v>
      </c>
      <c r="Y1529">
        <f t="shared" si="70"/>
        <v>1</v>
      </c>
      <c r="Z1529">
        <f t="shared" si="71"/>
        <v>1</v>
      </c>
    </row>
    <row r="1530" spans="1:26" ht="15.75" customHeight="1" x14ac:dyDescent="0.2">
      <c r="A1530" s="2" t="s">
        <v>23</v>
      </c>
      <c r="B1530" s="2" t="s">
        <v>35</v>
      </c>
      <c r="C1530" s="2" t="s">
        <v>26</v>
      </c>
      <c r="D1530" s="2" t="s">
        <v>26</v>
      </c>
      <c r="E1530" s="2">
        <v>129</v>
      </c>
      <c r="F1530" s="2">
        <v>159.33333329999999</v>
      </c>
      <c r="G1530" s="2">
        <v>377.66666670000001</v>
      </c>
      <c r="H1530" s="2">
        <v>854</v>
      </c>
      <c r="I1530" s="2">
        <v>2646.666667</v>
      </c>
      <c r="J1530" s="2">
        <v>1.49</v>
      </c>
      <c r="K1530" s="2">
        <v>3.8</v>
      </c>
      <c r="L1530" s="2">
        <v>7.61</v>
      </c>
      <c r="M1530" s="2">
        <v>14.87</v>
      </c>
      <c r="N1530" s="2">
        <v>0.25061902800000002</v>
      </c>
      <c r="O1530" s="2">
        <v>0.139240163</v>
      </c>
      <c r="P1530" s="2">
        <v>3.4183164650000002</v>
      </c>
      <c r="Q1530" s="2">
        <v>3.456890252</v>
      </c>
      <c r="R1530" s="2">
        <v>0.35687974500000003</v>
      </c>
      <c r="S1530" s="2">
        <v>0.38726497500000001</v>
      </c>
      <c r="T1530" s="2">
        <v>3.399635907</v>
      </c>
      <c r="U1530" s="2">
        <v>3.435129699</v>
      </c>
      <c r="V1530" s="2">
        <v>0.63914290600000001</v>
      </c>
      <c r="W1530" s="2">
        <v>0.22200663900000001</v>
      </c>
      <c r="X1530">
        <f t="shared" si="69"/>
        <v>0</v>
      </c>
      <c r="Y1530">
        <f t="shared" si="70"/>
        <v>1</v>
      </c>
      <c r="Z1530">
        <f t="shared" si="71"/>
        <v>0</v>
      </c>
    </row>
    <row r="1531" spans="1:26" ht="15.75" customHeight="1" x14ac:dyDescent="0.2">
      <c r="A1531" s="2" t="s">
        <v>23</v>
      </c>
      <c r="B1531" s="2" t="s">
        <v>35</v>
      </c>
      <c r="C1531" s="2" t="s">
        <v>25</v>
      </c>
      <c r="D1531" s="2" t="s">
        <v>25</v>
      </c>
      <c r="E1531" s="2">
        <v>210</v>
      </c>
      <c r="F1531" s="2">
        <v>128</v>
      </c>
      <c r="G1531" s="2">
        <v>725</v>
      </c>
      <c r="H1531" s="2">
        <v>1359</v>
      </c>
      <c r="I1531" s="2">
        <v>2740.666667</v>
      </c>
      <c r="J1531" s="2">
        <v>1.1100000000000001</v>
      </c>
      <c r="K1531" s="2">
        <v>6.71</v>
      </c>
      <c r="L1531" s="2">
        <v>10.45</v>
      </c>
      <c r="M1531" s="2">
        <v>15.1</v>
      </c>
      <c r="N1531" s="2">
        <v>0.37419763499999997</v>
      </c>
      <c r="O1531" s="2">
        <v>0.44752234000000002</v>
      </c>
      <c r="P1531" s="2">
        <v>2.6113664920000002</v>
      </c>
      <c r="Q1531" s="2">
        <v>2.589600559</v>
      </c>
      <c r="R1531" s="2">
        <v>2.5509734380000002</v>
      </c>
      <c r="S1531" s="2">
        <v>2.520588209</v>
      </c>
      <c r="T1531" s="2">
        <v>0.55836321</v>
      </c>
      <c r="U1531" s="2">
        <v>0.59385700299999999</v>
      </c>
      <c r="V1531" s="2">
        <v>3.5469960889999999</v>
      </c>
      <c r="W1531" s="2">
        <v>0.218168003</v>
      </c>
      <c r="X1531">
        <f t="shared" si="69"/>
        <v>0</v>
      </c>
      <c r="Y1531">
        <f t="shared" si="70"/>
        <v>1</v>
      </c>
      <c r="Z1531">
        <f t="shared" si="71"/>
        <v>0</v>
      </c>
    </row>
    <row r="1532" spans="1:26" ht="15.75" customHeight="1" x14ac:dyDescent="0.2">
      <c r="A1532" s="2" t="s">
        <v>23</v>
      </c>
      <c r="B1532" s="2" t="s">
        <v>35</v>
      </c>
      <c r="C1532" s="2" t="s">
        <v>30</v>
      </c>
      <c r="D1532" s="2" t="s">
        <v>31</v>
      </c>
      <c r="E1532" s="2">
        <v>130</v>
      </c>
      <c r="F1532" s="2">
        <v>132.66666670000001</v>
      </c>
      <c r="G1532" s="2">
        <v>570.33333330000005</v>
      </c>
      <c r="H1532" s="2">
        <v>1197.666667</v>
      </c>
      <c r="I1532" s="2">
        <v>2173.666667</v>
      </c>
      <c r="J1532" s="2">
        <v>1.17</v>
      </c>
      <c r="K1532" s="2">
        <v>5.51</v>
      </c>
      <c r="L1532" s="2">
        <v>9.64</v>
      </c>
      <c r="M1532" s="2">
        <v>13.57</v>
      </c>
      <c r="N1532" s="2">
        <v>4.4096577989999997</v>
      </c>
      <c r="O1532" s="2">
        <v>4.3238567789999998</v>
      </c>
      <c r="P1532" s="2">
        <v>1.924756127</v>
      </c>
      <c r="Q1532" s="2">
        <v>1.9291456279999999</v>
      </c>
      <c r="R1532" s="2">
        <v>1.3547079200000001</v>
      </c>
      <c r="S1532" s="2">
        <v>1.3243226910000001</v>
      </c>
      <c r="T1532" s="2">
        <v>1.367279269</v>
      </c>
      <c r="U1532" s="2">
        <v>1.4027730620000001</v>
      </c>
      <c r="V1532" s="2">
        <v>2.3507305710000002</v>
      </c>
      <c r="W1532" s="2">
        <v>0.22239462600000001</v>
      </c>
      <c r="X1532">
        <f t="shared" si="69"/>
        <v>0</v>
      </c>
      <c r="Y1532">
        <f t="shared" si="70"/>
        <v>1</v>
      </c>
      <c r="Z1532">
        <f t="shared" si="71"/>
        <v>1</v>
      </c>
    </row>
    <row r="1533" spans="1:26" ht="15.75" customHeight="1" x14ac:dyDescent="0.2">
      <c r="A1533" s="2" t="s">
        <v>23</v>
      </c>
      <c r="B1533" s="2" t="s">
        <v>35</v>
      </c>
      <c r="C1533" s="2" t="s">
        <v>27</v>
      </c>
      <c r="D1533" s="2" t="s">
        <v>27</v>
      </c>
      <c r="E1533" s="2">
        <v>119</v>
      </c>
      <c r="F1533" s="2">
        <v>140</v>
      </c>
      <c r="G1533" s="2">
        <v>327.66666670000001</v>
      </c>
      <c r="H1533" s="2">
        <v>2125.666667</v>
      </c>
      <c r="I1533" s="2">
        <v>2822.666667</v>
      </c>
      <c r="J1533" s="2">
        <v>1.26</v>
      </c>
      <c r="K1533" s="2">
        <v>3.31</v>
      </c>
      <c r="L1533" s="2">
        <v>13.42</v>
      </c>
      <c r="M1533" s="2">
        <v>15.29</v>
      </c>
      <c r="N1533" s="2">
        <v>0.24351041700000001</v>
      </c>
      <c r="O1533" s="2">
        <v>0.35262967200000001</v>
      </c>
      <c r="P1533" s="2">
        <v>2.5573004130000001</v>
      </c>
      <c r="Q1533" s="2">
        <v>2.5342162560000001</v>
      </c>
      <c r="R1533" s="2">
        <v>0.84818064699999995</v>
      </c>
      <c r="S1533" s="2">
        <v>0.878565877</v>
      </c>
      <c r="T1533" s="2">
        <v>2.4125453339999998</v>
      </c>
      <c r="U1533" s="2">
        <v>2.3770515419999998</v>
      </c>
      <c r="V1533" s="2">
        <v>0.147842004</v>
      </c>
      <c r="W1533" s="2">
        <v>0.220678288</v>
      </c>
      <c r="X1533">
        <f t="shared" si="69"/>
        <v>0</v>
      </c>
      <c r="Y1533">
        <f t="shared" si="70"/>
        <v>1</v>
      </c>
      <c r="Z1533">
        <f t="shared" si="71"/>
        <v>0</v>
      </c>
    </row>
    <row r="1534" spans="1:26" ht="15.75" customHeight="1" x14ac:dyDescent="0.2">
      <c r="A1534" s="2" t="s">
        <v>23</v>
      </c>
      <c r="B1534" s="2" t="s">
        <v>35</v>
      </c>
      <c r="C1534" s="2" t="s">
        <v>30</v>
      </c>
      <c r="D1534" s="2" t="s">
        <v>31</v>
      </c>
      <c r="E1534" s="2">
        <v>141</v>
      </c>
      <c r="F1534" s="2">
        <v>157</v>
      </c>
      <c r="G1534" s="2">
        <v>557.66666669999995</v>
      </c>
      <c r="H1534" s="2">
        <v>1250.333333</v>
      </c>
      <c r="I1534" s="2">
        <v>2023</v>
      </c>
      <c r="J1534" s="2">
        <v>1.46</v>
      </c>
      <c r="K1534" s="2">
        <v>5.41</v>
      </c>
      <c r="L1534" s="2">
        <v>9.91</v>
      </c>
      <c r="M1534" s="2">
        <v>13.09</v>
      </c>
      <c r="N1534" s="2">
        <v>4.1191413780000001</v>
      </c>
      <c r="O1534" s="2">
        <v>4.0325919990000001</v>
      </c>
      <c r="P1534" s="2">
        <v>1.6614752530000001</v>
      </c>
      <c r="Q1534" s="2">
        <v>1.662644298</v>
      </c>
      <c r="R1534" s="2">
        <v>1.2502264540000001</v>
      </c>
      <c r="S1534" s="2">
        <v>1.2198412240000001</v>
      </c>
      <c r="T1534" s="2">
        <v>1.0942731969999999</v>
      </c>
      <c r="U1534" s="2">
        <v>1.1297669889999999</v>
      </c>
      <c r="V1534" s="2">
        <v>2.246249105</v>
      </c>
      <c r="W1534" s="2">
        <v>0.17796870000000001</v>
      </c>
      <c r="X1534">
        <f t="shared" si="69"/>
        <v>0</v>
      </c>
      <c r="Y1534">
        <f t="shared" si="70"/>
        <v>1</v>
      </c>
      <c r="Z1534">
        <f t="shared" si="71"/>
        <v>1</v>
      </c>
    </row>
    <row r="1535" spans="1:26" ht="15.75" customHeight="1" x14ac:dyDescent="0.2">
      <c r="A1535" s="2" t="s">
        <v>23</v>
      </c>
      <c r="B1535" s="2" t="s">
        <v>35</v>
      </c>
      <c r="C1535" s="2" t="s">
        <v>27</v>
      </c>
      <c r="D1535" s="2" t="s">
        <v>27</v>
      </c>
      <c r="E1535" s="2">
        <v>105</v>
      </c>
      <c r="F1535" s="2">
        <v>150.66666670000001</v>
      </c>
      <c r="G1535" s="2">
        <v>326</v>
      </c>
      <c r="H1535" s="2">
        <v>2134.666667</v>
      </c>
      <c r="I1535" s="2">
        <v>2894.333333</v>
      </c>
      <c r="J1535" s="2">
        <v>1.38</v>
      </c>
      <c r="K1535" s="2">
        <v>3.29</v>
      </c>
      <c r="L1535" s="2">
        <v>13.45</v>
      </c>
      <c r="M1535" s="2">
        <v>15.46</v>
      </c>
      <c r="N1535" s="2">
        <v>0.242163038</v>
      </c>
      <c r="O1535" s="2">
        <v>0.36035913600000002</v>
      </c>
      <c r="P1535" s="2">
        <v>2.5895318610000002</v>
      </c>
      <c r="Q1535" s="2">
        <v>2.5665449229999999</v>
      </c>
      <c r="R1535" s="2">
        <v>0.864927479</v>
      </c>
      <c r="S1535" s="2">
        <v>0.89531270900000004</v>
      </c>
      <c r="T1535" s="2">
        <v>2.4408145600000002</v>
      </c>
      <c r="U1535" s="2">
        <v>2.4053207670000001</v>
      </c>
      <c r="V1535" s="2">
        <v>0.13109517200000001</v>
      </c>
      <c r="W1535" s="2">
        <v>0.25720363299999999</v>
      </c>
      <c r="X1535">
        <f t="shared" si="69"/>
        <v>0</v>
      </c>
      <c r="Y1535">
        <f t="shared" si="70"/>
        <v>1</v>
      </c>
      <c r="Z1535">
        <f t="shared" si="71"/>
        <v>0</v>
      </c>
    </row>
    <row r="1536" spans="1:26" ht="15.75" customHeight="1" x14ac:dyDescent="0.2">
      <c r="A1536" s="2" t="s">
        <v>23</v>
      </c>
      <c r="B1536" s="2" t="s">
        <v>35</v>
      </c>
      <c r="C1536" s="2" t="s">
        <v>26</v>
      </c>
      <c r="D1536" s="2" t="s">
        <v>26</v>
      </c>
      <c r="E1536" s="2">
        <v>147</v>
      </c>
      <c r="F1536" s="2">
        <v>126.66666669999999</v>
      </c>
      <c r="G1536" s="2">
        <v>377.33333329999999</v>
      </c>
      <c r="H1536" s="2">
        <v>917.66666669999995</v>
      </c>
      <c r="I1536" s="2">
        <v>2596</v>
      </c>
      <c r="J1536" s="2">
        <v>1.1000000000000001</v>
      </c>
      <c r="K1536" s="2">
        <v>3.8</v>
      </c>
      <c r="L1536" s="2">
        <v>8.02</v>
      </c>
      <c r="M1536" s="2">
        <v>14.75</v>
      </c>
      <c r="N1536" s="2">
        <v>0.63232189500000002</v>
      </c>
      <c r="O1536" s="2">
        <v>0.27868881400000001</v>
      </c>
      <c r="P1536" s="2">
        <v>3.0081225589999998</v>
      </c>
      <c r="Q1536" s="2">
        <v>3.0471086089999999</v>
      </c>
      <c r="R1536" s="2">
        <v>0.36008548600000001</v>
      </c>
      <c r="S1536" s="2">
        <v>0.390470716</v>
      </c>
      <c r="T1536" s="2">
        <v>2.9864928879999999</v>
      </c>
      <c r="U1536" s="2">
        <v>3.021986681</v>
      </c>
      <c r="V1536" s="2">
        <v>0.63593716499999997</v>
      </c>
      <c r="W1536" s="2">
        <v>0.17640167200000001</v>
      </c>
      <c r="X1536">
        <f t="shared" si="69"/>
        <v>0</v>
      </c>
      <c r="Y1536">
        <f t="shared" si="70"/>
        <v>1</v>
      </c>
      <c r="Z1536">
        <f t="shared" si="71"/>
        <v>0</v>
      </c>
    </row>
    <row r="1537" spans="1:26" ht="15.75" customHeight="1" x14ac:dyDescent="0.2">
      <c r="A1537" s="2" t="s">
        <v>23</v>
      </c>
      <c r="B1537" s="2" t="s">
        <v>35</v>
      </c>
      <c r="C1537" s="2" t="s">
        <v>27</v>
      </c>
      <c r="D1537" s="2" t="s">
        <v>27</v>
      </c>
      <c r="E1537" s="2">
        <v>160</v>
      </c>
      <c r="F1537" s="2">
        <v>170.33333329999999</v>
      </c>
      <c r="G1537" s="2">
        <v>344.33333329999999</v>
      </c>
      <c r="H1537" s="2">
        <v>2202</v>
      </c>
      <c r="I1537" s="2">
        <v>2883</v>
      </c>
      <c r="J1537" s="2">
        <v>1.61</v>
      </c>
      <c r="K1537" s="2">
        <v>3.48</v>
      </c>
      <c r="L1537" s="2">
        <v>13.65</v>
      </c>
      <c r="M1537" s="2">
        <v>15.43</v>
      </c>
      <c r="N1537" s="2">
        <v>9.4272837999999998E-2</v>
      </c>
      <c r="O1537" s="2">
        <v>0.20339194699999999</v>
      </c>
      <c r="P1537" s="2">
        <v>2.7348442999999998</v>
      </c>
      <c r="Q1537" s="2">
        <v>2.7083202989999999</v>
      </c>
      <c r="R1537" s="2">
        <v>0.68204470900000003</v>
      </c>
      <c r="S1537" s="2">
        <v>0.71242993799999998</v>
      </c>
      <c r="T1537" s="2">
        <v>2.648431301</v>
      </c>
      <c r="U1537" s="2">
        <v>2.612937509</v>
      </c>
      <c r="V1537" s="2">
        <v>0.31397794200000001</v>
      </c>
      <c r="W1537" s="2">
        <v>0.18161124200000001</v>
      </c>
      <c r="X1537">
        <f t="shared" si="69"/>
        <v>0</v>
      </c>
      <c r="Y1537">
        <f t="shared" si="70"/>
        <v>1</v>
      </c>
      <c r="Z1537">
        <f t="shared" si="71"/>
        <v>0</v>
      </c>
    </row>
    <row r="1538" spans="1:26" ht="15.75" customHeight="1" x14ac:dyDescent="0.2">
      <c r="A1538" s="2" t="s">
        <v>23</v>
      </c>
      <c r="B1538" s="2" t="s">
        <v>35</v>
      </c>
      <c r="C1538" s="2" t="s">
        <v>30</v>
      </c>
      <c r="D1538" s="2" t="s">
        <v>31</v>
      </c>
      <c r="E1538" s="2">
        <v>121</v>
      </c>
      <c r="F1538" s="2">
        <v>126.66666669999999</v>
      </c>
      <c r="G1538" s="2">
        <v>731</v>
      </c>
      <c r="H1538" s="2">
        <v>1535</v>
      </c>
      <c r="I1538" s="2">
        <v>3015.666667</v>
      </c>
      <c r="J1538" s="2">
        <v>1.1000000000000001</v>
      </c>
      <c r="K1538" s="2">
        <v>6.75</v>
      </c>
      <c r="L1538" s="2">
        <v>11.24</v>
      </c>
      <c r="M1538" s="2">
        <v>15.72</v>
      </c>
      <c r="N1538" s="2">
        <v>3.9912837290000001</v>
      </c>
      <c r="O1538" s="2">
        <v>3.8638564789999998</v>
      </c>
      <c r="P1538" s="2">
        <v>2.6055863490000002</v>
      </c>
      <c r="Q1538" s="2">
        <v>2.5722806070000002</v>
      </c>
      <c r="R1538" s="2">
        <v>2.5946095599999999</v>
      </c>
      <c r="S1538" s="2">
        <v>2.5642243310000001</v>
      </c>
      <c r="T1538" s="2">
        <v>0.23891725</v>
      </c>
      <c r="U1538" s="2">
        <v>0.203423458</v>
      </c>
      <c r="V1538" s="2">
        <v>3.590632211</v>
      </c>
      <c r="W1538" s="2">
        <v>0.12851168600000001</v>
      </c>
      <c r="X1538">
        <f t="shared" si="69"/>
        <v>0</v>
      </c>
      <c r="Y1538">
        <f t="shared" si="70"/>
        <v>1</v>
      </c>
      <c r="Z1538">
        <f t="shared" si="71"/>
        <v>1</v>
      </c>
    </row>
    <row r="1539" spans="1:26" ht="15.75" customHeight="1" x14ac:dyDescent="0.2">
      <c r="A1539" s="2" t="s">
        <v>23</v>
      </c>
      <c r="B1539" s="2" t="s">
        <v>35</v>
      </c>
      <c r="C1539" s="2" t="s">
        <v>27</v>
      </c>
      <c r="D1539" s="2" t="s">
        <v>27</v>
      </c>
      <c r="E1539" s="2">
        <v>124</v>
      </c>
      <c r="F1539" s="2">
        <v>134.33333329999999</v>
      </c>
      <c r="G1539" s="2">
        <v>400.33333329999999</v>
      </c>
      <c r="H1539" s="2">
        <v>2170.666667</v>
      </c>
      <c r="I1539" s="2">
        <v>2882.666667</v>
      </c>
      <c r="J1539" s="2">
        <v>1.19</v>
      </c>
      <c r="K1539" s="2">
        <v>4.0199999999999996</v>
      </c>
      <c r="L1539" s="2">
        <v>13.56</v>
      </c>
      <c r="M1539" s="2">
        <v>15.43</v>
      </c>
      <c r="N1539" s="2">
        <v>0.51237714999999995</v>
      </c>
      <c r="O1539" s="2">
        <v>0.37563532900000002</v>
      </c>
      <c r="P1539" s="2">
        <v>2.556551544</v>
      </c>
      <c r="Q1539" s="2">
        <v>2.5229944880000001</v>
      </c>
      <c r="R1539" s="2">
        <v>0.14101355900000001</v>
      </c>
      <c r="S1539" s="2">
        <v>0.171398788</v>
      </c>
      <c r="T1539" s="2">
        <v>2.552659588</v>
      </c>
      <c r="U1539" s="2">
        <v>2.5171657949999999</v>
      </c>
      <c r="V1539" s="2">
        <v>0.85500909199999997</v>
      </c>
      <c r="W1539" s="2">
        <v>0.173238479</v>
      </c>
      <c r="X1539">
        <f t="shared" ref="X1539:X1602" si="72">IF(B1539="normal",1,0)</f>
        <v>0</v>
      </c>
      <c r="Y1539">
        <f t="shared" ref="Y1539:Y1602" si="73">IF(A1539="lecture",1,0)</f>
        <v>1</v>
      </c>
      <c r="Z1539">
        <f t="shared" ref="Z1539:Z1602" si="74">IF(ISNUMBER(FIND("~",D1539)),1,0)</f>
        <v>0</v>
      </c>
    </row>
    <row r="1540" spans="1:26" ht="15.75" customHeight="1" x14ac:dyDescent="0.2">
      <c r="A1540" s="2" t="s">
        <v>23</v>
      </c>
      <c r="B1540" s="2" t="s">
        <v>35</v>
      </c>
      <c r="C1540" s="2" t="s">
        <v>26</v>
      </c>
      <c r="D1540" s="2" t="s">
        <v>26</v>
      </c>
      <c r="E1540" s="2">
        <v>156</v>
      </c>
      <c r="F1540" s="2">
        <v>131.33333329999999</v>
      </c>
      <c r="G1540" s="2">
        <v>359.66666670000001</v>
      </c>
      <c r="H1540" s="2">
        <v>853.66666669999995</v>
      </c>
      <c r="I1540" s="2">
        <v>2557</v>
      </c>
      <c r="J1540" s="2">
        <v>1.1499999999999999</v>
      </c>
      <c r="K1540" s="2">
        <v>3.63</v>
      </c>
      <c r="L1540" s="2">
        <v>7.6</v>
      </c>
      <c r="M1540" s="2">
        <v>14.65</v>
      </c>
      <c r="N1540" s="2">
        <v>0.20199476399999999</v>
      </c>
      <c r="O1540" s="2">
        <v>0.199271579</v>
      </c>
      <c r="P1540" s="2">
        <v>3.443088623</v>
      </c>
      <c r="Q1540" s="2">
        <v>3.4829325519999998</v>
      </c>
      <c r="R1540" s="2">
        <v>0.53130815600000003</v>
      </c>
      <c r="S1540" s="2">
        <v>0.56169338599999996</v>
      </c>
      <c r="T1540" s="2">
        <v>3.4018481600000001</v>
      </c>
      <c r="U1540" s="2">
        <v>3.4373419529999998</v>
      </c>
      <c r="V1540" s="2">
        <v>0.46471449500000001</v>
      </c>
      <c r="W1540" s="2">
        <v>0.24886070499999999</v>
      </c>
      <c r="X1540">
        <f t="shared" si="72"/>
        <v>0</v>
      </c>
      <c r="Y1540">
        <f t="shared" si="73"/>
        <v>1</v>
      </c>
      <c r="Z1540">
        <f t="shared" si="74"/>
        <v>0</v>
      </c>
    </row>
    <row r="1541" spans="1:26" ht="15.75" customHeight="1" x14ac:dyDescent="0.2">
      <c r="A1541" s="2" t="s">
        <v>23</v>
      </c>
      <c r="B1541" s="2" t="s">
        <v>35</v>
      </c>
      <c r="C1541" s="2" t="s">
        <v>30</v>
      </c>
      <c r="D1541" s="2" t="s">
        <v>31</v>
      </c>
      <c r="E1541" s="2">
        <v>90</v>
      </c>
      <c r="F1541" s="2">
        <v>146</v>
      </c>
      <c r="G1541" s="2">
        <v>634</v>
      </c>
      <c r="H1541" s="2">
        <v>1314</v>
      </c>
      <c r="I1541" s="2">
        <v>2625</v>
      </c>
      <c r="J1541" s="2">
        <v>1.33</v>
      </c>
      <c r="K1541" s="2">
        <v>6.02</v>
      </c>
      <c r="L1541" s="2">
        <v>10.23</v>
      </c>
      <c r="M1541" s="2">
        <v>14.82</v>
      </c>
      <c r="N1541" s="2">
        <v>4.1783644349999998</v>
      </c>
      <c r="O1541" s="2">
        <v>4.074571207</v>
      </c>
      <c r="P1541" s="2">
        <v>2.0194463159999998</v>
      </c>
      <c r="Q1541" s="2">
        <v>2.0055248360000002</v>
      </c>
      <c r="R1541" s="2">
        <v>1.864411037</v>
      </c>
      <c r="S1541" s="2">
        <v>1.834025808</v>
      </c>
      <c r="T1541" s="2">
        <v>0.77597352200000003</v>
      </c>
      <c r="U1541" s="2">
        <v>0.81146731500000002</v>
      </c>
      <c r="V1541" s="2">
        <v>2.8604336880000001</v>
      </c>
      <c r="W1541" s="2">
        <v>0.190030385</v>
      </c>
      <c r="X1541">
        <f t="shared" si="72"/>
        <v>0</v>
      </c>
      <c r="Y1541">
        <f t="shared" si="73"/>
        <v>1</v>
      </c>
      <c r="Z1541">
        <f t="shared" si="74"/>
        <v>1</v>
      </c>
    </row>
    <row r="1542" spans="1:26" ht="15.75" customHeight="1" x14ac:dyDescent="0.2">
      <c r="A1542" s="2" t="s">
        <v>23</v>
      </c>
      <c r="B1542" s="2" t="s">
        <v>35</v>
      </c>
      <c r="C1542" s="2" t="s">
        <v>32</v>
      </c>
      <c r="D1542" s="2" t="s">
        <v>33</v>
      </c>
      <c r="E1542" s="2">
        <v>138</v>
      </c>
      <c r="F1542" s="2">
        <v>132.33333329999999</v>
      </c>
      <c r="G1542" s="2">
        <v>654</v>
      </c>
      <c r="H1542" s="2">
        <v>1452.333333</v>
      </c>
      <c r="I1542" s="2">
        <v>3026</v>
      </c>
      <c r="J1542" s="2">
        <v>1.17</v>
      </c>
      <c r="K1542" s="2">
        <v>6.18</v>
      </c>
      <c r="L1542" s="2">
        <v>10.88</v>
      </c>
      <c r="M1542" s="2">
        <v>15.74</v>
      </c>
      <c r="N1542" s="2">
        <v>0.41272442999999998</v>
      </c>
      <c r="O1542" s="2">
        <v>0.29251891000000002</v>
      </c>
      <c r="P1542" s="2">
        <v>2.0232871710000002</v>
      </c>
      <c r="Q1542" s="2">
        <v>1.995507511</v>
      </c>
      <c r="R1542" s="2">
        <v>2.019402339</v>
      </c>
      <c r="S1542" s="2">
        <v>1.98901711</v>
      </c>
      <c r="T1542" s="2">
        <v>0.12532027200000001</v>
      </c>
      <c r="U1542" s="2">
        <v>0.16081406400000001</v>
      </c>
      <c r="V1542" s="2">
        <v>3.0154249900000001</v>
      </c>
      <c r="W1542" s="2">
        <v>0.179549036</v>
      </c>
      <c r="X1542">
        <f t="shared" si="72"/>
        <v>0</v>
      </c>
      <c r="Y1542">
        <f t="shared" si="73"/>
        <v>1</v>
      </c>
      <c r="Z1542">
        <f t="shared" si="74"/>
        <v>1</v>
      </c>
    </row>
    <row r="1543" spans="1:26" ht="15.75" customHeight="1" x14ac:dyDescent="0.2">
      <c r="A1543" s="2" t="s">
        <v>23</v>
      </c>
      <c r="B1543" s="2" t="s">
        <v>35</v>
      </c>
      <c r="C1543" s="2" t="s">
        <v>28</v>
      </c>
      <c r="D1543" s="2" t="s">
        <v>29</v>
      </c>
      <c r="E1543" s="2">
        <v>120</v>
      </c>
      <c r="F1543" s="2">
        <v>128</v>
      </c>
      <c r="G1543" s="2">
        <v>486.66666670000001</v>
      </c>
      <c r="H1543" s="2">
        <v>2001</v>
      </c>
      <c r="I1543" s="2">
        <v>2749.666667</v>
      </c>
      <c r="J1543" s="2">
        <v>1.1100000000000001</v>
      </c>
      <c r="K1543" s="2">
        <v>4.8</v>
      </c>
      <c r="L1543" s="2">
        <v>13.01</v>
      </c>
      <c r="M1543" s="2">
        <v>15.12</v>
      </c>
      <c r="N1543" s="2">
        <v>5.7263189819999996</v>
      </c>
      <c r="O1543" s="2">
        <v>5.371663785</v>
      </c>
      <c r="P1543" s="2">
        <v>2.1086747950000002</v>
      </c>
      <c r="Q1543" s="2">
        <v>2.0656711560000001</v>
      </c>
      <c r="R1543" s="2">
        <v>0.64455347399999996</v>
      </c>
      <c r="S1543" s="2">
        <v>0.614168245</v>
      </c>
      <c r="T1543" s="2">
        <v>2.007750036</v>
      </c>
      <c r="U1543" s="2">
        <v>1.972256244</v>
      </c>
      <c r="V1543" s="2">
        <v>1.640576126</v>
      </c>
      <c r="W1543" s="2">
        <v>0.18860829500000001</v>
      </c>
      <c r="X1543">
        <f t="shared" si="72"/>
        <v>0</v>
      </c>
      <c r="Y1543">
        <f t="shared" si="73"/>
        <v>1</v>
      </c>
      <c r="Z1543">
        <f t="shared" si="74"/>
        <v>1</v>
      </c>
    </row>
    <row r="1544" spans="1:26" ht="15.75" customHeight="1" x14ac:dyDescent="0.2">
      <c r="A1544" s="2" t="s">
        <v>23</v>
      </c>
      <c r="B1544" s="2" t="s">
        <v>35</v>
      </c>
      <c r="C1544" s="2" t="s">
        <v>28</v>
      </c>
      <c r="D1544" s="2" t="s">
        <v>29</v>
      </c>
      <c r="E1544" s="2">
        <v>181</v>
      </c>
      <c r="F1544" s="2">
        <v>159.33333329999999</v>
      </c>
      <c r="G1544" s="2">
        <v>464.33333329999999</v>
      </c>
      <c r="H1544" s="2">
        <v>1517</v>
      </c>
      <c r="I1544" s="2">
        <v>2841.666667</v>
      </c>
      <c r="J1544" s="2">
        <v>1.49</v>
      </c>
      <c r="K1544" s="2">
        <v>4.5999999999999996</v>
      </c>
      <c r="L1544" s="2">
        <v>11.17</v>
      </c>
      <c r="M1544" s="2">
        <v>15.34</v>
      </c>
      <c r="N1544" s="2">
        <v>3.8815416090000001</v>
      </c>
      <c r="O1544" s="2">
        <v>3.5250528280000002</v>
      </c>
      <c r="P1544" s="2">
        <v>0.47485813399999999</v>
      </c>
      <c r="Q1544" s="2">
        <v>0.43484730199999999</v>
      </c>
      <c r="R1544" s="2">
        <v>0.44670199799999999</v>
      </c>
      <c r="S1544" s="2">
        <v>0.41631676899999998</v>
      </c>
      <c r="T1544" s="2">
        <v>0.16108250299999999</v>
      </c>
      <c r="U1544" s="2">
        <v>0.12558870999999999</v>
      </c>
      <c r="V1544" s="2">
        <v>1.4427246490000001</v>
      </c>
      <c r="W1544" s="2">
        <v>0.28577977599999999</v>
      </c>
      <c r="X1544">
        <f t="shared" si="72"/>
        <v>0</v>
      </c>
      <c r="Y1544">
        <f t="shared" si="73"/>
        <v>1</v>
      </c>
      <c r="Z1544">
        <f t="shared" si="74"/>
        <v>1</v>
      </c>
    </row>
    <row r="1545" spans="1:26" ht="15.75" customHeight="1" x14ac:dyDescent="0.2">
      <c r="A1545" s="2" t="s">
        <v>23</v>
      </c>
      <c r="B1545" s="2" t="s">
        <v>35</v>
      </c>
      <c r="C1545" s="2" t="s">
        <v>26</v>
      </c>
      <c r="D1545" s="2" t="s">
        <v>26</v>
      </c>
      <c r="E1545" s="2">
        <v>115</v>
      </c>
      <c r="F1545" s="2">
        <v>150.33333329999999</v>
      </c>
      <c r="G1545" s="2">
        <v>336.66666670000001</v>
      </c>
      <c r="H1545" s="2">
        <v>721.33333330000005</v>
      </c>
      <c r="I1545" s="2">
        <v>2846.333333</v>
      </c>
      <c r="J1545" s="2">
        <v>1.38</v>
      </c>
      <c r="K1545" s="2">
        <v>3.4</v>
      </c>
      <c r="L1545" s="2">
        <v>6.68</v>
      </c>
      <c r="M1545" s="2">
        <v>15.35</v>
      </c>
      <c r="N1545" s="2">
        <v>0.76474664000000003</v>
      </c>
      <c r="O1545" s="2">
        <v>1.1226735370000001</v>
      </c>
      <c r="P1545" s="2">
        <v>4.3895391559999997</v>
      </c>
      <c r="Q1545" s="2">
        <v>4.4298116089999997</v>
      </c>
      <c r="R1545" s="2">
        <v>0.75816776200000002</v>
      </c>
      <c r="S1545" s="2">
        <v>0.78855299099999998</v>
      </c>
      <c r="T1545" s="2">
        <v>4.3235674670000002</v>
      </c>
      <c r="U1545" s="2">
        <v>4.3590612599999998</v>
      </c>
      <c r="V1545" s="2">
        <v>0.23785488900000001</v>
      </c>
      <c r="W1545" s="2">
        <v>0.22523222900000001</v>
      </c>
      <c r="X1545">
        <f t="shared" si="72"/>
        <v>0</v>
      </c>
      <c r="Y1545">
        <f t="shared" si="73"/>
        <v>1</v>
      </c>
      <c r="Z1545">
        <f t="shared" si="74"/>
        <v>0</v>
      </c>
    </row>
    <row r="1546" spans="1:26" ht="15.75" customHeight="1" x14ac:dyDescent="0.2">
      <c r="A1546" s="2" t="s">
        <v>23</v>
      </c>
      <c r="B1546" s="2" t="s">
        <v>35</v>
      </c>
      <c r="C1546" s="2" t="s">
        <v>25</v>
      </c>
      <c r="D1546" s="2" t="s">
        <v>25</v>
      </c>
      <c r="E1546" s="2">
        <v>159</v>
      </c>
      <c r="F1546" s="2">
        <v>121.66666669999999</v>
      </c>
      <c r="G1546" s="2">
        <v>742.33333330000005</v>
      </c>
      <c r="H1546" s="2">
        <v>1457.666667</v>
      </c>
      <c r="I1546" s="2">
        <v>2844.666667</v>
      </c>
      <c r="J1546" s="2">
        <v>1.04</v>
      </c>
      <c r="K1546" s="2">
        <v>6.83</v>
      </c>
      <c r="L1546" s="2">
        <v>10.9</v>
      </c>
      <c r="M1546" s="2">
        <v>15.34</v>
      </c>
      <c r="N1546" s="2">
        <v>0.27339139000000001</v>
      </c>
      <c r="O1546" s="2">
        <v>0.37958162299999998</v>
      </c>
      <c r="P1546" s="2">
        <v>2.678420569</v>
      </c>
      <c r="Q1546" s="2">
        <v>2.6496523700000001</v>
      </c>
      <c r="R1546" s="2">
        <v>2.6765046629999998</v>
      </c>
      <c r="S1546" s="2">
        <v>2.646119433</v>
      </c>
      <c r="T1546" s="2">
        <v>0.101289348</v>
      </c>
      <c r="U1546" s="2">
        <v>0.136783141</v>
      </c>
      <c r="V1546" s="2">
        <v>3.6725273139999999</v>
      </c>
      <c r="W1546" s="2">
        <v>0.18989013099999999</v>
      </c>
      <c r="X1546">
        <f t="shared" si="72"/>
        <v>0</v>
      </c>
      <c r="Y1546">
        <f t="shared" si="73"/>
        <v>1</v>
      </c>
      <c r="Z1546">
        <f t="shared" si="74"/>
        <v>0</v>
      </c>
    </row>
    <row r="1547" spans="1:26" ht="15.75" customHeight="1" x14ac:dyDescent="0.2">
      <c r="A1547" s="2" t="s">
        <v>23</v>
      </c>
      <c r="B1547" s="2" t="s">
        <v>35</v>
      </c>
      <c r="C1547" s="2" t="s">
        <v>30</v>
      </c>
      <c r="D1547" s="2" t="s">
        <v>31</v>
      </c>
      <c r="E1547" s="2">
        <v>114</v>
      </c>
      <c r="F1547" s="2">
        <v>143.66666670000001</v>
      </c>
      <c r="G1547" s="2">
        <v>596</v>
      </c>
      <c r="H1547" s="2">
        <v>1344.666667</v>
      </c>
      <c r="I1547" s="2">
        <v>2068.666667</v>
      </c>
      <c r="J1547" s="2">
        <v>1.3</v>
      </c>
      <c r="K1547" s="2">
        <v>5.72</v>
      </c>
      <c r="L1547" s="2">
        <v>10.38</v>
      </c>
      <c r="M1547" s="2">
        <v>13.24</v>
      </c>
      <c r="N1547" s="2">
        <v>3.8809492639999998</v>
      </c>
      <c r="O1547" s="2">
        <v>3.781023426</v>
      </c>
      <c r="P1547" s="2">
        <v>1.6843117080000001</v>
      </c>
      <c r="Q1547" s="2">
        <v>1.6699106029999999</v>
      </c>
      <c r="R1547" s="2">
        <v>1.563245231</v>
      </c>
      <c r="S1547" s="2">
        <v>1.5328600020000001</v>
      </c>
      <c r="T1547" s="2">
        <v>0.62703291400000005</v>
      </c>
      <c r="U1547" s="2">
        <v>0.66252670700000005</v>
      </c>
      <c r="V1547" s="2">
        <v>2.559267883</v>
      </c>
      <c r="W1547" s="2">
        <v>0.236927469</v>
      </c>
      <c r="X1547">
        <f t="shared" si="72"/>
        <v>0</v>
      </c>
      <c r="Y1547">
        <f t="shared" si="73"/>
        <v>1</v>
      </c>
      <c r="Z1547">
        <f t="shared" si="74"/>
        <v>1</v>
      </c>
    </row>
    <row r="1548" spans="1:26" ht="15.75" customHeight="1" x14ac:dyDescent="0.2">
      <c r="A1548" s="2" t="s">
        <v>23</v>
      </c>
      <c r="B1548" s="2" t="s">
        <v>35</v>
      </c>
      <c r="C1548" s="2" t="s">
        <v>28</v>
      </c>
      <c r="D1548" s="2" t="s">
        <v>29</v>
      </c>
      <c r="E1548" s="2">
        <v>150</v>
      </c>
      <c r="F1548" s="2">
        <v>152.66666670000001</v>
      </c>
      <c r="G1548" s="2">
        <v>423.33333329999999</v>
      </c>
      <c r="H1548" s="2">
        <v>1335.333333</v>
      </c>
      <c r="I1548" s="2">
        <v>2937</v>
      </c>
      <c r="J1548" s="2">
        <v>1.41</v>
      </c>
      <c r="K1548" s="2">
        <v>4.2300000000000004</v>
      </c>
      <c r="L1548" s="2">
        <v>10.33</v>
      </c>
      <c r="M1548" s="2">
        <v>15.55</v>
      </c>
      <c r="N1548" s="2">
        <v>2.9865589340000001</v>
      </c>
      <c r="O1548" s="2">
        <v>2.6325049269999998</v>
      </c>
      <c r="P1548" s="2">
        <v>0.67611234899999995</v>
      </c>
      <c r="Q1548" s="2">
        <v>0.70889552099999997</v>
      </c>
      <c r="R1548" s="2">
        <v>7.3830126999999995E-2</v>
      </c>
      <c r="S1548" s="2">
        <v>4.3444898000000003E-2</v>
      </c>
      <c r="T1548" s="2">
        <v>0.672069209</v>
      </c>
      <c r="U1548" s="2">
        <v>0.70756300100000002</v>
      </c>
      <c r="V1548" s="2">
        <v>1.069852778</v>
      </c>
      <c r="W1548" s="2">
        <v>0.15009714900000001</v>
      </c>
      <c r="X1548">
        <f t="shared" si="72"/>
        <v>0</v>
      </c>
      <c r="Y1548">
        <f t="shared" si="73"/>
        <v>1</v>
      </c>
      <c r="Z1548">
        <f t="shared" si="74"/>
        <v>1</v>
      </c>
    </row>
    <row r="1549" spans="1:26" ht="15.75" customHeight="1" x14ac:dyDescent="0.2">
      <c r="A1549" s="2" t="s">
        <v>23</v>
      </c>
      <c r="B1549" s="2" t="s">
        <v>35</v>
      </c>
      <c r="C1549" s="2" t="s">
        <v>28</v>
      </c>
      <c r="D1549" s="2" t="s">
        <v>29</v>
      </c>
      <c r="E1549" s="2">
        <v>139</v>
      </c>
      <c r="F1549" s="2">
        <v>159.33333329999999</v>
      </c>
      <c r="G1549" s="2">
        <v>483.33333329999999</v>
      </c>
      <c r="H1549" s="2">
        <v>1801</v>
      </c>
      <c r="I1549" s="2">
        <v>3070.666667</v>
      </c>
      <c r="J1549" s="2">
        <v>1.49</v>
      </c>
      <c r="K1549" s="2">
        <v>4.7699999999999996</v>
      </c>
      <c r="L1549" s="2">
        <v>12.31</v>
      </c>
      <c r="M1549" s="2">
        <v>15.83</v>
      </c>
      <c r="N1549" s="2">
        <v>5.0305934179999996</v>
      </c>
      <c r="O1549" s="2">
        <v>4.6749352169999998</v>
      </c>
      <c r="P1549" s="2">
        <v>1.440307558</v>
      </c>
      <c r="Q1549" s="2">
        <v>1.395289778</v>
      </c>
      <c r="R1549" s="2">
        <v>0.615253037</v>
      </c>
      <c r="S1549" s="2">
        <v>0.58486780699999996</v>
      </c>
      <c r="T1549" s="2">
        <v>1.3022862820000001</v>
      </c>
      <c r="U1549" s="2">
        <v>1.26679249</v>
      </c>
      <c r="V1549" s="2">
        <v>1.6112756880000001</v>
      </c>
      <c r="W1549" s="2">
        <v>0.169097363</v>
      </c>
      <c r="X1549">
        <f t="shared" si="72"/>
        <v>0</v>
      </c>
      <c r="Y1549">
        <f t="shared" si="73"/>
        <v>1</v>
      </c>
      <c r="Z1549">
        <f t="shared" si="74"/>
        <v>1</v>
      </c>
    </row>
    <row r="1550" spans="1:26" ht="15.75" customHeight="1" x14ac:dyDescent="0.2">
      <c r="A1550" s="2" t="s">
        <v>23</v>
      </c>
      <c r="B1550" s="2" t="s">
        <v>35</v>
      </c>
      <c r="C1550" s="2" t="s">
        <v>32</v>
      </c>
      <c r="D1550" s="2" t="s">
        <v>33</v>
      </c>
      <c r="E1550" s="2">
        <v>200</v>
      </c>
      <c r="F1550" s="2">
        <v>140.66666670000001</v>
      </c>
      <c r="G1550" s="2">
        <v>681.66666669999995</v>
      </c>
      <c r="H1550" s="2">
        <v>1478.666667</v>
      </c>
      <c r="I1550" s="2">
        <v>2942.333333</v>
      </c>
      <c r="J1550" s="2">
        <v>1.27</v>
      </c>
      <c r="K1550" s="2">
        <v>6.39</v>
      </c>
      <c r="L1550" s="2">
        <v>11</v>
      </c>
      <c r="M1550" s="2">
        <v>15.56</v>
      </c>
      <c r="N1550" s="2">
        <v>0.27798345499999999</v>
      </c>
      <c r="O1550" s="2">
        <v>0.192146234</v>
      </c>
      <c r="P1550" s="2">
        <v>2.2299504730000002</v>
      </c>
      <c r="Q1550" s="2">
        <v>2.1999710380000002</v>
      </c>
      <c r="R1550" s="2">
        <v>2.2299382209999998</v>
      </c>
      <c r="S1550" s="2">
        <v>2.199552991</v>
      </c>
      <c r="T1550" s="2">
        <v>7.3922010000000002E-3</v>
      </c>
      <c r="U1550" s="2">
        <v>4.2885992999999997E-2</v>
      </c>
      <c r="V1550" s="2">
        <v>3.2259608719999999</v>
      </c>
      <c r="W1550" s="2">
        <v>0.187396015</v>
      </c>
      <c r="X1550">
        <f t="shared" si="72"/>
        <v>0</v>
      </c>
      <c r="Y1550">
        <f t="shared" si="73"/>
        <v>1</v>
      </c>
      <c r="Z1550">
        <f t="shared" si="74"/>
        <v>1</v>
      </c>
    </row>
    <row r="1551" spans="1:26" ht="15.75" customHeight="1" x14ac:dyDescent="0.2">
      <c r="A1551" s="2" t="s">
        <v>23</v>
      </c>
      <c r="B1551" s="2" t="s">
        <v>35</v>
      </c>
      <c r="C1551" s="2" t="s">
        <v>25</v>
      </c>
      <c r="D1551" s="2" t="s">
        <v>25</v>
      </c>
      <c r="E1551" s="2">
        <v>150</v>
      </c>
      <c r="F1551" s="2">
        <v>130</v>
      </c>
      <c r="G1551" s="2">
        <v>690.66666669999995</v>
      </c>
      <c r="H1551" s="2">
        <v>1412</v>
      </c>
      <c r="I1551" s="2">
        <v>2734.666667</v>
      </c>
      <c r="J1551" s="2">
        <v>1.1399999999999999</v>
      </c>
      <c r="K1551" s="2">
        <v>6.46</v>
      </c>
      <c r="L1551" s="2">
        <v>10.7</v>
      </c>
      <c r="M1551" s="2">
        <v>15.09</v>
      </c>
      <c r="N1551" s="2">
        <v>0.163338655</v>
      </c>
      <c r="O1551" s="2">
        <v>0.12596522900000001</v>
      </c>
      <c r="P1551" s="2">
        <v>2.3182335470000002</v>
      </c>
      <c r="Q1551" s="2">
        <v>2.2931948850000001</v>
      </c>
      <c r="R1551" s="2">
        <v>2.2974784079999999</v>
      </c>
      <c r="S1551" s="2">
        <v>2.2670931790000002</v>
      </c>
      <c r="T1551" s="2">
        <v>0.309515335</v>
      </c>
      <c r="U1551" s="2">
        <v>0.345009128</v>
      </c>
      <c r="V1551" s="2">
        <v>3.293501059</v>
      </c>
      <c r="W1551" s="2">
        <v>0.25012177600000002</v>
      </c>
      <c r="X1551">
        <f t="shared" si="72"/>
        <v>0</v>
      </c>
      <c r="Y1551">
        <f t="shared" si="73"/>
        <v>1</v>
      </c>
      <c r="Z1551">
        <f t="shared" si="74"/>
        <v>0</v>
      </c>
    </row>
    <row r="1552" spans="1:26" ht="15.75" customHeight="1" x14ac:dyDescent="0.2">
      <c r="A1552" s="2" t="s">
        <v>23</v>
      </c>
      <c r="B1552" s="2" t="s">
        <v>35</v>
      </c>
      <c r="C1552" s="2" t="s">
        <v>27</v>
      </c>
      <c r="D1552" s="2" t="s">
        <v>27</v>
      </c>
      <c r="E1552" s="2">
        <v>167</v>
      </c>
      <c r="F1552" s="2">
        <v>118.33333330000001</v>
      </c>
      <c r="G1552" s="2">
        <v>314.33333329999999</v>
      </c>
      <c r="H1552" s="2">
        <v>2273.333333</v>
      </c>
      <c r="I1552" s="2">
        <v>2950.333333</v>
      </c>
      <c r="J1552" s="2">
        <v>1</v>
      </c>
      <c r="K1552" s="2">
        <v>3.18</v>
      </c>
      <c r="L1552" s="2">
        <v>13.87</v>
      </c>
      <c r="M1552" s="2">
        <v>15.58</v>
      </c>
      <c r="N1552" s="2">
        <v>0.44732126</v>
      </c>
      <c r="O1552" s="2">
        <v>0.57182116400000005</v>
      </c>
      <c r="P1552" s="2">
        <v>3.0252790809999999</v>
      </c>
      <c r="Q1552" s="2">
        <v>3.001852151</v>
      </c>
      <c r="R1552" s="2">
        <v>0.98284255499999995</v>
      </c>
      <c r="S1552" s="2">
        <v>1.0132277839999999</v>
      </c>
      <c r="T1552" s="2">
        <v>2.861177036</v>
      </c>
      <c r="U1552" s="2">
        <v>2.8256832439999999</v>
      </c>
      <c r="V1552" s="2">
        <v>1.3180097E-2</v>
      </c>
      <c r="W1552" s="2">
        <v>0.19854676399999999</v>
      </c>
      <c r="X1552">
        <f t="shared" si="72"/>
        <v>0</v>
      </c>
      <c r="Y1552">
        <f t="shared" si="73"/>
        <v>1</v>
      </c>
      <c r="Z1552">
        <f t="shared" si="74"/>
        <v>0</v>
      </c>
    </row>
    <row r="1553" spans="1:26" ht="15.75" customHeight="1" x14ac:dyDescent="0.2">
      <c r="A1553" s="2" t="s">
        <v>23</v>
      </c>
      <c r="B1553" s="2" t="s">
        <v>35</v>
      </c>
      <c r="C1553" s="2" t="s">
        <v>32</v>
      </c>
      <c r="D1553" s="2" t="s">
        <v>33</v>
      </c>
      <c r="E1553" s="2">
        <v>139</v>
      </c>
      <c r="F1553" s="2">
        <v>132.66666670000001</v>
      </c>
      <c r="G1553" s="2">
        <v>668.66666669999995</v>
      </c>
      <c r="H1553" s="2">
        <v>1328.333333</v>
      </c>
      <c r="I1553" s="2">
        <v>2486.333333</v>
      </c>
      <c r="J1553" s="2">
        <v>1.17</v>
      </c>
      <c r="K1553" s="2">
        <v>6.29</v>
      </c>
      <c r="L1553" s="2">
        <v>10.3</v>
      </c>
      <c r="M1553" s="2">
        <v>14.46</v>
      </c>
      <c r="N1553" s="2">
        <v>0.57901596700000002</v>
      </c>
      <c r="O1553" s="2">
        <v>0.55054295799999997</v>
      </c>
      <c r="P1553" s="2">
        <v>2.2454442299999999</v>
      </c>
      <c r="Q1553" s="2">
        <v>2.2281797509999999</v>
      </c>
      <c r="R1553" s="2">
        <v>2.131563683</v>
      </c>
      <c r="S1553" s="2">
        <v>2.1011784539999998</v>
      </c>
      <c r="T1553" s="2">
        <v>0.70601420299999995</v>
      </c>
      <c r="U1553" s="2">
        <v>0.74150799499999998</v>
      </c>
      <c r="V1553" s="2">
        <v>3.1275863340000001</v>
      </c>
      <c r="W1553" s="2">
        <v>0.15127036399999999</v>
      </c>
      <c r="X1553">
        <f t="shared" si="72"/>
        <v>0</v>
      </c>
      <c r="Y1553">
        <f t="shared" si="73"/>
        <v>1</v>
      </c>
      <c r="Z1553">
        <f t="shared" si="74"/>
        <v>1</v>
      </c>
    </row>
    <row r="1554" spans="1:26" ht="15.75" customHeight="1" x14ac:dyDescent="0.2">
      <c r="A1554" s="2" t="s">
        <v>23</v>
      </c>
      <c r="B1554" s="2" t="s">
        <v>35</v>
      </c>
      <c r="C1554" s="2" t="s">
        <v>28</v>
      </c>
      <c r="D1554" s="2" t="s">
        <v>29</v>
      </c>
      <c r="E1554" s="2">
        <v>113</v>
      </c>
      <c r="F1554" s="2">
        <v>129.66666670000001</v>
      </c>
      <c r="G1554" s="2">
        <v>474.66666670000001</v>
      </c>
      <c r="H1554" s="2">
        <v>1846.666667</v>
      </c>
      <c r="I1554" s="2">
        <v>2843.666667</v>
      </c>
      <c r="J1554" s="2">
        <v>1.1299999999999999</v>
      </c>
      <c r="K1554" s="2">
        <v>4.7</v>
      </c>
      <c r="L1554" s="2">
        <v>12.48</v>
      </c>
      <c r="M1554" s="2">
        <v>15.34</v>
      </c>
      <c r="N1554" s="2">
        <v>5.1781667699999998</v>
      </c>
      <c r="O1554" s="2">
        <v>4.8234937789999996</v>
      </c>
      <c r="P1554" s="2">
        <v>1.5655010540000001</v>
      </c>
      <c r="Q1554" s="2">
        <v>1.5218065890000001</v>
      </c>
      <c r="R1554" s="2">
        <v>0.53869641700000004</v>
      </c>
      <c r="S1554" s="2">
        <v>0.50831118799999997</v>
      </c>
      <c r="T1554" s="2">
        <v>1.4698978599999999</v>
      </c>
      <c r="U1554" s="2">
        <v>1.4344040680000001</v>
      </c>
      <c r="V1554" s="2">
        <v>1.534719068</v>
      </c>
      <c r="W1554" s="2">
        <v>0.115324279</v>
      </c>
      <c r="X1554">
        <f t="shared" si="72"/>
        <v>0</v>
      </c>
      <c r="Y1554">
        <f t="shared" si="73"/>
        <v>1</v>
      </c>
      <c r="Z1554">
        <f t="shared" si="74"/>
        <v>1</v>
      </c>
    </row>
    <row r="1555" spans="1:26" ht="15.75" customHeight="1" x14ac:dyDescent="0.2">
      <c r="A1555" s="2" t="s">
        <v>23</v>
      </c>
      <c r="B1555" s="2" t="s">
        <v>35</v>
      </c>
      <c r="C1555" s="2" t="s">
        <v>27</v>
      </c>
      <c r="D1555" s="2" t="s">
        <v>27</v>
      </c>
      <c r="E1555" s="2">
        <v>99</v>
      </c>
      <c r="F1555" s="2">
        <v>149</v>
      </c>
      <c r="G1555" s="2">
        <v>348.33333329999999</v>
      </c>
      <c r="H1555" s="2">
        <v>2113.333333</v>
      </c>
      <c r="I1555" s="2">
        <v>2729.666667</v>
      </c>
      <c r="J1555" s="2">
        <v>1.36</v>
      </c>
      <c r="K1555" s="2">
        <v>3.52</v>
      </c>
      <c r="L1555" s="2">
        <v>13.38</v>
      </c>
      <c r="M1555" s="2">
        <v>15.08</v>
      </c>
      <c r="N1555" s="2">
        <v>0.18534309400000001</v>
      </c>
      <c r="O1555" s="2">
        <v>0.20188932300000001</v>
      </c>
      <c r="P1555" s="2">
        <v>2.4590314040000001</v>
      </c>
      <c r="Q1555" s="2">
        <v>2.4330164299999999</v>
      </c>
      <c r="R1555" s="2">
        <v>0.64252906600000004</v>
      </c>
      <c r="S1555" s="2">
        <v>0.67291429599999997</v>
      </c>
      <c r="T1555" s="2">
        <v>2.3736031350000002</v>
      </c>
      <c r="U1555" s="2">
        <v>2.3381093430000002</v>
      </c>
      <c r="V1555" s="2">
        <v>0.353493585</v>
      </c>
      <c r="W1555" s="2">
        <v>0.181013019</v>
      </c>
      <c r="X1555">
        <f t="shared" si="72"/>
        <v>0</v>
      </c>
      <c r="Y1555">
        <f t="shared" si="73"/>
        <v>1</v>
      </c>
      <c r="Z1555">
        <f t="shared" si="74"/>
        <v>0</v>
      </c>
    </row>
    <row r="1556" spans="1:26" ht="15.75" customHeight="1" x14ac:dyDescent="0.2">
      <c r="A1556" s="2" t="s">
        <v>23</v>
      </c>
      <c r="B1556" s="2" t="s">
        <v>35</v>
      </c>
      <c r="C1556" s="2" t="s">
        <v>26</v>
      </c>
      <c r="D1556" s="2" t="s">
        <v>26</v>
      </c>
      <c r="E1556" s="2">
        <v>139</v>
      </c>
      <c r="F1556" s="2">
        <v>135.33333329999999</v>
      </c>
      <c r="G1556" s="2">
        <v>344.66666670000001</v>
      </c>
      <c r="H1556" s="2">
        <v>733.66666669999995</v>
      </c>
      <c r="I1556" s="2">
        <v>2624</v>
      </c>
      <c r="J1556" s="2">
        <v>1.2</v>
      </c>
      <c r="K1556" s="2">
        <v>3.48</v>
      </c>
      <c r="L1556" s="2">
        <v>6.77</v>
      </c>
      <c r="M1556" s="2">
        <v>14.82</v>
      </c>
      <c r="N1556" s="2">
        <v>0.65531965000000003</v>
      </c>
      <c r="O1556" s="2">
        <v>1.01277222</v>
      </c>
      <c r="P1556" s="2">
        <v>4.2878986360000004</v>
      </c>
      <c r="Q1556" s="2">
        <v>4.3278234019999999</v>
      </c>
      <c r="R1556" s="2">
        <v>0.67874650000000003</v>
      </c>
      <c r="S1556" s="2">
        <v>0.70913172899999999</v>
      </c>
      <c r="T1556" s="2">
        <v>4.2338372550000001</v>
      </c>
      <c r="U1556" s="2">
        <v>4.2693310479999997</v>
      </c>
      <c r="V1556" s="2">
        <v>0.31727615100000001</v>
      </c>
      <c r="W1556" s="2">
        <v>0.26440664899999999</v>
      </c>
      <c r="X1556">
        <f t="shared" si="72"/>
        <v>0</v>
      </c>
      <c r="Y1556">
        <f t="shared" si="73"/>
        <v>1</v>
      </c>
      <c r="Z1556">
        <f t="shared" si="74"/>
        <v>0</v>
      </c>
    </row>
    <row r="1557" spans="1:26" ht="15.75" customHeight="1" x14ac:dyDescent="0.2">
      <c r="A1557" s="2" t="s">
        <v>23</v>
      </c>
      <c r="B1557" s="2" t="s">
        <v>35</v>
      </c>
      <c r="C1557" s="2" t="s">
        <v>27</v>
      </c>
      <c r="D1557" s="2" t="s">
        <v>27</v>
      </c>
      <c r="E1557" s="2">
        <v>120</v>
      </c>
      <c r="F1557" s="2">
        <v>123</v>
      </c>
      <c r="G1557" s="2">
        <v>339</v>
      </c>
      <c r="H1557" s="2">
        <v>2150</v>
      </c>
      <c r="I1557" s="2">
        <v>2772.333333</v>
      </c>
      <c r="J1557" s="2">
        <v>1.05</v>
      </c>
      <c r="K1557" s="2">
        <v>3.42</v>
      </c>
      <c r="L1557" s="2">
        <v>13.49</v>
      </c>
      <c r="M1557" s="2">
        <v>15.18</v>
      </c>
      <c r="N1557" s="2">
        <v>0.107462906</v>
      </c>
      <c r="O1557" s="2">
        <v>0.22296494</v>
      </c>
      <c r="P1557" s="2">
        <v>2.5949436750000001</v>
      </c>
      <c r="Q1557" s="2">
        <v>2.569807881</v>
      </c>
      <c r="R1557" s="2">
        <v>0.73494612999999998</v>
      </c>
      <c r="S1557" s="2">
        <v>0.76533136000000002</v>
      </c>
      <c r="T1557" s="2">
        <v>2.4886917980000001</v>
      </c>
      <c r="U1557" s="2">
        <v>2.453198005</v>
      </c>
      <c r="V1557" s="2">
        <v>0.26107652100000001</v>
      </c>
      <c r="W1557" s="2">
        <v>0.21664998299999999</v>
      </c>
      <c r="X1557">
        <f t="shared" si="72"/>
        <v>0</v>
      </c>
      <c r="Y1557">
        <f t="shared" si="73"/>
        <v>1</v>
      </c>
      <c r="Z1557">
        <f t="shared" si="74"/>
        <v>0</v>
      </c>
    </row>
    <row r="1558" spans="1:26" ht="15.75" customHeight="1" x14ac:dyDescent="0.2">
      <c r="A1558" s="2" t="s">
        <v>23</v>
      </c>
      <c r="B1558" s="2" t="s">
        <v>35</v>
      </c>
      <c r="C1558" s="2" t="s">
        <v>27</v>
      </c>
      <c r="D1558" s="2" t="s">
        <v>27</v>
      </c>
      <c r="E1558" s="2">
        <v>140</v>
      </c>
      <c r="F1558" s="2">
        <v>124.66666669999999</v>
      </c>
      <c r="G1558" s="2">
        <v>360.33333329999999</v>
      </c>
      <c r="H1558" s="2">
        <v>2209</v>
      </c>
      <c r="I1558" s="2">
        <v>2988.666667</v>
      </c>
      <c r="J1558" s="2">
        <v>1.07</v>
      </c>
      <c r="K1558" s="2">
        <v>3.63</v>
      </c>
      <c r="L1558" s="2">
        <v>13.68</v>
      </c>
      <c r="M1558" s="2">
        <v>15.66</v>
      </c>
      <c r="N1558" s="2">
        <v>0.169846626</v>
      </c>
      <c r="O1558" s="2">
        <v>0.13896803999999999</v>
      </c>
      <c r="P1558" s="2">
        <v>2.7207243449999998</v>
      </c>
      <c r="Q1558" s="2">
        <v>2.6920077509999998</v>
      </c>
      <c r="R1558" s="2">
        <v>0.52479958500000001</v>
      </c>
      <c r="S1558" s="2">
        <v>0.55518481500000005</v>
      </c>
      <c r="T1558" s="2">
        <v>2.669630379</v>
      </c>
      <c r="U1558" s="2">
        <v>2.6341365859999999</v>
      </c>
      <c r="V1558" s="2">
        <v>0.47122306600000002</v>
      </c>
      <c r="W1558" s="2">
        <v>0.264581703</v>
      </c>
      <c r="X1558">
        <f t="shared" si="72"/>
        <v>0</v>
      </c>
      <c r="Y1558">
        <f t="shared" si="73"/>
        <v>1</v>
      </c>
      <c r="Z1558">
        <f t="shared" si="74"/>
        <v>0</v>
      </c>
    </row>
    <row r="1559" spans="1:26" ht="15.75" customHeight="1" x14ac:dyDescent="0.2">
      <c r="A1559" s="2" t="s">
        <v>23</v>
      </c>
      <c r="B1559" s="2" t="s">
        <v>35</v>
      </c>
      <c r="C1559" s="2" t="s">
        <v>32</v>
      </c>
      <c r="D1559" s="2" t="s">
        <v>33</v>
      </c>
      <c r="E1559" s="2">
        <v>136</v>
      </c>
      <c r="F1559" s="2">
        <v>123</v>
      </c>
      <c r="G1559" s="2">
        <v>657</v>
      </c>
      <c r="H1559" s="2">
        <v>1600.333333</v>
      </c>
      <c r="I1559" s="2">
        <v>3035</v>
      </c>
      <c r="J1559" s="2">
        <v>1.05</v>
      </c>
      <c r="K1559" s="2">
        <v>6.2</v>
      </c>
      <c r="L1559" s="2">
        <v>11.52</v>
      </c>
      <c r="M1559" s="2">
        <v>15.76</v>
      </c>
      <c r="N1559" s="2">
        <v>0.81591128800000001</v>
      </c>
      <c r="O1559" s="2">
        <v>0.74671536299999997</v>
      </c>
      <c r="P1559" s="2">
        <v>2.106329546</v>
      </c>
      <c r="Q1559" s="2">
        <v>2.0683668079999999</v>
      </c>
      <c r="R1559" s="2">
        <v>2.042446709</v>
      </c>
      <c r="S1559" s="2">
        <v>2.0120614790000002</v>
      </c>
      <c r="T1559" s="2">
        <v>0.51481608199999995</v>
      </c>
      <c r="U1559" s="2">
        <v>0.47932228900000001</v>
      </c>
      <c r="V1559" s="2">
        <v>3.0384693600000001</v>
      </c>
      <c r="W1559" s="2">
        <v>0.235799275</v>
      </c>
      <c r="X1559">
        <f t="shared" si="72"/>
        <v>0</v>
      </c>
      <c r="Y1559">
        <f t="shared" si="73"/>
        <v>1</v>
      </c>
      <c r="Z1559">
        <f t="shared" si="74"/>
        <v>1</v>
      </c>
    </row>
    <row r="1560" spans="1:26" ht="15.75" customHeight="1" x14ac:dyDescent="0.2">
      <c r="A1560" s="2" t="s">
        <v>23</v>
      </c>
      <c r="B1560" s="2" t="s">
        <v>35</v>
      </c>
      <c r="C1560" s="2" t="s">
        <v>28</v>
      </c>
      <c r="D1560" s="2" t="s">
        <v>29</v>
      </c>
      <c r="E1560" s="2">
        <v>125</v>
      </c>
      <c r="F1560" s="2">
        <v>135.33333329999999</v>
      </c>
      <c r="G1560" s="2">
        <v>481.66666670000001</v>
      </c>
      <c r="H1560" s="2">
        <v>1932.666667</v>
      </c>
      <c r="I1560" s="2">
        <v>2866.666667</v>
      </c>
      <c r="J1560" s="2">
        <v>1.2</v>
      </c>
      <c r="K1560" s="2">
        <v>4.76</v>
      </c>
      <c r="L1560" s="2">
        <v>12.78</v>
      </c>
      <c r="M1560" s="2">
        <v>15.39</v>
      </c>
      <c r="N1560" s="2">
        <v>5.4893510330000002</v>
      </c>
      <c r="O1560" s="2">
        <v>5.1346720709999998</v>
      </c>
      <c r="P1560" s="2">
        <v>1.8737259660000001</v>
      </c>
      <c r="Q1560" s="2">
        <v>1.830448385</v>
      </c>
      <c r="R1560" s="2">
        <v>0.60057281799999995</v>
      </c>
      <c r="S1560" s="2">
        <v>0.57018758800000002</v>
      </c>
      <c r="T1560" s="2">
        <v>1.7748693710000001</v>
      </c>
      <c r="U1560" s="2">
        <v>1.7393755790000001</v>
      </c>
      <c r="V1560" s="2">
        <v>1.5965954689999999</v>
      </c>
      <c r="W1560" s="2">
        <v>0.183037957</v>
      </c>
      <c r="X1560">
        <f t="shared" si="72"/>
        <v>0</v>
      </c>
      <c r="Y1560">
        <f t="shared" si="73"/>
        <v>1</v>
      </c>
      <c r="Z1560">
        <f t="shared" si="74"/>
        <v>1</v>
      </c>
    </row>
    <row r="1561" spans="1:26" ht="15.75" customHeight="1" x14ac:dyDescent="0.2">
      <c r="A1561" s="2" t="s">
        <v>23</v>
      </c>
      <c r="B1561" s="2" t="s">
        <v>35</v>
      </c>
      <c r="C1561" s="2" t="s">
        <v>26</v>
      </c>
      <c r="D1561" s="2" t="s">
        <v>26</v>
      </c>
      <c r="E1561" s="2">
        <v>117</v>
      </c>
      <c r="F1561" s="2">
        <v>123.66666669999999</v>
      </c>
      <c r="G1561" s="2">
        <v>339.33333329999999</v>
      </c>
      <c r="H1561" s="2">
        <v>883</v>
      </c>
      <c r="I1561" s="2">
        <v>2545</v>
      </c>
      <c r="J1561" s="2">
        <v>1.06</v>
      </c>
      <c r="K1561" s="2">
        <v>3.43</v>
      </c>
      <c r="L1561" s="2">
        <v>7.8</v>
      </c>
      <c r="M1561" s="2">
        <v>14.62</v>
      </c>
      <c r="N1561" s="2">
        <v>0.45377940300000003</v>
      </c>
      <c r="O1561" s="2">
        <v>0.34836924899999999</v>
      </c>
      <c r="P1561" s="2">
        <v>3.2914991050000002</v>
      </c>
      <c r="Q1561" s="2">
        <v>3.3329298349999998</v>
      </c>
      <c r="R1561" s="2">
        <v>0.73163260200000002</v>
      </c>
      <c r="S1561" s="2">
        <v>0.76201783099999998</v>
      </c>
      <c r="T1561" s="2">
        <v>3.2091556670000001</v>
      </c>
      <c r="U1561" s="2">
        <v>3.2446494590000001</v>
      </c>
      <c r="V1561" s="2">
        <v>0.26439004900000002</v>
      </c>
      <c r="W1561" s="2">
        <v>0.19815978400000001</v>
      </c>
      <c r="X1561">
        <f t="shared" si="72"/>
        <v>0</v>
      </c>
      <c r="Y1561">
        <f t="shared" si="73"/>
        <v>1</v>
      </c>
      <c r="Z1561">
        <f t="shared" si="74"/>
        <v>0</v>
      </c>
    </row>
    <row r="1562" spans="1:26" ht="15.75" customHeight="1" x14ac:dyDescent="0.2">
      <c r="A1562" s="2" t="s">
        <v>23</v>
      </c>
      <c r="B1562" s="2" t="s">
        <v>35</v>
      </c>
      <c r="C1562" s="2" t="s">
        <v>30</v>
      </c>
      <c r="D1562" s="2" t="s">
        <v>31</v>
      </c>
      <c r="E1562" s="2">
        <v>126</v>
      </c>
      <c r="F1562" s="2">
        <v>135</v>
      </c>
      <c r="G1562" s="2">
        <v>566.33333330000005</v>
      </c>
      <c r="H1562" s="2">
        <v>1259.666667</v>
      </c>
      <c r="I1562" s="2">
        <v>2240</v>
      </c>
      <c r="J1562" s="2">
        <v>1.2</v>
      </c>
      <c r="K1562" s="2">
        <v>5.48</v>
      </c>
      <c r="L1562" s="2">
        <v>9.9600000000000009</v>
      </c>
      <c r="M1562" s="2">
        <v>13.77</v>
      </c>
      <c r="N1562" s="2">
        <v>4.1110393150000002</v>
      </c>
      <c r="O1562" s="2">
        <v>4.022198146</v>
      </c>
      <c r="P1562" s="2">
        <v>1.6861396909999999</v>
      </c>
      <c r="Q1562" s="2">
        <v>1.685002554</v>
      </c>
      <c r="R1562" s="2">
        <v>1.3218269600000001</v>
      </c>
      <c r="S1562" s="2">
        <v>1.2914417309999999</v>
      </c>
      <c r="T1562" s="2">
        <v>1.046824027</v>
      </c>
      <c r="U1562" s="2">
        <v>1.082317819</v>
      </c>
      <c r="V1562" s="2">
        <v>2.3178496110000002</v>
      </c>
      <c r="W1562" s="2">
        <v>0.182086579</v>
      </c>
      <c r="X1562">
        <f t="shared" si="72"/>
        <v>0</v>
      </c>
      <c r="Y1562">
        <f t="shared" si="73"/>
        <v>1</v>
      </c>
      <c r="Z1562">
        <f t="shared" si="74"/>
        <v>1</v>
      </c>
    </row>
    <row r="1563" spans="1:26" ht="15.75" customHeight="1" x14ac:dyDescent="0.2">
      <c r="A1563" s="2" t="s">
        <v>23</v>
      </c>
      <c r="B1563" s="2" t="s">
        <v>35</v>
      </c>
      <c r="C1563" s="2" t="s">
        <v>27</v>
      </c>
      <c r="D1563" s="2" t="s">
        <v>27</v>
      </c>
      <c r="E1563" s="2">
        <v>132</v>
      </c>
      <c r="F1563" s="2">
        <v>143.66666670000001</v>
      </c>
      <c r="G1563" s="2">
        <v>353.33333329999999</v>
      </c>
      <c r="H1563" s="2">
        <v>2128.333333</v>
      </c>
      <c r="I1563" s="2">
        <v>2954.333333</v>
      </c>
      <c r="J1563" s="2">
        <v>1.3</v>
      </c>
      <c r="K1563" s="2">
        <v>3.56</v>
      </c>
      <c r="L1563" s="2">
        <v>13.43</v>
      </c>
      <c r="M1563" s="2">
        <v>15.59</v>
      </c>
      <c r="N1563" s="2">
        <v>0.15021158800000001</v>
      </c>
      <c r="O1563" s="2">
        <v>0.134452505</v>
      </c>
      <c r="P1563" s="2">
        <v>2.492580953</v>
      </c>
      <c r="Q1563" s="2">
        <v>2.4656324399999998</v>
      </c>
      <c r="R1563" s="2">
        <v>0.59332668200000005</v>
      </c>
      <c r="S1563" s="2">
        <v>0.62371191100000001</v>
      </c>
      <c r="T1563" s="2">
        <v>2.420934377</v>
      </c>
      <c r="U1563" s="2">
        <v>2.3854405839999999</v>
      </c>
      <c r="V1563" s="2">
        <v>0.40269597000000001</v>
      </c>
      <c r="W1563" s="2">
        <v>0.18668396300000001</v>
      </c>
      <c r="X1563">
        <f t="shared" si="72"/>
        <v>0</v>
      </c>
      <c r="Y1563">
        <f t="shared" si="73"/>
        <v>1</v>
      </c>
      <c r="Z1563">
        <f t="shared" si="74"/>
        <v>0</v>
      </c>
    </row>
    <row r="1564" spans="1:26" ht="15.75" customHeight="1" x14ac:dyDescent="0.2">
      <c r="A1564" s="2" t="s">
        <v>23</v>
      </c>
      <c r="B1564" s="2" t="s">
        <v>35</v>
      </c>
      <c r="C1564" s="2" t="s">
        <v>30</v>
      </c>
      <c r="D1564" s="2" t="s">
        <v>31</v>
      </c>
      <c r="E1564" s="2">
        <v>170</v>
      </c>
      <c r="F1564" s="2">
        <v>135.33333329999999</v>
      </c>
      <c r="G1564" s="2">
        <v>531.33333330000005</v>
      </c>
      <c r="H1564" s="2">
        <v>1277.666667</v>
      </c>
      <c r="I1564" s="2">
        <v>2382.333333</v>
      </c>
      <c r="J1564" s="2">
        <v>1.2</v>
      </c>
      <c r="K1564" s="2">
        <v>5.19</v>
      </c>
      <c r="L1564" s="2">
        <v>10.050000000000001</v>
      </c>
      <c r="M1564" s="2">
        <v>14.18</v>
      </c>
      <c r="N1564" s="2">
        <v>3.896874011</v>
      </c>
      <c r="O1564" s="2">
        <v>3.8142296629999999</v>
      </c>
      <c r="P1564" s="2">
        <v>1.4050657120000001</v>
      </c>
      <c r="Q1564" s="2">
        <v>1.4077261480000001</v>
      </c>
      <c r="R1564" s="2">
        <v>1.029614697</v>
      </c>
      <c r="S1564" s="2">
        <v>0.99922946700000004</v>
      </c>
      <c r="T1564" s="2">
        <v>0.95608746</v>
      </c>
      <c r="U1564" s="2">
        <v>0.99158125200000002</v>
      </c>
      <c r="V1564" s="2">
        <v>2.0256373480000001</v>
      </c>
      <c r="W1564" s="2">
        <v>0.14500078699999999</v>
      </c>
      <c r="X1564">
        <f t="shared" si="72"/>
        <v>0</v>
      </c>
      <c r="Y1564">
        <f t="shared" si="73"/>
        <v>1</v>
      </c>
      <c r="Z1564">
        <f t="shared" si="74"/>
        <v>1</v>
      </c>
    </row>
    <row r="1565" spans="1:26" ht="15.75" customHeight="1" x14ac:dyDescent="0.2">
      <c r="A1565" s="2" t="s">
        <v>23</v>
      </c>
      <c r="B1565" s="2" t="s">
        <v>35</v>
      </c>
      <c r="C1565" s="2" t="s">
        <v>26</v>
      </c>
      <c r="D1565" s="2" t="s">
        <v>26</v>
      </c>
      <c r="E1565" s="2">
        <v>168</v>
      </c>
      <c r="F1565" s="2">
        <v>134.33333329999999</v>
      </c>
      <c r="G1565" s="2">
        <v>350</v>
      </c>
      <c r="H1565" s="2">
        <v>863</v>
      </c>
      <c r="I1565" s="2">
        <v>2586.333333</v>
      </c>
      <c r="J1565" s="2">
        <v>1.19</v>
      </c>
      <c r="K1565" s="2">
        <v>3.53</v>
      </c>
      <c r="L1565" s="2">
        <v>7.67</v>
      </c>
      <c r="M1565" s="2">
        <v>14.72</v>
      </c>
      <c r="N1565" s="2">
        <v>0.28876533599999998</v>
      </c>
      <c r="O1565" s="2">
        <v>0.25042570199999997</v>
      </c>
      <c r="P1565" s="2">
        <v>3.3982777949999998</v>
      </c>
      <c r="Q1565" s="2">
        <v>3.438841305</v>
      </c>
      <c r="R1565" s="2">
        <v>0.62610460499999998</v>
      </c>
      <c r="S1565" s="2">
        <v>0.65648983400000005</v>
      </c>
      <c r="T1565" s="2">
        <v>3.340102543</v>
      </c>
      <c r="U1565" s="2">
        <v>3.375596335</v>
      </c>
      <c r="V1565" s="2">
        <v>0.369918046</v>
      </c>
      <c r="W1565" s="2">
        <v>0.23668740999999999</v>
      </c>
      <c r="X1565">
        <f t="shared" si="72"/>
        <v>0</v>
      </c>
      <c r="Y1565">
        <f t="shared" si="73"/>
        <v>1</v>
      </c>
      <c r="Z1565">
        <f t="shared" si="74"/>
        <v>0</v>
      </c>
    </row>
    <row r="1566" spans="1:26" ht="15.75" customHeight="1" x14ac:dyDescent="0.2">
      <c r="A1566" s="2" t="s">
        <v>23</v>
      </c>
      <c r="B1566" s="2" t="s">
        <v>35</v>
      </c>
      <c r="C1566" s="2" t="s">
        <v>26</v>
      </c>
      <c r="D1566" s="2" t="s">
        <v>26</v>
      </c>
      <c r="E1566" s="2">
        <v>100</v>
      </c>
      <c r="F1566" s="2">
        <v>128</v>
      </c>
      <c r="G1566" s="2">
        <v>375.33333329999999</v>
      </c>
      <c r="H1566" s="2">
        <v>909.66666669999995</v>
      </c>
      <c r="I1566" s="2">
        <v>2494.666667</v>
      </c>
      <c r="J1566" s="2">
        <v>1.1100000000000001</v>
      </c>
      <c r="K1566" s="2">
        <v>3.78</v>
      </c>
      <c r="L1566" s="2">
        <v>7.97</v>
      </c>
      <c r="M1566" s="2">
        <v>14.48</v>
      </c>
      <c r="N1566" s="2">
        <v>0.57840601000000003</v>
      </c>
      <c r="O1566" s="2">
        <v>0.22657297200000001</v>
      </c>
      <c r="P1566" s="2">
        <v>3.0609951959999999</v>
      </c>
      <c r="Q1566" s="2">
        <v>3.1000878859999998</v>
      </c>
      <c r="R1566" s="2">
        <v>0.37933914800000001</v>
      </c>
      <c r="S1566" s="2">
        <v>0.409724378</v>
      </c>
      <c r="T1566" s="2">
        <v>3.0373991180000002</v>
      </c>
      <c r="U1566" s="2">
        <v>3.0728929100000002</v>
      </c>
      <c r="V1566" s="2">
        <v>0.61668350299999997</v>
      </c>
      <c r="W1566" s="2">
        <v>0.17716759100000001</v>
      </c>
      <c r="X1566">
        <f t="shared" si="72"/>
        <v>0</v>
      </c>
      <c r="Y1566">
        <f t="shared" si="73"/>
        <v>1</v>
      </c>
      <c r="Z1566">
        <f t="shared" si="74"/>
        <v>0</v>
      </c>
    </row>
    <row r="1567" spans="1:26" ht="15.75" customHeight="1" x14ac:dyDescent="0.2">
      <c r="A1567" s="2" t="s">
        <v>23</v>
      </c>
      <c r="B1567" s="2" t="s">
        <v>35</v>
      </c>
      <c r="C1567" s="2" t="s">
        <v>26</v>
      </c>
      <c r="D1567" s="2" t="s">
        <v>26</v>
      </c>
      <c r="E1567" s="2">
        <v>142</v>
      </c>
      <c r="F1567" s="2">
        <v>156.33333329999999</v>
      </c>
      <c r="G1567" s="2">
        <v>365.66666670000001</v>
      </c>
      <c r="H1567" s="2">
        <v>727.33333330000005</v>
      </c>
      <c r="I1567" s="2">
        <v>2947.333333</v>
      </c>
      <c r="J1567" s="2">
        <v>1.45</v>
      </c>
      <c r="K1567" s="2">
        <v>3.69</v>
      </c>
      <c r="L1567" s="2">
        <v>6.73</v>
      </c>
      <c r="M1567" s="2">
        <v>15.57</v>
      </c>
      <c r="N1567" s="2">
        <v>0.67848288800000001</v>
      </c>
      <c r="O1567" s="2">
        <v>1.019563191</v>
      </c>
      <c r="P1567" s="2">
        <v>4.3058556469999996</v>
      </c>
      <c r="Q1567" s="2">
        <v>4.3445512649999998</v>
      </c>
      <c r="R1567" s="2">
        <v>0.47286534699999999</v>
      </c>
      <c r="S1567" s="2">
        <v>0.50325057600000001</v>
      </c>
      <c r="T1567" s="2">
        <v>4.2798120539999998</v>
      </c>
      <c r="U1567" s="2">
        <v>4.3153058470000003</v>
      </c>
      <c r="V1567" s="2">
        <v>0.52315730400000005</v>
      </c>
      <c r="W1567" s="2">
        <v>0.216990923</v>
      </c>
      <c r="X1567">
        <f t="shared" si="72"/>
        <v>0</v>
      </c>
      <c r="Y1567">
        <f t="shared" si="73"/>
        <v>1</v>
      </c>
      <c r="Z1567">
        <f t="shared" si="74"/>
        <v>0</v>
      </c>
    </row>
    <row r="1568" spans="1:26" ht="15.75" customHeight="1" x14ac:dyDescent="0.2">
      <c r="A1568" s="2" t="s">
        <v>23</v>
      </c>
      <c r="B1568" s="2" t="s">
        <v>35</v>
      </c>
      <c r="C1568" s="2" t="s">
        <v>25</v>
      </c>
      <c r="D1568" s="2" t="s">
        <v>25</v>
      </c>
      <c r="E1568" s="2">
        <v>215</v>
      </c>
      <c r="F1568" s="2">
        <v>126.66666669999999</v>
      </c>
      <c r="G1568" s="2">
        <v>688.66666669999995</v>
      </c>
      <c r="H1568" s="2">
        <v>1349.333333</v>
      </c>
      <c r="I1568" s="2">
        <v>2838</v>
      </c>
      <c r="J1568" s="2">
        <v>1.1000000000000001</v>
      </c>
      <c r="K1568" s="2">
        <v>6.44</v>
      </c>
      <c r="L1568" s="2">
        <v>10.4</v>
      </c>
      <c r="M1568" s="2">
        <v>15.33</v>
      </c>
      <c r="N1568" s="2">
        <v>0.422697828</v>
      </c>
      <c r="O1568" s="2">
        <v>0.421426466</v>
      </c>
      <c r="P1568" s="2">
        <v>2.3612287649999999</v>
      </c>
      <c r="Q1568" s="2">
        <v>2.3413233500000001</v>
      </c>
      <c r="R1568" s="2">
        <v>2.282509144</v>
      </c>
      <c r="S1568" s="2">
        <v>2.2521239139999998</v>
      </c>
      <c r="T1568" s="2">
        <v>0.60461002900000005</v>
      </c>
      <c r="U1568" s="2">
        <v>0.64010382099999996</v>
      </c>
      <c r="V1568" s="2">
        <v>3.2785317950000001</v>
      </c>
      <c r="W1568" s="2">
        <v>0.19062741</v>
      </c>
      <c r="X1568">
        <f t="shared" si="72"/>
        <v>0</v>
      </c>
      <c r="Y1568">
        <f t="shared" si="73"/>
        <v>1</v>
      </c>
      <c r="Z1568">
        <f t="shared" si="74"/>
        <v>0</v>
      </c>
    </row>
    <row r="1569" spans="1:26" ht="15.75" customHeight="1" x14ac:dyDescent="0.2">
      <c r="A1569" s="2" t="s">
        <v>23</v>
      </c>
      <c r="B1569" s="2" t="s">
        <v>35</v>
      </c>
      <c r="C1569" s="2" t="s">
        <v>25</v>
      </c>
      <c r="D1569" s="2" t="s">
        <v>25</v>
      </c>
      <c r="E1569" s="2">
        <v>130</v>
      </c>
      <c r="F1569" s="2">
        <v>117.33333330000001</v>
      </c>
      <c r="G1569" s="2">
        <v>618.66666669999995</v>
      </c>
      <c r="H1569" s="2">
        <v>1396.333333</v>
      </c>
      <c r="I1569" s="2">
        <v>2889.333333</v>
      </c>
      <c r="J1569" s="2">
        <v>0.98</v>
      </c>
      <c r="K1569" s="2">
        <v>5.9</v>
      </c>
      <c r="L1569" s="2">
        <v>10.62</v>
      </c>
      <c r="M1569" s="2">
        <v>15.44</v>
      </c>
      <c r="N1569" s="2">
        <v>0.70252584500000004</v>
      </c>
      <c r="O1569" s="2">
        <v>0.59604656099999997</v>
      </c>
      <c r="P1569" s="2">
        <v>1.785357887</v>
      </c>
      <c r="Q1569" s="2">
        <v>1.763757427</v>
      </c>
      <c r="R1569" s="2">
        <v>1.7439561889999999</v>
      </c>
      <c r="S1569" s="2">
        <v>1.71357096</v>
      </c>
      <c r="T1569" s="2">
        <v>0.38225592800000002</v>
      </c>
      <c r="U1569" s="2">
        <v>0.41774972100000002</v>
      </c>
      <c r="V1569" s="2">
        <v>2.73997884</v>
      </c>
      <c r="W1569" s="2">
        <v>0.20498438599999999</v>
      </c>
      <c r="X1569">
        <f t="shared" si="72"/>
        <v>0</v>
      </c>
      <c r="Y1569">
        <f t="shared" si="73"/>
        <v>1</v>
      </c>
      <c r="Z1569">
        <f t="shared" si="74"/>
        <v>0</v>
      </c>
    </row>
    <row r="1570" spans="1:26" ht="15.75" customHeight="1" x14ac:dyDescent="0.2">
      <c r="A1570" s="2" t="s">
        <v>23</v>
      </c>
      <c r="B1570" s="2" t="s">
        <v>35</v>
      </c>
      <c r="C1570" s="2" t="s">
        <v>25</v>
      </c>
      <c r="D1570" s="2" t="s">
        <v>25</v>
      </c>
      <c r="E1570" s="2">
        <v>132</v>
      </c>
      <c r="F1570" s="2">
        <v>132.33333329999999</v>
      </c>
      <c r="G1570" s="2">
        <v>691.33333330000005</v>
      </c>
      <c r="H1570" s="2">
        <v>1600</v>
      </c>
      <c r="I1570" s="2">
        <v>2618</v>
      </c>
      <c r="J1570" s="2">
        <v>1.17</v>
      </c>
      <c r="K1570" s="2">
        <v>6.46</v>
      </c>
      <c r="L1570" s="2">
        <v>11.52</v>
      </c>
      <c r="M1570" s="2">
        <v>14.8</v>
      </c>
      <c r="N1570" s="2">
        <v>0.72997070500000005</v>
      </c>
      <c r="O1570" s="2">
        <v>0.69728237500000001</v>
      </c>
      <c r="P1570" s="2">
        <v>2.359014867</v>
      </c>
      <c r="Q1570" s="2">
        <v>2.3218021069999999</v>
      </c>
      <c r="R1570" s="2">
        <v>2.3024631439999999</v>
      </c>
      <c r="S1570" s="2">
        <v>2.2720779150000001</v>
      </c>
      <c r="T1570" s="2">
        <v>0.51343413599999999</v>
      </c>
      <c r="U1570" s="2">
        <v>0.47794034400000002</v>
      </c>
      <c r="V1570" s="2">
        <v>3.298485796</v>
      </c>
      <c r="W1570" s="2">
        <v>0.17478347399999999</v>
      </c>
      <c r="X1570">
        <f t="shared" si="72"/>
        <v>0</v>
      </c>
      <c r="Y1570">
        <f t="shared" si="73"/>
        <v>1</v>
      </c>
      <c r="Z1570">
        <f t="shared" si="74"/>
        <v>0</v>
      </c>
    </row>
    <row r="1571" spans="1:26" ht="15.75" customHeight="1" x14ac:dyDescent="0.2">
      <c r="A1571" s="2" t="s">
        <v>23</v>
      </c>
      <c r="B1571" s="2" t="s">
        <v>35</v>
      </c>
      <c r="C1571" s="2" t="s">
        <v>28</v>
      </c>
      <c r="D1571" s="2" t="s">
        <v>29</v>
      </c>
      <c r="E1571" s="2">
        <v>127</v>
      </c>
      <c r="F1571" s="2">
        <v>146.66666670000001</v>
      </c>
      <c r="G1571" s="2">
        <v>462.33333329999999</v>
      </c>
      <c r="H1571" s="2">
        <v>1354</v>
      </c>
      <c r="I1571" s="2">
        <v>2519.666667</v>
      </c>
      <c r="J1571" s="2">
        <v>1.34</v>
      </c>
      <c r="K1571" s="2">
        <v>4.59</v>
      </c>
      <c r="L1571" s="2">
        <v>10.42</v>
      </c>
      <c r="M1571" s="2">
        <v>14.55</v>
      </c>
      <c r="N1571" s="2">
        <v>3.1607950570000001</v>
      </c>
      <c r="O1571" s="2">
        <v>2.803089854</v>
      </c>
      <c r="P1571" s="2">
        <v>0.72311130899999998</v>
      </c>
      <c r="Q1571" s="2">
        <v>0.73508288200000005</v>
      </c>
      <c r="R1571" s="2">
        <v>0.42880596999999998</v>
      </c>
      <c r="S1571" s="2">
        <v>0.39842074100000002</v>
      </c>
      <c r="T1571" s="2">
        <v>0.58225029399999995</v>
      </c>
      <c r="U1571" s="2">
        <v>0.61774408700000005</v>
      </c>
      <c r="V1571" s="2">
        <v>1.4248286219999999</v>
      </c>
      <c r="W1571" s="2">
        <v>0.16536316600000001</v>
      </c>
      <c r="X1571">
        <f t="shared" si="72"/>
        <v>0</v>
      </c>
      <c r="Y1571">
        <f t="shared" si="73"/>
        <v>1</v>
      </c>
      <c r="Z1571">
        <f t="shared" si="74"/>
        <v>1</v>
      </c>
    </row>
    <row r="1572" spans="1:26" ht="15.75" customHeight="1" x14ac:dyDescent="0.2">
      <c r="A1572" s="2" t="s">
        <v>23</v>
      </c>
      <c r="B1572" s="2" t="s">
        <v>35</v>
      </c>
      <c r="C1572" s="2" t="s">
        <v>30</v>
      </c>
      <c r="D1572" s="2" t="s">
        <v>31</v>
      </c>
      <c r="E1572" s="2">
        <v>128</v>
      </c>
      <c r="F1572" s="2">
        <v>128.33333329999999</v>
      </c>
      <c r="G1572" s="2">
        <v>663.66666669999995</v>
      </c>
      <c r="H1572" s="2">
        <v>1210.666667</v>
      </c>
      <c r="I1572" s="2">
        <v>2289</v>
      </c>
      <c r="J1572" s="2">
        <v>1.1200000000000001</v>
      </c>
      <c r="K1572" s="2">
        <v>6.25</v>
      </c>
      <c r="L1572" s="2">
        <v>9.7100000000000009</v>
      </c>
      <c r="M1572" s="2">
        <v>13.91</v>
      </c>
      <c r="N1572" s="2">
        <v>4.7356860850000002</v>
      </c>
      <c r="O1572" s="2">
        <v>4.6344623140000003</v>
      </c>
      <c r="P1572" s="2">
        <v>2.4637643059999998</v>
      </c>
      <c r="Q1572" s="2">
        <v>2.4570944140000002</v>
      </c>
      <c r="R1572" s="2">
        <v>2.0934677420000001</v>
      </c>
      <c r="S1572" s="2">
        <v>2.0630825119999998</v>
      </c>
      <c r="T1572" s="2">
        <v>1.2990486409999999</v>
      </c>
      <c r="U1572" s="2">
        <v>1.3345424340000001</v>
      </c>
      <c r="V1572" s="2">
        <v>3.0894903930000002</v>
      </c>
      <c r="W1572" s="2">
        <v>0.21833644399999999</v>
      </c>
      <c r="X1572">
        <f t="shared" si="72"/>
        <v>0</v>
      </c>
      <c r="Y1572">
        <f t="shared" si="73"/>
        <v>1</v>
      </c>
      <c r="Z1572">
        <f t="shared" si="74"/>
        <v>1</v>
      </c>
    </row>
    <row r="1573" spans="1:26" ht="15.75" customHeight="1" x14ac:dyDescent="0.2">
      <c r="A1573" s="2" t="s">
        <v>23</v>
      </c>
      <c r="B1573" s="2" t="s">
        <v>35</v>
      </c>
      <c r="C1573" s="2" t="s">
        <v>32</v>
      </c>
      <c r="D1573" s="2" t="s">
        <v>33</v>
      </c>
      <c r="E1573" s="2">
        <v>145</v>
      </c>
      <c r="F1573" s="2">
        <v>136.33333329999999</v>
      </c>
      <c r="G1573" s="2">
        <v>542.33333330000005</v>
      </c>
      <c r="H1573" s="2">
        <v>1225.666667</v>
      </c>
      <c r="I1573" s="2">
        <v>2683.666667</v>
      </c>
      <c r="J1573" s="2">
        <v>1.21</v>
      </c>
      <c r="K1573" s="2">
        <v>5.28</v>
      </c>
      <c r="L1573" s="2">
        <v>9.7799999999999994</v>
      </c>
      <c r="M1573" s="2">
        <v>14.96</v>
      </c>
      <c r="N1573" s="2">
        <v>1.650505914</v>
      </c>
      <c r="O1573" s="2">
        <v>1.5737898379999999</v>
      </c>
      <c r="P1573" s="2">
        <v>1.658464801</v>
      </c>
      <c r="Q1573" s="2">
        <v>1.664680328</v>
      </c>
      <c r="R1573" s="2">
        <v>1.1223336610000001</v>
      </c>
      <c r="S1573" s="2">
        <v>1.0919484310000001</v>
      </c>
      <c r="T1573" s="2">
        <v>1.2210129599999999</v>
      </c>
      <c r="U1573" s="2">
        <v>1.256506753</v>
      </c>
      <c r="V1573" s="2">
        <v>2.118356312</v>
      </c>
      <c r="W1573" s="2">
        <v>0.158105207</v>
      </c>
      <c r="X1573">
        <f t="shared" si="72"/>
        <v>0</v>
      </c>
      <c r="Y1573">
        <f t="shared" si="73"/>
        <v>1</v>
      </c>
      <c r="Z1573">
        <f t="shared" si="74"/>
        <v>1</v>
      </c>
    </row>
    <row r="1574" spans="1:26" ht="15.75" customHeight="1" x14ac:dyDescent="0.2">
      <c r="A1574" s="2" t="s">
        <v>23</v>
      </c>
      <c r="B1574" s="2" t="s">
        <v>35</v>
      </c>
      <c r="C1574" s="2" t="s">
        <v>26</v>
      </c>
      <c r="D1574" s="2" t="s">
        <v>26</v>
      </c>
      <c r="E1574" s="2">
        <v>113</v>
      </c>
      <c r="F1574" s="2">
        <v>119</v>
      </c>
      <c r="G1574" s="2">
        <v>396.66666670000001</v>
      </c>
      <c r="H1574" s="2">
        <v>935.66666669999995</v>
      </c>
      <c r="I1574" s="2">
        <v>2639.666667</v>
      </c>
      <c r="J1574" s="2">
        <v>1</v>
      </c>
      <c r="K1574" s="2">
        <v>3.98</v>
      </c>
      <c r="L1574" s="2">
        <v>8.1300000000000008</v>
      </c>
      <c r="M1574" s="2">
        <v>14.86</v>
      </c>
      <c r="N1574" s="2">
        <v>0.79987359800000002</v>
      </c>
      <c r="O1574" s="2">
        <v>0.44460000999999999</v>
      </c>
      <c r="P1574" s="2">
        <v>2.87834689</v>
      </c>
      <c r="Q1574" s="2">
        <v>2.9157648040000002</v>
      </c>
      <c r="R1574" s="2">
        <v>0.17565156000000001</v>
      </c>
      <c r="S1574" s="2">
        <v>0.206036789</v>
      </c>
      <c r="T1574" s="2">
        <v>2.8729823090000002</v>
      </c>
      <c r="U1574" s="2">
        <v>2.9084761019999998</v>
      </c>
      <c r="V1574" s="2">
        <v>0.82037109100000005</v>
      </c>
      <c r="W1574" s="2">
        <v>0.19321555000000001</v>
      </c>
      <c r="X1574">
        <f t="shared" si="72"/>
        <v>0</v>
      </c>
      <c r="Y1574">
        <f t="shared" si="73"/>
        <v>1</v>
      </c>
      <c r="Z1574">
        <f t="shared" si="74"/>
        <v>0</v>
      </c>
    </row>
    <row r="1575" spans="1:26" ht="15.75" customHeight="1" x14ac:dyDescent="0.2">
      <c r="A1575" s="2" t="s">
        <v>23</v>
      </c>
      <c r="B1575" s="2" t="s">
        <v>35</v>
      </c>
      <c r="C1575" s="2" t="s">
        <v>32</v>
      </c>
      <c r="D1575" s="2" t="s">
        <v>33</v>
      </c>
      <c r="E1575" s="2">
        <v>127</v>
      </c>
      <c r="F1575" s="2">
        <v>133.33333329999999</v>
      </c>
      <c r="G1575" s="2">
        <v>635.66666669999995</v>
      </c>
      <c r="H1575" s="2">
        <v>1077</v>
      </c>
      <c r="I1575" s="2">
        <v>2412.333333</v>
      </c>
      <c r="J1575" s="2">
        <v>1.18</v>
      </c>
      <c r="K1575" s="2">
        <v>6.04</v>
      </c>
      <c r="L1575" s="2">
        <v>8.98</v>
      </c>
      <c r="M1575" s="2">
        <v>14.26</v>
      </c>
      <c r="N1575" s="2">
        <v>1.9023832000000001</v>
      </c>
      <c r="O1575" s="2">
        <v>1.8937701199999999</v>
      </c>
      <c r="P1575" s="2">
        <v>2.7639472309999999</v>
      </c>
      <c r="Q1575" s="2">
        <v>2.769745881</v>
      </c>
      <c r="R1575" s="2">
        <v>1.8774182049999999</v>
      </c>
      <c r="S1575" s="2">
        <v>1.8470329759999999</v>
      </c>
      <c r="T1575" s="2">
        <v>2.0284736080000001</v>
      </c>
      <c r="U1575" s="2">
        <v>2.0639674010000002</v>
      </c>
      <c r="V1575" s="2">
        <v>2.8734408560000002</v>
      </c>
      <c r="W1575" s="2">
        <v>0.14219522400000001</v>
      </c>
      <c r="X1575">
        <f t="shared" si="72"/>
        <v>0</v>
      </c>
      <c r="Y1575">
        <f t="shared" si="73"/>
        <v>1</v>
      </c>
      <c r="Z1575">
        <f t="shared" si="74"/>
        <v>1</v>
      </c>
    </row>
    <row r="1576" spans="1:26" ht="15.75" customHeight="1" x14ac:dyDescent="0.2">
      <c r="A1576" s="2" t="s">
        <v>23</v>
      </c>
      <c r="B1576" s="2" t="s">
        <v>35</v>
      </c>
      <c r="C1576" s="2" t="s">
        <v>28</v>
      </c>
      <c r="D1576" s="2" t="s">
        <v>29</v>
      </c>
      <c r="E1576" s="2">
        <v>128</v>
      </c>
      <c r="F1576" s="2">
        <v>130</v>
      </c>
      <c r="G1576" s="2">
        <v>483.66666670000001</v>
      </c>
      <c r="H1576" s="2">
        <v>1982</v>
      </c>
      <c r="I1576" s="2">
        <v>3143</v>
      </c>
      <c r="J1576" s="2">
        <v>1.1399999999999999</v>
      </c>
      <c r="K1576" s="2">
        <v>4.78</v>
      </c>
      <c r="L1576" s="2">
        <v>12.95</v>
      </c>
      <c r="M1576" s="2">
        <v>15.98</v>
      </c>
      <c r="N1576" s="2">
        <v>5.6584015250000004</v>
      </c>
      <c r="O1576" s="2">
        <v>5.3038645930000001</v>
      </c>
      <c r="P1576" s="2">
        <v>2.0397414380000001</v>
      </c>
      <c r="Q1576" s="2">
        <v>1.9967910419999999</v>
      </c>
      <c r="R1576" s="2">
        <v>0.61818667800000004</v>
      </c>
      <c r="S1576" s="2">
        <v>0.587801448</v>
      </c>
      <c r="T1576" s="2">
        <v>1.943808212</v>
      </c>
      <c r="U1576" s="2">
        <v>1.9083144190000001</v>
      </c>
      <c r="V1576" s="2">
        <v>1.6142093289999999</v>
      </c>
      <c r="W1576" s="2">
        <v>0.15023239799999999</v>
      </c>
      <c r="X1576">
        <f t="shared" si="72"/>
        <v>0</v>
      </c>
      <c r="Y1576">
        <f t="shared" si="73"/>
        <v>1</v>
      </c>
      <c r="Z1576">
        <f t="shared" si="74"/>
        <v>1</v>
      </c>
    </row>
    <row r="1577" spans="1:26" ht="15.75" customHeight="1" x14ac:dyDescent="0.2">
      <c r="A1577" s="2" t="s">
        <v>23</v>
      </c>
      <c r="B1577" s="2" t="s">
        <v>35</v>
      </c>
      <c r="C1577" s="2" t="s">
        <v>32</v>
      </c>
      <c r="D1577" s="2" t="s">
        <v>33</v>
      </c>
      <c r="E1577" s="2">
        <v>128</v>
      </c>
      <c r="F1577" s="2">
        <v>113.66666669999999</v>
      </c>
      <c r="G1577" s="2">
        <v>729.66666669999995</v>
      </c>
      <c r="H1577" s="2">
        <v>1636.666667</v>
      </c>
      <c r="I1577" s="2">
        <v>3346.333333</v>
      </c>
      <c r="J1577" s="2">
        <v>0.94</v>
      </c>
      <c r="K1577" s="2">
        <v>6.74</v>
      </c>
      <c r="L1577" s="2">
        <v>11.67</v>
      </c>
      <c r="M1577" s="2">
        <v>16.38</v>
      </c>
      <c r="N1577" s="2">
        <v>0.884980726</v>
      </c>
      <c r="O1577" s="2">
        <v>0.89245738200000002</v>
      </c>
      <c r="P1577" s="2">
        <v>2.6688274949999999</v>
      </c>
      <c r="Q1577" s="2">
        <v>2.6307045389999999</v>
      </c>
      <c r="R1577" s="2">
        <v>2.584929469</v>
      </c>
      <c r="S1577" s="2">
        <v>2.5545442390000002</v>
      </c>
      <c r="T1577" s="2">
        <v>0.66391252300000003</v>
      </c>
      <c r="U1577" s="2">
        <v>0.62841873100000001</v>
      </c>
      <c r="V1577" s="2">
        <v>3.5809521200000001</v>
      </c>
      <c r="W1577" s="2">
        <v>0.123498608</v>
      </c>
      <c r="X1577">
        <f t="shared" si="72"/>
        <v>0</v>
      </c>
      <c r="Y1577">
        <f t="shared" si="73"/>
        <v>1</v>
      </c>
      <c r="Z1577">
        <f t="shared" si="74"/>
        <v>1</v>
      </c>
    </row>
    <row r="1578" spans="1:26" ht="15.75" customHeight="1" x14ac:dyDescent="0.2">
      <c r="A1578" s="2" t="s">
        <v>23</v>
      </c>
      <c r="B1578" s="2" t="s">
        <v>35</v>
      </c>
      <c r="C1578" s="2" t="s">
        <v>25</v>
      </c>
      <c r="D1578" s="2" t="s">
        <v>25</v>
      </c>
      <c r="E1578" s="2">
        <v>289</v>
      </c>
      <c r="F1578" s="2">
        <v>123.33333330000001</v>
      </c>
      <c r="G1578" s="2">
        <v>682.66666669999995</v>
      </c>
      <c r="H1578" s="2">
        <v>1508</v>
      </c>
      <c r="I1578" s="2">
        <v>2757</v>
      </c>
      <c r="J1578" s="2">
        <v>1.06</v>
      </c>
      <c r="K1578" s="2">
        <v>6.4</v>
      </c>
      <c r="L1578" s="2">
        <v>11.13</v>
      </c>
      <c r="M1578" s="2">
        <v>15.14</v>
      </c>
      <c r="N1578" s="2">
        <v>0.37754821100000002</v>
      </c>
      <c r="O1578" s="2">
        <v>0.31329127499999998</v>
      </c>
      <c r="P1578" s="2">
        <v>2.240781519</v>
      </c>
      <c r="Q1578" s="2">
        <v>2.2087694280000001</v>
      </c>
      <c r="R1578" s="2">
        <v>2.2374654039999999</v>
      </c>
      <c r="S1578" s="2">
        <v>2.2070801740000001</v>
      </c>
      <c r="T1578" s="2">
        <v>0.12186213899999999</v>
      </c>
      <c r="U1578" s="2">
        <v>8.6368346999999998E-2</v>
      </c>
      <c r="V1578" s="2">
        <v>3.233488055</v>
      </c>
      <c r="W1578" s="2">
        <v>0.22275789700000001</v>
      </c>
      <c r="X1578">
        <f t="shared" si="72"/>
        <v>0</v>
      </c>
      <c r="Y1578">
        <f t="shared" si="73"/>
        <v>1</v>
      </c>
      <c r="Z1578">
        <f t="shared" si="74"/>
        <v>0</v>
      </c>
    </row>
    <row r="1579" spans="1:26" ht="15.75" customHeight="1" x14ac:dyDescent="0.2">
      <c r="A1579" s="2" t="s">
        <v>23</v>
      </c>
      <c r="B1579" s="2" t="s">
        <v>35</v>
      </c>
      <c r="C1579" s="2" t="s">
        <v>27</v>
      </c>
      <c r="D1579" s="2" t="s">
        <v>27</v>
      </c>
      <c r="E1579" s="2">
        <v>126</v>
      </c>
      <c r="F1579" s="2">
        <v>129</v>
      </c>
      <c r="G1579" s="2">
        <v>374</v>
      </c>
      <c r="H1579" s="2">
        <v>2096</v>
      </c>
      <c r="I1579" s="2">
        <v>2813.666667</v>
      </c>
      <c r="J1579" s="2">
        <v>1.1299999999999999</v>
      </c>
      <c r="K1579" s="2">
        <v>3.77</v>
      </c>
      <c r="L1579" s="2">
        <v>13.32</v>
      </c>
      <c r="M1579" s="2">
        <v>15.27</v>
      </c>
      <c r="N1579" s="2">
        <v>0.35479723299999999</v>
      </c>
      <c r="O1579" s="2">
        <v>0.24591717399999999</v>
      </c>
      <c r="P1579" s="2">
        <v>2.3514110160000001</v>
      </c>
      <c r="Q1579" s="2">
        <v>2.3217596309999999</v>
      </c>
      <c r="R1579" s="2">
        <v>0.39219325500000002</v>
      </c>
      <c r="S1579" s="2">
        <v>0.42257848399999998</v>
      </c>
      <c r="T1579" s="2">
        <v>2.3184732509999999</v>
      </c>
      <c r="U1579" s="2">
        <v>2.2829794589999999</v>
      </c>
      <c r="V1579" s="2">
        <v>0.60382939599999996</v>
      </c>
      <c r="W1579" s="2">
        <v>0.204831286</v>
      </c>
      <c r="X1579">
        <f t="shared" si="72"/>
        <v>0</v>
      </c>
      <c r="Y1579">
        <f t="shared" si="73"/>
        <v>1</v>
      </c>
      <c r="Z1579">
        <f t="shared" si="74"/>
        <v>0</v>
      </c>
    </row>
    <row r="1580" spans="1:26" ht="15.75" customHeight="1" x14ac:dyDescent="0.2">
      <c r="A1580" s="2" t="s">
        <v>23</v>
      </c>
      <c r="B1580" s="2" t="s">
        <v>35</v>
      </c>
      <c r="C1580" s="2" t="s">
        <v>30</v>
      </c>
      <c r="D1580" s="2" t="s">
        <v>31</v>
      </c>
      <c r="E1580" s="2">
        <v>118</v>
      </c>
      <c r="F1580" s="2">
        <v>147.66666670000001</v>
      </c>
      <c r="G1580" s="2">
        <v>585.66666669999995</v>
      </c>
      <c r="H1580" s="2">
        <v>1353.333333</v>
      </c>
      <c r="I1580" s="2">
        <v>2171.333333</v>
      </c>
      <c r="J1580" s="2">
        <v>1.35</v>
      </c>
      <c r="K1580" s="2">
        <v>5.64</v>
      </c>
      <c r="L1580" s="2">
        <v>10.42</v>
      </c>
      <c r="M1580" s="2">
        <v>13.56</v>
      </c>
      <c r="N1580" s="2">
        <v>3.799409018</v>
      </c>
      <c r="O1580" s="2">
        <v>3.700689766</v>
      </c>
      <c r="P1580" s="2">
        <v>1.5913931349999999</v>
      </c>
      <c r="Q1580" s="2">
        <v>1.5768152769999999</v>
      </c>
      <c r="R1580" s="2">
        <v>1.479794348</v>
      </c>
      <c r="S1580" s="2">
        <v>1.4494091179999999</v>
      </c>
      <c r="T1580" s="2">
        <v>0.58544068599999999</v>
      </c>
      <c r="U1580" s="2">
        <v>0.62093447800000001</v>
      </c>
      <c r="V1580" s="2">
        <v>2.4758169990000001</v>
      </c>
      <c r="W1580" s="2">
        <v>0.21305891800000001</v>
      </c>
      <c r="X1580">
        <f t="shared" si="72"/>
        <v>0</v>
      </c>
      <c r="Y1580">
        <f t="shared" si="73"/>
        <v>1</v>
      </c>
      <c r="Z1580">
        <f t="shared" si="74"/>
        <v>1</v>
      </c>
    </row>
    <row r="1581" spans="1:26" ht="15.75" customHeight="1" x14ac:dyDescent="0.2">
      <c r="A1581" s="2" t="s">
        <v>23</v>
      </c>
      <c r="B1581" s="2" t="s">
        <v>35</v>
      </c>
      <c r="C1581" s="2" t="s">
        <v>25</v>
      </c>
      <c r="D1581" s="2" t="s">
        <v>25</v>
      </c>
      <c r="E1581" s="2">
        <v>132</v>
      </c>
      <c r="F1581" s="2">
        <v>129.33333329999999</v>
      </c>
      <c r="G1581" s="2">
        <v>711</v>
      </c>
      <c r="H1581" s="2">
        <v>1446.333333</v>
      </c>
      <c r="I1581" s="2">
        <v>2824.333333</v>
      </c>
      <c r="J1581" s="2">
        <v>1.1299999999999999</v>
      </c>
      <c r="K1581" s="2">
        <v>6.61</v>
      </c>
      <c r="L1581" s="2">
        <v>10.85</v>
      </c>
      <c r="M1581" s="2">
        <v>15.3</v>
      </c>
      <c r="N1581" s="2">
        <v>5.9109937000000001E-2</v>
      </c>
      <c r="O1581" s="2">
        <v>0.145805305</v>
      </c>
      <c r="P1581" s="2">
        <v>2.453134699</v>
      </c>
      <c r="Q1581" s="2">
        <v>2.4253009369999998</v>
      </c>
      <c r="R1581" s="2">
        <v>2.4483934270000001</v>
      </c>
      <c r="S1581" s="2">
        <v>2.4180081969999998</v>
      </c>
      <c r="T1581" s="2">
        <v>0.15244500899999999</v>
      </c>
      <c r="U1581" s="2">
        <v>0.18793880199999999</v>
      </c>
      <c r="V1581" s="2">
        <v>3.4444160780000002</v>
      </c>
      <c r="W1581" s="2">
        <v>0.23399004000000001</v>
      </c>
      <c r="X1581">
        <f t="shared" si="72"/>
        <v>0</v>
      </c>
      <c r="Y1581">
        <f t="shared" si="73"/>
        <v>1</v>
      </c>
      <c r="Z1581">
        <f t="shared" si="74"/>
        <v>0</v>
      </c>
    </row>
    <row r="1582" spans="1:26" ht="15.75" customHeight="1" x14ac:dyDescent="0.2">
      <c r="A1582" s="2" t="s">
        <v>23</v>
      </c>
      <c r="B1582" s="2" t="s">
        <v>35</v>
      </c>
      <c r="C1582" s="2" t="s">
        <v>30</v>
      </c>
      <c r="D1582" s="2" t="s">
        <v>31</v>
      </c>
      <c r="E1582" s="2">
        <v>196</v>
      </c>
      <c r="F1582" s="2">
        <v>125.33333330000001</v>
      </c>
      <c r="G1582" s="2">
        <v>628.66666669999995</v>
      </c>
      <c r="H1582" s="2">
        <v>1269</v>
      </c>
      <c r="I1582" s="2">
        <v>2178</v>
      </c>
      <c r="J1582" s="2">
        <v>1.08</v>
      </c>
      <c r="K1582" s="2">
        <v>5.98</v>
      </c>
      <c r="L1582" s="2">
        <v>10.01</v>
      </c>
      <c r="M1582" s="2">
        <v>13.58</v>
      </c>
      <c r="N1582" s="2">
        <v>4.3349833359999996</v>
      </c>
      <c r="O1582" s="2">
        <v>4.2349212679999999</v>
      </c>
      <c r="P1582" s="2">
        <v>2.0788084549999999</v>
      </c>
      <c r="Q1582" s="2">
        <v>2.069740446</v>
      </c>
      <c r="R1582" s="2">
        <v>1.8226755480000001</v>
      </c>
      <c r="S1582" s="2">
        <v>1.792290318</v>
      </c>
      <c r="T1582" s="2">
        <v>0.99964915700000001</v>
      </c>
      <c r="U1582" s="2">
        <v>1.03514295</v>
      </c>
      <c r="V1582" s="2">
        <v>2.818698199</v>
      </c>
      <c r="W1582" s="2">
        <v>0.24639306899999999</v>
      </c>
      <c r="X1582">
        <f t="shared" si="72"/>
        <v>0</v>
      </c>
      <c r="Y1582">
        <f t="shared" si="73"/>
        <v>1</v>
      </c>
      <c r="Z1582">
        <f t="shared" si="74"/>
        <v>1</v>
      </c>
    </row>
    <row r="1583" spans="1:26" ht="15.75" customHeight="1" x14ac:dyDescent="0.2">
      <c r="A1583" s="2" t="s">
        <v>23</v>
      </c>
      <c r="B1583" s="2" t="s">
        <v>35</v>
      </c>
      <c r="C1583" s="2" t="s">
        <v>25</v>
      </c>
      <c r="D1583" s="2" t="s">
        <v>25</v>
      </c>
      <c r="E1583" s="2">
        <v>122</v>
      </c>
      <c r="F1583" s="2">
        <v>271.66666670000001</v>
      </c>
      <c r="G1583" s="2">
        <v>839.33333330000005</v>
      </c>
      <c r="H1583" s="2">
        <v>1600.333333</v>
      </c>
      <c r="I1583" s="2">
        <v>3057</v>
      </c>
      <c r="J1583" s="2">
        <v>2.73</v>
      </c>
      <c r="K1583" s="2">
        <v>7.51</v>
      </c>
      <c r="L1583" s="2">
        <v>11.52</v>
      </c>
      <c r="M1583" s="2">
        <v>15.81</v>
      </c>
      <c r="N1583" s="2">
        <v>0.38740477800000001</v>
      </c>
      <c r="O1583" s="2">
        <v>0.33690141899999998</v>
      </c>
      <c r="P1583" s="2">
        <v>2.8724901799999998</v>
      </c>
      <c r="Q1583" s="2">
        <v>2.99831863</v>
      </c>
      <c r="R1583" s="2">
        <v>2.8679932539999999</v>
      </c>
      <c r="S1583" s="2">
        <v>2.9966620769999999</v>
      </c>
      <c r="T1583" s="2">
        <v>0.160669011</v>
      </c>
      <c r="U1583" s="2">
        <v>9.9654425000000005E-2</v>
      </c>
      <c r="V1583" s="2">
        <v>4.4049342009999997</v>
      </c>
      <c r="W1583" s="2">
        <v>7.9719235999999999E-2</v>
      </c>
      <c r="X1583">
        <f t="shared" si="72"/>
        <v>0</v>
      </c>
      <c r="Y1583">
        <f t="shared" si="73"/>
        <v>1</v>
      </c>
      <c r="Z1583">
        <f t="shared" si="74"/>
        <v>0</v>
      </c>
    </row>
    <row r="1584" spans="1:26" ht="15.75" customHeight="1" x14ac:dyDescent="0.2">
      <c r="A1584" s="2" t="s">
        <v>23</v>
      </c>
      <c r="B1584" s="2" t="s">
        <v>35</v>
      </c>
      <c r="C1584" s="2" t="s">
        <v>26</v>
      </c>
      <c r="D1584" s="2" t="s">
        <v>26</v>
      </c>
      <c r="E1584" s="2">
        <v>112</v>
      </c>
      <c r="F1584" s="2">
        <v>266.66666670000001</v>
      </c>
      <c r="G1584" s="2">
        <v>409</v>
      </c>
      <c r="H1584" s="2">
        <v>1035.666667</v>
      </c>
      <c r="I1584" s="2">
        <v>2655</v>
      </c>
      <c r="J1584" s="2">
        <v>2.68</v>
      </c>
      <c r="K1584" s="2">
        <v>4.0999999999999996</v>
      </c>
      <c r="L1584" s="2">
        <v>8.74</v>
      </c>
      <c r="M1584" s="2">
        <v>14.89</v>
      </c>
      <c r="N1584" s="2">
        <v>2.3509294E-2</v>
      </c>
      <c r="O1584" s="2">
        <v>0.29574260400000002</v>
      </c>
      <c r="P1584" s="2">
        <v>2.676777194</v>
      </c>
      <c r="Q1584" s="2">
        <v>2.7140100110000001</v>
      </c>
      <c r="R1584" s="2">
        <v>0.541879687</v>
      </c>
      <c r="S1584" s="2">
        <v>0.41321086400000001</v>
      </c>
      <c r="T1584" s="2">
        <v>2.6213550990000001</v>
      </c>
      <c r="U1584" s="2">
        <v>2.6823696840000002</v>
      </c>
      <c r="V1584" s="2">
        <v>0.99506125999999995</v>
      </c>
      <c r="W1584" s="2">
        <v>7.0578494000000006E-2</v>
      </c>
      <c r="X1584">
        <f t="shared" si="72"/>
        <v>0</v>
      </c>
      <c r="Y1584">
        <f t="shared" si="73"/>
        <v>1</v>
      </c>
      <c r="Z1584">
        <f t="shared" si="74"/>
        <v>0</v>
      </c>
    </row>
    <row r="1585" spans="1:26" ht="15.75" customHeight="1" x14ac:dyDescent="0.2">
      <c r="A1585" s="2" t="s">
        <v>23</v>
      </c>
      <c r="B1585" s="2" t="s">
        <v>35</v>
      </c>
      <c r="C1585" s="2" t="s">
        <v>27</v>
      </c>
      <c r="D1585" s="2" t="s">
        <v>27</v>
      </c>
      <c r="E1585" s="2">
        <v>96</v>
      </c>
      <c r="F1585" s="2">
        <v>267</v>
      </c>
      <c r="G1585" s="2">
        <v>420.66666670000001</v>
      </c>
      <c r="H1585" s="2">
        <v>2388.666667</v>
      </c>
      <c r="I1585" s="2">
        <v>3081.333333</v>
      </c>
      <c r="J1585" s="2">
        <v>2.68</v>
      </c>
      <c r="K1585" s="2">
        <v>4.21</v>
      </c>
      <c r="L1585" s="2">
        <v>14.2</v>
      </c>
      <c r="M1585" s="2">
        <v>15.86</v>
      </c>
      <c r="N1585" s="2">
        <v>0.74476490299999998</v>
      </c>
      <c r="O1585" s="2">
        <v>0.34500311700000003</v>
      </c>
      <c r="P1585" s="2">
        <v>2.8691259489999998</v>
      </c>
      <c r="Q1585" s="2">
        <v>2.7918784859999999</v>
      </c>
      <c r="R1585" s="2">
        <v>0.43317806599999997</v>
      </c>
      <c r="S1585" s="2">
        <v>0.30450924200000001</v>
      </c>
      <c r="T1585" s="2">
        <v>2.8362370280000002</v>
      </c>
      <c r="U1585" s="2">
        <v>2.775222442</v>
      </c>
      <c r="V1585" s="2">
        <v>1.1037628820000001</v>
      </c>
      <c r="W1585" s="2">
        <v>6.7620191999999996E-2</v>
      </c>
      <c r="X1585">
        <f t="shared" si="72"/>
        <v>0</v>
      </c>
      <c r="Y1585">
        <f t="shared" si="73"/>
        <v>1</v>
      </c>
      <c r="Z1585">
        <f t="shared" si="74"/>
        <v>0</v>
      </c>
    </row>
    <row r="1586" spans="1:26" ht="15.75" customHeight="1" x14ac:dyDescent="0.2">
      <c r="A1586" s="2" t="s">
        <v>23</v>
      </c>
      <c r="B1586" s="2" t="s">
        <v>35</v>
      </c>
      <c r="C1586" s="2" t="s">
        <v>28</v>
      </c>
      <c r="D1586" s="2" t="s">
        <v>29</v>
      </c>
      <c r="E1586" s="2">
        <v>104</v>
      </c>
      <c r="F1586" s="2">
        <v>274.66666670000001</v>
      </c>
      <c r="G1586" s="2">
        <v>407.66666670000001</v>
      </c>
      <c r="H1586" s="2">
        <v>1773.333333</v>
      </c>
      <c r="I1586" s="2">
        <v>3287.333333</v>
      </c>
      <c r="J1586" s="2">
        <v>2.77</v>
      </c>
      <c r="K1586" s="2">
        <v>4.09</v>
      </c>
      <c r="L1586" s="2">
        <v>12.2</v>
      </c>
      <c r="M1586" s="2">
        <v>16.27</v>
      </c>
      <c r="N1586" s="2">
        <v>3.4475717289999999</v>
      </c>
      <c r="O1586" s="2">
        <v>3.6511809199999998</v>
      </c>
      <c r="P1586" s="2">
        <v>1.010284306</v>
      </c>
      <c r="Q1586" s="2">
        <v>0.89175479300000005</v>
      </c>
      <c r="R1586" s="2">
        <v>0.55437093999999998</v>
      </c>
      <c r="S1586" s="2">
        <v>0.42570211699999999</v>
      </c>
      <c r="T1586" s="2">
        <v>0.84459886299999998</v>
      </c>
      <c r="U1586" s="2">
        <v>0.783584277</v>
      </c>
      <c r="V1586" s="2">
        <v>0.98257000699999997</v>
      </c>
      <c r="W1586" s="2">
        <v>6.6335619999999998E-2</v>
      </c>
      <c r="X1586">
        <f t="shared" si="72"/>
        <v>0</v>
      </c>
      <c r="Y1586">
        <f t="shared" si="73"/>
        <v>1</v>
      </c>
      <c r="Z1586">
        <f t="shared" si="74"/>
        <v>1</v>
      </c>
    </row>
    <row r="1587" spans="1:26" ht="15.75" customHeight="1" x14ac:dyDescent="0.2">
      <c r="A1587" s="2" t="s">
        <v>23</v>
      </c>
      <c r="B1587" s="2" t="s">
        <v>35</v>
      </c>
      <c r="C1587" s="2" t="s">
        <v>30</v>
      </c>
      <c r="D1587" s="2" t="s">
        <v>31</v>
      </c>
      <c r="E1587" s="2">
        <v>153</v>
      </c>
      <c r="F1587" s="2">
        <v>271.33333329999999</v>
      </c>
      <c r="G1587" s="2">
        <v>511.33333329999999</v>
      </c>
      <c r="H1587" s="2">
        <v>1291.333333</v>
      </c>
      <c r="I1587" s="2">
        <v>2504</v>
      </c>
      <c r="J1587" s="2">
        <v>2.73</v>
      </c>
      <c r="K1587" s="2">
        <v>5.0199999999999996</v>
      </c>
      <c r="L1587" s="2">
        <v>10.119999999999999</v>
      </c>
      <c r="M1587" s="2">
        <v>14.51</v>
      </c>
      <c r="N1587" s="2">
        <v>3.4213870489999998</v>
      </c>
      <c r="O1587" s="2">
        <v>3.8785302499999998</v>
      </c>
      <c r="P1587" s="2">
        <v>1.2978559890000001</v>
      </c>
      <c r="Q1587" s="2">
        <v>1.3975643069999999</v>
      </c>
      <c r="R1587" s="2">
        <v>0.37660859099999999</v>
      </c>
      <c r="S1587" s="2">
        <v>0.50527741500000001</v>
      </c>
      <c r="T1587" s="2">
        <v>1.242012938</v>
      </c>
      <c r="U1587" s="2">
        <v>1.3030275229999999</v>
      </c>
      <c r="V1587" s="2">
        <v>1.9135495389999999</v>
      </c>
      <c r="W1587" s="2">
        <v>7.9346844E-2</v>
      </c>
      <c r="X1587">
        <f t="shared" si="72"/>
        <v>0</v>
      </c>
      <c r="Y1587">
        <f t="shared" si="73"/>
        <v>1</v>
      </c>
      <c r="Z1587">
        <f t="shared" si="74"/>
        <v>1</v>
      </c>
    </row>
    <row r="1588" spans="1:26" ht="15.75" customHeight="1" x14ac:dyDescent="0.2">
      <c r="A1588" s="2" t="s">
        <v>23</v>
      </c>
      <c r="B1588" s="2" t="s">
        <v>35</v>
      </c>
      <c r="C1588" s="2" t="s">
        <v>26</v>
      </c>
      <c r="D1588" s="2" t="s">
        <v>26</v>
      </c>
      <c r="E1588" s="2">
        <v>123</v>
      </c>
      <c r="F1588" s="2">
        <v>196.66666670000001</v>
      </c>
      <c r="G1588" s="2">
        <v>355.66666670000001</v>
      </c>
      <c r="H1588" s="2">
        <v>766.33333330000005</v>
      </c>
      <c r="I1588" s="2">
        <v>2966</v>
      </c>
      <c r="J1588" s="2">
        <v>1.91</v>
      </c>
      <c r="K1588" s="2">
        <v>3.59</v>
      </c>
      <c r="L1588" s="2">
        <v>7.01</v>
      </c>
      <c r="M1588" s="2">
        <v>15.61</v>
      </c>
      <c r="N1588" s="2">
        <v>1.8284844609999999</v>
      </c>
      <c r="O1588" s="2">
        <v>1.5786362119999999</v>
      </c>
      <c r="P1588" s="2">
        <v>4.4797005590000003</v>
      </c>
      <c r="Q1588" s="2">
        <v>4.5109231970000003</v>
      </c>
      <c r="R1588" s="2">
        <v>1.0527498150000001</v>
      </c>
      <c r="S1588" s="2">
        <v>0.92408099099999996</v>
      </c>
      <c r="T1588" s="2">
        <v>4.3542433249999997</v>
      </c>
      <c r="U1588" s="2">
        <v>4.4152579100000002</v>
      </c>
      <c r="V1588" s="2">
        <v>0.484191133</v>
      </c>
      <c r="W1588" s="2">
        <v>7.5471391999999998E-2</v>
      </c>
      <c r="X1588">
        <f t="shared" si="72"/>
        <v>0</v>
      </c>
      <c r="Y1588">
        <f t="shared" si="73"/>
        <v>1</v>
      </c>
      <c r="Z1588">
        <f t="shared" si="74"/>
        <v>0</v>
      </c>
    </row>
    <row r="1589" spans="1:26" ht="15.75" customHeight="1" x14ac:dyDescent="0.2">
      <c r="A1589" s="2" t="s">
        <v>23</v>
      </c>
      <c r="B1589" s="2" t="s">
        <v>35</v>
      </c>
      <c r="C1589" s="2" t="s">
        <v>28</v>
      </c>
      <c r="D1589" s="2" t="s">
        <v>29</v>
      </c>
      <c r="E1589" s="2">
        <v>160</v>
      </c>
      <c r="F1589" s="2">
        <v>233.33333329999999</v>
      </c>
      <c r="G1589" s="2">
        <v>509</v>
      </c>
      <c r="H1589" s="2">
        <v>1523.666667</v>
      </c>
      <c r="I1589" s="2">
        <v>3002.333333</v>
      </c>
      <c r="J1589" s="2">
        <v>2.3199999999999998</v>
      </c>
      <c r="K1589" s="2">
        <v>5</v>
      </c>
      <c r="L1589" s="2">
        <v>11.2</v>
      </c>
      <c r="M1589" s="2">
        <v>15.69</v>
      </c>
      <c r="N1589" s="2">
        <v>2.593955352</v>
      </c>
      <c r="O1589" s="2">
        <v>2.869315018</v>
      </c>
      <c r="P1589" s="2">
        <v>0.39248599099999998</v>
      </c>
      <c r="Q1589" s="2">
        <v>0.53488170800000001</v>
      </c>
      <c r="R1589" s="2">
        <v>0.35651408899999998</v>
      </c>
      <c r="S1589" s="2">
        <v>0.48518291200000002</v>
      </c>
      <c r="T1589" s="2">
        <v>0.16414309999999999</v>
      </c>
      <c r="U1589" s="2">
        <v>0.225157686</v>
      </c>
      <c r="V1589" s="2">
        <v>1.8934550370000001</v>
      </c>
      <c r="W1589" s="2">
        <v>7.0636199999999996E-2</v>
      </c>
      <c r="X1589">
        <f t="shared" si="72"/>
        <v>0</v>
      </c>
      <c r="Y1589">
        <f t="shared" si="73"/>
        <v>1</v>
      </c>
      <c r="Z1589">
        <f t="shared" si="74"/>
        <v>1</v>
      </c>
    </row>
    <row r="1590" spans="1:26" ht="15.75" customHeight="1" x14ac:dyDescent="0.2">
      <c r="A1590" s="2" t="s">
        <v>23</v>
      </c>
      <c r="B1590" s="2" t="s">
        <v>35</v>
      </c>
      <c r="C1590" s="2" t="s">
        <v>32</v>
      </c>
      <c r="D1590" s="2" t="s">
        <v>33</v>
      </c>
      <c r="E1590" s="2">
        <v>97</v>
      </c>
      <c r="F1590" s="2">
        <v>268.66666670000001</v>
      </c>
      <c r="G1590" s="2">
        <v>468</v>
      </c>
      <c r="H1590" s="2">
        <v>933</v>
      </c>
      <c r="I1590" s="2">
        <v>2493.666667</v>
      </c>
      <c r="J1590" s="2">
        <v>2.7</v>
      </c>
      <c r="K1590" s="2">
        <v>4.6399999999999997</v>
      </c>
      <c r="L1590" s="2">
        <v>8.1199999999999992</v>
      </c>
      <c r="M1590" s="2">
        <v>14.48</v>
      </c>
      <c r="N1590" s="2">
        <v>4.0835740749999996</v>
      </c>
      <c r="O1590" s="2">
        <v>4.235411515</v>
      </c>
      <c r="P1590" s="2">
        <v>3.2438579089999999</v>
      </c>
      <c r="Q1590" s="2">
        <v>3.3072643419999999</v>
      </c>
      <c r="R1590" s="2">
        <v>2.8767229999999999E-3</v>
      </c>
      <c r="S1590" s="2">
        <v>0.12579210099999999</v>
      </c>
      <c r="T1590" s="2">
        <v>3.243856633</v>
      </c>
      <c r="U1590" s="2">
        <v>3.3048712189999998</v>
      </c>
      <c r="V1590" s="2">
        <v>1.5340642250000001</v>
      </c>
      <c r="W1590" s="2">
        <v>6.5153542999999994E-2</v>
      </c>
      <c r="X1590">
        <f t="shared" si="72"/>
        <v>0</v>
      </c>
      <c r="Y1590">
        <f t="shared" si="73"/>
        <v>1</v>
      </c>
      <c r="Z1590">
        <f t="shared" si="74"/>
        <v>1</v>
      </c>
    </row>
    <row r="1591" spans="1:26" ht="15.75" customHeight="1" x14ac:dyDescent="0.2">
      <c r="A1591" s="2" t="s">
        <v>23</v>
      </c>
      <c r="B1591" s="2" t="s">
        <v>35</v>
      </c>
      <c r="C1591" s="2" t="s">
        <v>32</v>
      </c>
      <c r="D1591" s="2" t="s">
        <v>33</v>
      </c>
      <c r="E1591" s="2">
        <v>95</v>
      </c>
      <c r="F1591" s="2">
        <v>244.33333329999999</v>
      </c>
      <c r="G1591" s="2">
        <v>532.33333330000005</v>
      </c>
      <c r="H1591" s="2">
        <v>901.66666669999995</v>
      </c>
      <c r="I1591" s="2">
        <v>2611</v>
      </c>
      <c r="J1591" s="2">
        <v>2.44</v>
      </c>
      <c r="K1591" s="2">
        <v>5.2</v>
      </c>
      <c r="L1591" s="2">
        <v>7.92</v>
      </c>
      <c r="M1591" s="2">
        <v>14.78</v>
      </c>
      <c r="N1591" s="2">
        <v>3.9307841450000001</v>
      </c>
      <c r="O1591" s="2">
        <v>4.0998587960000004</v>
      </c>
      <c r="P1591" s="2">
        <v>3.4873075820000001</v>
      </c>
      <c r="Q1591" s="2">
        <v>3.5699756969999998</v>
      </c>
      <c r="R1591" s="2">
        <v>0.55576598099999996</v>
      </c>
      <c r="S1591" s="2">
        <v>0.68443480499999998</v>
      </c>
      <c r="T1591" s="2">
        <v>3.4427370430000002</v>
      </c>
      <c r="U1591" s="2">
        <v>3.5037516289999999</v>
      </c>
      <c r="V1591" s="2">
        <v>2.0927069290000002</v>
      </c>
      <c r="W1591" s="2">
        <v>7.0307862999999998E-2</v>
      </c>
      <c r="X1591">
        <f t="shared" si="72"/>
        <v>0</v>
      </c>
      <c r="Y1591">
        <f t="shared" si="73"/>
        <v>1</v>
      </c>
      <c r="Z1591">
        <f t="shared" si="74"/>
        <v>1</v>
      </c>
    </row>
    <row r="1592" spans="1:26" ht="15.75" customHeight="1" x14ac:dyDescent="0.2">
      <c r="A1592" s="2" t="s">
        <v>23</v>
      </c>
      <c r="B1592" s="2" t="s">
        <v>35</v>
      </c>
      <c r="C1592" s="2" t="s">
        <v>25</v>
      </c>
      <c r="D1592" s="2" t="s">
        <v>25</v>
      </c>
      <c r="E1592" s="2">
        <v>180</v>
      </c>
      <c r="F1592" s="2">
        <v>270.66666670000001</v>
      </c>
      <c r="G1592" s="2">
        <v>809</v>
      </c>
      <c r="H1592" s="2">
        <v>1205.666667</v>
      </c>
      <c r="I1592" s="2">
        <v>2354.666667</v>
      </c>
      <c r="J1592" s="2">
        <v>2.72</v>
      </c>
      <c r="K1592" s="2">
        <v>7.3</v>
      </c>
      <c r="L1592" s="2">
        <v>9.68</v>
      </c>
      <c r="M1592" s="2">
        <v>14.1</v>
      </c>
      <c r="N1592" s="2">
        <v>1.63170035</v>
      </c>
      <c r="O1592" s="2">
        <v>1.833851334</v>
      </c>
      <c r="P1592" s="2">
        <v>3.1477683509999999</v>
      </c>
      <c r="Q1592" s="2">
        <v>3.2891916339999998</v>
      </c>
      <c r="R1592" s="2">
        <v>2.6623590039999998</v>
      </c>
      <c r="S1592" s="2">
        <v>2.7910278270000002</v>
      </c>
      <c r="T1592" s="2">
        <v>1.6793719439999999</v>
      </c>
      <c r="U1592" s="2">
        <v>1.7403865300000001</v>
      </c>
      <c r="V1592" s="2">
        <v>4.1992999510000004</v>
      </c>
      <c r="W1592" s="2">
        <v>0.102715504</v>
      </c>
      <c r="X1592">
        <f t="shared" si="72"/>
        <v>0</v>
      </c>
      <c r="Y1592">
        <f t="shared" si="73"/>
        <v>1</v>
      </c>
      <c r="Z1592">
        <f t="shared" si="74"/>
        <v>0</v>
      </c>
    </row>
    <row r="1593" spans="1:26" ht="15.75" customHeight="1" x14ac:dyDescent="0.2">
      <c r="A1593" s="2" t="s">
        <v>23</v>
      </c>
      <c r="B1593" s="2" t="s">
        <v>35</v>
      </c>
      <c r="C1593" s="2" t="s">
        <v>32</v>
      </c>
      <c r="D1593" s="2" t="s">
        <v>33</v>
      </c>
      <c r="E1593" s="2">
        <v>128</v>
      </c>
      <c r="F1593" s="2">
        <v>252.33333329999999</v>
      </c>
      <c r="G1593" s="2">
        <v>446.66666670000001</v>
      </c>
      <c r="H1593" s="2">
        <v>939</v>
      </c>
      <c r="I1593" s="2">
        <v>2229</v>
      </c>
      <c r="J1593" s="2">
        <v>2.5299999999999998</v>
      </c>
      <c r="K1593" s="2">
        <v>4.45</v>
      </c>
      <c r="L1593" s="2">
        <v>8.15</v>
      </c>
      <c r="M1593" s="2">
        <v>13.74</v>
      </c>
      <c r="N1593" s="2">
        <v>4.1774478310000003</v>
      </c>
      <c r="O1593" s="2">
        <v>4.3236663809999998</v>
      </c>
      <c r="P1593" s="2">
        <v>3.2121709410000001</v>
      </c>
      <c r="Q1593" s="2">
        <v>3.267945755</v>
      </c>
      <c r="R1593" s="2">
        <v>0.194720174</v>
      </c>
      <c r="S1593" s="2">
        <v>6.6051350999999994E-2</v>
      </c>
      <c r="T1593" s="2">
        <v>3.2062635899999998</v>
      </c>
      <c r="U1593" s="2">
        <v>3.267278176</v>
      </c>
      <c r="V1593" s="2">
        <v>1.342220773</v>
      </c>
      <c r="W1593" s="2">
        <v>5.0640892999999999E-2</v>
      </c>
      <c r="X1593">
        <f t="shared" si="72"/>
        <v>0</v>
      </c>
      <c r="Y1593">
        <f t="shared" si="73"/>
        <v>1</v>
      </c>
      <c r="Z1593">
        <f t="shared" si="74"/>
        <v>1</v>
      </c>
    </row>
    <row r="1594" spans="1:26" ht="15.75" customHeight="1" x14ac:dyDescent="0.2">
      <c r="A1594" s="2" t="s">
        <v>23</v>
      </c>
      <c r="B1594" s="2" t="s">
        <v>35</v>
      </c>
      <c r="C1594" s="2" t="s">
        <v>32</v>
      </c>
      <c r="D1594" s="2" t="s">
        <v>33</v>
      </c>
      <c r="E1594" s="2">
        <v>101</v>
      </c>
      <c r="F1594" s="2">
        <v>234.66666670000001</v>
      </c>
      <c r="G1594" s="2">
        <v>490.33333329999999</v>
      </c>
      <c r="H1594" s="2">
        <v>1323.333333</v>
      </c>
      <c r="I1594" s="2">
        <v>2681</v>
      </c>
      <c r="J1594" s="2">
        <v>2.34</v>
      </c>
      <c r="K1594" s="2">
        <v>4.83</v>
      </c>
      <c r="L1594" s="2">
        <v>10.28</v>
      </c>
      <c r="M1594" s="2">
        <v>14.96</v>
      </c>
      <c r="N1594" s="2">
        <v>2.5666261530000001</v>
      </c>
      <c r="O1594" s="2">
        <v>2.6428203780000001</v>
      </c>
      <c r="P1594" s="2">
        <v>1.1017785520000001</v>
      </c>
      <c r="Q1594" s="2">
        <v>1.1901915780000001</v>
      </c>
      <c r="R1594" s="2">
        <v>0.19438035000000001</v>
      </c>
      <c r="S1594" s="2">
        <v>0.32304917300000002</v>
      </c>
      <c r="T1594" s="2">
        <v>1.084496315</v>
      </c>
      <c r="U1594" s="2">
        <v>1.145510901</v>
      </c>
      <c r="V1594" s="2">
        <v>1.731321297</v>
      </c>
      <c r="W1594" s="2">
        <v>6.6202965000000003E-2</v>
      </c>
      <c r="X1594">
        <f t="shared" si="72"/>
        <v>0</v>
      </c>
      <c r="Y1594">
        <f t="shared" si="73"/>
        <v>1</v>
      </c>
      <c r="Z1594">
        <f t="shared" si="74"/>
        <v>1</v>
      </c>
    </row>
    <row r="1595" spans="1:26" ht="15.75" customHeight="1" x14ac:dyDescent="0.2">
      <c r="A1595" s="2" t="s">
        <v>23</v>
      </c>
      <c r="B1595" s="2" t="s">
        <v>35</v>
      </c>
      <c r="C1595" s="2" t="s">
        <v>25</v>
      </c>
      <c r="D1595" s="2" t="s">
        <v>25</v>
      </c>
      <c r="E1595" s="2">
        <v>79</v>
      </c>
      <c r="F1595" s="2">
        <v>268.66666670000001</v>
      </c>
      <c r="G1595" s="2">
        <v>807</v>
      </c>
      <c r="H1595" s="2">
        <v>1585.333333</v>
      </c>
      <c r="I1595" s="2">
        <v>2249.333333</v>
      </c>
      <c r="J1595" s="2">
        <v>2.7</v>
      </c>
      <c r="K1595" s="2">
        <v>7.29</v>
      </c>
      <c r="L1595" s="2">
        <v>11.46</v>
      </c>
      <c r="M1595" s="2">
        <v>13.8</v>
      </c>
      <c r="N1595" s="2">
        <v>0.182955543</v>
      </c>
      <c r="O1595" s="2">
        <v>0.12820152100000001</v>
      </c>
      <c r="P1595" s="2">
        <v>2.6504629510000002</v>
      </c>
      <c r="Q1595" s="2">
        <v>2.7775603420000001</v>
      </c>
      <c r="R1595" s="2">
        <v>2.6486422680000001</v>
      </c>
      <c r="S1595" s="2">
        <v>2.7773110910000001</v>
      </c>
      <c r="T1595" s="2">
        <v>9.8224192000000002E-2</v>
      </c>
      <c r="U1595" s="2">
        <v>3.7209605999999999E-2</v>
      </c>
      <c r="V1595" s="2">
        <v>4.1855832160000004</v>
      </c>
      <c r="W1595" s="2">
        <v>7.5863356000000007E-2</v>
      </c>
      <c r="X1595">
        <f t="shared" si="72"/>
        <v>0</v>
      </c>
      <c r="Y1595">
        <f t="shared" si="73"/>
        <v>1</v>
      </c>
      <c r="Z1595">
        <f t="shared" si="74"/>
        <v>0</v>
      </c>
    </row>
    <row r="1596" spans="1:26" ht="15.75" customHeight="1" x14ac:dyDescent="0.2">
      <c r="A1596" s="2" t="s">
        <v>23</v>
      </c>
      <c r="B1596" s="2" t="s">
        <v>35</v>
      </c>
      <c r="C1596" s="2" t="s">
        <v>25</v>
      </c>
      <c r="D1596" s="2" t="s">
        <v>25</v>
      </c>
      <c r="E1596" s="2">
        <v>161</v>
      </c>
      <c r="F1596" s="2">
        <v>286.33333329999999</v>
      </c>
      <c r="G1596" s="2">
        <v>789.33333330000005</v>
      </c>
      <c r="H1596" s="2">
        <v>1428</v>
      </c>
      <c r="I1596" s="2">
        <v>2589</v>
      </c>
      <c r="J1596" s="2">
        <v>2.89</v>
      </c>
      <c r="K1596" s="2">
        <v>7.17</v>
      </c>
      <c r="L1596" s="2">
        <v>10.77</v>
      </c>
      <c r="M1596" s="2">
        <v>14.73</v>
      </c>
      <c r="N1596" s="2">
        <v>0.53839559400000003</v>
      </c>
      <c r="O1596" s="2">
        <v>0.739871053</v>
      </c>
      <c r="P1596" s="2">
        <v>2.5945990499999998</v>
      </c>
      <c r="Q1596" s="2">
        <v>2.7339386210000001</v>
      </c>
      <c r="R1596" s="2">
        <v>2.5266110510000002</v>
      </c>
      <c r="S1596" s="2">
        <v>2.6552798740000001</v>
      </c>
      <c r="T1596" s="2">
        <v>0.59006849299999997</v>
      </c>
      <c r="U1596" s="2">
        <v>0.65108307799999998</v>
      </c>
      <c r="V1596" s="2">
        <v>4.0635519980000003</v>
      </c>
      <c r="W1596" s="2">
        <v>0.146515069</v>
      </c>
      <c r="X1596">
        <f t="shared" si="72"/>
        <v>0</v>
      </c>
      <c r="Y1596">
        <f t="shared" si="73"/>
        <v>1</v>
      </c>
      <c r="Z1596">
        <f t="shared" si="74"/>
        <v>0</v>
      </c>
    </row>
    <row r="1597" spans="1:26" ht="15.75" customHeight="1" x14ac:dyDescent="0.2">
      <c r="A1597" s="2" t="s">
        <v>23</v>
      </c>
      <c r="B1597" s="2" t="s">
        <v>35</v>
      </c>
      <c r="C1597" s="2" t="s">
        <v>27</v>
      </c>
      <c r="D1597" s="2" t="s">
        <v>27</v>
      </c>
      <c r="E1597" s="2">
        <v>147</v>
      </c>
      <c r="F1597" s="2">
        <v>155</v>
      </c>
      <c r="G1597" s="2">
        <v>368.66666670000001</v>
      </c>
      <c r="H1597" s="2">
        <v>1543.333333</v>
      </c>
      <c r="I1597" s="2">
        <v>2509</v>
      </c>
      <c r="J1597" s="2">
        <v>1.43</v>
      </c>
      <c r="K1597" s="2">
        <v>3.71</v>
      </c>
      <c r="L1597" s="2">
        <v>11.28</v>
      </c>
      <c r="M1597" s="2">
        <v>14.52</v>
      </c>
      <c r="N1597" s="2">
        <v>2.2379574849999999</v>
      </c>
      <c r="O1597" s="2">
        <v>2.6231414829999999</v>
      </c>
      <c r="P1597" s="2">
        <v>0.92947165600000003</v>
      </c>
      <c r="Q1597" s="2">
        <v>0.80967951599999999</v>
      </c>
      <c r="R1597" s="2">
        <v>0.92606841100000004</v>
      </c>
      <c r="S1597" s="2">
        <v>0.79739958799999999</v>
      </c>
      <c r="T1597" s="2">
        <v>7.9466074999999997E-2</v>
      </c>
      <c r="U1597" s="2">
        <v>0.14048066100000001</v>
      </c>
      <c r="V1597" s="2">
        <v>0.61087253699999999</v>
      </c>
      <c r="W1597" s="2">
        <v>7.7216529000000006E-2</v>
      </c>
      <c r="X1597">
        <f t="shared" si="72"/>
        <v>0</v>
      </c>
      <c r="Y1597">
        <f t="shared" si="73"/>
        <v>1</v>
      </c>
      <c r="Z1597">
        <f t="shared" si="74"/>
        <v>0</v>
      </c>
    </row>
    <row r="1598" spans="1:26" ht="15.75" customHeight="1" x14ac:dyDescent="0.2">
      <c r="A1598" s="2" t="s">
        <v>23</v>
      </c>
      <c r="B1598" s="2" t="s">
        <v>35</v>
      </c>
      <c r="C1598" s="2" t="s">
        <v>30</v>
      </c>
      <c r="D1598" s="2" t="s">
        <v>31</v>
      </c>
      <c r="E1598" s="2">
        <v>120</v>
      </c>
      <c r="F1598" s="2">
        <v>264</v>
      </c>
      <c r="G1598" s="2">
        <v>402.66666670000001</v>
      </c>
      <c r="H1598" s="2">
        <v>1128.333333</v>
      </c>
      <c r="I1598" s="2">
        <v>2112</v>
      </c>
      <c r="J1598" s="2">
        <v>2.65</v>
      </c>
      <c r="K1598" s="2">
        <v>4.04</v>
      </c>
      <c r="L1598" s="2">
        <v>9.27</v>
      </c>
      <c r="M1598" s="2">
        <v>13.38</v>
      </c>
      <c r="N1598" s="2">
        <v>4.1932989530000002</v>
      </c>
      <c r="O1598" s="2">
        <v>4.6144705569999998</v>
      </c>
      <c r="P1598" s="2">
        <v>2.1796181130000001</v>
      </c>
      <c r="Q1598" s="2">
        <v>2.2072427509999999</v>
      </c>
      <c r="R1598" s="2">
        <v>0.60133870300000003</v>
      </c>
      <c r="S1598" s="2">
        <v>0.47266987999999999</v>
      </c>
      <c r="T1598" s="2">
        <v>2.0950243159999999</v>
      </c>
      <c r="U1598" s="2">
        <v>2.1560389020000001</v>
      </c>
      <c r="V1598" s="2">
        <v>0.93560224400000003</v>
      </c>
      <c r="W1598" s="2">
        <v>6.2519578000000006E-2</v>
      </c>
      <c r="X1598">
        <f t="shared" si="72"/>
        <v>0</v>
      </c>
      <c r="Y1598">
        <f t="shared" si="73"/>
        <v>1</v>
      </c>
      <c r="Z1598">
        <f t="shared" si="74"/>
        <v>1</v>
      </c>
    </row>
    <row r="1599" spans="1:26" ht="15.75" customHeight="1" x14ac:dyDescent="0.2">
      <c r="A1599" s="2" t="s">
        <v>23</v>
      </c>
      <c r="B1599" s="2" t="s">
        <v>35</v>
      </c>
      <c r="C1599" s="2" t="s">
        <v>28</v>
      </c>
      <c r="D1599" s="2" t="s">
        <v>29</v>
      </c>
      <c r="E1599" s="2">
        <v>102</v>
      </c>
      <c r="F1599" s="2">
        <v>216.66666670000001</v>
      </c>
      <c r="G1599" s="2">
        <v>402.33333329999999</v>
      </c>
      <c r="H1599" s="2">
        <v>1626</v>
      </c>
      <c r="I1599" s="2">
        <v>2822.666667</v>
      </c>
      <c r="J1599" s="2">
        <v>2.14</v>
      </c>
      <c r="K1599" s="2">
        <v>4.04</v>
      </c>
      <c r="L1599" s="2">
        <v>11.63</v>
      </c>
      <c r="M1599" s="2">
        <v>15.29</v>
      </c>
      <c r="N1599" s="2">
        <v>2.8702105809999998</v>
      </c>
      <c r="O1599" s="2">
        <v>3.0709419570000001</v>
      </c>
      <c r="P1599" s="2">
        <v>0.66053915500000004</v>
      </c>
      <c r="Q1599" s="2">
        <v>0.51820698899999995</v>
      </c>
      <c r="R1599" s="2">
        <v>0.60447695599999995</v>
      </c>
      <c r="S1599" s="2">
        <v>0.47580813300000002</v>
      </c>
      <c r="T1599" s="2">
        <v>0.26630731200000002</v>
      </c>
      <c r="U1599" s="2">
        <v>0.20529272700000001</v>
      </c>
      <c r="V1599" s="2">
        <v>0.93246399099999999</v>
      </c>
      <c r="W1599" s="2">
        <v>6.3400354000000006E-2</v>
      </c>
      <c r="X1599">
        <f t="shared" si="72"/>
        <v>0</v>
      </c>
      <c r="Y1599">
        <f t="shared" si="73"/>
        <v>1</v>
      </c>
      <c r="Z1599">
        <f t="shared" si="74"/>
        <v>1</v>
      </c>
    </row>
    <row r="1600" spans="1:26" ht="15.75" customHeight="1" x14ac:dyDescent="0.2">
      <c r="A1600" s="2" t="s">
        <v>23</v>
      </c>
      <c r="B1600" s="2" t="s">
        <v>35</v>
      </c>
      <c r="C1600" s="2" t="s">
        <v>28</v>
      </c>
      <c r="D1600" s="2" t="s">
        <v>29</v>
      </c>
      <c r="E1600" s="2">
        <v>91</v>
      </c>
      <c r="F1600" s="2">
        <v>167.66666670000001</v>
      </c>
      <c r="G1600" s="2">
        <v>381.66666670000001</v>
      </c>
      <c r="H1600" s="2">
        <v>1081</v>
      </c>
      <c r="I1600" s="2">
        <v>2454.333333</v>
      </c>
      <c r="J1600" s="2">
        <v>1.58</v>
      </c>
      <c r="K1600" s="2">
        <v>3.84</v>
      </c>
      <c r="L1600" s="2">
        <v>9</v>
      </c>
      <c r="M1600" s="2">
        <v>14.38</v>
      </c>
      <c r="N1600" s="2">
        <v>0.36581219599999998</v>
      </c>
      <c r="O1600" s="2">
        <v>0.440482178</v>
      </c>
      <c r="P1600" s="2">
        <v>2.492030873</v>
      </c>
      <c r="Q1600" s="2">
        <v>2.5124478020000001</v>
      </c>
      <c r="R1600" s="2">
        <v>0.80079357699999998</v>
      </c>
      <c r="S1600" s="2">
        <v>0.67212475299999996</v>
      </c>
      <c r="T1600" s="2">
        <v>2.3598617590000002</v>
      </c>
      <c r="U1600" s="2">
        <v>2.4208763449999999</v>
      </c>
      <c r="V1600" s="2">
        <v>0.73614737100000005</v>
      </c>
      <c r="W1600" s="2">
        <v>9.0137652999999998E-2</v>
      </c>
      <c r="X1600">
        <f t="shared" si="72"/>
        <v>0</v>
      </c>
      <c r="Y1600">
        <f t="shared" si="73"/>
        <v>1</v>
      </c>
      <c r="Z1600">
        <f t="shared" si="74"/>
        <v>1</v>
      </c>
    </row>
    <row r="1601" spans="1:26" ht="15.75" customHeight="1" x14ac:dyDescent="0.2">
      <c r="A1601" s="2" t="s">
        <v>23</v>
      </c>
      <c r="B1601" s="2" t="s">
        <v>35</v>
      </c>
      <c r="C1601" s="2" t="s">
        <v>32</v>
      </c>
      <c r="D1601" s="2" t="s">
        <v>33</v>
      </c>
      <c r="E1601" s="2">
        <v>107</v>
      </c>
      <c r="F1601" s="2">
        <v>273.66666670000001</v>
      </c>
      <c r="G1601" s="2">
        <v>642</v>
      </c>
      <c r="H1601" s="2">
        <v>1545</v>
      </c>
      <c r="I1601" s="2">
        <v>3516.666667</v>
      </c>
      <c r="J1601" s="2">
        <v>2.75</v>
      </c>
      <c r="K1601" s="2">
        <v>6.08</v>
      </c>
      <c r="L1601" s="2">
        <v>11.29</v>
      </c>
      <c r="M1601" s="2">
        <v>16.690000000000001</v>
      </c>
      <c r="N1601" s="2">
        <v>1.0999607440000001</v>
      </c>
      <c r="O1601" s="2">
        <v>1.1093504620000001</v>
      </c>
      <c r="P1601" s="2">
        <v>1.4461920239999999</v>
      </c>
      <c r="Q1601" s="2">
        <v>1.578692652</v>
      </c>
      <c r="R1601" s="2">
        <v>1.4443819440000001</v>
      </c>
      <c r="S1601" s="2">
        <v>1.573050767</v>
      </c>
      <c r="T1601" s="2">
        <v>7.2333733999999997E-2</v>
      </c>
      <c r="U1601" s="2">
        <v>0.13334831899999999</v>
      </c>
      <c r="V1601" s="2">
        <v>2.9813228920000001</v>
      </c>
      <c r="W1601" s="2">
        <v>8.5841758000000004E-2</v>
      </c>
      <c r="X1601">
        <f t="shared" si="72"/>
        <v>0</v>
      </c>
      <c r="Y1601">
        <f t="shared" si="73"/>
        <v>1</v>
      </c>
      <c r="Z1601">
        <f t="shared" si="74"/>
        <v>1</v>
      </c>
    </row>
    <row r="1602" spans="1:26" ht="15.75" customHeight="1" x14ac:dyDescent="0.2">
      <c r="A1602" s="2" t="s">
        <v>23</v>
      </c>
      <c r="B1602" s="2" t="s">
        <v>35</v>
      </c>
      <c r="C1602" s="2" t="s">
        <v>26</v>
      </c>
      <c r="D1602" s="2" t="s">
        <v>26</v>
      </c>
      <c r="E1602" s="2">
        <v>99</v>
      </c>
      <c r="F1602" s="2">
        <v>248.33333329999999</v>
      </c>
      <c r="G1602" s="2">
        <v>435.66666670000001</v>
      </c>
      <c r="H1602" s="2">
        <v>1217.333333</v>
      </c>
      <c r="I1602" s="2">
        <v>2953</v>
      </c>
      <c r="J1602" s="2">
        <v>2.48</v>
      </c>
      <c r="K1602" s="2">
        <v>4.3499999999999996</v>
      </c>
      <c r="L1602" s="2">
        <v>9.74</v>
      </c>
      <c r="M1602" s="2">
        <v>15.58</v>
      </c>
      <c r="N1602" s="2">
        <v>1.0115007090000001</v>
      </c>
      <c r="O1602" s="2">
        <v>1.276166986</v>
      </c>
      <c r="P1602" s="2">
        <v>1.6450837270000001</v>
      </c>
      <c r="Q1602" s="2">
        <v>1.6876509070000001</v>
      </c>
      <c r="R1602" s="2">
        <v>0.29497452699999999</v>
      </c>
      <c r="S1602" s="2">
        <v>0.166305704</v>
      </c>
      <c r="T1602" s="2">
        <v>1.6184222239999999</v>
      </c>
      <c r="U1602" s="2">
        <v>1.6794368099999999</v>
      </c>
      <c r="V1602" s="2">
        <v>1.2419664210000001</v>
      </c>
      <c r="W1602" s="2">
        <v>7.0875573999999997E-2</v>
      </c>
      <c r="X1602">
        <f t="shared" si="72"/>
        <v>0</v>
      </c>
      <c r="Y1602">
        <f t="shared" si="73"/>
        <v>1</v>
      </c>
      <c r="Z1602">
        <f t="shared" si="74"/>
        <v>0</v>
      </c>
    </row>
    <row r="1603" spans="1:26" ht="15.75" customHeight="1" x14ac:dyDescent="0.2">
      <c r="A1603" s="2" t="s">
        <v>23</v>
      </c>
      <c r="B1603" s="2" t="s">
        <v>35</v>
      </c>
      <c r="C1603" s="2" t="s">
        <v>25</v>
      </c>
      <c r="D1603" s="2" t="s">
        <v>25</v>
      </c>
      <c r="E1603" s="2">
        <v>193</v>
      </c>
      <c r="F1603" s="2">
        <v>269</v>
      </c>
      <c r="G1603" s="2">
        <v>774.66666669999995</v>
      </c>
      <c r="H1603" s="2">
        <v>1527</v>
      </c>
      <c r="I1603" s="2">
        <v>2683.666667</v>
      </c>
      <c r="J1603" s="2">
        <v>2.71</v>
      </c>
      <c r="K1603" s="2">
        <v>7.06</v>
      </c>
      <c r="L1603" s="2">
        <v>11.21</v>
      </c>
      <c r="M1603" s="2">
        <v>14.96</v>
      </c>
      <c r="N1603" s="2">
        <v>0.15482225499999999</v>
      </c>
      <c r="O1603" s="2">
        <v>0.318105735</v>
      </c>
      <c r="P1603" s="2">
        <v>2.4287237049999999</v>
      </c>
      <c r="Q1603" s="2">
        <v>2.5614568599999998</v>
      </c>
      <c r="R1603" s="2">
        <v>2.4241042890000002</v>
      </c>
      <c r="S1603" s="2">
        <v>2.5527731130000002</v>
      </c>
      <c r="T1603" s="2">
        <v>0.149723836</v>
      </c>
      <c r="U1603" s="2">
        <v>0.21073842200000001</v>
      </c>
      <c r="V1603" s="2">
        <v>3.961045237</v>
      </c>
      <c r="W1603" s="2">
        <v>0.119122544</v>
      </c>
      <c r="X1603">
        <f t="shared" ref="X1603:X1666" si="75">IF(B1603="normal",1,0)</f>
        <v>0</v>
      </c>
      <c r="Y1603">
        <f t="shared" ref="Y1603:Y1666" si="76">IF(A1603="lecture",1,0)</f>
        <v>1</v>
      </c>
      <c r="Z1603">
        <f t="shared" ref="Z1603:Z1666" si="77">IF(ISNUMBER(FIND("~",D1603)),1,0)</f>
        <v>0</v>
      </c>
    </row>
    <row r="1604" spans="1:26" ht="15.75" customHeight="1" x14ac:dyDescent="0.2">
      <c r="A1604" s="2" t="s">
        <v>23</v>
      </c>
      <c r="B1604" s="2" t="s">
        <v>35</v>
      </c>
      <c r="C1604" s="2" t="s">
        <v>30</v>
      </c>
      <c r="D1604" s="2" t="s">
        <v>31</v>
      </c>
      <c r="E1604" s="2">
        <v>116</v>
      </c>
      <c r="F1604" s="2">
        <v>153.33333329999999</v>
      </c>
      <c r="G1604" s="2">
        <v>402.66666670000001</v>
      </c>
      <c r="H1604" s="2">
        <v>1190</v>
      </c>
      <c r="I1604" s="2">
        <v>1960.666667</v>
      </c>
      <c r="J1604" s="2">
        <v>1.42</v>
      </c>
      <c r="K1604" s="2">
        <v>4.04</v>
      </c>
      <c r="L1604" s="2">
        <v>9.6</v>
      </c>
      <c r="M1604" s="2">
        <v>12.88</v>
      </c>
      <c r="N1604" s="2">
        <v>3.8606721359999998</v>
      </c>
      <c r="O1604" s="2">
        <v>4.2813836670000001</v>
      </c>
      <c r="P1604" s="2">
        <v>1.861720102</v>
      </c>
      <c r="Q1604" s="2">
        <v>1.883225908</v>
      </c>
      <c r="R1604" s="2">
        <v>0.60133870300000003</v>
      </c>
      <c r="S1604" s="2">
        <v>0.47266987999999999</v>
      </c>
      <c r="T1604" s="2">
        <v>1.7619289149999999</v>
      </c>
      <c r="U1604" s="2">
        <v>1.8229435009999999</v>
      </c>
      <c r="V1604" s="2">
        <v>0.93560224400000003</v>
      </c>
      <c r="W1604" s="2">
        <v>9.2640455999999996E-2</v>
      </c>
      <c r="X1604">
        <f t="shared" si="75"/>
        <v>0</v>
      </c>
      <c r="Y1604">
        <f t="shared" si="76"/>
        <v>1</v>
      </c>
      <c r="Z1604">
        <f t="shared" si="77"/>
        <v>1</v>
      </c>
    </row>
    <row r="1605" spans="1:26" ht="15.75" customHeight="1" x14ac:dyDescent="0.2">
      <c r="A1605" s="2" t="s">
        <v>23</v>
      </c>
      <c r="B1605" s="2" t="s">
        <v>35</v>
      </c>
      <c r="C1605" s="2" t="s">
        <v>27</v>
      </c>
      <c r="D1605" s="2" t="s">
        <v>27</v>
      </c>
      <c r="E1605" s="2">
        <v>95</v>
      </c>
      <c r="F1605" s="2">
        <v>259.33333329999999</v>
      </c>
      <c r="G1605" s="2">
        <v>402</v>
      </c>
      <c r="H1605" s="2">
        <v>1935.333333</v>
      </c>
      <c r="I1605" s="2">
        <v>2836.333333</v>
      </c>
      <c r="J1605" s="2">
        <v>2.6</v>
      </c>
      <c r="K1605" s="2">
        <v>4.03</v>
      </c>
      <c r="L1605" s="2">
        <v>12.79</v>
      </c>
      <c r="M1605" s="2">
        <v>15.32</v>
      </c>
      <c r="N1605" s="2">
        <v>0.69831498599999997</v>
      </c>
      <c r="O1605" s="2">
        <v>1.0900376629999999</v>
      </c>
      <c r="P1605" s="2">
        <v>1.5537030009999999</v>
      </c>
      <c r="Q1605" s="2">
        <v>1.4503143460000001</v>
      </c>
      <c r="R1605" s="2">
        <v>0.60761609599999999</v>
      </c>
      <c r="S1605" s="2">
        <v>0.47894727199999998</v>
      </c>
      <c r="T1605" s="2">
        <v>1.42996353</v>
      </c>
      <c r="U1605" s="2">
        <v>1.368948944</v>
      </c>
      <c r="V1605" s="2">
        <v>0.92932485200000003</v>
      </c>
      <c r="W1605" s="2">
        <v>6.5936720000000004E-2</v>
      </c>
      <c r="X1605">
        <f t="shared" si="75"/>
        <v>0</v>
      </c>
      <c r="Y1605">
        <f t="shared" si="76"/>
        <v>1</v>
      </c>
      <c r="Z1605">
        <f t="shared" si="77"/>
        <v>0</v>
      </c>
    </row>
    <row r="1606" spans="1:26" ht="15.75" customHeight="1" x14ac:dyDescent="0.2">
      <c r="A1606" s="2" t="s">
        <v>23</v>
      </c>
      <c r="B1606" s="2" t="s">
        <v>35</v>
      </c>
      <c r="C1606" s="2" t="s">
        <v>30</v>
      </c>
      <c r="D1606" s="2" t="s">
        <v>31</v>
      </c>
      <c r="E1606" s="2">
        <v>101</v>
      </c>
      <c r="F1606" s="2">
        <v>153</v>
      </c>
      <c r="G1606" s="2">
        <v>516</v>
      </c>
      <c r="H1606" s="2">
        <v>1292.333333</v>
      </c>
      <c r="I1606" s="2">
        <v>2434.666667</v>
      </c>
      <c r="J1606" s="2">
        <v>1.41</v>
      </c>
      <c r="K1606" s="2">
        <v>5.0599999999999996</v>
      </c>
      <c r="L1606" s="2">
        <v>10.119999999999999</v>
      </c>
      <c r="M1606" s="2">
        <v>14.32</v>
      </c>
      <c r="N1606" s="2">
        <v>3.4257349210000001</v>
      </c>
      <c r="O1606" s="2">
        <v>3.8836943160000001</v>
      </c>
      <c r="P1606" s="2">
        <v>1.30533615</v>
      </c>
      <c r="Q1606" s="2">
        <v>1.40796477</v>
      </c>
      <c r="R1606" s="2">
        <v>0.41668397600000001</v>
      </c>
      <c r="S1606" s="2">
        <v>0.545352799</v>
      </c>
      <c r="T1606" s="2">
        <v>1.2370436250000001</v>
      </c>
      <c r="U1606" s="2">
        <v>1.29805821</v>
      </c>
      <c r="V1606" s="2">
        <v>1.953624923</v>
      </c>
      <c r="W1606" s="2">
        <v>6.1684872000000002E-2</v>
      </c>
      <c r="X1606">
        <f t="shared" si="75"/>
        <v>0</v>
      </c>
      <c r="Y1606">
        <f t="shared" si="76"/>
        <v>1</v>
      </c>
      <c r="Z1606">
        <f t="shared" si="77"/>
        <v>1</v>
      </c>
    </row>
    <row r="1607" spans="1:26" ht="15.75" customHeight="1" x14ac:dyDescent="0.2">
      <c r="A1607" s="2" t="s">
        <v>23</v>
      </c>
      <c r="B1607" s="2" t="s">
        <v>35</v>
      </c>
      <c r="C1607" s="2" t="s">
        <v>27</v>
      </c>
      <c r="D1607" s="2" t="s">
        <v>27</v>
      </c>
      <c r="E1607" s="2">
        <v>183</v>
      </c>
      <c r="F1607" s="2">
        <v>203.66666670000001</v>
      </c>
      <c r="G1607" s="2">
        <v>399.33333329999999</v>
      </c>
      <c r="H1607" s="2">
        <v>2104.666667</v>
      </c>
      <c r="I1607" s="2">
        <v>3051</v>
      </c>
      <c r="J1607" s="2">
        <v>1.99</v>
      </c>
      <c r="K1607" s="2">
        <v>4.01</v>
      </c>
      <c r="L1607" s="2">
        <v>13.35</v>
      </c>
      <c r="M1607" s="2">
        <v>15.79</v>
      </c>
      <c r="N1607" s="2">
        <v>0.26474517400000003</v>
      </c>
      <c r="O1607" s="2">
        <v>0.53115980299999999</v>
      </c>
      <c r="P1607" s="2">
        <v>2.0900361360000002</v>
      </c>
      <c r="Q1607" s="2">
        <v>1.9956503290000001</v>
      </c>
      <c r="R1607" s="2">
        <v>0.63276114100000003</v>
      </c>
      <c r="S1607" s="2">
        <v>0.50409231799999998</v>
      </c>
      <c r="T1607" s="2">
        <v>1.9919498959999999</v>
      </c>
      <c r="U1607" s="2">
        <v>1.93093531</v>
      </c>
      <c r="V1607" s="2">
        <v>0.904179807</v>
      </c>
      <c r="W1607" s="2">
        <v>0.10524572</v>
      </c>
      <c r="X1607">
        <f t="shared" si="75"/>
        <v>0</v>
      </c>
      <c r="Y1607">
        <f t="shared" si="76"/>
        <v>1</v>
      </c>
      <c r="Z1607">
        <f t="shared" si="77"/>
        <v>0</v>
      </c>
    </row>
    <row r="1608" spans="1:26" ht="15.75" customHeight="1" x14ac:dyDescent="0.2">
      <c r="A1608" s="2" t="s">
        <v>23</v>
      </c>
      <c r="B1608" s="2" t="s">
        <v>35</v>
      </c>
      <c r="C1608" s="2" t="s">
        <v>26</v>
      </c>
      <c r="D1608" s="2" t="s">
        <v>26</v>
      </c>
      <c r="E1608" s="2">
        <v>122</v>
      </c>
      <c r="F1608" s="2">
        <v>263.66666670000001</v>
      </c>
      <c r="G1608" s="2">
        <v>433.33333329999999</v>
      </c>
      <c r="H1608" s="2">
        <v>1162.666667</v>
      </c>
      <c r="I1608" s="2">
        <v>2623</v>
      </c>
      <c r="J1608" s="2">
        <v>2.65</v>
      </c>
      <c r="K1608" s="2">
        <v>4.32</v>
      </c>
      <c r="L1608" s="2">
        <v>9.4499999999999993</v>
      </c>
      <c r="M1608" s="2">
        <v>14.81</v>
      </c>
      <c r="N1608" s="2">
        <v>0.72624594799999997</v>
      </c>
      <c r="O1608" s="2">
        <v>1.0040874099999999</v>
      </c>
      <c r="P1608" s="2">
        <v>1.9339979899999999</v>
      </c>
      <c r="Q1608" s="2">
        <v>1.9778879819999999</v>
      </c>
      <c r="R1608" s="2">
        <v>0.31635907600000002</v>
      </c>
      <c r="S1608" s="2">
        <v>0.187690252</v>
      </c>
      <c r="T1608" s="2">
        <v>1.9079478919999999</v>
      </c>
      <c r="U1608" s="2">
        <v>1.9689624779999999</v>
      </c>
      <c r="V1608" s="2">
        <v>1.2205818719999999</v>
      </c>
      <c r="W1608" s="2">
        <v>8.5107082000000001E-2</v>
      </c>
      <c r="X1608">
        <f t="shared" si="75"/>
        <v>0</v>
      </c>
      <c r="Y1608">
        <f t="shared" si="76"/>
        <v>1</v>
      </c>
      <c r="Z1608">
        <f t="shared" si="77"/>
        <v>0</v>
      </c>
    </row>
    <row r="1609" spans="1:26" ht="15.75" customHeight="1" x14ac:dyDescent="0.2">
      <c r="A1609" s="2" t="s">
        <v>23</v>
      </c>
      <c r="B1609" s="2" t="s">
        <v>35</v>
      </c>
      <c r="C1609" s="2" t="s">
        <v>27</v>
      </c>
      <c r="D1609" s="2" t="s">
        <v>27</v>
      </c>
      <c r="E1609" s="2">
        <v>115</v>
      </c>
      <c r="F1609" s="2">
        <v>243</v>
      </c>
      <c r="G1609" s="2">
        <v>446.33333329999999</v>
      </c>
      <c r="H1609" s="2">
        <v>2369.666667</v>
      </c>
      <c r="I1609" s="2">
        <v>2860</v>
      </c>
      <c r="J1609" s="2">
        <v>2.4300000000000002</v>
      </c>
      <c r="K1609" s="2">
        <v>4.4400000000000004</v>
      </c>
      <c r="L1609" s="2">
        <v>14.14</v>
      </c>
      <c r="M1609" s="2">
        <v>15.38</v>
      </c>
      <c r="N1609" s="2">
        <v>0.71610106399999995</v>
      </c>
      <c r="O1609" s="2">
        <v>0.45593808499999999</v>
      </c>
      <c r="P1609" s="2">
        <v>2.7902261230000001</v>
      </c>
      <c r="Q1609" s="2">
        <v>2.7230718440000001</v>
      </c>
      <c r="R1609" s="2">
        <v>0.19774471800000001</v>
      </c>
      <c r="S1609" s="2">
        <v>6.9075894999999998E-2</v>
      </c>
      <c r="T1609" s="2">
        <v>2.7832101680000001</v>
      </c>
      <c r="U1609" s="2">
        <v>2.722195583</v>
      </c>
      <c r="V1609" s="2">
        <v>1.3391962289999999</v>
      </c>
      <c r="W1609" s="2">
        <v>6.3382031000000005E-2</v>
      </c>
      <c r="X1609">
        <f t="shared" si="75"/>
        <v>0</v>
      </c>
      <c r="Y1609">
        <f t="shared" si="76"/>
        <v>1</v>
      </c>
      <c r="Z1609">
        <f t="shared" si="77"/>
        <v>0</v>
      </c>
    </row>
    <row r="1610" spans="1:26" ht="15.75" customHeight="1" x14ac:dyDescent="0.2">
      <c r="A1610" s="2" t="s">
        <v>23</v>
      </c>
      <c r="B1610" s="2" t="s">
        <v>35</v>
      </c>
      <c r="C1610" s="2" t="s">
        <v>30</v>
      </c>
      <c r="D1610" s="2" t="s">
        <v>31</v>
      </c>
      <c r="E1610" s="2">
        <v>105</v>
      </c>
      <c r="F1610" s="2">
        <v>249.66666670000001</v>
      </c>
      <c r="G1610" s="2">
        <v>516</v>
      </c>
      <c r="H1610" s="2">
        <v>1196.666667</v>
      </c>
      <c r="I1610" s="2">
        <v>2072.666667</v>
      </c>
      <c r="J1610" s="2">
        <v>2.5</v>
      </c>
      <c r="K1610" s="2">
        <v>5.0599999999999996</v>
      </c>
      <c r="L1610" s="2">
        <v>9.6300000000000008</v>
      </c>
      <c r="M1610" s="2">
        <v>13.25</v>
      </c>
      <c r="N1610" s="2">
        <v>3.9033844520000001</v>
      </c>
      <c r="O1610" s="2">
        <v>4.3590710359999996</v>
      </c>
      <c r="P1610" s="2">
        <v>1.7762634829999999</v>
      </c>
      <c r="Q1610" s="2">
        <v>1.8690442540000001</v>
      </c>
      <c r="R1610" s="2">
        <v>0.41668397600000001</v>
      </c>
      <c r="S1610" s="2">
        <v>0.545352799</v>
      </c>
      <c r="T1610" s="2">
        <v>1.726698128</v>
      </c>
      <c r="U1610" s="2">
        <v>1.787712714</v>
      </c>
      <c r="V1610" s="2">
        <v>1.953624923</v>
      </c>
      <c r="W1610" s="2">
        <v>4.6779143000000002E-2</v>
      </c>
      <c r="X1610">
        <f t="shared" si="75"/>
        <v>0</v>
      </c>
      <c r="Y1610">
        <f t="shared" si="76"/>
        <v>1</v>
      </c>
      <c r="Z1610">
        <f t="shared" si="77"/>
        <v>1</v>
      </c>
    </row>
    <row r="1611" spans="1:26" ht="15.75" customHeight="1" x14ac:dyDescent="0.2">
      <c r="A1611" s="2" t="s">
        <v>23</v>
      </c>
      <c r="B1611" s="2" t="s">
        <v>35</v>
      </c>
      <c r="C1611" s="2" t="s">
        <v>27</v>
      </c>
      <c r="D1611" s="2" t="s">
        <v>27</v>
      </c>
      <c r="E1611" s="2">
        <v>125</v>
      </c>
      <c r="F1611" s="2">
        <v>245</v>
      </c>
      <c r="G1611" s="2">
        <v>423.33333329999999</v>
      </c>
      <c r="H1611" s="2">
        <v>2463.333333</v>
      </c>
      <c r="I1611" s="2">
        <v>3049.666667</v>
      </c>
      <c r="J1611" s="2">
        <v>2.4500000000000002</v>
      </c>
      <c r="K1611" s="2">
        <v>4.2300000000000004</v>
      </c>
      <c r="L1611" s="2">
        <v>14.4</v>
      </c>
      <c r="M1611" s="2">
        <v>15.79</v>
      </c>
      <c r="N1611" s="2">
        <v>0.94758810400000004</v>
      </c>
      <c r="O1611" s="2">
        <v>0.54521317499999999</v>
      </c>
      <c r="P1611" s="2">
        <v>3.0675295330000001</v>
      </c>
      <c r="Q1611" s="2">
        <v>2.992307447</v>
      </c>
      <c r="R1611" s="2">
        <v>0.40848140500000002</v>
      </c>
      <c r="S1611" s="2">
        <v>0.279812581</v>
      </c>
      <c r="T1611" s="2">
        <v>3.0402105810000002</v>
      </c>
      <c r="U1611" s="2">
        <v>2.979195995</v>
      </c>
      <c r="V1611" s="2">
        <v>1.128459543</v>
      </c>
      <c r="W1611" s="2">
        <v>5.2371057999999998E-2</v>
      </c>
      <c r="X1611">
        <f t="shared" si="75"/>
        <v>0</v>
      </c>
      <c r="Y1611">
        <f t="shared" si="76"/>
        <v>1</v>
      </c>
      <c r="Z1611">
        <f t="shared" si="77"/>
        <v>0</v>
      </c>
    </row>
    <row r="1612" spans="1:26" ht="15.75" customHeight="1" x14ac:dyDescent="0.2">
      <c r="A1612" s="2" t="s">
        <v>23</v>
      </c>
      <c r="B1612" s="2" t="s">
        <v>35</v>
      </c>
      <c r="C1612" s="2" t="s">
        <v>26</v>
      </c>
      <c r="D1612" s="2" t="s">
        <v>26</v>
      </c>
      <c r="E1612" s="2">
        <v>133</v>
      </c>
      <c r="F1612" s="2">
        <v>249</v>
      </c>
      <c r="G1612" s="2">
        <v>407.66666670000001</v>
      </c>
      <c r="H1612" s="2">
        <v>1212.666667</v>
      </c>
      <c r="I1612" s="2">
        <v>2703.666667</v>
      </c>
      <c r="J1612" s="2">
        <v>2.4900000000000002</v>
      </c>
      <c r="K1612" s="2">
        <v>4.09</v>
      </c>
      <c r="L1612" s="2">
        <v>9.7200000000000006</v>
      </c>
      <c r="M1612" s="2">
        <v>15.01</v>
      </c>
      <c r="N1612" s="2">
        <v>0.96049864399999996</v>
      </c>
      <c r="O1612" s="2">
        <v>1.1783625659999999</v>
      </c>
      <c r="P1612" s="2">
        <v>1.7337673389999999</v>
      </c>
      <c r="Q1612" s="2">
        <v>1.756140751</v>
      </c>
      <c r="R1612" s="2">
        <v>0.55437093999999998</v>
      </c>
      <c r="S1612" s="2">
        <v>0.42570211699999999</v>
      </c>
      <c r="T1612" s="2">
        <v>1.6427483220000001</v>
      </c>
      <c r="U1612" s="2">
        <v>1.703762907</v>
      </c>
      <c r="V1612" s="2">
        <v>0.98257000699999997</v>
      </c>
      <c r="W1612" s="2">
        <v>7.4279136999999995E-2</v>
      </c>
      <c r="X1612">
        <f t="shared" si="75"/>
        <v>0</v>
      </c>
      <c r="Y1612">
        <f t="shared" si="76"/>
        <v>1</v>
      </c>
      <c r="Z1612">
        <f t="shared" si="77"/>
        <v>0</v>
      </c>
    </row>
    <row r="1613" spans="1:26" ht="15.75" customHeight="1" x14ac:dyDescent="0.2">
      <c r="A1613" s="2" t="s">
        <v>23</v>
      </c>
      <c r="B1613" s="2" t="s">
        <v>35</v>
      </c>
      <c r="C1613" s="2" t="s">
        <v>30</v>
      </c>
      <c r="D1613" s="2" t="s">
        <v>31</v>
      </c>
      <c r="E1613" s="2">
        <v>160</v>
      </c>
      <c r="F1613" s="2">
        <v>281</v>
      </c>
      <c r="G1613" s="2">
        <v>528.33333330000005</v>
      </c>
      <c r="H1613" s="2">
        <v>1266.333333</v>
      </c>
      <c r="I1613" s="2">
        <v>2528.666667</v>
      </c>
      <c r="J1613" s="2">
        <v>2.83</v>
      </c>
      <c r="K1613" s="2">
        <v>5.16</v>
      </c>
      <c r="L1613" s="2">
        <v>9.99</v>
      </c>
      <c r="M1613" s="2">
        <v>14.57</v>
      </c>
      <c r="N1613" s="2">
        <v>3.5777214060000002</v>
      </c>
      <c r="O1613" s="2">
        <v>4.0369261160000001</v>
      </c>
      <c r="P1613" s="2">
        <v>1.4634604499999999</v>
      </c>
      <c r="Q1613" s="2">
        <v>1.569438353</v>
      </c>
      <c r="R1613" s="2">
        <v>0.521873904</v>
      </c>
      <c r="S1613" s="2">
        <v>0.65054272700000004</v>
      </c>
      <c r="T1613" s="2">
        <v>1.3672469119999999</v>
      </c>
      <c r="U1613" s="2">
        <v>1.428261497</v>
      </c>
      <c r="V1613" s="2">
        <v>2.0588148510000002</v>
      </c>
      <c r="W1613" s="2">
        <v>4.7729056999999998E-2</v>
      </c>
      <c r="X1613">
        <f t="shared" si="75"/>
        <v>0</v>
      </c>
      <c r="Y1613">
        <f t="shared" si="76"/>
        <v>1</v>
      </c>
      <c r="Z1613">
        <f t="shared" si="77"/>
        <v>1</v>
      </c>
    </row>
    <row r="1614" spans="1:26" ht="15.75" customHeight="1" x14ac:dyDescent="0.2">
      <c r="A1614" s="2" t="s">
        <v>23</v>
      </c>
      <c r="B1614" s="2" t="s">
        <v>35</v>
      </c>
      <c r="C1614" s="2" t="s">
        <v>32</v>
      </c>
      <c r="D1614" s="2" t="s">
        <v>33</v>
      </c>
      <c r="E1614" s="2">
        <v>117</v>
      </c>
      <c r="F1614" s="2">
        <v>236.66666670000001</v>
      </c>
      <c r="G1614" s="2">
        <v>416.66666670000001</v>
      </c>
      <c r="H1614" s="2">
        <v>892.66666669999995</v>
      </c>
      <c r="I1614" s="2">
        <v>2494.666667</v>
      </c>
      <c r="J1614" s="2">
        <v>2.36</v>
      </c>
      <c r="K1614" s="2">
        <v>4.17</v>
      </c>
      <c r="L1614" s="2">
        <v>7.86</v>
      </c>
      <c r="M1614" s="2">
        <v>14.48</v>
      </c>
      <c r="N1614" s="2">
        <v>4.580469849</v>
      </c>
      <c r="O1614" s="2">
        <v>4.7260356019999996</v>
      </c>
      <c r="P1614" s="2">
        <v>3.532123661</v>
      </c>
      <c r="Q1614" s="2">
        <v>3.57803396</v>
      </c>
      <c r="R1614" s="2">
        <v>0.47032697000000001</v>
      </c>
      <c r="S1614" s="2">
        <v>0.34165814700000002</v>
      </c>
      <c r="T1614" s="2">
        <v>3.5006699499999998</v>
      </c>
      <c r="U1614" s="2">
        <v>3.561684536</v>
      </c>
      <c r="V1614" s="2">
        <v>1.066613977</v>
      </c>
      <c r="W1614" s="2">
        <v>9.4945217999999998E-2</v>
      </c>
      <c r="X1614">
        <f t="shared" si="75"/>
        <v>0</v>
      </c>
      <c r="Y1614">
        <f t="shared" si="76"/>
        <v>1</v>
      </c>
      <c r="Z1614">
        <f t="shared" si="77"/>
        <v>1</v>
      </c>
    </row>
    <row r="1615" spans="1:26" ht="15.75" customHeight="1" x14ac:dyDescent="0.2">
      <c r="A1615" s="2" t="s">
        <v>23</v>
      </c>
      <c r="B1615" s="2" t="s">
        <v>35</v>
      </c>
      <c r="C1615" s="2" t="s">
        <v>28</v>
      </c>
      <c r="D1615" s="2" t="s">
        <v>29</v>
      </c>
      <c r="E1615" s="2">
        <v>112</v>
      </c>
      <c r="F1615" s="2">
        <v>261</v>
      </c>
      <c r="G1615" s="2">
        <v>394.33333329999999</v>
      </c>
      <c r="H1615" s="2">
        <v>1078.333333</v>
      </c>
      <c r="I1615" s="2">
        <v>2581.666667</v>
      </c>
      <c r="J1615" s="2">
        <v>2.62</v>
      </c>
      <c r="K1615" s="2">
        <v>3.96</v>
      </c>
      <c r="L1615" s="2">
        <v>8.99</v>
      </c>
      <c r="M1615" s="2">
        <v>14.71</v>
      </c>
      <c r="N1615" s="2">
        <v>0.27427932199999999</v>
      </c>
      <c r="O1615" s="2">
        <v>0.43580710499999997</v>
      </c>
      <c r="P1615" s="2">
        <v>2.4704737329999999</v>
      </c>
      <c r="Q1615" s="2">
        <v>2.4976661340000001</v>
      </c>
      <c r="R1615" s="2">
        <v>0.68006162999999997</v>
      </c>
      <c r="S1615" s="2">
        <v>0.55139280700000004</v>
      </c>
      <c r="T1615" s="2">
        <v>2.3750277139999998</v>
      </c>
      <c r="U1615" s="2">
        <v>2.4360423</v>
      </c>
      <c r="V1615" s="2">
        <v>0.85687931699999997</v>
      </c>
      <c r="W1615" s="2">
        <v>7.5039971999999996E-2</v>
      </c>
      <c r="X1615">
        <f t="shared" si="75"/>
        <v>0</v>
      </c>
      <c r="Y1615">
        <f t="shared" si="76"/>
        <v>1</v>
      </c>
      <c r="Z1615">
        <f t="shared" si="77"/>
        <v>1</v>
      </c>
    </row>
    <row r="1616" spans="1:26" ht="15.75" customHeight="1" x14ac:dyDescent="0.2">
      <c r="A1616" s="2" t="s">
        <v>23</v>
      </c>
      <c r="B1616" s="2" t="s">
        <v>35</v>
      </c>
      <c r="C1616" s="2" t="s">
        <v>28</v>
      </c>
      <c r="D1616" s="2" t="s">
        <v>29</v>
      </c>
      <c r="E1616" s="2">
        <v>90</v>
      </c>
      <c r="F1616" s="2">
        <v>269.33333329999999</v>
      </c>
      <c r="G1616" s="2">
        <v>331.66666670000001</v>
      </c>
      <c r="H1616" s="2">
        <v>1004</v>
      </c>
      <c r="I1616" s="2">
        <v>2248.333333</v>
      </c>
      <c r="J1616" s="2">
        <v>2.71</v>
      </c>
      <c r="K1616" s="2">
        <v>3.35</v>
      </c>
      <c r="L1616" s="2">
        <v>8.5500000000000007</v>
      </c>
      <c r="M1616" s="2">
        <v>13.79</v>
      </c>
      <c r="N1616" s="2">
        <v>0.79033167000000004</v>
      </c>
      <c r="O1616" s="2">
        <v>0.51271334599999996</v>
      </c>
      <c r="P1616" s="2">
        <v>3.0909980689999998</v>
      </c>
      <c r="Q1616" s="2">
        <v>3.0960022629999999</v>
      </c>
      <c r="R1616" s="2">
        <v>1.2903991669999999</v>
      </c>
      <c r="S1616" s="2">
        <v>1.161730344</v>
      </c>
      <c r="T1616" s="2">
        <v>2.8087611240000001</v>
      </c>
      <c r="U1616" s="2">
        <v>2.8697757099999999</v>
      </c>
      <c r="V1616" s="2">
        <v>0.24654178099999999</v>
      </c>
      <c r="W1616" s="2">
        <v>9.3153102000000002E-2</v>
      </c>
      <c r="X1616">
        <f t="shared" si="75"/>
        <v>0</v>
      </c>
      <c r="Y1616">
        <f t="shared" si="76"/>
        <v>1</v>
      </c>
      <c r="Z1616">
        <f t="shared" si="77"/>
        <v>1</v>
      </c>
    </row>
    <row r="1617" spans="1:26" ht="15.75" customHeight="1" x14ac:dyDescent="0.2">
      <c r="A1617" s="2" t="s">
        <v>23</v>
      </c>
      <c r="B1617" s="2" t="s">
        <v>35</v>
      </c>
      <c r="C1617" s="2" t="s">
        <v>26</v>
      </c>
      <c r="D1617" s="2" t="s">
        <v>26</v>
      </c>
      <c r="E1617" s="2">
        <v>115</v>
      </c>
      <c r="F1617" s="2">
        <v>160.66666670000001</v>
      </c>
      <c r="G1617" s="2">
        <v>375.33333329999999</v>
      </c>
      <c r="H1617" s="2">
        <v>1012.666667</v>
      </c>
      <c r="I1617" s="2">
        <v>2964</v>
      </c>
      <c r="J1617" s="2">
        <v>1.5</v>
      </c>
      <c r="K1617" s="2">
        <v>3.78</v>
      </c>
      <c r="L1617" s="2">
        <v>8.6</v>
      </c>
      <c r="M1617" s="2">
        <v>15.61</v>
      </c>
      <c r="N1617" s="2">
        <v>0.36814593400000001</v>
      </c>
      <c r="O1617" s="2">
        <v>9.4113136999999999E-2</v>
      </c>
      <c r="P1617" s="2">
        <v>2.8885809870000001</v>
      </c>
      <c r="Q1617" s="2">
        <v>2.9118528270000001</v>
      </c>
      <c r="R1617" s="2">
        <v>0.86165068</v>
      </c>
      <c r="S1617" s="2">
        <v>0.73298185699999996</v>
      </c>
      <c r="T1617" s="2">
        <v>2.7570742140000002</v>
      </c>
      <c r="U1617" s="2">
        <v>2.8180887999999999</v>
      </c>
      <c r="V1617" s="2">
        <v>0.67529026700000006</v>
      </c>
      <c r="W1617" s="2">
        <v>0.13109647699999999</v>
      </c>
      <c r="X1617">
        <f t="shared" si="75"/>
        <v>0</v>
      </c>
      <c r="Y1617">
        <f t="shared" si="76"/>
        <v>1</v>
      </c>
      <c r="Z1617">
        <f t="shared" si="77"/>
        <v>0</v>
      </c>
    </row>
    <row r="1618" spans="1:26" ht="15.75" customHeight="1" x14ac:dyDescent="0.2">
      <c r="A1618" s="2" t="s">
        <v>23</v>
      </c>
      <c r="B1618" s="2" t="s">
        <v>35</v>
      </c>
      <c r="C1618" s="2" t="s">
        <v>25</v>
      </c>
      <c r="D1618" s="2" t="s">
        <v>25</v>
      </c>
      <c r="E1618" s="2">
        <v>160</v>
      </c>
      <c r="F1618" s="2">
        <v>235.66666670000001</v>
      </c>
      <c r="G1618" s="2">
        <v>780.66666669999995</v>
      </c>
      <c r="H1618" s="2">
        <v>1662</v>
      </c>
      <c r="I1618" s="2">
        <v>3047</v>
      </c>
      <c r="J1618" s="2">
        <v>2.35</v>
      </c>
      <c r="K1618" s="2">
        <v>7.11</v>
      </c>
      <c r="L1618" s="2">
        <v>11.77</v>
      </c>
      <c r="M1618" s="2">
        <v>15.79</v>
      </c>
      <c r="N1618" s="2">
        <v>0.47042013700000002</v>
      </c>
      <c r="O1618" s="2">
        <v>0.27012565399999999</v>
      </c>
      <c r="P1618" s="2">
        <v>2.5003413330000002</v>
      </c>
      <c r="Q1618" s="2">
        <v>2.6184640049999999</v>
      </c>
      <c r="R1618" s="2">
        <v>2.4661714809999999</v>
      </c>
      <c r="S1618" s="2">
        <v>2.5948403039999999</v>
      </c>
      <c r="T1618" s="2">
        <v>0.41195267299999999</v>
      </c>
      <c r="U1618" s="2">
        <v>0.35093808700000001</v>
      </c>
      <c r="V1618" s="2">
        <v>4.0031124289999998</v>
      </c>
      <c r="W1618" s="2">
        <v>0.145832238</v>
      </c>
      <c r="X1618">
        <f t="shared" si="75"/>
        <v>0</v>
      </c>
      <c r="Y1618">
        <f t="shared" si="76"/>
        <v>1</v>
      </c>
      <c r="Z1618">
        <f t="shared" si="77"/>
        <v>0</v>
      </c>
    </row>
    <row r="1619" spans="1:26" ht="15.75" customHeight="1" x14ac:dyDescent="0.2">
      <c r="A1619" s="2" t="s">
        <v>23</v>
      </c>
      <c r="B1619" s="2" t="s">
        <v>35</v>
      </c>
      <c r="C1619" s="2" t="s">
        <v>30</v>
      </c>
      <c r="D1619" s="2" t="s">
        <v>31</v>
      </c>
      <c r="E1619" s="2">
        <v>134</v>
      </c>
      <c r="F1619" s="2">
        <v>240.33333329999999</v>
      </c>
      <c r="G1619" s="2">
        <v>697</v>
      </c>
      <c r="H1619" s="2">
        <v>1726</v>
      </c>
      <c r="I1619" s="2">
        <v>2602</v>
      </c>
      <c r="J1619" s="2">
        <v>2.4</v>
      </c>
      <c r="K1619" s="2">
        <v>6.5</v>
      </c>
      <c r="L1619" s="2">
        <v>12.02</v>
      </c>
      <c r="M1619" s="2">
        <v>14.76</v>
      </c>
      <c r="N1619" s="2">
        <v>2.6657807089999999</v>
      </c>
      <c r="O1619" s="2">
        <v>3.0589827430000001</v>
      </c>
      <c r="P1619" s="2">
        <v>1.9771981670000001</v>
      </c>
      <c r="Q1619" s="2">
        <v>2.08034915</v>
      </c>
      <c r="R1619" s="2">
        <v>1.862420875</v>
      </c>
      <c r="S1619" s="2">
        <v>1.9910896979999999</v>
      </c>
      <c r="T1619" s="2">
        <v>0.66385320299999995</v>
      </c>
      <c r="U1619" s="2">
        <v>0.60283861800000005</v>
      </c>
      <c r="V1619" s="2">
        <v>3.3993618219999999</v>
      </c>
      <c r="W1619" s="2">
        <v>0.100345039</v>
      </c>
      <c r="X1619">
        <f t="shared" si="75"/>
        <v>0</v>
      </c>
      <c r="Y1619">
        <f t="shared" si="76"/>
        <v>1</v>
      </c>
      <c r="Z1619">
        <f t="shared" si="77"/>
        <v>1</v>
      </c>
    </row>
    <row r="1620" spans="1:26" ht="15.75" customHeight="1" x14ac:dyDescent="0.2">
      <c r="A1620" s="2" t="s">
        <v>23</v>
      </c>
      <c r="B1620" s="2" t="s">
        <v>35</v>
      </c>
      <c r="C1620" s="2" t="s">
        <v>28</v>
      </c>
      <c r="D1620" s="2" t="s">
        <v>29</v>
      </c>
      <c r="E1620" s="2">
        <v>133</v>
      </c>
      <c r="F1620" s="2">
        <v>295</v>
      </c>
      <c r="G1620" s="2">
        <v>406</v>
      </c>
      <c r="H1620" s="2">
        <v>968.66666669999995</v>
      </c>
      <c r="I1620" s="2">
        <v>2248.333333</v>
      </c>
      <c r="J1620" s="2">
        <v>2.98</v>
      </c>
      <c r="K1620" s="2">
        <v>4.07</v>
      </c>
      <c r="L1620" s="2">
        <v>8.34</v>
      </c>
      <c r="M1620" s="2">
        <v>13.79</v>
      </c>
      <c r="N1620" s="2">
        <v>0.42194426200000001</v>
      </c>
      <c r="O1620" s="2">
        <v>0.30471756</v>
      </c>
      <c r="P1620" s="2">
        <v>3.0759261910000002</v>
      </c>
      <c r="Q1620" s="2">
        <v>3.1150871950000001</v>
      </c>
      <c r="R1620" s="2">
        <v>0.57000480399999998</v>
      </c>
      <c r="S1620" s="2">
        <v>0.44133598099999999</v>
      </c>
      <c r="T1620" s="2">
        <v>3.022650568</v>
      </c>
      <c r="U1620" s="2">
        <v>3.0836651540000002</v>
      </c>
      <c r="V1620" s="2">
        <v>0.96693614299999997</v>
      </c>
      <c r="W1620" s="2">
        <v>7.8789748000000007E-2</v>
      </c>
      <c r="X1620">
        <f t="shared" si="75"/>
        <v>0</v>
      </c>
      <c r="Y1620">
        <f t="shared" si="76"/>
        <v>1</v>
      </c>
      <c r="Z1620">
        <f t="shared" si="77"/>
        <v>1</v>
      </c>
    </row>
    <row r="1621" spans="1:26" ht="15.75" customHeight="1" x14ac:dyDescent="0.2">
      <c r="A1621" s="2" t="s">
        <v>23</v>
      </c>
      <c r="B1621" s="2" t="s">
        <v>35</v>
      </c>
      <c r="C1621" s="2" t="s">
        <v>28</v>
      </c>
      <c r="D1621" s="2" t="s">
        <v>29</v>
      </c>
      <c r="E1621" s="2">
        <v>111</v>
      </c>
      <c r="F1621" s="2">
        <v>286</v>
      </c>
      <c r="G1621" s="2">
        <v>372.33333329999999</v>
      </c>
      <c r="H1621" s="2">
        <v>1386.666667</v>
      </c>
      <c r="I1621" s="2">
        <v>2647.333333</v>
      </c>
      <c r="J1621" s="2">
        <v>2.88</v>
      </c>
      <c r="K1621" s="2">
        <v>3.75</v>
      </c>
      <c r="L1621" s="2">
        <v>10.58</v>
      </c>
      <c r="M1621" s="2">
        <v>14.87</v>
      </c>
      <c r="N1621" s="2">
        <v>1.8571110319999999</v>
      </c>
      <c r="O1621" s="2">
        <v>2.0212678259999999</v>
      </c>
      <c r="P1621" s="2">
        <v>1.184944751</v>
      </c>
      <c r="Q1621" s="2">
        <v>1.1360327729999999</v>
      </c>
      <c r="R1621" s="2">
        <v>0.89059308699999995</v>
      </c>
      <c r="S1621" s="2">
        <v>0.76192426400000002</v>
      </c>
      <c r="T1621" s="2">
        <v>0.78162524099999997</v>
      </c>
      <c r="U1621" s="2">
        <v>0.84263982699999995</v>
      </c>
      <c r="V1621" s="2">
        <v>0.64634786099999997</v>
      </c>
      <c r="W1621" s="2">
        <v>4.6824275999999998E-2</v>
      </c>
      <c r="X1621">
        <f t="shared" si="75"/>
        <v>0</v>
      </c>
      <c r="Y1621">
        <f t="shared" si="76"/>
        <v>1</v>
      </c>
      <c r="Z1621">
        <f t="shared" si="77"/>
        <v>1</v>
      </c>
    </row>
    <row r="1622" spans="1:26" ht="15.75" customHeight="1" x14ac:dyDescent="0.2">
      <c r="A1622" s="2" t="s">
        <v>23</v>
      </c>
      <c r="B1622" s="2" t="s">
        <v>35</v>
      </c>
      <c r="C1622" s="2" t="s">
        <v>32</v>
      </c>
      <c r="D1622" s="2" t="s">
        <v>33</v>
      </c>
      <c r="E1622" s="2">
        <v>198</v>
      </c>
      <c r="F1622" s="2">
        <v>287.66666670000001</v>
      </c>
      <c r="G1622" s="2">
        <v>389</v>
      </c>
      <c r="H1622" s="2">
        <v>950.33333330000005</v>
      </c>
      <c r="I1622" s="2">
        <v>2220.666667</v>
      </c>
      <c r="J1622" s="2">
        <v>2.9</v>
      </c>
      <c r="K1622" s="2">
        <v>3.91</v>
      </c>
      <c r="L1622" s="2">
        <v>8.2200000000000006</v>
      </c>
      <c r="M1622" s="2">
        <v>13.71</v>
      </c>
      <c r="N1622" s="2">
        <v>4.4982479189999998</v>
      </c>
      <c r="O1622" s="2">
        <v>4.6297904120000002</v>
      </c>
      <c r="P1622" s="2">
        <v>3.2196972060000002</v>
      </c>
      <c r="Q1622" s="2">
        <v>3.2528950810000001</v>
      </c>
      <c r="R1622" s="2">
        <v>0.73073743400000002</v>
      </c>
      <c r="S1622" s="2">
        <v>0.60206861099999998</v>
      </c>
      <c r="T1622" s="2">
        <v>3.1356774230000002</v>
      </c>
      <c r="U1622" s="2">
        <v>3.1966920089999999</v>
      </c>
      <c r="V1622" s="2">
        <v>0.80620351400000001</v>
      </c>
      <c r="W1622" s="2">
        <v>8.9230799999999999E-2</v>
      </c>
      <c r="X1622">
        <f t="shared" si="75"/>
        <v>0</v>
      </c>
      <c r="Y1622">
        <f t="shared" si="76"/>
        <v>1</v>
      </c>
      <c r="Z1622">
        <f t="shared" si="77"/>
        <v>1</v>
      </c>
    </row>
    <row r="1623" spans="1:26" ht="15.75" customHeight="1" x14ac:dyDescent="0.2">
      <c r="A1623" s="2" t="s">
        <v>23</v>
      </c>
      <c r="B1623" s="2" t="s">
        <v>35</v>
      </c>
      <c r="C1623" s="2" t="s">
        <v>25</v>
      </c>
      <c r="D1623" s="2" t="s">
        <v>25</v>
      </c>
      <c r="E1623" s="2">
        <v>82</v>
      </c>
      <c r="F1623" s="2">
        <v>244</v>
      </c>
      <c r="G1623" s="2">
        <v>788.66666669999995</v>
      </c>
      <c r="H1623" s="2">
        <v>1733.666667</v>
      </c>
      <c r="I1623" s="2">
        <v>3049.666667</v>
      </c>
      <c r="J1623" s="2">
        <v>2.44</v>
      </c>
      <c r="K1623" s="2">
        <v>7.16</v>
      </c>
      <c r="L1623" s="2">
        <v>12.05</v>
      </c>
      <c r="M1623" s="2">
        <v>15.79</v>
      </c>
      <c r="N1623" s="2">
        <v>0.74573196100000005</v>
      </c>
      <c r="O1623" s="2">
        <v>0.54373480299999999</v>
      </c>
      <c r="P1623" s="2">
        <v>2.6155732559999998</v>
      </c>
      <c r="Q1623" s="2">
        <v>2.7250469349999999</v>
      </c>
      <c r="R1623" s="2">
        <v>2.5219753850000002</v>
      </c>
      <c r="S1623" s="2">
        <v>2.6506442080000001</v>
      </c>
      <c r="T1623" s="2">
        <v>0.69344330399999998</v>
      </c>
      <c r="U1623" s="2">
        <v>0.632428718</v>
      </c>
      <c r="V1623" s="2">
        <v>4.0589163319999999</v>
      </c>
      <c r="W1623" s="2">
        <v>6.0641252999999999E-2</v>
      </c>
      <c r="X1623">
        <f t="shared" si="75"/>
        <v>0</v>
      </c>
      <c r="Y1623">
        <f t="shared" si="76"/>
        <v>1</v>
      </c>
      <c r="Z1623">
        <f t="shared" si="77"/>
        <v>0</v>
      </c>
    </row>
    <row r="1624" spans="1:26" ht="15.75" customHeight="1" x14ac:dyDescent="0.2">
      <c r="A1624" s="2" t="s">
        <v>23</v>
      </c>
      <c r="B1624" s="2" t="s">
        <v>35</v>
      </c>
      <c r="C1624" s="2" t="s">
        <v>27</v>
      </c>
      <c r="D1624" s="2" t="s">
        <v>27</v>
      </c>
      <c r="E1624" s="2">
        <v>75</v>
      </c>
      <c r="F1624" s="2">
        <v>207</v>
      </c>
      <c r="G1624" s="2">
        <v>378.66666670000001</v>
      </c>
      <c r="H1624" s="2">
        <v>2152.666667</v>
      </c>
      <c r="I1624" s="2">
        <v>2956.333333</v>
      </c>
      <c r="J1624" s="2">
        <v>2.0299999999999998</v>
      </c>
      <c r="K1624" s="2">
        <v>3.81</v>
      </c>
      <c r="L1624" s="2">
        <v>13.5</v>
      </c>
      <c r="M1624" s="2">
        <v>15.59</v>
      </c>
      <c r="N1624" s="2">
        <v>0.44440506800000001</v>
      </c>
      <c r="O1624" s="2">
        <v>0.45756018500000001</v>
      </c>
      <c r="P1624" s="2">
        <v>2.29781266</v>
      </c>
      <c r="Q1624" s="2">
        <v>2.1966454120000001</v>
      </c>
      <c r="R1624" s="2">
        <v>0.82957953799999995</v>
      </c>
      <c r="S1624" s="2">
        <v>0.70091071500000002</v>
      </c>
      <c r="T1624" s="2">
        <v>2.1428347599999999</v>
      </c>
      <c r="U1624" s="2">
        <v>2.0818201740000002</v>
      </c>
      <c r="V1624" s="2">
        <v>0.70736140999999997</v>
      </c>
      <c r="W1624" s="2">
        <v>8.3943493999999994E-2</v>
      </c>
      <c r="X1624">
        <f t="shared" si="75"/>
        <v>0</v>
      </c>
      <c r="Y1624">
        <f t="shared" si="76"/>
        <v>1</v>
      </c>
      <c r="Z1624">
        <f t="shared" si="77"/>
        <v>0</v>
      </c>
    </row>
    <row r="1625" spans="1:26" ht="15.75" customHeight="1" x14ac:dyDescent="0.2">
      <c r="A1625" s="2" t="s">
        <v>23</v>
      </c>
      <c r="B1625" s="2" t="s">
        <v>35</v>
      </c>
      <c r="C1625" s="2" t="s">
        <v>32</v>
      </c>
      <c r="D1625" s="2" t="s">
        <v>33</v>
      </c>
      <c r="E1625" s="2">
        <v>123</v>
      </c>
      <c r="F1625" s="2">
        <v>258.66666670000001</v>
      </c>
      <c r="G1625" s="2">
        <v>394.66666670000001</v>
      </c>
      <c r="H1625" s="2">
        <v>911</v>
      </c>
      <c r="I1625" s="2">
        <v>2344.666667</v>
      </c>
      <c r="J1625" s="2">
        <v>2.6</v>
      </c>
      <c r="K1625" s="2">
        <v>3.96</v>
      </c>
      <c r="L1625" s="2">
        <v>7.98</v>
      </c>
      <c r="M1625" s="2">
        <v>14.07</v>
      </c>
      <c r="N1625" s="2">
        <v>4.6337153359999999</v>
      </c>
      <c r="O1625" s="2">
        <v>4.7721316229999999</v>
      </c>
      <c r="P1625" s="2">
        <v>3.4500971429999998</v>
      </c>
      <c r="Q1625" s="2">
        <v>3.4874182710000001</v>
      </c>
      <c r="R1625" s="2">
        <v>0.67690201500000002</v>
      </c>
      <c r="S1625" s="2">
        <v>0.54823319100000001</v>
      </c>
      <c r="T1625" s="2">
        <v>3.3830421159999999</v>
      </c>
      <c r="U1625" s="2">
        <v>3.4440567020000001</v>
      </c>
      <c r="V1625" s="2">
        <v>0.86003893300000001</v>
      </c>
      <c r="W1625" s="2">
        <v>6.6548316999999996E-2</v>
      </c>
      <c r="X1625">
        <f t="shared" si="75"/>
        <v>0</v>
      </c>
      <c r="Y1625">
        <f t="shared" si="76"/>
        <v>1</v>
      </c>
      <c r="Z1625">
        <f t="shared" si="77"/>
        <v>1</v>
      </c>
    </row>
    <row r="1626" spans="1:26" ht="15.75" customHeight="1" x14ac:dyDescent="0.2">
      <c r="A1626" s="2" t="s">
        <v>23</v>
      </c>
      <c r="B1626" s="2" t="s">
        <v>35</v>
      </c>
      <c r="C1626" s="2" t="s">
        <v>28</v>
      </c>
      <c r="D1626" s="2" t="s">
        <v>29</v>
      </c>
      <c r="E1626" s="2">
        <v>107</v>
      </c>
      <c r="F1626" s="2">
        <v>247</v>
      </c>
      <c r="G1626" s="2">
        <v>380.33333329999999</v>
      </c>
      <c r="H1626" s="2">
        <v>765.66666669999995</v>
      </c>
      <c r="I1626" s="2">
        <v>2276.333333</v>
      </c>
      <c r="J1626" s="2">
        <v>2.4700000000000002</v>
      </c>
      <c r="K1626" s="2">
        <v>3.83</v>
      </c>
      <c r="L1626" s="2">
        <v>7</v>
      </c>
      <c r="M1626" s="2">
        <v>13.88</v>
      </c>
      <c r="N1626" s="2">
        <v>1.7792627329999999</v>
      </c>
      <c r="O1626" s="2">
        <v>1.5596272179999999</v>
      </c>
      <c r="P1626" s="2">
        <v>4.4342327880000001</v>
      </c>
      <c r="Q1626" s="2">
        <v>4.4727233909999997</v>
      </c>
      <c r="R1626" s="2">
        <v>0.81357822599999996</v>
      </c>
      <c r="S1626" s="2">
        <v>0.68490940300000003</v>
      </c>
      <c r="T1626" s="2">
        <v>4.3589575460000001</v>
      </c>
      <c r="U1626" s="2">
        <v>4.4199721309999997</v>
      </c>
      <c r="V1626" s="2">
        <v>0.72336272099999999</v>
      </c>
      <c r="W1626" s="2">
        <v>4.1795702999999997E-2</v>
      </c>
      <c r="X1626">
        <f t="shared" si="75"/>
        <v>0</v>
      </c>
      <c r="Y1626">
        <f t="shared" si="76"/>
        <v>1</v>
      </c>
      <c r="Z1626">
        <f t="shared" si="77"/>
        <v>1</v>
      </c>
    </row>
    <row r="1627" spans="1:26" ht="15.75" customHeight="1" x14ac:dyDescent="0.2">
      <c r="A1627" s="2" t="s">
        <v>23</v>
      </c>
      <c r="B1627" s="2" t="s">
        <v>35</v>
      </c>
      <c r="C1627" s="2" t="s">
        <v>27</v>
      </c>
      <c r="D1627" s="2" t="s">
        <v>27</v>
      </c>
      <c r="E1627" s="2">
        <v>116</v>
      </c>
      <c r="F1627" s="2">
        <v>158.66666670000001</v>
      </c>
      <c r="G1627" s="2">
        <v>371.66666670000001</v>
      </c>
      <c r="H1627" s="2">
        <v>1858.333333</v>
      </c>
      <c r="I1627" s="2">
        <v>2745.666667</v>
      </c>
      <c r="J1627" s="2">
        <v>1.48</v>
      </c>
      <c r="K1627" s="2">
        <v>3.74</v>
      </c>
      <c r="L1627" s="2">
        <v>12.52</v>
      </c>
      <c r="M1627" s="2">
        <v>15.11</v>
      </c>
      <c r="N1627" s="2">
        <v>1.0645133609999999</v>
      </c>
      <c r="O1627" s="2">
        <v>1.4002391409999999</v>
      </c>
      <c r="P1627" s="2">
        <v>1.4647421190000001</v>
      </c>
      <c r="Q1627" s="2">
        <v>1.339255783</v>
      </c>
      <c r="R1627" s="2">
        <v>0.89703484700000002</v>
      </c>
      <c r="S1627" s="2">
        <v>0.76836602399999998</v>
      </c>
      <c r="T1627" s="2">
        <v>1.1579283039999999</v>
      </c>
      <c r="U1627" s="2">
        <v>1.0969137179999999</v>
      </c>
      <c r="V1627" s="2">
        <v>0.639906101</v>
      </c>
      <c r="W1627" s="2">
        <v>8.0892182000000007E-2</v>
      </c>
      <c r="X1627">
        <f t="shared" si="75"/>
        <v>0</v>
      </c>
      <c r="Y1627">
        <f t="shared" si="76"/>
        <v>1</v>
      </c>
      <c r="Z1627">
        <f t="shared" si="77"/>
        <v>0</v>
      </c>
    </row>
    <row r="1628" spans="1:26" ht="15.75" customHeight="1" x14ac:dyDescent="0.2">
      <c r="A1628" s="2" t="s">
        <v>23</v>
      </c>
      <c r="B1628" s="2" t="s">
        <v>35</v>
      </c>
      <c r="C1628" s="2" t="s">
        <v>26</v>
      </c>
      <c r="D1628" s="2" t="s">
        <v>26</v>
      </c>
      <c r="E1628" s="2">
        <v>125</v>
      </c>
      <c r="F1628" s="2">
        <v>255.33333329999999</v>
      </c>
      <c r="G1628" s="2">
        <v>413</v>
      </c>
      <c r="H1628" s="2">
        <v>914.33333330000005</v>
      </c>
      <c r="I1628" s="2">
        <v>2819.666667</v>
      </c>
      <c r="J1628" s="2">
        <v>2.56</v>
      </c>
      <c r="K1628" s="2">
        <v>4.1399999999999997</v>
      </c>
      <c r="L1628" s="2">
        <v>8</v>
      </c>
      <c r="M1628" s="2">
        <v>15.29</v>
      </c>
      <c r="N1628" s="2">
        <v>0.75929385100000002</v>
      </c>
      <c r="O1628" s="2">
        <v>0.62498593000000002</v>
      </c>
      <c r="P1628" s="2">
        <v>3.399458804</v>
      </c>
      <c r="Q1628" s="2">
        <v>3.443401513</v>
      </c>
      <c r="R1628" s="2">
        <v>0.50449015100000005</v>
      </c>
      <c r="S1628" s="2">
        <v>0.37582132800000001</v>
      </c>
      <c r="T1628" s="2">
        <v>3.3618164510000001</v>
      </c>
      <c r="U1628" s="2">
        <v>3.4228310369999999</v>
      </c>
      <c r="V1628" s="2">
        <v>1.032450796</v>
      </c>
      <c r="W1628" s="2">
        <v>7.4375739999999996E-2</v>
      </c>
      <c r="X1628">
        <f t="shared" si="75"/>
        <v>0</v>
      </c>
      <c r="Y1628">
        <f t="shared" si="76"/>
        <v>1</v>
      </c>
      <c r="Z1628">
        <f t="shared" si="77"/>
        <v>0</v>
      </c>
    </row>
    <row r="1629" spans="1:26" ht="15.75" customHeight="1" x14ac:dyDescent="0.2">
      <c r="A1629" s="2" t="s">
        <v>23</v>
      </c>
      <c r="B1629" s="2" t="s">
        <v>35</v>
      </c>
      <c r="C1629" s="2" t="s">
        <v>27</v>
      </c>
      <c r="D1629" s="2" t="s">
        <v>27</v>
      </c>
      <c r="E1629" s="2">
        <v>111</v>
      </c>
      <c r="F1629" s="2">
        <v>278</v>
      </c>
      <c r="G1629" s="2">
        <v>511.33333329999999</v>
      </c>
      <c r="H1629" s="2">
        <v>2439.666667</v>
      </c>
      <c r="I1629" s="2">
        <v>3011</v>
      </c>
      <c r="J1629" s="2">
        <v>2.8</v>
      </c>
      <c r="K1629" s="2">
        <v>5.0199999999999996</v>
      </c>
      <c r="L1629" s="2">
        <v>14.34</v>
      </c>
      <c r="M1629" s="2">
        <v>15.71</v>
      </c>
      <c r="N1629" s="2">
        <v>1.168386506</v>
      </c>
      <c r="O1629" s="2">
        <v>1.0507459400000001</v>
      </c>
      <c r="P1629" s="2">
        <v>3.0000402450000001</v>
      </c>
      <c r="Q1629" s="2">
        <v>2.958756347</v>
      </c>
      <c r="R1629" s="2">
        <v>0.37660859099999999</v>
      </c>
      <c r="S1629" s="2">
        <v>0.50527741500000001</v>
      </c>
      <c r="T1629" s="2">
        <v>2.9763076850000001</v>
      </c>
      <c r="U1629" s="2">
        <v>2.9152931</v>
      </c>
      <c r="V1629" s="2">
        <v>1.9135495389999999</v>
      </c>
      <c r="W1629" s="2">
        <v>6.8594495000000005E-2</v>
      </c>
      <c r="X1629">
        <f t="shared" si="75"/>
        <v>0</v>
      </c>
      <c r="Y1629">
        <f t="shared" si="76"/>
        <v>1</v>
      </c>
      <c r="Z1629">
        <f t="shared" si="77"/>
        <v>0</v>
      </c>
    </row>
    <row r="1630" spans="1:26" ht="15.75" customHeight="1" x14ac:dyDescent="0.2">
      <c r="A1630" s="2" t="s">
        <v>23</v>
      </c>
      <c r="B1630" s="2" t="s">
        <v>35</v>
      </c>
      <c r="C1630" s="2" t="s">
        <v>27</v>
      </c>
      <c r="D1630" s="2" t="s">
        <v>27</v>
      </c>
      <c r="E1630" s="2">
        <v>142</v>
      </c>
      <c r="F1630" s="2">
        <v>241</v>
      </c>
      <c r="G1630" s="2">
        <v>468</v>
      </c>
      <c r="H1630" s="2">
        <v>2191.666667</v>
      </c>
      <c r="I1630" s="2">
        <v>2867</v>
      </c>
      <c r="J1630" s="2">
        <v>2.41</v>
      </c>
      <c r="K1630" s="2">
        <v>4.6399999999999997</v>
      </c>
      <c r="L1630" s="2">
        <v>13.62</v>
      </c>
      <c r="M1630" s="2">
        <v>15.39</v>
      </c>
      <c r="N1630" s="2">
        <v>0.42097689700000002</v>
      </c>
      <c r="O1630" s="2">
        <v>0.62202593399999995</v>
      </c>
      <c r="P1630" s="2">
        <v>2.2628615299999999</v>
      </c>
      <c r="Q1630" s="2">
        <v>2.2054354599999999</v>
      </c>
      <c r="R1630" s="2">
        <v>2.8767229999999999E-3</v>
      </c>
      <c r="S1630" s="2">
        <v>0.12579210099999999</v>
      </c>
      <c r="T1630" s="2">
        <v>2.2628597020000001</v>
      </c>
      <c r="U1630" s="2">
        <v>2.2018451159999999</v>
      </c>
      <c r="V1630" s="2">
        <v>1.5340642250000001</v>
      </c>
      <c r="W1630" s="2">
        <v>7.2283890000000003E-2</v>
      </c>
      <c r="X1630">
        <f t="shared" si="75"/>
        <v>0</v>
      </c>
      <c r="Y1630">
        <f t="shared" si="76"/>
        <v>1</v>
      </c>
      <c r="Z1630">
        <f t="shared" si="77"/>
        <v>0</v>
      </c>
    </row>
    <row r="1631" spans="1:26" ht="15.75" customHeight="1" x14ac:dyDescent="0.2">
      <c r="A1631" s="2" t="s">
        <v>23</v>
      </c>
      <c r="B1631" s="2" t="s">
        <v>35</v>
      </c>
      <c r="C1631" s="2" t="s">
        <v>32</v>
      </c>
      <c r="D1631" s="2" t="s">
        <v>33</v>
      </c>
      <c r="E1631" s="2">
        <v>109</v>
      </c>
      <c r="F1631" s="2">
        <v>221.66666670000001</v>
      </c>
      <c r="G1631" s="2">
        <v>448.66666670000001</v>
      </c>
      <c r="H1631" s="2">
        <v>859</v>
      </c>
      <c r="I1631" s="2">
        <v>2371</v>
      </c>
      <c r="J1631" s="2">
        <v>2.19</v>
      </c>
      <c r="K1631" s="2">
        <v>4.46</v>
      </c>
      <c r="L1631" s="2">
        <v>7.64</v>
      </c>
      <c r="M1631" s="2">
        <v>14.15</v>
      </c>
      <c r="N1631" s="2">
        <v>4.5674756030000001</v>
      </c>
      <c r="O1631" s="2">
        <v>4.7236508730000004</v>
      </c>
      <c r="P1631" s="2">
        <v>3.724850279</v>
      </c>
      <c r="Q1631" s="2">
        <v>3.7819801640000001</v>
      </c>
      <c r="R1631" s="2">
        <v>0.17659048999999999</v>
      </c>
      <c r="S1631" s="2">
        <v>4.7921667000000001E-2</v>
      </c>
      <c r="T1631" s="2">
        <v>3.7206619569999999</v>
      </c>
      <c r="U1631" s="2">
        <v>3.781676542</v>
      </c>
      <c r="V1631" s="2">
        <v>1.360350457</v>
      </c>
      <c r="W1631" s="2">
        <v>8.7033338000000002E-2</v>
      </c>
      <c r="X1631">
        <f t="shared" si="75"/>
        <v>0</v>
      </c>
      <c r="Y1631">
        <f t="shared" si="76"/>
        <v>1</v>
      </c>
      <c r="Z1631">
        <f t="shared" si="77"/>
        <v>1</v>
      </c>
    </row>
    <row r="1632" spans="1:26" ht="15.75" customHeight="1" x14ac:dyDescent="0.2">
      <c r="A1632" s="2" t="s">
        <v>23</v>
      </c>
      <c r="B1632" s="2" t="s">
        <v>35</v>
      </c>
      <c r="C1632" s="2" t="s">
        <v>28</v>
      </c>
      <c r="D1632" s="2" t="s">
        <v>29</v>
      </c>
      <c r="E1632" s="2">
        <v>98</v>
      </c>
      <c r="F1632" s="2">
        <v>245</v>
      </c>
      <c r="G1632" s="2">
        <v>284</v>
      </c>
      <c r="H1632" s="2">
        <v>1061</v>
      </c>
      <c r="I1632" s="2">
        <v>2342.333333</v>
      </c>
      <c r="J1632" s="2">
        <v>2.4500000000000002</v>
      </c>
      <c r="K1632" s="2">
        <v>2.86</v>
      </c>
      <c r="L1632" s="2">
        <v>8.89</v>
      </c>
      <c r="M1632" s="2">
        <v>14.07</v>
      </c>
      <c r="N1632" s="2">
        <v>1.256711358</v>
      </c>
      <c r="O1632" s="2">
        <v>1.0513569410000001</v>
      </c>
      <c r="P1632" s="2">
        <v>3.0465328490000001</v>
      </c>
      <c r="Q1632" s="2">
        <v>3.0242622770000001</v>
      </c>
      <c r="R1632" s="2">
        <v>1.7774713950000001</v>
      </c>
      <c r="S1632" s="2">
        <v>1.6488025719999999</v>
      </c>
      <c r="T1632" s="2">
        <v>2.474259049</v>
      </c>
      <c r="U1632" s="2">
        <v>2.5352736340000002</v>
      </c>
      <c r="V1632" s="2">
        <v>-0.24053044800000001</v>
      </c>
      <c r="W1632" s="2">
        <v>8.1926179000000002E-2</v>
      </c>
      <c r="X1632">
        <f t="shared" si="75"/>
        <v>0</v>
      </c>
      <c r="Y1632">
        <f t="shared" si="76"/>
        <v>1</v>
      </c>
      <c r="Z1632">
        <f t="shared" si="77"/>
        <v>1</v>
      </c>
    </row>
    <row r="1633" spans="1:26" ht="15.75" customHeight="1" x14ac:dyDescent="0.2">
      <c r="A1633" s="2" t="s">
        <v>23</v>
      </c>
      <c r="B1633" s="2" t="s">
        <v>35</v>
      </c>
      <c r="C1633" s="2" t="s">
        <v>26</v>
      </c>
      <c r="D1633" s="2" t="s">
        <v>26</v>
      </c>
      <c r="E1633" s="2">
        <v>116</v>
      </c>
      <c r="F1633" s="2">
        <v>272</v>
      </c>
      <c r="G1633" s="2">
        <v>458</v>
      </c>
      <c r="H1633" s="2">
        <v>1237.666667</v>
      </c>
      <c r="I1633" s="2">
        <v>2760.333333</v>
      </c>
      <c r="J1633" s="2">
        <v>2.74</v>
      </c>
      <c r="K1633" s="2">
        <v>4.55</v>
      </c>
      <c r="L1633" s="2">
        <v>9.85</v>
      </c>
      <c r="M1633" s="2">
        <v>15.15</v>
      </c>
      <c r="N1633" s="2">
        <v>1.1732224010000001</v>
      </c>
      <c r="O1633" s="2">
        <v>1.457665486</v>
      </c>
      <c r="P1633" s="2">
        <v>1.516075866</v>
      </c>
      <c r="Q1633" s="2">
        <v>1.5746913490000001</v>
      </c>
      <c r="R1633" s="2">
        <v>9.2381848000000003E-2</v>
      </c>
      <c r="S1633" s="2">
        <v>3.6286974999999999E-2</v>
      </c>
      <c r="T1633" s="2">
        <v>1.513258612</v>
      </c>
      <c r="U1633" s="2">
        <v>1.5742731969999999</v>
      </c>
      <c r="V1633" s="2">
        <v>1.4445590989999999</v>
      </c>
      <c r="W1633" s="2">
        <v>9.0400850000000005E-2</v>
      </c>
      <c r="X1633">
        <f t="shared" si="75"/>
        <v>0</v>
      </c>
      <c r="Y1633">
        <f t="shared" si="76"/>
        <v>1</v>
      </c>
      <c r="Z1633">
        <f t="shared" si="77"/>
        <v>0</v>
      </c>
    </row>
    <row r="1634" spans="1:26" ht="15.75" customHeight="1" x14ac:dyDescent="0.2">
      <c r="A1634" s="2" t="s">
        <v>23</v>
      </c>
      <c r="B1634" s="2" t="s">
        <v>35</v>
      </c>
      <c r="C1634" s="2" t="s">
        <v>30</v>
      </c>
      <c r="D1634" s="2" t="s">
        <v>31</v>
      </c>
      <c r="E1634" s="2">
        <v>170</v>
      </c>
      <c r="F1634" s="2">
        <v>277</v>
      </c>
      <c r="G1634" s="2">
        <v>440</v>
      </c>
      <c r="H1634" s="2">
        <v>1205.666667</v>
      </c>
      <c r="I1634" s="2">
        <v>1962.666667</v>
      </c>
      <c r="J1634" s="2">
        <v>2.79</v>
      </c>
      <c r="K1634" s="2">
        <v>4.3899999999999997</v>
      </c>
      <c r="L1634" s="2">
        <v>9.68</v>
      </c>
      <c r="M1634" s="2">
        <v>12.88</v>
      </c>
      <c r="N1634" s="2">
        <v>3.7745465970000001</v>
      </c>
      <c r="O1634" s="2">
        <v>4.210448156</v>
      </c>
      <c r="P1634" s="2">
        <v>1.6986772240000001</v>
      </c>
      <c r="Q1634" s="2">
        <v>1.7449924450000001</v>
      </c>
      <c r="R1634" s="2">
        <v>0.25537068200000002</v>
      </c>
      <c r="S1634" s="2">
        <v>0.126701859</v>
      </c>
      <c r="T1634" s="2">
        <v>1.6793719439999999</v>
      </c>
      <c r="U1634" s="2">
        <v>1.7403865300000001</v>
      </c>
      <c r="V1634" s="2">
        <v>1.281570265</v>
      </c>
      <c r="W1634" s="2">
        <v>8.6373344000000005E-2</v>
      </c>
      <c r="X1634">
        <f t="shared" si="75"/>
        <v>0</v>
      </c>
      <c r="Y1634">
        <f t="shared" si="76"/>
        <v>1</v>
      </c>
      <c r="Z1634">
        <f t="shared" si="77"/>
        <v>1</v>
      </c>
    </row>
    <row r="1635" spans="1:26" ht="15.75" customHeight="1" x14ac:dyDescent="0.2">
      <c r="A1635" s="2" t="s">
        <v>23</v>
      </c>
      <c r="B1635" s="2" t="s">
        <v>35</v>
      </c>
      <c r="C1635" s="2" t="s">
        <v>27</v>
      </c>
      <c r="D1635" s="2" t="s">
        <v>27</v>
      </c>
      <c r="E1635" s="2">
        <v>89</v>
      </c>
      <c r="F1635" s="2">
        <v>233.66666670000001</v>
      </c>
      <c r="G1635" s="2">
        <v>408.33333329999999</v>
      </c>
      <c r="H1635" s="2">
        <v>2169.666667</v>
      </c>
      <c r="I1635" s="2">
        <v>2851.333333</v>
      </c>
      <c r="J1635" s="2">
        <v>2.33</v>
      </c>
      <c r="K1635" s="2">
        <v>4.09</v>
      </c>
      <c r="L1635" s="2">
        <v>13.56</v>
      </c>
      <c r="M1635" s="2">
        <v>15.36</v>
      </c>
      <c r="N1635" s="2">
        <v>0.19017209700000001</v>
      </c>
      <c r="O1635" s="2">
        <v>0.32461371700000002</v>
      </c>
      <c r="P1635" s="2">
        <v>2.2628215310000002</v>
      </c>
      <c r="Q1635" s="2">
        <v>2.175242549</v>
      </c>
      <c r="R1635" s="2">
        <v>0.54812355599999996</v>
      </c>
      <c r="S1635" s="2">
        <v>0.419454732</v>
      </c>
      <c r="T1635" s="2">
        <v>2.1954320410000001</v>
      </c>
      <c r="U1635" s="2">
        <v>2.134417456</v>
      </c>
      <c r="V1635" s="2">
        <v>0.98881739199999996</v>
      </c>
      <c r="W1635" s="2">
        <v>7.1580605000000005E-2</v>
      </c>
      <c r="X1635">
        <f t="shared" si="75"/>
        <v>0</v>
      </c>
      <c r="Y1635">
        <f t="shared" si="76"/>
        <v>1</v>
      </c>
      <c r="Z1635">
        <f t="shared" si="77"/>
        <v>0</v>
      </c>
    </row>
    <row r="1636" spans="1:26" ht="15.75" customHeight="1" x14ac:dyDescent="0.2">
      <c r="A1636" s="2" t="s">
        <v>23</v>
      </c>
      <c r="B1636" s="2" t="s">
        <v>35</v>
      </c>
      <c r="C1636" s="2" t="s">
        <v>30</v>
      </c>
      <c r="D1636" s="2" t="s">
        <v>31</v>
      </c>
      <c r="E1636" s="2">
        <v>151</v>
      </c>
      <c r="F1636" s="2">
        <v>274</v>
      </c>
      <c r="G1636" s="2">
        <v>431.66666670000001</v>
      </c>
      <c r="H1636" s="2">
        <v>1121.666667</v>
      </c>
      <c r="I1636" s="2">
        <v>1770</v>
      </c>
      <c r="J1636" s="2">
        <v>2.76</v>
      </c>
      <c r="K1636" s="2">
        <v>4.3099999999999996</v>
      </c>
      <c r="L1636" s="2">
        <v>9.23</v>
      </c>
      <c r="M1636" s="2">
        <v>12.19</v>
      </c>
      <c r="N1636" s="2">
        <v>4.2250526810000002</v>
      </c>
      <c r="O1636" s="2">
        <v>4.657250404</v>
      </c>
      <c r="P1636" s="2">
        <v>2.1574777809999999</v>
      </c>
      <c r="Q1636" s="2">
        <v>2.2022230189999998</v>
      </c>
      <c r="R1636" s="2">
        <v>0.33165929999999999</v>
      </c>
      <c r="S1636" s="2">
        <v>0.202990477</v>
      </c>
      <c r="T1636" s="2">
        <v>2.1318331279999998</v>
      </c>
      <c r="U1636" s="2">
        <v>2.1928477129999999</v>
      </c>
      <c r="V1636" s="2">
        <v>1.2052816479999999</v>
      </c>
      <c r="W1636" s="2">
        <v>7.8156034999999999E-2</v>
      </c>
      <c r="X1636">
        <f t="shared" si="75"/>
        <v>0</v>
      </c>
      <c r="Y1636">
        <f t="shared" si="76"/>
        <v>1</v>
      </c>
      <c r="Z1636">
        <f t="shared" si="77"/>
        <v>1</v>
      </c>
    </row>
    <row r="1637" spans="1:26" ht="15.75" customHeight="1" x14ac:dyDescent="0.2">
      <c r="A1637" s="2" t="s">
        <v>23</v>
      </c>
      <c r="B1637" s="2" t="s">
        <v>35</v>
      </c>
      <c r="C1637" s="2" t="s">
        <v>26</v>
      </c>
      <c r="D1637" s="2" t="s">
        <v>26</v>
      </c>
      <c r="E1637" s="2">
        <v>133</v>
      </c>
      <c r="F1637" s="2">
        <v>256.33333329999999</v>
      </c>
      <c r="G1637" s="2">
        <v>389.33333329999999</v>
      </c>
      <c r="H1637" s="2">
        <v>921.66666669999995</v>
      </c>
      <c r="I1637" s="2">
        <v>2531.666667</v>
      </c>
      <c r="J1637" s="2">
        <v>2.57</v>
      </c>
      <c r="K1637" s="2">
        <v>3.91</v>
      </c>
      <c r="L1637" s="2">
        <v>8.0399999999999991</v>
      </c>
      <c r="M1637" s="2">
        <v>14.58</v>
      </c>
      <c r="N1637" s="2">
        <v>0.74002211600000001</v>
      </c>
      <c r="O1637" s="2">
        <v>0.5179897</v>
      </c>
      <c r="P1637" s="2">
        <v>3.3941884419999999</v>
      </c>
      <c r="Q1637" s="2">
        <v>3.429012481</v>
      </c>
      <c r="R1637" s="2">
        <v>0.72756345499999997</v>
      </c>
      <c r="S1637" s="2">
        <v>0.59889463200000004</v>
      </c>
      <c r="T1637" s="2">
        <v>3.315292838</v>
      </c>
      <c r="U1637" s="2">
        <v>3.3763074230000001</v>
      </c>
      <c r="V1637" s="2">
        <v>0.80937749199999998</v>
      </c>
      <c r="W1637" s="2">
        <v>9.6866788999999995E-2</v>
      </c>
      <c r="X1637">
        <f t="shared" si="75"/>
        <v>0</v>
      </c>
      <c r="Y1637">
        <f t="shared" si="76"/>
        <v>1</v>
      </c>
      <c r="Z1637">
        <f t="shared" si="77"/>
        <v>0</v>
      </c>
    </row>
    <row r="1638" spans="1:26" ht="15.75" customHeight="1" x14ac:dyDescent="0.2">
      <c r="A1638" s="2" t="s">
        <v>23</v>
      </c>
      <c r="B1638" s="2" t="s">
        <v>35</v>
      </c>
      <c r="C1638" s="2" t="s">
        <v>26</v>
      </c>
      <c r="D1638" s="2" t="s">
        <v>26</v>
      </c>
      <c r="E1638" s="2">
        <v>111</v>
      </c>
      <c r="F1638" s="2">
        <v>223</v>
      </c>
      <c r="G1638" s="2">
        <v>420.66666670000001</v>
      </c>
      <c r="H1638" s="2">
        <v>1061</v>
      </c>
      <c r="I1638" s="2">
        <v>2827</v>
      </c>
      <c r="J1638" s="2">
        <v>2.21</v>
      </c>
      <c r="K1638" s="2">
        <v>4.21</v>
      </c>
      <c r="L1638" s="2">
        <v>8.89</v>
      </c>
      <c r="M1638" s="2">
        <v>15.3</v>
      </c>
      <c r="N1638" s="2">
        <v>0.15940477</v>
      </c>
      <c r="O1638" s="2">
        <v>0.47400330600000001</v>
      </c>
      <c r="P1638" s="2">
        <v>2.5118919320000002</v>
      </c>
      <c r="Q1638" s="2">
        <v>2.5534953059999999</v>
      </c>
      <c r="R1638" s="2">
        <v>0.43317806599999997</v>
      </c>
      <c r="S1638" s="2">
        <v>0.30450924200000001</v>
      </c>
      <c r="T1638" s="2">
        <v>2.474259049</v>
      </c>
      <c r="U1638" s="2">
        <v>2.5352736340000002</v>
      </c>
      <c r="V1638" s="2">
        <v>1.1037628820000001</v>
      </c>
      <c r="W1638" s="2">
        <v>6.3556153000000004E-2</v>
      </c>
      <c r="X1638">
        <f t="shared" si="75"/>
        <v>0</v>
      </c>
      <c r="Y1638">
        <f t="shared" si="76"/>
        <v>1</v>
      </c>
      <c r="Z1638">
        <f t="shared" si="77"/>
        <v>0</v>
      </c>
    </row>
    <row r="1639" spans="1:26" ht="15.75" customHeight="1" x14ac:dyDescent="0.2">
      <c r="A1639" s="2" t="s">
        <v>23</v>
      </c>
      <c r="B1639" s="2" t="s">
        <v>35</v>
      </c>
      <c r="C1639" s="2" t="s">
        <v>26</v>
      </c>
      <c r="D1639" s="2" t="s">
        <v>26</v>
      </c>
      <c r="E1639" s="2">
        <v>92</v>
      </c>
      <c r="F1639" s="2">
        <v>275</v>
      </c>
      <c r="G1639" s="2">
        <v>431.66666670000001</v>
      </c>
      <c r="H1639" s="2">
        <v>817</v>
      </c>
      <c r="I1639" s="2">
        <v>3158.666667</v>
      </c>
      <c r="J1639" s="2">
        <v>2.77</v>
      </c>
      <c r="K1639" s="2">
        <v>4.3099999999999996</v>
      </c>
      <c r="L1639" s="2">
        <v>7.36</v>
      </c>
      <c r="M1639" s="2">
        <v>16.010000000000002</v>
      </c>
      <c r="N1639" s="2">
        <v>1.413332778</v>
      </c>
      <c r="O1639" s="2">
        <v>1.2829044329999999</v>
      </c>
      <c r="P1639" s="2">
        <v>4.0163027680000001</v>
      </c>
      <c r="Q1639" s="2">
        <v>4.0686668739999998</v>
      </c>
      <c r="R1639" s="2">
        <v>0.33165929999999999</v>
      </c>
      <c r="S1639" s="2">
        <v>0.202990477</v>
      </c>
      <c r="T1639" s="2">
        <v>4.0025854189999999</v>
      </c>
      <c r="U1639" s="2">
        <v>4.0636000049999996</v>
      </c>
      <c r="V1639" s="2">
        <v>1.2052816479999999</v>
      </c>
      <c r="W1639" s="2">
        <v>7.6430707000000001E-2</v>
      </c>
      <c r="X1639">
        <f t="shared" si="75"/>
        <v>0</v>
      </c>
      <c r="Y1639">
        <f t="shared" si="76"/>
        <v>1</v>
      </c>
      <c r="Z1639">
        <f t="shared" si="77"/>
        <v>0</v>
      </c>
    </row>
    <row r="1640" spans="1:26" ht="15.75" customHeight="1" x14ac:dyDescent="0.2">
      <c r="A1640" s="2" t="s">
        <v>23</v>
      </c>
      <c r="B1640" s="2" t="s">
        <v>35</v>
      </c>
      <c r="C1640" s="2" t="s">
        <v>25</v>
      </c>
      <c r="D1640" s="2" t="s">
        <v>25</v>
      </c>
      <c r="E1640" s="2">
        <v>202</v>
      </c>
      <c r="F1640" s="2">
        <v>249.66666670000001</v>
      </c>
      <c r="G1640" s="2">
        <v>749.66666669999995</v>
      </c>
      <c r="H1640" s="2">
        <v>1378</v>
      </c>
      <c r="I1640" s="2">
        <v>2187.333333</v>
      </c>
      <c r="J1640" s="2">
        <v>2.5</v>
      </c>
      <c r="K1640" s="2">
        <v>6.89</v>
      </c>
      <c r="L1640" s="2">
        <v>10.54</v>
      </c>
      <c r="M1640" s="2">
        <v>13.61</v>
      </c>
      <c r="N1640" s="2">
        <v>0.82581802400000004</v>
      </c>
      <c r="O1640" s="2">
        <v>1.012938675</v>
      </c>
      <c r="P1640" s="2">
        <v>2.3925978250000002</v>
      </c>
      <c r="Q1640" s="2">
        <v>2.5344328229999999</v>
      </c>
      <c r="R1640" s="2">
        <v>2.2468190300000002</v>
      </c>
      <c r="S1640" s="2">
        <v>2.3754878530000001</v>
      </c>
      <c r="T1640" s="2">
        <v>0.82239200000000001</v>
      </c>
      <c r="U1640" s="2">
        <v>0.88340658599999999</v>
      </c>
      <c r="V1640" s="2">
        <v>3.7837599769999999</v>
      </c>
      <c r="W1640" s="2">
        <v>8.6966525000000003E-2</v>
      </c>
      <c r="X1640">
        <f t="shared" si="75"/>
        <v>0</v>
      </c>
      <c r="Y1640">
        <f t="shared" si="76"/>
        <v>1</v>
      </c>
      <c r="Z1640">
        <f t="shared" si="77"/>
        <v>0</v>
      </c>
    </row>
    <row r="1641" spans="1:26" ht="15.75" customHeight="1" x14ac:dyDescent="0.2">
      <c r="A1641" s="2" t="s">
        <v>23</v>
      </c>
      <c r="B1641" s="2" t="s">
        <v>35</v>
      </c>
      <c r="C1641" s="2" t="s">
        <v>25</v>
      </c>
      <c r="D1641" s="2" t="s">
        <v>25</v>
      </c>
      <c r="E1641" s="2">
        <v>222</v>
      </c>
      <c r="F1641" s="2">
        <v>225.33333329999999</v>
      </c>
      <c r="G1641" s="2">
        <v>720</v>
      </c>
      <c r="H1641" s="2">
        <v>1572.666667</v>
      </c>
      <c r="I1641" s="2">
        <v>2738.666667</v>
      </c>
      <c r="J1641" s="2">
        <v>2.23</v>
      </c>
      <c r="K1641" s="2">
        <v>6.67</v>
      </c>
      <c r="L1641" s="2">
        <v>11.41</v>
      </c>
      <c r="M1641" s="2">
        <v>15.1</v>
      </c>
      <c r="N1641" s="2">
        <v>0.52111936599999997</v>
      </c>
      <c r="O1641" s="2">
        <v>0.50998322900000004</v>
      </c>
      <c r="P1641" s="2">
        <v>2.0326491720000002</v>
      </c>
      <c r="Q1641" s="2">
        <v>2.160876794</v>
      </c>
      <c r="R1641" s="2">
        <v>2.0321492179999998</v>
      </c>
      <c r="S1641" s="2">
        <v>2.1608180419999998</v>
      </c>
      <c r="T1641" s="2">
        <v>4.5080038000000003E-2</v>
      </c>
      <c r="U1641" s="2">
        <v>1.5934547E-2</v>
      </c>
      <c r="V1641" s="2">
        <v>3.5690901660000001</v>
      </c>
      <c r="W1641" s="2">
        <v>6.5492548999999997E-2</v>
      </c>
      <c r="X1641">
        <f t="shared" si="75"/>
        <v>0</v>
      </c>
      <c r="Y1641">
        <f t="shared" si="76"/>
        <v>1</v>
      </c>
      <c r="Z1641">
        <f t="shared" si="77"/>
        <v>0</v>
      </c>
    </row>
    <row r="1642" spans="1:26" ht="15.75" customHeight="1" x14ac:dyDescent="0.2">
      <c r="A1642" s="2" t="s">
        <v>23</v>
      </c>
      <c r="B1642" s="2" t="s">
        <v>35</v>
      </c>
      <c r="C1642" s="2" t="s">
        <v>25</v>
      </c>
      <c r="D1642" s="2" t="s">
        <v>25</v>
      </c>
      <c r="E1642" s="2">
        <v>186</v>
      </c>
      <c r="F1642" s="2">
        <v>223.33333329999999</v>
      </c>
      <c r="G1642" s="2">
        <v>874.33333330000005</v>
      </c>
      <c r="H1642" s="2">
        <v>1468.666667</v>
      </c>
      <c r="I1642" s="2">
        <v>2743</v>
      </c>
      <c r="J1642" s="2">
        <v>2.21</v>
      </c>
      <c r="K1642" s="2">
        <v>7.74</v>
      </c>
      <c r="L1642" s="2">
        <v>10.95</v>
      </c>
      <c r="M1642" s="2">
        <v>15.11</v>
      </c>
      <c r="N1642" s="2">
        <v>0.65890695799999999</v>
      </c>
      <c r="O1642" s="2">
        <v>0.79513753700000001</v>
      </c>
      <c r="P1642" s="2">
        <v>3.1262835779999998</v>
      </c>
      <c r="Q1642" s="2">
        <v>3.2620819029999999</v>
      </c>
      <c r="R1642" s="2">
        <v>3.099794299</v>
      </c>
      <c r="S1642" s="2">
        <v>3.228463122</v>
      </c>
      <c r="T1642" s="2">
        <v>0.40610875000000002</v>
      </c>
      <c r="U1642" s="2">
        <v>0.46712333499999997</v>
      </c>
      <c r="V1642" s="2">
        <v>4.6367352459999998</v>
      </c>
      <c r="W1642" s="2">
        <v>6.9109585000000001E-2</v>
      </c>
      <c r="X1642">
        <f t="shared" si="75"/>
        <v>0</v>
      </c>
      <c r="Y1642">
        <f t="shared" si="76"/>
        <v>1</v>
      </c>
      <c r="Z1642">
        <f t="shared" si="77"/>
        <v>0</v>
      </c>
    </row>
    <row r="1643" spans="1:26" ht="15.75" customHeight="1" x14ac:dyDescent="0.2">
      <c r="A1643" s="2" t="s">
        <v>23</v>
      </c>
      <c r="B1643" s="2" t="s">
        <v>35</v>
      </c>
      <c r="C1643" s="2" t="s">
        <v>28</v>
      </c>
      <c r="D1643" s="2" t="s">
        <v>29</v>
      </c>
      <c r="E1643" s="2">
        <v>116</v>
      </c>
      <c r="F1643" s="2">
        <v>271.66666670000001</v>
      </c>
      <c r="G1643" s="2">
        <v>345.66666670000001</v>
      </c>
      <c r="H1643" s="2">
        <v>1193</v>
      </c>
      <c r="I1643" s="2">
        <v>2221.666667</v>
      </c>
      <c r="J1643" s="2">
        <v>2.73</v>
      </c>
      <c r="K1643" s="2">
        <v>3.49</v>
      </c>
      <c r="L1643" s="2">
        <v>9.61</v>
      </c>
      <c r="M1643" s="2">
        <v>13.71</v>
      </c>
      <c r="N1643" s="2">
        <v>1.05984167</v>
      </c>
      <c r="O1643" s="2">
        <v>1.117891975</v>
      </c>
      <c r="P1643" s="2">
        <v>2.091388077</v>
      </c>
      <c r="Q1643" s="2">
        <v>2.0762979619999999</v>
      </c>
      <c r="R1643" s="2">
        <v>1.1511691260000001</v>
      </c>
      <c r="S1643" s="2">
        <v>1.0225003020000001</v>
      </c>
      <c r="T1643" s="2">
        <v>1.7460566239999999</v>
      </c>
      <c r="U1643" s="2">
        <v>1.8070712099999999</v>
      </c>
      <c r="V1643" s="2">
        <v>0.38577182199999999</v>
      </c>
      <c r="W1643" s="2">
        <v>5.7429956999999997E-2</v>
      </c>
      <c r="X1643">
        <f t="shared" si="75"/>
        <v>0</v>
      </c>
      <c r="Y1643">
        <f t="shared" si="76"/>
        <v>1</v>
      </c>
      <c r="Z1643">
        <f t="shared" si="77"/>
        <v>1</v>
      </c>
    </row>
    <row r="1644" spans="1:26" ht="15.75" customHeight="1" x14ac:dyDescent="0.2">
      <c r="A1644" s="2" t="s">
        <v>23</v>
      </c>
      <c r="B1644" s="2" t="s">
        <v>35</v>
      </c>
      <c r="C1644" s="2" t="s">
        <v>30</v>
      </c>
      <c r="D1644" s="2" t="s">
        <v>31</v>
      </c>
      <c r="E1644" s="2">
        <v>104</v>
      </c>
      <c r="F1644" s="2">
        <v>220</v>
      </c>
      <c r="G1644" s="2">
        <v>398</v>
      </c>
      <c r="H1644" s="2">
        <v>1131</v>
      </c>
      <c r="I1644" s="2">
        <v>2024.666667</v>
      </c>
      <c r="J1644" s="2">
        <v>2.1800000000000002</v>
      </c>
      <c r="K1644" s="2">
        <v>4</v>
      </c>
      <c r="L1644" s="2">
        <v>9.2799999999999994</v>
      </c>
      <c r="M1644" s="2">
        <v>13.09</v>
      </c>
      <c r="N1644" s="2">
        <v>4.1811173400000001</v>
      </c>
      <c r="O1644" s="2">
        <v>4.6003064580000004</v>
      </c>
      <c r="P1644" s="2">
        <v>2.1781458680000001</v>
      </c>
      <c r="Q1644" s="2">
        <v>2.2028133240000001</v>
      </c>
      <c r="R1644" s="2">
        <v>0.64535499100000004</v>
      </c>
      <c r="S1644" s="2">
        <v>0.516686168</v>
      </c>
      <c r="T1644" s="2">
        <v>2.0803452490000001</v>
      </c>
      <c r="U1644" s="2">
        <v>2.1413598349999998</v>
      </c>
      <c r="V1644" s="2">
        <v>0.89158595699999998</v>
      </c>
      <c r="W1644" s="2">
        <v>6.0889990999999997E-2</v>
      </c>
      <c r="X1644">
        <f t="shared" si="75"/>
        <v>0</v>
      </c>
      <c r="Y1644">
        <f t="shared" si="76"/>
        <v>1</v>
      </c>
      <c r="Z1644">
        <f t="shared" si="77"/>
        <v>1</v>
      </c>
    </row>
    <row r="1645" spans="1:26" ht="15.75" customHeight="1" x14ac:dyDescent="0.2">
      <c r="A1645" s="2" t="s">
        <v>23</v>
      </c>
      <c r="B1645" s="2" t="s">
        <v>35</v>
      </c>
      <c r="C1645" s="2" t="s">
        <v>32</v>
      </c>
      <c r="D1645" s="2" t="s">
        <v>33</v>
      </c>
      <c r="E1645" s="2">
        <v>117</v>
      </c>
      <c r="F1645" s="2">
        <v>258.33333329999999</v>
      </c>
      <c r="G1645" s="2">
        <v>436</v>
      </c>
      <c r="H1645" s="2">
        <v>971</v>
      </c>
      <c r="I1645" s="2">
        <v>2668.333333</v>
      </c>
      <c r="J1645" s="2">
        <v>2.59</v>
      </c>
      <c r="K1645" s="2">
        <v>4.3499999999999996</v>
      </c>
      <c r="L1645" s="2">
        <v>8.35</v>
      </c>
      <c r="M1645" s="2">
        <v>14.93</v>
      </c>
      <c r="N1645" s="2">
        <v>4.0967890679999996</v>
      </c>
      <c r="O1645" s="2">
        <v>4.2360767250000002</v>
      </c>
      <c r="P1645" s="2">
        <v>3.0224972480000001</v>
      </c>
      <c r="Q1645" s="2">
        <v>3.0737198619999999</v>
      </c>
      <c r="R1645" s="2">
        <v>0.29192299100000002</v>
      </c>
      <c r="S1645" s="2">
        <v>0.16325416800000001</v>
      </c>
      <c r="T1645" s="2">
        <v>3.0083667630000002</v>
      </c>
      <c r="U1645" s="2">
        <v>3.0693813489999999</v>
      </c>
      <c r="V1645" s="2">
        <v>1.2450179560000001</v>
      </c>
      <c r="W1645" s="2">
        <v>0.103410482</v>
      </c>
      <c r="X1645">
        <f t="shared" si="75"/>
        <v>0</v>
      </c>
      <c r="Y1645">
        <f t="shared" si="76"/>
        <v>1</v>
      </c>
      <c r="Z1645">
        <f t="shared" si="77"/>
        <v>1</v>
      </c>
    </row>
    <row r="1646" spans="1:26" ht="15.75" customHeight="1" x14ac:dyDescent="0.2">
      <c r="A1646" s="2" t="s">
        <v>23</v>
      </c>
      <c r="B1646" s="2" t="s">
        <v>35</v>
      </c>
      <c r="C1646" s="2" t="s">
        <v>26</v>
      </c>
      <c r="D1646" s="2" t="s">
        <v>26</v>
      </c>
      <c r="E1646" s="2">
        <v>189</v>
      </c>
      <c r="F1646" s="2">
        <v>226</v>
      </c>
      <c r="G1646" s="2">
        <v>401</v>
      </c>
      <c r="H1646" s="2">
        <v>1208.333333</v>
      </c>
      <c r="I1646" s="2">
        <v>2760.333333</v>
      </c>
      <c r="J1646" s="2">
        <v>2.2400000000000002</v>
      </c>
      <c r="K1646" s="2">
        <v>4.0199999999999996</v>
      </c>
      <c r="L1646" s="2">
        <v>9.69</v>
      </c>
      <c r="M1646" s="2">
        <v>15.15</v>
      </c>
      <c r="N1646" s="2">
        <v>0.94174582900000003</v>
      </c>
      <c r="O1646" s="2">
        <v>1.1456707429999999</v>
      </c>
      <c r="P1646" s="2">
        <v>1.776034186</v>
      </c>
      <c r="Q1646" s="2">
        <v>1.794161659</v>
      </c>
      <c r="R1646" s="2">
        <v>0.61703883100000001</v>
      </c>
      <c r="S1646" s="2">
        <v>0.48837000800000002</v>
      </c>
      <c r="T1646" s="2">
        <v>1.665401006</v>
      </c>
      <c r="U1646" s="2">
        <v>1.7264155919999999</v>
      </c>
      <c r="V1646" s="2">
        <v>0.91990211600000005</v>
      </c>
      <c r="W1646" s="2">
        <v>6.7812275000000005E-2</v>
      </c>
      <c r="X1646">
        <f t="shared" si="75"/>
        <v>0</v>
      </c>
      <c r="Y1646">
        <f t="shared" si="76"/>
        <v>1</v>
      </c>
      <c r="Z1646">
        <f t="shared" si="77"/>
        <v>0</v>
      </c>
    </row>
    <row r="1647" spans="1:26" ht="15.75" customHeight="1" x14ac:dyDescent="0.2">
      <c r="A1647" s="2" t="s">
        <v>23</v>
      </c>
      <c r="B1647" s="2" t="s">
        <v>35</v>
      </c>
      <c r="C1647" s="2" t="s">
        <v>32</v>
      </c>
      <c r="D1647" s="2" t="s">
        <v>33</v>
      </c>
      <c r="E1647" s="2">
        <v>129</v>
      </c>
      <c r="F1647" s="2">
        <v>235</v>
      </c>
      <c r="G1647" s="2">
        <v>461</v>
      </c>
      <c r="H1647" s="2">
        <v>934</v>
      </c>
      <c r="I1647" s="2">
        <v>2373.666667</v>
      </c>
      <c r="J1647" s="2">
        <v>2.34</v>
      </c>
      <c r="K1647" s="2">
        <v>4.58</v>
      </c>
      <c r="L1647" s="2">
        <v>8.1199999999999992</v>
      </c>
      <c r="M1647" s="2">
        <v>14.15</v>
      </c>
      <c r="N1647" s="2">
        <v>4.118037309</v>
      </c>
      <c r="O1647" s="2">
        <v>4.2681634849999996</v>
      </c>
      <c r="P1647" s="2">
        <v>3.2382418469999998</v>
      </c>
      <c r="Q1647" s="2">
        <v>3.299200586</v>
      </c>
      <c r="R1647" s="2">
        <v>6.5452673000000003E-2</v>
      </c>
      <c r="S1647" s="2">
        <v>6.3216149999999999E-2</v>
      </c>
      <c r="T1647" s="2">
        <v>3.2375803009999999</v>
      </c>
      <c r="U1647" s="2">
        <v>3.2985948870000001</v>
      </c>
      <c r="V1647" s="2">
        <v>1.471488275</v>
      </c>
      <c r="W1647" s="2">
        <v>6.9560917E-2</v>
      </c>
      <c r="X1647">
        <f t="shared" si="75"/>
        <v>0</v>
      </c>
      <c r="Y1647">
        <f t="shared" si="76"/>
        <v>1</v>
      </c>
      <c r="Z1647">
        <f t="shared" si="77"/>
        <v>1</v>
      </c>
    </row>
    <row r="1648" spans="1:26" ht="15.75" customHeight="1" x14ac:dyDescent="0.2">
      <c r="A1648" s="2" t="s">
        <v>23</v>
      </c>
      <c r="B1648" s="2" t="s">
        <v>35</v>
      </c>
      <c r="C1648" s="2" t="s">
        <v>28</v>
      </c>
      <c r="D1648" s="2" t="s">
        <v>29</v>
      </c>
      <c r="E1648" s="2">
        <v>99</v>
      </c>
      <c r="F1648" s="2">
        <v>258.66666670000001</v>
      </c>
      <c r="G1648" s="2">
        <v>331.66666670000001</v>
      </c>
      <c r="H1648" s="2">
        <v>842.33333330000005</v>
      </c>
      <c r="I1648" s="2">
        <v>2257.666667</v>
      </c>
      <c r="J1648" s="2">
        <v>2.6</v>
      </c>
      <c r="K1648" s="2">
        <v>3.35</v>
      </c>
      <c r="L1648" s="2">
        <v>7.53</v>
      </c>
      <c r="M1648" s="2">
        <v>13.82</v>
      </c>
      <c r="N1648" s="2">
        <v>1.4463167509999999</v>
      </c>
      <c r="O1648" s="2">
        <v>1.1521157360000001</v>
      </c>
      <c r="P1648" s="2">
        <v>4.0429832770000003</v>
      </c>
      <c r="Q1648" s="2">
        <v>4.0622015899999999</v>
      </c>
      <c r="R1648" s="2">
        <v>1.2903991669999999</v>
      </c>
      <c r="S1648" s="2">
        <v>1.161730344</v>
      </c>
      <c r="T1648" s="2">
        <v>3.8315249919999999</v>
      </c>
      <c r="U1648" s="2">
        <v>3.8925395780000001</v>
      </c>
      <c r="V1648" s="2">
        <v>0.24654178099999999</v>
      </c>
      <c r="W1648" s="2">
        <v>4.1166079000000001E-2</v>
      </c>
      <c r="X1648">
        <f t="shared" si="75"/>
        <v>0</v>
      </c>
      <c r="Y1648">
        <f t="shared" si="76"/>
        <v>1</v>
      </c>
      <c r="Z1648">
        <f t="shared" si="77"/>
        <v>1</v>
      </c>
    </row>
    <row r="1649" spans="1:26" ht="15.75" customHeight="1" x14ac:dyDescent="0.2">
      <c r="A1649" s="2" t="s">
        <v>23</v>
      </c>
      <c r="B1649" s="2" t="s">
        <v>35</v>
      </c>
      <c r="C1649" s="2" t="s">
        <v>32</v>
      </c>
      <c r="D1649" s="2" t="s">
        <v>33</v>
      </c>
      <c r="E1649" s="2">
        <v>121</v>
      </c>
      <c r="F1649" s="2">
        <v>250.66666670000001</v>
      </c>
      <c r="G1649" s="2">
        <v>534.33333330000005</v>
      </c>
      <c r="H1649" s="2">
        <v>1404.333333</v>
      </c>
      <c r="I1649" s="2">
        <v>3080.333333</v>
      </c>
      <c r="J1649" s="2">
        <v>2.5099999999999998</v>
      </c>
      <c r="K1649" s="2">
        <v>5.21</v>
      </c>
      <c r="L1649" s="2">
        <v>10.66</v>
      </c>
      <c r="M1649" s="2">
        <v>15.85</v>
      </c>
      <c r="N1649" s="2">
        <v>2.075001662</v>
      </c>
      <c r="O1649" s="2">
        <v>2.134674757</v>
      </c>
      <c r="P1649" s="2">
        <v>0.90376820199999996</v>
      </c>
      <c r="Q1649" s="2">
        <v>1.034294413</v>
      </c>
      <c r="R1649" s="2">
        <v>0.57267125699999999</v>
      </c>
      <c r="S1649" s="2">
        <v>0.701340081</v>
      </c>
      <c r="T1649" s="2">
        <v>0.69917422299999998</v>
      </c>
      <c r="U1649" s="2">
        <v>0.76018880799999999</v>
      </c>
      <c r="V1649" s="2">
        <v>2.1096122049999999</v>
      </c>
      <c r="W1649" s="2">
        <v>6.1273995999999997E-2</v>
      </c>
      <c r="X1649">
        <f t="shared" si="75"/>
        <v>0</v>
      </c>
      <c r="Y1649">
        <f t="shared" si="76"/>
        <v>1</v>
      </c>
      <c r="Z1649">
        <f t="shared" si="77"/>
        <v>1</v>
      </c>
    </row>
    <row r="1650" spans="1:26" ht="15.75" customHeight="1" x14ac:dyDescent="0.2">
      <c r="A1650" s="2" t="s">
        <v>23</v>
      </c>
      <c r="B1650" s="2" t="s">
        <v>35</v>
      </c>
      <c r="C1650" s="2" t="s">
        <v>25</v>
      </c>
      <c r="D1650" s="2" t="s">
        <v>25</v>
      </c>
      <c r="E1650" s="2">
        <v>177</v>
      </c>
      <c r="F1650" s="2">
        <v>266.66666670000001</v>
      </c>
      <c r="G1650" s="2">
        <v>753.66666669999995</v>
      </c>
      <c r="H1650" s="2">
        <v>1887</v>
      </c>
      <c r="I1650" s="2">
        <v>3117.666667</v>
      </c>
      <c r="J1650" s="2">
        <v>2.68</v>
      </c>
      <c r="K1650" s="2">
        <v>6.92</v>
      </c>
      <c r="L1650" s="2">
        <v>12.62</v>
      </c>
      <c r="M1650" s="2">
        <v>15.93</v>
      </c>
      <c r="N1650" s="2">
        <v>1.339670315</v>
      </c>
      <c r="O1650" s="2">
        <v>1.1397799799999999</v>
      </c>
      <c r="P1650" s="2">
        <v>2.6012052570000002</v>
      </c>
      <c r="Q1650" s="2">
        <v>2.6866855630000002</v>
      </c>
      <c r="R1650" s="2">
        <v>2.2754041819999999</v>
      </c>
      <c r="S1650" s="2">
        <v>2.4040730049999999</v>
      </c>
      <c r="T1650" s="2">
        <v>1.2604779239999999</v>
      </c>
      <c r="U1650" s="2">
        <v>1.199463339</v>
      </c>
      <c r="V1650" s="2">
        <v>3.8123451290000001</v>
      </c>
      <c r="W1650" s="2">
        <v>7.3619654000000007E-2</v>
      </c>
      <c r="X1650">
        <f t="shared" si="75"/>
        <v>0</v>
      </c>
      <c r="Y1650">
        <f t="shared" si="76"/>
        <v>1</v>
      </c>
      <c r="Z1650">
        <f t="shared" si="77"/>
        <v>0</v>
      </c>
    </row>
    <row r="1651" spans="1:26" ht="15.75" customHeight="1" x14ac:dyDescent="0.2">
      <c r="A1651" s="2" t="s">
        <v>23</v>
      </c>
      <c r="B1651" s="2" t="s">
        <v>35</v>
      </c>
      <c r="C1651" s="2" t="s">
        <v>27</v>
      </c>
      <c r="D1651" s="2" t="s">
        <v>27</v>
      </c>
      <c r="E1651" s="2">
        <v>144</v>
      </c>
      <c r="F1651" s="2">
        <v>286.66666670000001</v>
      </c>
      <c r="G1651" s="2">
        <v>520</v>
      </c>
      <c r="H1651" s="2">
        <v>2229.333333</v>
      </c>
      <c r="I1651" s="2">
        <v>3090</v>
      </c>
      <c r="J1651" s="2">
        <v>2.89</v>
      </c>
      <c r="K1651" s="2">
        <v>5.09</v>
      </c>
      <c r="L1651" s="2">
        <v>13.74</v>
      </c>
      <c r="M1651" s="2">
        <v>15.87</v>
      </c>
      <c r="N1651" s="2">
        <v>0.885618668</v>
      </c>
      <c r="O1651" s="2">
        <v>1.0304052130000001</v>
      </c>
      <c r="P1651" s="2">
        <v>2.4190567440000001</v>
      </c>
      <c r="Q1651" s="2">
        <v>2.3870754839999999</v>
      </c>
      <c r="R1651" s="2">
        <v>0.45091426400000001</v>
      </c>
      <c r="S1651" s="2">
        <v>0.57958308700000005</v>
      </c>
      <c r="T1651" s="2">
        <v>2.3766598110000001</v>
      </c>
      <c r="U1651" s="2">
        <v>2.3156452249999999</v>
      </c>
      <c r="V1651" s="2">
        <v>1.9878552119999999</v>
      </c>
      <c r="W1651" s="2">
        <v>8.5208174999999997E-2</v>
      </c>
      <c r="X1651">
        <f t="shared" si="75"/>
        <v>0</v>
      </c>
      <c r="Y1651">
        <f t="shared" si="76"/>
        <v>1</v>
      </c>
      <c r="Z1651">
        <f t="shared" si="77"/>
        <v>0</v>
      </c>
    </row>
    <row r="1652" spans="1:26" ht="15.75" customHeight="1" x14ac:dyDescent="0.2">
      <c r="A1652" s="2" t="s">
        <v>23</v>
      </c>
      <c r="B1652" s="2" t="s">
        <v>35</v>
      </c>
      <c r="C1652" s="2" t="s">
        <v>30</v>
      </c>
      <c r="D1652" s="2" t="s">
        <v>31</v>
      </c>
      <c r="E1652" s="2">
        <v>101</v>
      </c>
      <c r="F1652" s="2">
        <v>258.66666670000001</v>
      </c>
      <c r="G1652" s="2">
        <v>336</v>
      </c>
      <c r="H1652" s="2">
        <v>1200.666667</v>
      </c>
      <c r="I1652" s="2">
        <v>1961.333333</v>
      </c>
      <c r="J1652" s="2">
        <v>2.6</v>
      </c>
      <c r="K1652" s="2">
        <v>3.39</v>
      </c>
      <c r="L1652" s="2">
        <v>9.65</v>
      </c>
      <c r="M1652" s="2">
        <v>12.88</v>
      </c>
      <c r="N1652" s="2">
        <v>3.8944206389999998</v>
      </c>
      <c r="O1652" s="2">
        <v>4.2789528590000003</v>
      </c>
      <c r="P1652" s="2">
        <v>2.1129344880000001</v>
      </c>
      <c r="Q1652" s="2">
        <v>2.090926998</v>
      </c>
      <c r="R1652" s="2">
        <v>1.2471227149999999</v>
      </c>
      <c r="S1652" s="2">
        <v>1.1184538909999999</v>
      </c>
      <c r="T1652" s="2">
        <v>1.7056309940000001</v>
      </c>
      <c r="U1652" s="2">
        <v>1.76664558</v>
      </c>
      <c r="V1652" s="2">
        <v>0.28981823299999998</v>
      </c>
      <c r="W1652" s="2">
        <v>6.0410470000000001E-2</v>
      </c>
      <c r="X1652">
        <f t="shared" si="75"/>
        <v>0</v>
      </c>
      <c r="Y1652">
        <f t="shared" si="76"/>
        <v>1</v>
      </c>
      <c r="Z1652">
        <f t="shared" si="77"/>
        <v>1</v>
      </c>
    </row>
    <row r="1653" spans="1:26" ht="15.75" customHeight="1" x14ac:dyDescent="0.2">
      <c r="A1653" s="2" t="s">
        <v>23</v>
      </c>
      <c r="B1653" s="2" t="s">
        <v>35</v>
      </c>
      <c r="C1653" s="2" t="s">
        <v>25</v>
      </c>
      <c r="D1653" s="2" t="s">
        <v>25</v>
      </c>
      <c r="E1653" s="2">
        <v>123</v>
      </c>
      <c r="F1653" s="2">
        <v>221</v>
      </c>
      <c r="G1653" s="2">
        <v>823</v>
      </c>
      <c r="H1653" s="2">
        <v>1647.666667</v>
      </c>
      <c r="I1653" s="2">
        <v>3023.666667</v>
      </c>
      <c r="J1653" s="2">
        <v>2.19</v>
      </c>
      <c r="K1653" s="2">
        <v>7.4</v>
      </c>
      <c r="L1653" s="2">
        <v>11.71</v>
      </c>
      <c r="M1653" s="2">
        <v>15.74</v>
      </c>
      <c r="N1653" s="2">
        <v>0.459033003</v>
      </c>
      <c r="O1653" s="2">
        <v>0.305218241</v>
      </c>
      <c r="P1653" s="2">
        <v>2.7804911959999998</v>
      </c>
      <c r="Q1653" s="2">
        <v>2.90135576</v>
      </c>
      <c r="R1653" s="2">
        <v>2.7578241320000001</v>
      </c>
      <c r="S1653" s="2">
        <v>2.886492955</v>
      </c>
      <c r="T1653" s="2">
        <v>0.354312505</v>
      </c>
      <c r="U1653" s="2">
        <v>0.29329791900000002</v>
      </c>
      <c r="V1653" s="2">
        <v>4.2947650790000003</v>
      </c>
      <c r="W1653" s="2">
        <v>6.7920462000000001E-2</v>
      </c>
      <c r="X1653">
        <f t="shared" si="75"/>
        <v>0</v>
      </c>
      <c r="Y1653">
        <f t="shared" si="76"/>
        <v>1</v>
      </c>
      <c r="Z1653">
        <f t="shared" si="77"/>
        <v>0</v>
      </c>
    </row>
    <row r="1654" spans="1:26" ht="15.75" customHeight="1" x14ac:dyDescent="0.2">
      <c r="A1654" s="2" t="s">
        <v>23</v>
      </c>
      <c r="B1654" s="2" t="s">
        <v>35</v>
      </c>
      <c r="C1654" s="2" t="s">
        <v>30</v>
      </c>
      <c r="D1654" s="2" t="s">
        <v>31</v>
      </c>
      <c r="E1654" s="2">
        <v>140</v>
      </c>
      <c r="F1654" s="2">
        <v>252</v>
      </c>
      <c r="G1654" s="2">
        <v>585.66666669999995</v>
      </c>
      <c r="H1654" s="2">
        <v>1249.666667</v>
      </c>
      <c r="I1654" s="2">
        <v>2391</v>
      </c>
      <c r="J1654" s="2">
        <v>2.52</v>
      </c>
      <c r="K1654" s="2">
        <v>5.64</v>
      </c>
      <c r="L1654" s="2">
        <v>9.91</v>
      </c>
      <c r="M1654" s="2">
        <v>14.2</v>
      </c>
      <c r="N1654" s="2">
        <v>3.8058103050000001</v>
      </c>
      <c r="O1654" s="2">
        <v>4.2691599140000003</v>
      </c>
      <c r="P1654" s="2">
        <v>1.761463437</v>
      </c>
      <c r="Q1654" s="2">
        <v>1.885970881</v>
      </c>
      <c r="R1654" s="2">
        <v>0.99748281599999999</v>
      </c>
      <c r="S1654" s="2">
        <v>1.12615164</v>
      </c>
      <c r="T1654" s="2">
        <v>1.4518200539999999</v>
      </c>
      <c r="U1654" s="2">
        <v>1.5128346399999999</v>
      </c>
      <c r="V1654" s="2">
        <v>2.534423764</v>
      </c>
      <c r="W1654" s="2">
        <v>8.1297494999999997E-2</v>
      </c>
      <c r="X1654">
        <f t="shared" si="75"/>
        <v>0</v>
      </c>
      <c r="Y1654">
        <f t="shared" si="76"/>
        <v>1</v>
      </c>
      <c r="Z1654">
        <f t="shared" si="77"/>
        <v>1</v>
      </c>
    </row>
    <row r="1655" spans="1:26" ht="15.75" customHeight="1" x14ac:dyDescent="0.2">
      <c r="A1655" s="2" t="s">
        <v>23</v>
      </c>
      <c r="B1655" s="2" t="s">
        <v>35</v>
      </c>
      <c r="C1655" s="2" t="s">
        <v>25</v>
      </c>
      <c r="D1655" s="2" t="s">
        <v>25</v>
      </c>
      <c r="E1655" s="2">
        <v>107</v>
      </c>
      <c r="F1655" s="2">
        <v>242.33333329999999</v>
      </c>
      <c r="G1655" s="2">
        <v>873.66666669999995</v>
      </c>
      <c r="H1655" s="2">
        <v>1398.333333</v>
      </c>
      <c r="I1655" s="2">
        <v>2542.666667</v>
      </c>
      <c r="J1655" s="2">
        <v>2.42</v>
      </c>
      <c r="K1655" s="2">
        <v>7.74</v>
      </c>
      <c r="L1655" s="2">
        <v>10.63</v>
      </c>
      <c r="M1655" s="2">
        <v>14.61</v>
      </c>
      <c r="N1655" s="2">
        <v>0.81075285200000002</v>
      </c>
      <c r="O1655" s="2">
        <v>0.79880769500000004</v>
      </c>
      <c r="P1655" s="2">
        <v>3.0737884050000002</v>
      </c>
      <c r="Q1655" s="2">
        <v>3.0118031429999998</v>
      </c>
      <c r="R1655" s="2">
        <v>2.992197768</v>
      </c>
      <c r="S1655" s="2">
        <v>2.9436247569999998</v>
      </c>
      <c r="T1655" s="2">
        <v>0.70351096400000002</v>
      </c>
      <c r="U1655" s="2">
        <v>0.63720598100000003</v>
      </c>
      <c r="V1655" s="2">
        <v>4.5055074179999997</v>
      </c>
      <c r="W1655" s="2">
        <v>9.8572772000000003E-2</v>
      </c>
      <c r="X1655">
        <f t="shared" si="75"/>
        <v>0</v>
      </c>
      <c r="Y1655">
        <f t="shared" si="76"/>
        <v>1</v>
      </c>
      <c r="Z1655">
        <f t="shared" si="77"/>
        <v>0</v>
      </c>
    </row>
    <row r="1656" spans="1:26" ht="15.75" customHeight="1" x14ac:dyDescent="0.2">
      <c r="A1656" s="2" t="s">
        <v>23</v>
      </c>
      <c r="B1656" s="2" t="s">
        <v>35</v>
      </c>
      <c r="C1656" s="2" t="s">
        <v>26</v>
      </c>
      <c r="D1656" s="2" t="s">
        <v>26</v>
      </c>
      <c r="E1656" s="2">
        <v>80</v>
      </c>
      <c r="F1656" s="2">
        <v>173</v>
      </c>
      <c r="G1656" s="2">
        <v>381.33333329999999</v>
      </c>
      <c r="H1656" s="2">
        <v>982.33333330000005</v>
      </c>
      <c r="I1656" s="2">
        <v>3098.666667</v>
      </c>
      <c r="J1656" s="2">
        <v>1.64</v>
      </c>
      <c r="K1656" s="2">
        <v>3.84</v>
      </c>
      <c r="L1656" s="2">
        <v>8.42</v>
      </c>
      <c r="M1656" s="2">
        <v>15.89</v>
      </c>
      <c r="N1656" s="2">
        <v>0.36013491199999997</v>
      </c>
      <c r="O1656" s="2">
        <v>0.48104471999999998</v>
      </c>
      <c r="P1656" s="2">
        <v>3.0536219670000002</v>
      </c>
      <c r="Q1656" s="2">
        <v>3.0054682549999998</v>
      </c>
      <c r="R1656" s="2">
        <v>0.90722314299999995</v>
      </c>
      <c r="S1656" s="2">
        <v>0.95579615399999995</v>
      </c>
      <c r="T1656" s="2">
        <v>2.9157423219999998</v>
      </c>
      <c r="U1656" s="2">
        <v>2.849437338</v>
      </c>
      <c r="V1656" s="2">
        <v>0.606086507</v>
      </c>
      <c r="W1656" s="2">
        <v>0.103428692</v>
      </c>
      <c r="X1656">
        <f t="shared" si="75"/>
        <v>0</v>
      </c>
      <c r="Y1656">
        <f t="shared" si="76"/>
        <v>1</v>
      </c>
      <c r="Z1656">
        <f t="shared" si="77"/>
        <v>0</v>
      </c>
    </row>
    <row r="1657" spans="1:26" ht="15.75" customHeight="1" x14ac:dyDescent="0.2">
      <c r="A1657" s="2" t="s">
        <v>23</v>
      </c>
      <c r="B1657" s="2" t="s">
        <v>35</v>
      </c>
      <c r="C1657" s="2" t="s">
        <v>27</v>
      </c>
      <c r="D1657" s="2" t="s">
        <v>27</v>
      </c>
      <c r="E1657" s="2">
        <v>121</v>
      </c>
      <c r="F1657" s="2">
        <v>220.66666670000001</v>
      </c>
      <c r="G1657" s="2">
        <v>387.66666670000001</v>
      </c>
      <c r="H1657" s="2">
        <v>2206</v>
      </c>
      <c r="I1657" s="2">
        <v>2710.333333</v>
      </c>
      <c r="J1657" s="2">
        <v>2.1800000000000002</v>
      </c>
      <c r="K1657" s="2">
        <v>3.9</v>
      </c>
      <c r="L1657" s="2">
        <v>13.67</v>
      </c>
      <c r="M1657" s="2">
        <v>15.03</v>
      </c>
      <c r="N1657" s="2">
        <v>0.271923409</v>
      </c>
      <c r="O1657" s="2">
        <v>0.59837509499999997</v>
      </c>
      <c r="P1657" s="2">
        <v>2.479041209</v>
      </c>
      <c r="Q1657" s="2">
        <v>2.5580520349999998</v>
      </c>
      <c r="R1657" s="2">
        <v>0.84667713</v>
      </c>
      <c r="S1657" s="2">
        <v>0.895250141</v>
      </c>
      <c r="T1657" s="2">
        <v>2.3299749250000001</v>
      </c>
      <c r="U1657" s="2">
        <v>2.3962799079999999</v>
      </c>
      <c r="V1657" s="2">
        <v>0.66663251999999995</v>
      </c>
      <c r="W1657" s="2">
        <v>6.9861692000000003E-2</v>
      </c>
      <c r="X1657">
        <f t="shared" si="75"/>
        <v>0</v>
      </c>
      <c r="Y1657">
        <f t="shared" si="76"/>
        <v>1</v>
      </c>
      <c r="Z1657">
        <f t="shared" si="77"/>
        <v>0</v>
      </c>
    </row>
    <row r="1658" spans="1:26" ht="15.75" customHeight="1" x14ac:dyDescent="0.2">
      <c r="A1658" s="2" t="s">
        <v>23</v>
      </c>
      <c r="B1658" s="2" t="s">
        <v>35</v>
      </c>
      <c r="C1658" s="2" t="s">
        <v>28</v>
      </c>
      <c r="D1658" s="2" t="s">
        <v>29</v>
      </c>
      <c r="E1658" s="2">
        <v>101</v>
      </c>
      <c r="F1658" s="2">
        <v>206.33333329999999</v>
      </c>
      <c r="G1658" s="2">
        <v>351.33333329999999</v>
      </c>
      <c r="H1658" s="2">
        <v>1417.666667</v>
      </c>
      <c r="I1658" s="2">
        <v>2907</v>
      </c>
      <c r="J1658" s="2">
        <v>2.02</v>
      </c>
      <c r="K1658" s="2">
        <v>3.55</v>
      </c>
      <c r="L1658" s="2">
        <v>10.72</v>
      </c>
      <c r="M1658" s="2">
        <v>15.48</v>
      </c>
      <c r="N1658" s="2">
        <v>2.5733010570000001</v>
      </c>
      <c r="O1658" s="2">
        <v>2.3650903159999999</v>
      </c>
      <c r="P1658" s="2">
        <v>1.3466272079999999</v>
      </c>
      <c r="Q1658" s="2">
        <v>1.3620487910000001</v>
      </c>
      <c r="R1658" s="2">
        <v>1.1985283920000001</v>
      </c>
      <c r="S1658" s="2">
        <v>1.247101402</v>
      </c>
      <c r="T1658" s="2">
        <v>0.61394994300000005</v>
      </c>
      <c r="U1658" s="2">
        <v>0.54764495999999996</v>
      </c>
      <c r="V1658" s="2">
        <v>0.31478125899999998</v>
      </c>
      <c r="W1658" s="2">
        <v>4.9328545000000001E-2</v>
      </c>
      <c r="X1658">
        <f t="shared" si="75"/>
        <v>0</v>
      </c>
      <c r="Y1658">
        <f t="shared" si="76"/>
        <v>1</v>
      </c>
      <c r="Z1658">
        <f t="shared" si="77"/>
        <v>1</v>
      </c>
    </row>
    <row r="1659" spans="1:26" ht="15.75" customHeight="1" x14ac:dyDescent="0.2">
      <c r="A1659" s="2" t="s">
        <v>23</v>
      </c>
      <c r="B1659" s="2" t="s">
        <v>35</v>
      </c>
      <c r="C1659" s="2" t="s">
        <v>30</v>
      </c>
      <c r="D1659" s="2" t="s">
        <v>31</v>
      </c>
      <c r="E1659" s="2">
        <v>136</v>
      </c>
      <c r="F1659" s="2">
        <v>249.33333329999999</v>
      </c>
      <c r="G1659" s="2">
        <v>588</v>
      </c>
      <c r="H1659" s="2">
        <v>1339</v>
      </c>
      <c r="I1659" s="2">
        <v>2893</v>
      </c>
      <c r="J1659" s="2">
        <v>2.5</v>
      </c>
      <c r="K1659" s="2">
        <v>5.66</v>
      </c>
      <c r="L1659" s="2">
        <v>10.35</v>
      </c>
      <c r="M1659" s="2">
        <v>15.45</v>
      </c>
      <c r="N1659" s="2">
        <v>3.498597798</v>
      </c>
      <c r="O1659" s="2">
        <v>3.2245060799999998</v>
      </c>
      <c r="P1659" s="2">
        <v>1.343101495</v>
      </c>
      <c r="Q1659" s="2">
        <v>1.261490183</v>
      </c>
      <c r="R1659" s="2">
        <v>0.91315095899999998</v>
      </c>
      <c r="S1659" s="2">
        <v>0.86457794799999999</v>
      </c>
      <c r="T1659" s="2">
        <v>0.98492484599999996</v>
      </c>
      <c r="U1659" s="2">
        <v>0.91861986299999998</v>
      </c>
      <c r="V1659" s="2">
        <v>2.4264606089999998</v>
      </c>
      <c r="W1659" s="2">
        <v>7.8061065999999998E-2</v>
      </c>
      <c r="X1659">
        <f t="shared" si="75"/>
        <v>0</v>
      </c>
      <c r="Y1659">
        <f t="shared" si="76"/>
        <v>1</v>
      </c>
      <c r="Z1659">
        <f t="shared" si="77"/>
        <v>1</v>
      </c>
    </row>
    <row r="1660" spans="1:26" ht="15.75" customHeight="1" x14ac:dyDescent="0.2">
      <c r="A1660" s="2" t="s">
        <v>23</v>
      </c>
      <c r="B1660" s="2" t="s">
        <v>35</v>
      </c>
      <c r="C1660" s="2" t="s">
        <v>26</v>
      </c>
      <c r="D1660" s="2" t="s">
        <v>26</v>
      </c>
      <c r="E1660" s="2">
        <v>89</v>
      </c>
      <c r="F1660" s="2">
        <v>261.66666670000001</v>
      </c>
      <c r="G1660" s="2">
        <v>446</v>
      </c>
      <c r="H1660" s="2">
        <v>784.66666669999995</v>
      </c>
      <c r="I1660" s="2">
        <v>3107</v>
      </c>
      <c r="J1660" s="2">
        <v>2.63</v>
      </c>
      <c r="K1660" s="2">
        <v>4.4400000000000004</v>
      </c>
      <c r="L1660" s="2">
        <v>7.13</v>
      </c>
      <c r="M1660" s="2">
        <v>15.91</v>
      </c>
      <c r="N1660" s="2">
        <v>1.1252850889999999</v>
      </c>
      <c r="O1660" s="2">
        <v>1.3569586890000001</v>
      </c>
      <c r="P1660" s="2">
        <v>4.2129143259999999</v>
      </c>
      <c r="Q1660" s="2">
        <v>4.150628588</v>
      </c>
      <c r="R1660" s="2">
        <v>0.30400486999999998</v>
      </c>
      <c r="S1660" s="2">
        <v>0.35257788000000001</v>
      </c>
      <c r="T1660" s="2">
        <v>4.2019314789999997</v>
      </c>
      <c r="U1660" s="2">
        <v>4.1356264960000004</v>
      </c>
      <c r="V1660" s="2">
        <v>1.2093047809999999</v>
      </c>
      <c r="W1660" s="2">
        <v>9.7354188999999994E-2</v>
      </c>
      <c r="X1660">
        <f t="shared" si="75"/>
        <v>0</v>
      </c>
      <c r="Y1660">
        <f t="shared" si="76"/>
        <v>1</v>
      </c>
      <c r="Z1660">
        <f t="shared" si="77"/>
        <v>0</v>
      </c>
    </row>
    <row r="1661" spans="1:26" ht="15.75" customHeight="1" x14ac:dyDescent="0.2">
      <c r="A1661" s="2" t="s">
        <v>23</v>
      </c>
      <c r="B1661" s="2" t="s">
        <v>35</v>
      </c>
      <c r="C1661" s="2" t="s">
        <v>28</v>
      </c>
      <c r="D1661" s="2" t="s">
        <v>29</v>
      </c>
      <c r="E1661" s="2">
        <v>88</v>
      </c>
      <c r="F1661" s="2">
        <v>259.66666670000001</v>
      </c>
      <c r="G1661" s="2">
        <v>322.33333329999999</v>
      </c>
      <c r="H1661" s="2">
        <v>1212.666667</v>
      </c>
      <c r="I1661" s="2">
        <v>2361</v>
      </c>
      <c r="J1661" s="2">
        <v>2.61</v>
      </c>
      <c r="K1661" s="2">
        <v>3.26</v>
      </c>
      <c r="L1661" s="2">
        <v>9.7200000000000006</v>
      </c>
      <c r="M1661" s="2">
        <v>14.12</v>
      </c>
      <c r="N1661" s="2">
        <v>1.737666556</v>
      </c>
      <c r="O1661" s="2">
        <v>1.6229602299999999</v>
      </c>
      <c r="P1661" s="2">
        <v>2.1986613259999999</v>
      </c>
      <c r="Q1661" s="2">
        <v>2.1841802050000001</v>
      </c>
      <c r="R1661" s="2">
        <v>1.4874029049999999</v>
      </c>
      <c r="S1661" s="2">
        <v>1.5359759159999999</v>
      </c>
      <c r="T1661" s="2">
        <v>1.619180109</v>
      </c>
      <c r="U1661" s="2">
        <v>1.5528751249999999</v>
      </c>
      <c r="V1661" s="2">
        <v>2.5906744999999998E-2</v>
      </c>
      <c r="W1661" s="2">
        <v>9.2647594999999999E-2</v>
      </c>
      <c r="X1661">
        <f t="shared" si="75"/>
        <v>0</v>
      </c>
      <c r="Y1661">
        <f t="shared" si="76"/>
        <v>1</v>
      </c>
      <c r="Z1661">
        <f t="shared" si="77"/>
        <v>1</v>
      </c>
    </row>
    <row r="1662" spans="1:26" ht="15.75" customHeight="1" x14ac:dyDescent="0.2">
      <c r="A1662" s="2" t="s">
        <v>23</v>
      </c>
      <c r="B1662" s="2" t="s">
        <v>35</v>
      </c>
      <c r="C1662" s="2" t="s">
        <v>32</v>
      </c>
      <c r="D1662" s="2" t="s">
        <v>33</v>
      </c>
      <c r="E1662" s="2">
        <v>145</v>
      </c>
      <c r="F1662" s="2">
        <v>281</v>
      </c>
      <c r="G1662" s="2">
        <v>413</v>
      </c>
      <c r="H1662" s="2">
        <v>836.66666669999995</v>
      </c>
      <c r="I1662" s="2">
        <v>2504</v>
      </c>
      <c r="J1662" s="2">
        <v>2.83</v>
      </c>
      <c r="K1662" s="2">
        <v>4.1399999999999997</v>
      </c>
      <c r="L1662" s="2">
        <v>7.49</v>
      </c>
      <c r="M1662" s="2">
        <v>14.51</v>
      </c>
      <c r="N1662" s="2">
        <v>5.3977196770000004</v>
      </c>
      <c r="O1662" s="2">
        <v>5.1735253520000004</v>
      </c>
      <c r="P1662" s="2">
        <v>3.8936705520000001</v>
      </c>
      <c r="Q1662" s="2">
        <v>3.8362028939999999</v>
      </c>
      <c r="R1662" s="2">
        <v>0.60772492099999997</v>
      </c>
      <c r="S1662" s="2">
        <v>0.656297931</v>
      </c>
      <c r="T1662" s="2">
        <v>3.8459512199999999</v>
      </c>
      <c r="U1662" s="2">
        <v>3.779646236</v>
      </c>
      <c r="V1662" s="2">
        <v>0.90558472999999995</v>
      </c>
      <c r="W1662" s="2">
        <v>8.9309133999999998E-2</v>
      </c>
      <c r="X1662">
        <f t="shared" si="75"/>
        <v>0</v>
      </c>
      <c r="Y1662">
        <f t="shared" si="76"/>
        <v>1</v>
      </c>
      <c r="Z1662">
        <f t="shared" si="77"/>
        <v>1</v>
      </c>
    </row>
    <row r="1663" spans="1:26" ht="15.75" customHeight="1" x14ac:dyDescent="0.2">
      <c r="A1663" s="2" t="s">
        <v>23</v>
      </c>
      <c r="B1663" s="2" t="s">
        <v>35</v>
      </c>
      <c r="C1663" s="2" t="s">
        <v>32</v>
      </c>
      <c r="D1663" s="2" t="s">
        <v>33</v>
      </c>
      <c r="E1663" s="2">
        <v>135</v>
      </c>
      <c r="F1663" s="2">
        <v>212.66666670000001</v>
      </c>
      <c r="G1663" s="2">
        <v>614.66666669999995</v>
      </c>
      <c r="H1663" s="2">
        <v>1869</v>
      </c>
      <c r="I1663" s="2">
        <v>2990.333333</v>
      </c>
      <c r="J1663" s="2">
        <v>2.09</v>
      </c>
      <c r="K1663" s="2">
        <v>5.87</v>
      </c>
      <c r="L1663" s="2">
        <v>12.56</v>
      </c>
      <c r="M1663" s="2">
        <v>15.67</v>
      </c>
      <c r="N1663" s="2">
        <v>2.242680966</v>
      </c>
      <c r="O1663" s="2">
        <v>2.0143042449999999</v>
      </c>
      <c r="P1663" s="2">
        <v>1.660590974</v>
      </c>
      <c r="Q1663" s="2">
        <v>1.6782791290000001</v>
      </c>
      <c r="R1663" s="2">
        <v>1.126750927</v>
      </c>
      <c r="S1663" s="2">
        <v>1.078177916</v>
      </c>
      <c r="T1663" s="2">
        <v>1.2198338950000001</v>
      </c>
      <c r="U1663" s="2">
        <v>1.286138878</v>
      </c>
      <c r="V1663" s="2">
        <v>2.6400605769999999</v>
      </c>
      <c r="W1663" s="2">
        <v>8.2618857000000004E-2</v>
      </c>
      <c r="X1663">
        <f t="shared" si="75"/>
        <v>0</v>
      </c>
      <c r="Y1663">
        <f t="shared" si="76"/>
        <v>1</v>
      </c>
      <c r="Z1663">
        <f t="shared" si="77"/>
        <v>1</v>
      </c>
    </row>
    <row r="1664" spans="1:26" ht="15.75" customHeight="1" x14ac:dyDescent="0.2">
      <c r="A1664" s="2" t="s">
        <v>23</v>
      </c>
      <c r="B1664" s="2" t="s">
        <v>35</v>
      </c>
      <c r="C1664" s="2" t="s">
        <v>25</v>
      </c>
      <c r="D1664" s="2" t="s">
        <v>25</v>
      </c>
      <c r="E1664" s="2">
        <v>396</v>
      </c>
      <c r="F1664" s="2">
        <v>205.33333329999999</v>
      </c>
      <c r="G1664" s="2">
        <v>953.66666669999995</v>
      </c>
      <c r="H1664" s="2">
        <v>1684.333333</v>
      </c>
      <c r="I1664" s="2">
        <v>2633.666667</v>
      </c>
      <c r="J1664" s="2">
        <v>2.0099999999999998</v>
      </c>
      <c r="K1664" s="2">
        <v>8.25</v>
      </c>
      <c r="L1664" s="2">
        <v>11.86</v>
      </c>
      <c r="M1664" s="2">
        <v>14.84</v>
      </c>
      <c r="N1664" s="2">
        <v>0.60156838899999998</v>
      </c>
      <c r="O1664" s="2">
        <v>0.85652953499999995</v>
      </c>
      <c r="P1664" s="2">
        <v>3.5404140160000002</v>
      </c>
      <c r="Q1664" s="2">
        <v>3.5029542660000001</v>
      </c>
      <c r="R1664" s="2">
        <v>3.5013577300000001</v>
      </c>
      <c r="S1664" s="2">
        <v>3.4527847189999998</v>
      </c>
      <c r="T1664" s="2">
        <v>0.52442869199999997</v>
      </c>
      <c r="U1664" s="2">
        <v>0.59073367499999996</v>
      </c>
      <c r="V1664" s="2">
        <v>5.0146673799999997</v>
      </c>
      <c r="W1664" s="2">
        <v>9.9492168000000006E-2</v>
      </c>
      <c r="X1664">
        <f t="shared" si="75"/>
        <v>0</v>
      </c>
      <c r="Y1664">
        <f t="shared" si="76"/>
        <v>1</v>
      </c>
      <c r="Z1664">
        <f t="shared" si="77"/>
        <v>0</v>
      </c>
    </row>
    <row r="1665" spans="1:26" ht="15.75" customHeight="1" x14ac:dyDescent="0.2">
      <c r="A1665" s="2" t="s">
        <v>23</v>
      </c>
      <c r="B1665" s="2" t="s">
        <v>35</v>
      </c>
      <c r="C1665" s="2" t="s">
        <v>32</v>
      </c>
      <c r="D1665" s="2" t="s">
        <v>33</v>
      </c>
      <c r="E1665" s="2">
        <v>105</v>
      </c>
      <c r="F1665" s="2">
        <v>186.66666670000001</v>
      </c>
      <c r="G1665" s="2">
        <v>616.33333330000005</v>
      </c>
      <c r="H1665" s="2">
        <v>984.33333330000005</v>
      </c>
      <c r="I1665" s="2">
        <v>2540.666667</v>
      </c>
      <c r="J1665" s="2">
        <v>1.8</v>
      </c>
      <c r="K1665" s="2">
        <v>5.88</v>
      </c>
      <c r="L1665" s="2">
        <v>8.43</v>
      </c>
      <c r="M1665" s="2">
        <v>14.6</v>
      </c>
      <c r="N1665" s="2">
        <v>3.5740088399999999</v>
      </c>
      <c r="O1665" s="2">
        <v>3.3913465390000002</v>
      </c>
      <c r="P1665" s="2">
        <v>3.1193673830000002</v>
      </c>
      <c r="Q1665" s="2">
        <v>3.0399701939999999</v>
      </c>
      <c r="R1665" s="2">
        <v>1.139954108</v>
      </c>
      <c r="S1665" s="2">
        <v>1.091381097</v>
      </c>
      <c r="T1665" s="2">
        <v>2.9036111139999998</v>
      </c>
      <c r="U1665" s="2">
        <v>2.8373061310000001</v>
      </c>
      <c r="V1665" s="2">
        <v>2.653263758</v>
      </c>
      <c r="W1665" s="2">
        <v>0.104711342</v>
      </c>
      <c r="X1665">
        <f t="shared" si="75"/>
        <v>0</v>
      </c>
      <c r="Y1665">
        <f t="shared" si="76"/>
        <v>1</v>
      </c>
      <c r="Z1665">
        <f t="shared" si="77"/>
        <v>1</v>
      </c>
    </row>
    <row r="1666" spans="1:26" ht="15.75" customHeight="1" x14ac:dyDescent="0.2">
      <c r="A1666" s="2" t="s">
        <v>23</v>
      </c>
      <c r="B1666" s="2" t="s">
        <v>35</v>
      </c>
      <c r="C1666" s="2" t="s">
        <v>32</v>
      </c>
      <c r="D1666" s="2" t="s">
        <v>33</v>
      </c>
      <c r="E1666" s="2">
        <v>82</v>
      </c>
      <c r="F1666" s="2">
        <v>213.66666670000001</v>
      </c>
      <c r="G1666" s="2">
        <v>742.33333330000005</v>
      </c>
      <c r="H1666" s="2">
        <v>1071</v>
      </c>
      <c r="I1666" s="2">
        <v>3100.333333</v>
      </c>
      <c r="J1666" s="2">
        <v>2.11</v>
      </c>
      <c r="K1666" s="2">
        <v>6.83</v>
      </c>
      <c r="L1666" s="2">
        <v>8.94</v>
      </c>
      <c r="M1666" s="2">
        <v>15.9</v>
      </c>
      <c r="N1666" s="2">
        <v>2.682374689</v>
      </c>
      <c r="O1666" s="2">
        <v>2.553421443</v>
      </c>
      <c r="P1666" s="2">
        <v>3.1780510400000002</v>
      </c>
      <c r="Q1666" s="2">
        <v>3.0961685870000002</v>
      </c>
      <c r="R1666" s="2">
        <v>2.0909583619999998</v>
      </c>
      <c r="S1666" s="2">
        <v>2.0423853510000001</v>
      </c>
      <c r="T1666" s="2">
        <v>2.3933034790000001</v>
      </c>
      <c r="U1666" s="2">
        <v>2.3269984949999998</v>
      </c>
      <c r="V1666" s="2">
        <v>3.6042680119999999</v>
      </c>
      <c r="W1666" s="2">
        <v>8.0339105999999993E-2</v>
      </c>
      <c r="X1666">
        <f t="shared" si="75"/>
        <v>0</v>
      </c>
      <c r="Y1666">
        <f t="shared" si="76"/>
        <v>1</v>
      </c>
      <c r="Z1666">
        <f t="shared" si="77"/>
        <v>1</v>
      </c>
    </row>
    <row r="1667" spans="1:26" ht="15.75" customHeight="1" x14ac:dyDescent="0.2">
      <c r="A1667" s="2" t="s">
        <v>23</v>
      </c>
      <c r="B1667" s="2" t="s">
        <v>35</v>
      </c>
      <c r="C1667" s="2" t="s">
        <v>25</v>
      </c>
      <c r="D1667" s="2" t="s">
        <v>25</v>
      </c>
      <c r="E1667" s="2">
        <v>118</v>
      </c>
      <c r="F1667" s="2">
        <v>200.33333329999999</v>
      </c>
      <c r="G1667" s="2">
        <v>896</v>
      </c>
      <c r="H1667" s="2">
        <v>1598.666667</v>
      </c>
      <c r="I1667" s="2">
        <v>2303</v>
      </c>
      <c r="J1667" s="2">
        <v>1.96</v>
      </c>
      <c r="K1667" s="2">
        <v>7.88</v>
      </c>
      <c r="L1667" s="2">
        <v>11.51</v>
      </c>
      <c r="M1667" s="2">
        <v>13.95</v>
      </c>
      <c r="N1667" s="2">
        <v>9.8791113999999999E-2</v>
      </c>
      <c r="O1667" s="2">
        <v>0.376220885</v>
      </c>
      <c r="P1667" s="2">
        <v>3.1422157589999999</v>
      </c>
      <c r="Q1667" s="2">
        <v>3.0982290610000001</v>
      </c>
      <c r="R1667" s="2">
        <v>3.1372082739999998</v>
      </c>
      <c r="S1667" s="2">
        <v>3.0886352640000001</v>
      </c>
      <c r="T1667" s="2">
        <v>0.177324906</v>
      </c>
      <c r="U1667" s="2">
        <v>0.24362988999999999</v>
      </c>
      <c r="V1667" s="2">
        <v>4.6505179249999999</v>
      </c>
      <c r="W1667" s="2">
        <v>0.13602157300000001</v>
      </c>
      <c r="X1667">
        <f t="shared" ref="X1667:X1730" si="78">IF(B1667="normal",1,0)</f>
        <v>0</v>
      </c>
      <c r="Y1667">
        <f t="shared" ref="Y1667:Y1730" si="79">IF(A1667="lecture",1,0)</f>
        <v>1</v>
      </c>
      <c r="Z1667">
        <f t="shared" ref="Z1667:Z1730" si="80">IF(ISNUMBER(FIND("~",D1667)),1,0)</f>
        <v>0</v>
      </c>
    </row>
    <row r="1668" spans="1:26" ht="15.75" customHeight="1" x14ac:dyDescent="0.2">
      <c r="A1668" s="2" t="s">
        <v>23</v>
      </c>
      <c r="B1668" s="2" t="s">
        <v>35</v>
      </c>
      <c r="C1668" s="2" t="s">
        <v>25</v>
      </c>
      <c r="D1668" s="2" t="s">
        <v>25</v>
      </c>
      <c r="E1668" s="2">
        <v>105</v>
      </c>
      <c r="F1668" s="2">
        <v>201.33333329999999</v>
      </c>
      <c r="G1668" s="2">
        <v>944</v>
      </c>
      <c r="H1668" s="2">
        <v>1518.333333</v>
      </c>
      <c r="I1668" s="2">
        <v>2540.666667</v>
      </c>
      <c r="J1668" s="2">
        <v>1.97</v>
      </c>
      <c r="K1668" s="2">
        <v>8.19</v>
      </c>
      <c r="L1668" s="2">
        <v>11.17</v>
      </c>
      <c r="M1668" s="2">
        <v>14.6</v>
      </c>
      <c r="N1668" s="2">
        <v>0.45594828999999998</v>
      </c>
      <c r="O1668" s="2">
        <v>0.70212446399999995</v>
      </c>
      <c r="P1668" s="2">
        <v>3.445215766</v>
      </c>
      <c r="Q1668" s="2">
        <v>3.3941490430000001</v>
      </c>
      <c r="R1668" s="2">
        <v>3.4413243009999999</v>
      </c>
      <c r="S1668" s="2">
        <v>3.3927512900000001</v>
      </c>
      <c r="T1668" s="2">
        <v>0.163703193</v>
      </c>
      <c r="U1668" s="2">
        <v>9.7398208999999999E-2</v>
      </c>
      <c r="V1668" s="2">
        <v>4.9546339509999999</v>
      </c>
      <c r="W1668" s="2">
        <v>0.15338880999999999</v>
      </c>
      <c r="X1668">
        <f t="shared" si="78"/>
        <v>0</v>
      </c>
      <c r="Y1668">
        <f t="shared" si="79"/>
        <v>1</v>
      </c>
      <c r="Z1668">
        <f t="shared" si="80"/>
        <v>0</v>
      </c>
    </row>
    <row r="1669" spans="1:26" ht="15.75" customHeight="1" x14ac:dyDescent="0.2">
      <c r="A1669" s="2" t="s">
        <v>23</v>
      </c>
      <c r="B1669" s="2" t="s">
        <v>35</v>
      </c>
      <c r="C1669" s="2" t="s">
        <v>27</v>
      </c>
      <c r="D1669" s="2" t="s">
        <v>27</v>
      </c>
      <c r="E1669" s="2">
        <v>126</v>
      </c>
      <c r="F1669" s="2">
        <v>213.33333329999999</v>
      </c>
      <c r="G1669" s="2">
        <v>489</v>
      </c>
      <c r="H1669" s="2">
        <v>1477.333333</v>
      </c>
      <c r="I1669" s="2">
        <v>2551.333333</v>
      </c>
      <c r="J1669" s="2">
        <v>2.1</v>
      </c>
      <c r="K1669" s="2">
        <v>4.82</v>
      </c>
      <c r="L1669" s="2">
        <v>10.99</v>
      </c>
      <c r="M1669" s="2">
        <v>14.63</v>
      </c>
      <c r="N1669" s="2">
        <v>2.5946245349999999</v>
      </c>
      <c r="O1669" s="2">
        <v>2.3616686609999999</v>
      </c>
      <c r="P1669" s="2">
        <v>0.35296144499999998</v>
      </c>
      <c r="Q1669" s="2">
        <v>0.27930786200000002</v>
      </c>
      <c r="R1669" s="2">
        <v>7.9470021000000002E-2</v>
      </c>
      <c r="S1669" s="2">
        <v>3.0897010999999999E-2</v>
      </c>
      <c r="T1669" s="2">
        <v>0.34389867299999999</v>
      </c>
      <c r="U1669" s="2">
        <v>0.27759368899999998</v>
      </c>
      <c r="V1669" s="2">
        <v>1.592779672</v>
      </c>
      <c r="W1669" s="2">
        <v>9.2698579000000003E-2</v>
      </c>
      <c r="X1669">
        <f t="shared" si="78"/>
        <v>0</v>
      </c>
      <c r="Y1669">
        <f t="shared" si="79"/>
        <v>1</v>
      </c>
      <c r="Z1669">
        <f t="shared" si="80"/>
        <v>0</v>
      </c>
    </row>
    <row r="1670" spans="1:26" ht="15.75" customHeight="1" x14ac:dyDescent="0.2">
      <c r="A1670" s="2" t="s">
        <v>23</v>
      </c>
      <c r="B1670" s="2" t="s">
        <v>35</v>
      </c>
      <c r="C1670" s="2" t="s">
        <v>30</v>
      </c>
      <c r="D1670" s="2" t="s">
        <v>31</v>
      </c>
      <c r="E1670" s="2">
        <v>93</v>
      </c>
      <c r="F1670" s="2">
        <v>216.33333329999999</v>
      </c>
      <c r="G1670" s="2">
        <v>733.33333330000005</v>
      </c>
      <c r="H1670" s="2">
        <v>1226.333333</v>
      </c>
      <c r="I1670" s="2">
        <v>3148.333333</v>
      </c>
      <c r="J1670" s="2">
        <v>2.13</v>
      </c>
      <c r="K1670" s="2">
        <v>6.77</v>
      </c>
      <c r="L1670" s="2">
        <v>9.7899999999999991</v>
      </c>
      <c r="M1670" s="2">
        <v>15.99</v>
      </c>
      <c r="N1670" s="2">
        <v>4.5598582319999998</v>
      </c>
      <c r="O1670" s="2">
        <v>4.2581103750000002</v>
      </c>
      <c r="P1670" s="2">
        <v>2.5497717120000001</v>
      </c>
      <c r="Q1670" s="2">
        <v>2.4710274509999999</v>
      </c>
      <c r="R1670" s="2">
        <v>2.0259803569999999</v>
      </c>
      <c r="S1670" s="2">
        <v>1.977407347</v>
      </c>
      <c r="T1670" s="2">
        <v>1.548140619</v>
      </c>
      <c r="U1670" s="2">
        <v>1.4818356349999999</v>
      </c>
      <c r="V1670" s="2">
        <v>3.539290008</v>
      </c>
      <c r="W1670" s="2">
        <v>9.7633708999999999E-2</v>
      </c>
      <c r="X1670">
        <f t="shared" si="78"/>
        <v>0</v>
      </c>
      <c r="Y1670">
        <f t="shared" si="79"/>
        <v>1</v>
      </c>
      <c r="Z1670">
        <f t="shared" si="80"/>
        <v>1</v>
      </c>
    </row>
    <row r="1671" spans="1:26" ht="15.75" customHeight="1" x14ac:dyDescent="0.2">
      <c r="A1671" s="2" t="s">
        <v>23</v>
      </c>
      <c r="B1671" s="2" t="s">
        <v>35</v>
      </c>
      <c r="C1671" s="2" t="s">
        <v>28</v>
      </c>
      <c r="D1671" s="2" t="s">
        <v>29</v>
      </c>
      <c r="E1671" s="2">
        <v>100</v>
      </c>
      <c r="F1671" s="2">
        <v>217.33333329999999</v>
      </c>
      <c r="G1671" s="2">
        <v>288</v>
      </c>
      <c r="H1671" s="2">
        <v>1289.333333</v>
      </c>
      <c r="I1671" s="2">
        <v>2294.333333</v>
      </c>
      <c r="J1671" s="2">
        <v>2.15</v>
      </c>
      <c r="K1671" s="2">
        <v>2.9</v>
      </c>
      <c r="L1671" s="2">
        <v>10.11</v>
      </c>
      <c r="M1671" s="2">
        <v>13.93</v>
      </c>
      <c r="N1671" s="2">
        <v>2.2550351599999998</v>
      </c>
      <c r="O1671" s="2">
        <v>2.1485521310000002</v>
      </c>
      <c r="P1671" s="2">
        <v>2.2115634119999998</v>
      </c>
      <c r="Q1671" s="2">
        <v>2.2166476130000001</v>
      </c>
      <c r="R1671" s="2">
        <v>1.8390390219999999</v>
      </c>
      <c r="S1671" s="2">
        <v>1.8876120320000001</v>
      </c>
      <c r="T1671" s="2">
        <v>1.2283925259999999</v>
      </c>
      <c r="U1671" s="2">
        <v>1.1620875429999999</v>
      </c>
      <c r="V1671" s="2">
        <v>-0.32572937099999999</v>
      </c>
      <c r="W1671" s="2">
        <v>0.116689599</v>
      </c>
      <c r="X1671">
        <f t="shared" si="78"/>
        <v>0</v>
      </c>
      <c r="Y1671">
        <f t="shared" si="79"/>
        <v>1</v>
      </c>
      <c r="Z1671">
        <f t="shared" si="80"/>
        <v>1</v>
      </c>
    </row>
    <row r="1672" spans="1:26" ht="15.75" customHeight="1" x14ac:dyDescent="0.2">
      <c r="A1672" s="2" t="s">
        <v>23</v>
      </c>
      <c r="B1672" s="2" t="s">
        <v>35</v>
      </c>
      <c r="C1672" s="2" t="s">
        <v>28</v>
      </c>
      <c r="D1672" s="2" t="s">
        <v>29</v>
      </c>
      <c r="E1672" s="2">
        <v>212</v>
      </c>
      <c r="F1672" s="2">
        <v>231.33333329999999</v>
      </c>
      <c r="G1672" s="2">
        <v>256.33333329999999</v>
      </c>
      <c r="H1672" s="2">
        <v>1275.666667</v>
      </c>
      <c r="I1672" s="2">
        <v>2377</v>
      </c>
      <c r="J1672" s="2">
        <v>2.2999999999999998</v>
      </c>
      <c r="K1672" s="2">
        <v>2.57</v>
      </c>
      <c r="L1672" s="2">
        <v>10.039999999999999</v>
      </c>
      <c r="M1672" s="2">
        <v>14.16</v>
      </c>
      <c r="N1672" s="2">
        <v>2.4008530659999998</v>
      </c>
      <c r="O1672" s="2">
        <v>2.3348753279999999</v>
      </c>
      <c r="P1672" s="2">
        <v>2.5305038030000002</v>
      </c>
      <c r="Q1672" s="2">
        <v>2.5395571399999999</v>
      </c>
      <c r="R1672" s="2">
        <v>2.173021629</v>
      </c>
      <c r="S1672" s="2">
        <v>2.2215946400000002</v>
      </c>
      <c r="T1672" s="2">
        <v>1.2966983050000001</v>
      </c>
      <c r="U1672" s="2">
        <v>1.2303933220000001</v>
      </c>
      <c r="V1672" s="2">
        <v>-0.659711979</v>
      </c>
      <c r="W1672" s="2">
        <v>0.11065775</v>
      </c>
      <c r="X1672">
        <f t="shared" si="78"/>
        <v>0</v>
      </c>
      <c r="Y1672">
        <f t="shared" si="79"/>
        <v>1</v>
      </c>
      <c r="Z1672">
        <f t="shared" si="80"/>
        <v>1</v>
      </c>
    </row>
    <row r="1673" spans="1:26" ht="15.75" customHeight="1" x14ac:dyDescent="0.2">
      <c r="A1673" s="2" t="s">
        <v>23</v>
      </c>
      <c r="B1673" s="2" t="s">
        <v>35</v>
      </c>
      <c r="C1673" s="2" t="s">
        <v>32</v>
      </c>
      <c r="D1673" s="2" t="s">
        <v>33</v>
      </c>
      <c r="E1673" s="2">
        <v>118</v>
      </c>
      <c r="F1673" s="2">
        <v>221.33333329999999</v>
      </c>
      <c r="G1673" s="2">
        <v>533</v>
      </c>
      <c r="H1673" s="2">
        <v>944.33333330000005</v>
      </c>
      <c r="I1673" s="2">
        <v>2508</v>
      </c>
      <c r="J1673" s="2">
        <v>2.19</v>
      </c>
      <c r="K1673" s="2">
        <v>5.2</v>
      </c>
      <c r="L1673" s="2">
        <v>8.19</v>
      </c>
      <c r="M1673" s="2">
        <v>14.52</v>
      </c>
      <c r="N1673" s="2">
        <v>4.172664996</v>
      </c>
      <c r="O1673" s="2">
        <v>3.9648072139999999</v>
      </c>
      <c r="P1673" s="2">
        <v>3.1825619870000001</v>
      </c>
      <c r="Q1673" s="2">
        <v>3.1101935699999999</v>
      </c>
      <c r="R1673" s="2">
        <v>0.45816931799999999</v>
      </c>
      <c r="S1673" s="2">
        <v>0.40959630699999999</v>
      </c>
      <c r="T1673" s="2">
        <v>3.1494097349999999</v>
      </c>
      <c r="U1673" s="2">
        <v>3.083104751</v>
      </c>
      <c r="V1673" s="2">
        <v>1.971478968</v>
      </c>
      <c r="W1673" s="2">
        <v>0.117136214</v>
      </c>
      <c r="X1673">
        <f t="shared" si="78"/>
        <v>0</v>
      </c>
      <c r="Y1673">
        <f t="shared" si="79"/>
        <v>1</v>
      </c>
      <c r="Z1673">
        <f t="shared" si="80"/>
        <v>1</v>
      </c>
    </row>
    <row r="1674" spans="1:26" ht="15.75" customHeight="1" x14ac:dyDescent="0.2">
      <c r="A1674" s="2" t="s">
        <v>23</v>
      </c>
      <c r="B1674" s="2" t="s">
        <v>35</v>
      </c>
      <c r="C1674" s="2" t="s">
        <v>26</v>
      </c>
      <c r="D1674" s="2" t="s">
        <v>26</v>
      </c>
      <c r="E1674" s="2">
        <v>110</v>
      </c>
      <c r="F1674" s="2">
        <v>223</v>
      </c>
      <c r="G1674" s="2">
        <v>431.66666670000001</v>
      </c>
      <c r="H1674" s="2">
        <v>1001.333333</v>
      </c>
      <c r="I1674" s="2">
        <v>2856.333333</v>
      </c>
      <c r="J1674" s="2">
        <v>2.21</v>
      </c>
      <c r="K1674" s="2">
        <v>4.3099999999999996</v>
      </c>
      <c r="L1674" s="2">
        <v>8.5399999999999991</v>
      </c>
      <c r="M1674" s="2">
        <v>15.37</v>
      </c>
      <c r="N1674" s="2">
        <v>0.36289579399999999</v>
      </c>
      <c r="O1674" s="2">
        <v>4.9918318000000003E-2</v>
      </c>
      <c r="P1674" s="2">
        <v>2.8347161860000001</v>
      </c>
      <c r="Q1674" s="2">
        <v>2.777257348</v>
      </c>
      <c r="R1674" s="2">
        <v>0.43489406899999999</v>
      </c>
      <c r="S1674" s="2">
        <v>0.48346707999999999</v>
      </c>
      <c r="T1674" s="2">
        <v>2.8011574399999999</v>
      </c>
      <c r="U1674" s="2">
        <v>2.7348524570000001</v>
      </c>
      <c r="V1674" s="2">
        <v>1.078415581</v>
      </c>
      <c r="W1674" s="2">
        <v>5.4595530000000003E-2</v>
      </c>
      <c r="X1674">
        <f t="shared" si="78"/>
        <v>0</v>
      </c>
      <c r="Y1674">
        <f t="shared" si="79"/>
        <v>1</v>
      </c>
      <c r="Z1674">
        <f t="shared" si="80"/>
        <v>0</v>
      </c>
    </row>
    <row r="1675" spans="1:26" ht="15.75" customHeight="1" x14ac:dyDescent="0.2">
      <c r="A1675" s="2" t="s">
        <v>23</v>
      </c>
      <c r="B1675" s="2" t="s">
        <v>35</v>
      </c>
      <c r="C1675" s="2" t="s">
        <v>25</v>
      </c>
      <c r="D1675" s="2" t="s">
        <v>25</v>
      </c>
      <c r="E1675" s="2">
        <v>292</v>
      </c>
      <c r="F1675" s="2">
        <v>227.66666670000001</v>
      </c>
      <c r="G1675" s="2">
        <v>857.33333330000005</v>
      </c>
      <c r="H1675" s="2">
        <v>1529.666667</v>
      </c>
      <c r="I1675" s="2">
        <v>2492</v>
      </c>
      <c r="J1675" s="2">
        <v>2.2599999999999998</v>
      </c>
      <c r="K1675" s="2">
        <v>7.63</v>
      </c>
      <c r="L1675" s="2">
        <v>11.22</v>
      </c>
      <c r="M1675" s="2">
        <v>14.48</v>
      </c>
      <c r="N1675" s="2">
        <v>0.28723413399999997</v>
      </c>
      <c r="O1675" s="2">
        <v>0.20987499600000001</v>
      </c>
      <c r="P1675" s="2">
        <v>2.8869668320000001</v>
      </c>
      <c r="Q1675" s="2">
        <v>2.8365286240000001</v>
      </c>
      <c r="R1675" s="2">
        <v>2.8846897839999999</v>
      </c>
      <c r="S1675" s="2">
        <v>2.8361167740000002</v>
      </c>
      <c r="T1675" s="2">
        <v>0.114640045</v>
      </c>
      <c r="U1675" s="2">
        <v>4.8335061999999998E-2</v>
      </c>
      <c r="V1675" s="2">
        <v>4.397999435</v>
      </c>
      <c r="W1675" s="2">
        <v>0.110507733</v>
      </c>
      <c r="X1675">
        <f t="shared" si="78"/>
        <v>0</v>
      </c>
      <c r="Y1675">
        <f t="shared" si="79"/>
        <v>1</v>
      </c>
      <c r="Z1675">
        <f t="shared" si="80"/>
        <v>0</v>
      </c>
    </row>
    <row r="1676" spans="1:26" ht="15.75" customHeight="1" x14ac:dyDescent="0.2">
      <c r="A1676" s="2" t="s">
        <v>23</v>
      </c>
      <c r="B1676" s="2" t="s">
        <v>35</v>
      </c>
      <c r="C1676" s="2" t="s">
        <v>30</v>
      </c>
      <c r="D1676" s="2" t="s">
        <v>31</v>
      </c>
      <c r="E1676" s="2">
        <v>140</v>
      </c>
      <c r="F1676" s="2">
        <v>236</v>
      </c>
      <c r="G1676" s="2">
        <v>497.33333329999999</v>
      </c>
      <c r="H1676" s="2">
        <v>1135.666667</v>
      </c>
      <c r="I1676" s="2">
        <v>1926.333333</v>
      </c>
      <c r="J1676" s="2">
        <v>2.35</v>
      </c>
      <c r="K1676" s="2">
        <v>4.9000000000000004</v>
      </c>
      <c r="L1676" s="2">
        <v>9.31</v>
      </c>
      <c r="M1676" s="2">
        <v>12.76</v>
      </c>
      <c r="N1676" s="2">
        <v>4.2540453009999997</v>
      </c>
      <c r="O1676" s="2">
        <v>4.0399974529999998</v>
      </c>
      <c r="P1676" s="2">
        <v>2.0368465069999999</v>
      </c>
      <c r="Q1676" s="2">
        <v>1.9675771259999999</v>
      </c>
      <c r="R1676" s="2">
        <v>0.152234393</v>
      </c>
      <c r="S1676" s="2">
        <v>0.103661383</v>
      </c>
      <c r="T1676" s="2">
        <v>2.0311495229999998</v>
      </c>
      <c r="U1676" s="2">
        <v>1.964844539</v>
      </c>
      <c r="V1676" s="2">
        <v>1.665544044</v>
      </c>
      <c r="W1676" s="2">
        <v>0.10572345900000001</v>
      </c>
      <c r="X1676">
        <f t="shared" si="78"/>
        <v>0</v>
      </c>
      <c r="Y1676">
        <f t="shared" si="79"/>
        <v>1</v>
      </c>
      <c r="Z1676">
        <f t="shared" si="80"/>
        <v>1</v>
      </c>
    </row>
    <row r="1677" spans="1:26" ht="15.75" customHeight="1" x14ac:dyDescent="0.2">
      <c r="A1677" s="2" t="s">
        <v>23</v>
      </c>
      <c r="B1677" s="2" t="s">
        <v>35</v>
      </c>
      <c r="C1677" s="2" t="s">
        <v>27</v>
      </c>
      <c r="D1677" s="2" t="s">
        <v>27</v>
      </c>
      <c r="E1677" s="2">
        <v>125</v>
      </c>
      <c r="F1677" s="2">
        <v>214.33333329999999</v>
      </c>
      <c r="G1677" s="2">
        <v>350.66666670000001</v>
      </c>
      <c r="H1677" s="2">
        <v>2468.333333</v>
      </c>
      <c r="I1677" s="2">
        <v>3432.333333</v>
      </c>
      <c r="J1677" s="2">
        <v>2.11</v>
      </c>
      <c r="K1677" s="2">
        <v>3.54</v>
      </c>
      <c r="L1677" s="2">
        <v>14.41</v>
      </c>
      <c r="M1677" s="2">
        <v>16.54</v>
      </c>
      <c r="N1677" s="2">
        <v>1.0853271499999999</v>
      </c>
      <c r="O1677" s="2">
        <v>1.385635282</v>
      </c>
      <c r="P1677" s="2">
        <v>3.3047461569999999</v>
      </c>
      <c r="Q1677" s="2">
        <v>3.3842633860000002</v>
      </c>
      <c r="R1677" s="2">
        <v>1.205087756</v>
      </c>
      <c r="S1677" s="2">
        <v>1.2536607660000001</v>
      </c>
      <c r="T1677" s="2">
        <v>3.0771920100000001</v>
      </c>
      <c r="U1677" s="2">
        <v>3.1434969929999999</v>
      </c>
      <c r="V1677" s="2">
        <v>0.30822189500000002</v>
      </c>
      <c r="W1677" s="2">
        <v>7.9700766000000006E-2</v>
      </c>
      <c r="X1677">
        <f t="shared" si="78"/>
        <v>0</v>
      </c>
      <c r="Y1677">
        <f t="shared" si="79"/>
        <v>1</v>
      </c>
      <c r="Z1677">
        <f t="shared" si="80"/>
        <v>0</v>
      </c>
    </row>
    <row r="1678" spans="1:26" ht="15.75" customHeight="1" x14ac:dyDescent="0.2">
      <c r="A1678" s="2" t="s">
        <v>23</v>
      </c>
      <c r="B1678" s="2" t="s">
        <v>35</v>
      </c>
      <c r="C1678" s="2" t="s">
        <v>30</v>
      </c>
      <c r="D1678" s="2" t="s">
        <v>31</v>
      </c>
      <c r="E1678" s="2">
        <v>123</v>
      </c>
      <c r="F1678" s="2">
        <v>269</v>
      </c>
      <c r="G1678" s="2">
        <v>830.66666669999995</v>
      </c>
      <c r="H1678" s="2">
        <v>1301</v>
      </c>
      <c r="I1678" s="2">
        <v>2539.333333</v>
      </c>
      <c r="J1678" s="2">
        <v>2.71</v>
      </c>
      <c r="K1678" s="2">
        <v>7.45</v>
      </c>
      <c r="L1678" s="2">
        <v>10.17</v>
      </c>
      <c r="M1678" s="2">
        <v>14.6</v>
      </c>
      <c r="N1678" s="2">
        <v>4.7161571870000003</v>
      </c>
      <c r="O1678" s="2">
        <v>4.3965042859999999</v>
      </c>
      <c r="P1678" s="2">
        <v>2.9487438610000001</v>
      </c>
      <c r="Q1678" s="2">
        <v>2.878141646</v>
      </c>
      <c r="R1678" s="2">
        <v>2.7064619959999998</v>
      </c>
      <c r="S1678" s="2">
        <v>2.657888985</v>
      </c>
      <c r="T1678" s="2">
        <v>1.1705357000000001</v>
      </c>
      <c r="U1678" s="2">
        <v>1.104230716</v>
      </c>
      <c r="V1678" s="2">
        <v>4.2197716459999999</v>
      </c>
      <c r="W1678" s="2">
        <v>0.15468496900000001</v>
      </c>
      <c r="X1678">
        <f t="shared" si="78"/>
        <v>0</v>
      </c>
      <c r="Y1678">
        <f t="shared" si="79"/>
        <v>1</v>
      </c>
      <c r="Z1678">
        <f t="shared" si="80"/>
        <v>1</v>
      </c>
    </row>
    <row r="1679" spans="1:26" ht="15.75" customHeight="1" x14ac:dyDescent="0.2">
      <c r="A1679" s="2" t="s">
        <v>23</v>
      </c>
      <c r="B1679" s="2" t="s">
        <v>35</v>
      </c>
      <c r="C1679" s="2" t="s">
        <v>27</v>
      </c>
      <c r="D1679" s="2" t="s">
        <v>27</v>
      </c>
      <c r="E1679" s="2">
        <v>109</v>
      </c>
      <c r="F1679" s="2">
        <v>218</v>
      </c>
      <c r="G1679" s="2">
        <v>331</v>
      </c>
      <c r="H1679" s="2">
        <v>2503.333333</v>
      </c>
      <c r="I1679" s="2">
        <v>3561.666667</v>
      </c>
      <c r="J1679" s="2">
        <v>2.15</v>
      </c>
      <c r="K1679" s="2">
        <v>3.34</v>
      </c>
      <c r="L1679" s="2">
        <v>14.51</v>
      </c>
      <c r="M1679" s="2">
        <v>16.760000000000002</v>
      </c>
      <c r="N1679" s="2">
        <v>1.2713675209999999</v>
      </c>
      <c r="O1679" s="2">
        <v>1.5811251310000001</v>
      </c>
      <c r="P1679" s="2">
        <v>3.4657321099999998</v>
      </c>
      <c r="Q1679" s="2">
        <v>3.546053407</v>
      </c>
      <c r="R1679" s="2">
        <v>1.400306383</v>
      </c>
      <c r="S1679" s="2">
        <v>1.4488793929999999</v>
      </c>
      <c r="T1679" s="2">
        <v>3.1702430650000002</v>
      </c>
      <c r="U1679" s="2">
        <v>3.236548049</v>
      </c>
      <c r="V1679" s="2">
        <v>0.113003268</v>
      </c>
      <c r="W1679" s="2">
        <v>7.8143847000000002E-2</v>
      </c>
      <c r="X1679">
        <f t="shared" si="78"/>
        <v>0</v>
      </c>
      <c r="Y1679">
        <f t="shared" si="79"/>
        <v>1</v>
      </c>
      <c r="Z1679">
        <f t="shared" si="80"/>
        <v>0</v>
      </c>
    </row>
    <row r="1680" spans="1:26" ht="15.75" customHeight="1" x14ac:dyDescent="0.2">
      <c r="A1680" s="2" t="s">
        <v>23</v>
      </c>
      <c r="B1680" s="2" t="s">
        <v>35</v>
      </c>
      <c r="C1680" s="2" t="s">
        <v>26</v>
      </c>
      <c r="D1680" s="2" t="s">
        <v>26</v>
      </c>
      <c r="E1680" s="2">
        <v>124</v>
      </c>
      <c r="F1680" s="2">
        <v>149</v>
      </c>
      <c r="G1680" s="2">
        <v>392.33333329999999</v>
      </c>
      <c r="H1680" s="2">
        <v>980.66666669999995</v>
      </c>
      <c r="I1680" s="2">
        <v>2813.666667</v>
      </c>
      <c r="J1680" s="2">
        <v>1.36</v>
      </c>
      <c r="K1680" s="2">
        <v>3.94</v>
      </c>
      <c r="L1680" s="2">
        <v>8.41</v>
      </c>
      <c r="M1680" s="2">
        <v>15.27</v>
      </c>
      <c r="N1680" s="2">
        <v>0.272583717</v>
      </c>
      <c r="O1680" s="2">
        <v>0.37918895000000002</v>
      </c>
      <c r="P1680" s="2">
        <v>3.0338628029999999</v>
      </c>
      <c r="Q1680" s="2">
        <v>2.9834573990000002</v>
      </c>
      <c r="R1680" s="2">
        <v>0.80227289800000001</v>
      </c>
      <c r="S1680" s="2">
        <v>0.85084590800000004</v>
      </c>
      <c r="T1680" s="2">
        <v>2.925864266</v>
      </c>
      <c r="U1680" s="2">
        <v>2.8595592829999998</v>
      </c>
      <c r="V1680" s="2">
        <v>0.71103675300000002</v>
      </c>
      <c r="W1680" s="2">
        <v>5.9632953000000002E-2</v>
      </c>
      <c r="X1680">
        <f t="shared" si="78"/>
        <v>0</v>
      </c>
      <c r="Y1680">
        <f t="shared" si="79"/>
        <v>1</v>
      </c>
      <c r="Z1680">
        <f t="shared" si="80"/>
        <v>0</v>
      </c>
    </row>
    <row r="1681" spans="1:26" ht="15.75" customHeight="1" x14ac:dyDescent="0.2">
      <c r="A1681" s="2" t="s">
        <v>23</v>
      </c>
      <c r="B1681" s="2" t="s">
        <v>35</v>
      </c>
      <c r="C1681" s="2" t="s">
        <v>27</v>
      </c>
      <c r="D1681" s="2" t="s">
        <v>27</v>
      </c>
      <c r="E1681" s="2">
        <v>146</v>
      </c>
      <c r="F1681" s="2">
        <v>278.66666670000001</v>
      </c>
      <c r="G1681" s="2">
        <v>414.33333329999999</v>
      </c>
      <c r="H1681" s="2">
        <v>1821.333333</v>
      </c>
      <c r="I1681" s="2">
        <v>2547</v>
      </c>
      <c r="J1681" s="2">
        <v>2.81</v>
      </c>
      <c r="K1681" s="2">
        <v>4.1500000000000004</v>
      </c>
      <c r="L1681" s="2">
        <v>12.38</v>
      </c>
      <c r="M1681" s="2">
        <v>14.62</v>
      </c>
      <c r="N1681" s="2">
        <v>1.101800879</v>
      </c>
      <c r="O1681" s="2">
        <v>0.957080657</v>
      </c>
      <c r="P1681" s="2">
        <v>1.204258437</v>
      </c>
      <c r="Q1681" s="2">
        <v>1.2859413559999999</v>
      </c>
      <c r="R1681" s="2">
        <v>0.59528973699999999</v>
      </c>
      <c r="S1681" s="2">
        <v>0.64386274799999998</v>
      </c>
      <c r="T1681" s="2">
        <v>1.046837386</v>
      </c>
      <c r="U1681" s="2">
        <v>1.113142369</v>
      </c>
      <c r="V1681" s="2">
        <v>0.91801991299999997</v>
      </c>
      <c r="W1681" s="2">
        <v>4.5479317999999998E-2</v>
      </c>
      <c r="X1681">
        <f t="shared" si="78"/>
        <v>0</v>
      </c>
      <c r="Y1681">
        <f t="shared" si="79"/>
        <v>1</v>
      </c>
      <c r="Z1681">
        <f t="shared" si="80"/>
        <v>0</v>
      </c>
    </row>
    <row r="1682" spans="1:26" ht="15.75" customHeight="1" x14ac:dyDescent="0.2">
      <c r="A1682" s="2" t="s">
        <v>23</v>
      </c>
      <c r="B1682" s="2" t="s">
        <v>35</v>
      </c>
      <c r="C1682" s="2" t="s">
        <v>30</v>
      </c>
      <c r="D1682" s="2" t="s">
        <v>31</v>
      </c>
      <c r="E1682" s="2">
        <v>99</v>
      </c>
      <c r="F1682" s="2">
        <v>233.33333329999999</v>
      </c>
      <c r="G1682" s="2">
        <v>696</v>
      </c>
      <c r="H1682" s="2">
        <v>1262.333333</v>
      </c>
      <c r="I1682" s="2">
        <v>2182</v>
      </c>
      <c r="J1682" s="2">
        <v>2.3199999999999998</v>
      </c>
      <c r="K1682" s="2">
        <v>6.5</v>
      </c>
      <c r="L1682" s="2">
        <v>9.9700000000000006</v>
      </c>
      <c r="M1682" s="2">
        <v>13.59</v>
      </c>
      <c r="N1682" s="2">
        <v>4.2514282269999999</v>
      </c>
      <c r="O1682" s="2">
        <v>3.95361312</v>
      </c>
      <c r="P1682" s="2">
        <v>2.2200915179999998</v>
      </c>
      <c r="Q1682" s="2">
        <v>2.1411495070000002</v>
      </c>
      <c r="R1682" s="2">
        <v>1.7517399300000001</v>
      </c>
      <c r="S1682" s="2">
        <v>1.7031669199999999</v>
      </c>
      <c r="T1682" s="2">
        <v>1.3638964650000001</v>
      </c>
      <c r="U1682" s="2">
        <v>1.2975914820000001</v>
      </c>
      <c r="V1682" s="2">
        <v>3.265049581</v>
      </c>
      <c r="W1682" s="2">
        <v>6.9076132999999998E-2</v>
      </c>
      <c r="X1682">
        <f t="shared" si="78"/>
        <v>0</v>
      </c>
      <c r="Y1682">
        <f t="shared" si="79"/>
        <v>1</v>
      </c>
      <c r="Z1682">
        <f t="shared" si="80"/>
        <v>1</v>
      </c>
    </row>
    <row r="1683" spans="1:26" ht="15.75" customHeight="1" x14ac:dyDescent="0.2">
      <c r="A1683" s="2" t="s">
        <v>23</v>
      </c>
      <c r="B1683" s="2" t="s">
        <v>35</v>
      </c>
      <c r="C1683" s="2" t="s">
        <v>27</v>
      </c>
      <c r="D1683" s="2" t="s">
        <v>27</v>
      </c>
      <c r="E1683" s="2">
        <v>134</v>
      </c>
      <c r="F1683" s="2">
        <v>163</v>
      </c>
      <c r="G1683" s="2">
        <v>500.66666670000001</v>
      </c>
      <c r="H1683" s="2">
        <v>2330.333333</v>
      </c>
      <c r="I1683" s="2">
        <v>2987.666667</v>
      </c>
      <c r="J1683" s="2">
        <v>1.53</v>
      </c>
      <c r="K1683" s="2">
        <v>4.92</v>
      </c>
      <c r="L1683" s="2">
        <v>14.03</v>
      </c>
      <c r="M1683" s="2">
        <v>15.66</v>
      </c>
      <c r="N1683" s="2">
        <v>0.99146709</v>
      </c>
      <c r="O1683" s="2">
        <v>0.90329143999999995</v>
      </c>
      <c r="P1683" s="2">
        <v>2.7015946020000001</v>
      </c>
      <c r="Q1683" s="2">
        <v>2.764998667</v>
      </c>
      <c r="R1683" s="2">
        <v>0.18120214400000001</v>
      </c>
      <c r="S1683" s="2">
        <v>0.13262913300000001</v>
      </c>
      <c r="T1683" s="2">
        <v>2.6955109300000002</v>
      </c>
      <c r="U1683" s="2">
        <v>2.761815914</v>
      </c>
      <c r="V1683" s="2">
        <v>1.6945117940000001</v>
      </c>
      <c r="W1683" s="2">
        <v>0.10078726</v>
      </c>
      <c r="X1683">
        <f t="shared" si="78"/>
        <v>0</v>
      </c>
      <c r="Y1683">
        <f t="shared" si="79"/>
        <v>1</v>
      </c>
      <c r="Z1683">
        <f t="shared" si="80"/>
        <v>0</v>
      </c>
    </row>
    <row r="1684" spans="1:26" ht="15.75" customHeight="1" x14ac:dyDescent="0.2">
      <c r="A1684" s="2" t="s">
        <v>23</v>
      </c>
      <c r="B1684" s="2" t="s">
        <v>35</v>
      </c>
      <c r="C1684" s="2" t="s">
        <v>26</v>
      </c>
      <c r="D1684" s="2" t="s">
        <v>26</v>
      </c>
      <c r="E1684" s="2">
        <v>103</v>
      </c>
      <c r="F1684" s="2">
        <v>220.66666670000001</v>
      </c>
      <c r="G1684" s="2">
        <v>407.33333329999999</v>
      </c>
      <c r="H1684" s="2">
        <v>1108.333333</v>
      </c>
      <c r="I1684" s="2">
        <v>2854.666667</v>
      </c>
      <c r="J1684" s="2">
        <v>2.1800000000000002</v>
      </c>
      <c r="K1684" s="2">
        <v>4.08</v>
      </c>
      <c r="L1684" s="2">
        <v>9.15</v>
      </c>
      <c r="M1684" s="2">
        <v>15.37</v>
      </c>
      <c r="N1684" s="2">
        <v>0.93804947100000002</v>
      </c>
      <c r="O1684" s="2">
        <v>0.70703643299999996</v>
      </c>
      <c r="P1684" s="2">
        <v>2.2801909340000002</v>
      </c>
      <c r="Q1684" s="2">
        <v>2.2317730039999999</v>
      </c>
      <c r="R1684" s="2">
        <v>0.66073072099999997</v>
      </c>
      <c r="S1684" s="2">
        <v>0.70930373199999996</v>
      </c>
      <c r="T1684" s="2">
        <v>2.1823623919999999</v>
      </c>
      <c r="U1684" s="2">
        <v>2.1160574090000002</v>
      </c>
      <c r="V1684" s="2">
        <v>0.85257892899999999</v>
      </c>
      <c r="W1684" s="2">
        <v>9.5525751000000006E-2</v>
      </c>
      <c r="X1684">
        <f t="shared" si="78"/>
        <v>0</v>
      </c>
      <c r="Y1684">
        <f t="shared" si="79"/>
        <v>1</v>
      </c>
      <c r="Z1684">
        <f t="shared" si="80"/>
        <v>0</v>
      </c>
    </row>
    <row r="1685" spans="1:26" ht="15.75" customHeight="1" x14ac:dyDescent="0.2">
      <c r="A1685" s="2" t="s">
        <v>23</v>
      </c>
      <c r="B1685" s="2" t="s">
        <v>35</v>
      </c>
      <c r="C1685" s="2" t="s">
        <v>30</v>
      </c>
      <c r="D1685" s="2" t="s">
        <v>31</v>
      </c>
      <c r="E1685" s="2">
        <v>119</v>
      </c>
      <c r="F1685" s="2">
        <v>229.66666670000001</v>
      </c>
      <c r="G1685" s="2">
        <v>774.66666669999995</v>
      </c>
      <c r="H1685" s="2">
        <v>1933.666667</v>
      </c>
      <c r="I1685" s="2">
        <v>2181.333333</v>
      </c>
      <c r="J1685" s="2">
        <v>2.2799999999999998</v>
      </c>
      <c r="K1685" s="2">
        <v>7.06</v>
      </c>
      <c r="L1685" s="2">
        <v>12.78</v>
      </c>
      <c r="M1685" s="2">
        <v>13.59</v>
      </c>
      <c r="N1685" s="2">
        <v>3.0473571220000002</v>
      </c>
      <c r="O1685" s="2">
        <v>2.7367426429999999</v>
      </c>
      <c r="P1685" s="2">
        <v>2.735404355</v>
      </c>
      <c r="Q1685" s="2">
        <v>2.730515794</v>
      </c>
      <c r="R1685" s="2">
        <v>2.32086952</v>
      </c>
      <c r="S1685" s="2">
        <v>2.2722965099999999</v>
      </c>
      <c r="T1685" s="2">
        <v>1.4477574580000001</v>
      </c>
      <c r="U1685" s="2">
        <v>1.5140624410000001</v>
      </c>
      <c r="V1685" s="2">
        <v>3.8341791710000002</v>
      </c>
      <c r="W1685" s="2">
        <v>9.8459040999999997E-2</v>
      </c>
      <c r="X1685">
        <f t="shared" si="78"/>
        <v>0</v>
      </c>
      <c r="Y1685">
        <f t="shared" si="79"/>
        <v>1</v>
      </c>
      <c r="Z1685">
        <f t="shared" si="80"/>
        <v>1</v>
      </c>
    </row>
    <row r="1686" spans="1:26" ht="15.75" customHeight="1" x14ac:dyDescent="0.2">
      <c r="A1686" s="2" t="s">
        <v>23</v>
      </c>
      <c r="B1686" s="2" t="s">
        <v>35</v>
      </c>
      <c r="C1686" s="2" t="s">
        <v>32</v>
      </c>
      <c r="D1686" s="2" t="s">
        <v>33</v>
      </c>
      <c r="E1686" s="2">
        <v>136</v>
      </c>
      <c r="F1686" s="2">
        <v>163.33333329999999</v>
      </c>
      <c r="G1686" s="2">
        <v>629.66666669999995</v>
      </c>
      <c r="H1686" s="2">
        <v>1003.333333</v>
      </c>
      <c r="I1686" s="2">
        <v>2649.333333</v>
      </c>
      <c r="J1686" s="2">
        <v>1.53</v>
      </c>
      <c r="K1686" s="2">
        <v>5.99</v>
      </c>
      <c r="L1686" s="2">
        <v>8.5500000000000007</v>
      </c>
      <c r="M1686" s="2">
        <v>14.88</v>
      </c>
      <c r="N1686" s="2">
        <v>3.421076395</v>
      </c>
      <c r="O1686" s="2">
        <v>3.2406373300000002</v>
      </c>
      <c r="P1686" s="2">
        <v>3.0544193040000001</v>
      </c>
      <c r="Q1686" s="2">
        <v>2.9741244199999999</v>
      </c>
      <c r="R1686" s="2">
        <v>1.2449677450000001</v>
      </c>
      <c r="S1686" s="2">
        <v>1.1963947349999999</v>
      </c>
      <c r="T1686" s="2">
        <v>2.7891813490000001</v>
      </c>
      <c r="U1686" s="2">
        <v>2.7228763659999999</v>
      </c>
      <c r="V1686" s="2">
        <v>2.758277396</v>
      </c>
      <c r="W1686" s="2">
        <v>7.9971974000000001E-2</v>
      </c>
      <c r="X1686">
        <f t="shared" si="78"/>
        <v>0</v>
      </c>
      <c r="Y1686">
        <f t="shared" si="79"/>
        <v>1</v>
      </c>
      <c r="Z1686">
        <f t="shared" si="80"/>
        <v>1</v>
      </c>
    </row>
    <row r="1687" spans="1:26" ht="15.75" customHeight="1" x14ac:dyDescent="0.2">
      <c r="A1687" s="2" t="s">
        <v>23</v>
      </c>
      <c r="B1687" s="2" t="s">
        <v>35</v>
      </c>
      <c r="C1687" s="2" t="s">
        <v>28</v>
      </c>
      <c r="D1687" s="2" t="s">
        <v>29</v>
      </c>
      <c r="E1687" s="2">
        <v>131</v>
      </c>
      <c r="F1687" s="2">
        <v>245.66666670000001</v>
      </c>
      <c r="G1687" s="2">
        <v>267</v>
      </c>
      <c r="H1687" s="2">
        <v>1249.333333</v>
      </c>
      <c r="I1687" s="2">
        <v>2275</v>
      </c>
      <c r="J1687" s="2">
        <v>2.46</v>
      </c>
      <c r="K1687" s="2">
        <v>2.68</v>
      </c>
      <c r="L1687" s="2">
        <v>9.91</v>
      </c>
      <c r="M1687" s="2">
        <v>13.87</v>
      </c>
      <c r="N1687" s="2">
        <v>2.2257753390000001</v>
      </c>
      <c r="O1687" s="2">
        <v>2.1615607890000001</v>
      </c>
      <c r="P1687" s="2">
        <v>2.5072185139999998</v>
      </c>
      <c r="Q1687" s="2">
        <v>2.5106459170000002</v>
      </c>
      <c r="R1687" s="2">
        <v>2.0594613860000002</v>
      </c>
      <c r="S1687" s="2">
        <v>2.1080343969999999</v>
      </c>
      <c r="T1687" s="2">
        <v>1.429952264</v>
      </c>
      <c r="U1687" s="2">
        <v>1.3636472799999999</v>
      </c>
      <c r="V1687" s="2">
        <v>-0.546151736</v>
      </c>
      <c r="W1687" s="2">
        <v>0.106293412</v>
      </c>
      <c r="X1687">
        <f t="shared" si="78"/>
        <v>0</v>
      </c>
      <c r="Y1687">
        <f t="shared" si="79"/>
        <v>1</v>
      </c>
      <c r="Z1687">
        <f t="shared" si="80"/>
        <v>1</v>
      </c>
    </row>
    <row r="1688" spans="1:26" ht="15.75" customHeight="1" x14ac:dyDescent="0.2">
      <c r="A1688" s="2" t="s">
        <v>23</v>
      </c>
      <c r="B1688" s="2" t="s">
        <v>35</v>
      </c>
      <c r="C1688" s="2" t="s">
        <v>28</v>
      </c>
      <c r="D1688" s="2" t="s">
        <v>29</v>
      </c>
      <c r="E1688" s="2">
        <v>102</v>
      </c>
      <c r="F1688" s="2">
        <v>199</v>
      </c>
      <c r="G1688" s="2">
        <v>209.33333329999999</v>
      </c>
      <c r="H1688" s="2">
        <v>1709</v>
      </c>
      <c r="I1688" s="2">
        <v>2838.333333</v>
      </c>
      <c r="J1688" s="2">
        <v>1.94</v>
      </c>
      <c r="K1688" s="2">
        <v>2.06</v>
      </c>
      <c r="L1688" s="2">
        <v>11.96</v>
      </c>
      <c r="M1688" s="2">
        <v>15.33</v>
      </c>
      <c r="N1688" s="2">
        <v>4.2782572160000001</v>
      </c>
      <c r="O1688" s="2">
        <v>4.1408538090000002</v>
      </c>
      <c r="P1688" s="2">
        <v>2.7576153329999999</v>
      </c>
      <c r="Q1688" s="2">
        <v>2.82038996</v>
      </c>
      <c r="R1688" s="2">
        <v>2.6866977479999998</v>
      </c>
      <c r="S1688" s="2">
        <v>2.7352707590000001</v>
      </c>
      <c r="T1688" s="2">
        <v>0.621367471</v>
      </c>
      <c r="U1688" s="2">
        <v>0.68767245399999999</v>
      </c>
      <c r="V1688" s="2">
        <v>-1.173388098</v>
      </c>
      <c r="W1688" s="2">
        <v>0.106258169</v>
      </c>
      <c r="X1688">
        <f t="shared" si="78"/>
        <v>0</v>
      </c>
      <c r="Y1688">
        <f t="shared" si="79"/>
        <v>1</v>
      </c>
      <c r="Z1688">
        <f t="shared" si="80"/>
        <v>1</v>
      </c>
    </row>
    <row r="1689" spans="1:26" ht="15.75" customHeight="1" x14ac:dyDescent="0.2">
      <c r="A1689" s="2" t="s">
        <v>23</v>
      </c>
      <c r="B1689" s="2" t="s">
        <v>35</v>
      </c>
      <c r="C1689" s="2" t="s">
        <v>26</v>
      </c>
      <c r="D1689" s="2" t="s">
        <v>26</v>
      </c>
      <c r="E1689" s="2">
        <v>111</v>
      </c>
      <c r="F1689" s="2">
        <v>219.66666670000001</v>
      </c>
      <c r="G1689" s="2">
        <v>363.66666670000001</v>
      </c>
      <c r="H1689" s="2">
        <v>853</v>
      </c>
      <c r="I1689" s="2">
        <v>2772</v>
      </c>
      <c r="J1689" s="2">
        <v>2.17</v>
      </c>
      <c r="K1689" s="2">
        <v>3.67</v>
      </c>
      <c r="L1689" s="2">
        <v>7.6</v>
      </c>
      <c r="M1689" s="2">
        <v>15.18</v>
      </c>
      <c r="N1689" s="2">
        <v>0.77500437700000002</v>
      </c>
      <c r="O1689" s="2">
        <v>1.097231359</v>
      </c>
      <c r="P1689" s="2">
        <v>3.8891967310000002</v>
      </c>
      <c r="Q1689" s="2">
        <v>3.8395016150000001</v>
      </c>
      <c r="R1689" s="2">
        <v>1.07785905</v>
      </c>
      <c r="S1689" s="2">
        <v>1.12643206</v>
      </c>
      <c r="T1689" s="2">
        <v>3.7368530980000001</v>
      </c>
      <c r="U1689" s="2">
        <v>3.6705481149999999</v>
      </c>
      <c r="V1689" s="2">
        <v>0.43545060099999999</v>
      </c>
      <c r="W1689" s="2">
        <v>6.3275993000000003E-2</v>
      </c>
      <c r="X1689">
        <f t="shared" si="78"/>
        <v>0</v>
      </c>
      <c r="Y1689">
        <f t="shared" si="79"/>
        <v>1</v>
      </c>
      <c r="Z1689">
        <f t="shared" si="80"/>
        <v>0</v>
      </c>
    </row>
    <row r="1690" spans="1:26" ht="15.75" customHeight="1" x14ac:dyDescent="0.2">
      <c r="A1690" s="2" t="s">
        <v>23</v>
      </c>
      <c r="B1690" s="2" t="s">
        <v>35</v>
      </c>
      <c r="C1690" s="2" t="s">
        <v>25</v>
      </c>
      <c r="D1690" s="2" t="s">
        <v>25</v>
      </c>
      <c r="E1690" s="2">
        <v>126</v>
      </c>
      <c r="F1690" s="2">
        <v>201</v>
      </c>
      <c r="G1690" s="2">
        <v>884</v>
      </c>
      <c r="H1690" s="2">
        <v>1635.333333</v>
      </c>
      <c r="I1690" s="2">
        <v>2586.333333</v>
      </c>
      <c r="J1690" s="2">
        <v>1.96</v>
      </c>
      <c r="K1690" s="2">
        <v>7.8</v>
      </c>
      <c r="L1690" s="2">
        <v>11.66</v>
      </c>
      <c r="M1690" s="2">
        <v>14.72</v>
      </c>
      <c r="N1690" s="2">
        <v>0.22491623399999999</v>
      </c>
      <c r="O1690" s="2">
        <v>0.38467922300000001</v>
      </c>
      <c r="P1690" s="2">
        <v>3.077097572</v>
      </c>
      <c r="Q1690" s="2">
        <v>3.0366995989999999</v>
      </c>
      <c r="R1690" s="2">
        <v>3.0595752799999998</v>
      </c>
      <c r="S1690" s="2">
        <v>3.011002269</v>
      </c>
      <c r="T1690" s="2">
        <v>0.32791550000000003</v>
      </c>
      <c r="U1690" s="2">
        <v>0.39422048300000001</v>
      </c>
      <c r="V1690" s="2">
        <v>4.5728849299999998</v>
      </c>
      <c r="W1690" s="2">
        <v>9.2394819000000003E-2</v>
      </c>
      <c r="X1690">
        <f t="shared" si="78"/>
        <v>0</v>
      </c>
      <c r="Y1690">
        <f t="shared" si="79"/>
        <v>1</v>
      </c>
      <c r="Z1690">
        <f t="shared" si="80"/>
        <v>0</v>
      </c>
    </row>
    <row r="1691" spans="1:26" ht="15.75" customHeight="1" x14ac:dyDescent="0.2">
      <c r="A1691" s="2" t="s">
        <v>23</v>
      </c>
      <c r="B1691" s="2" t="s">
        <v>35</v>
      </c>
      <c r="C1691" s="2" t="s">
        <v>30</v>
      </c>
      <c r="D1691" s="2" t="s">
        <v>31</v>
      </c>
      <c r="E1691" s="2">
        <v>160</v>
      </c>
      <c r="F1691" s="2">
        <v>229.66666670000001</v>
      </c>
      <c r="G1691" s="2">
        <v>682.33333330000005</v>
      </c>
      <c r="H1691" s="2">
        <v>1372.333333</v>
      </c>
      <c r="I1691" s="2">
        <v>2592.333333</v>
      </c>
      <c r="J1691" s="2">
        <v>2.2799999999999998</v>
      </c>
      <c r="K1691" s="2">
        <v>6.39</v>
      </c>
      <c r="L1691" s="2">
        <v>10.51</v>
      </c>
      <c r="M1691" s="2">
        <v>14.74</v>
      </c>
      <c r="N1691" s="2">
        <v>3.7555231309999999</v>
      </c>
      <c r="O1691" s="2">
        <v>3.4500437650000002</v>
      </c>
      <c r="P1691" s="2">
        <v>1.844494622</v>
      </c>
      <c r="Q1691" s="2">
        <v>1.771778901</v>
      </c>
      <c r="R1691" s="2">
        <v>1.6494106749999999</v>
      </c>
      <c r="S1691" s="2">
        <v>1.6008376639999999</v>
      </c>
      <c r="T1691" s="2">
        <v>0.82559362800000002</v>
      </c>
      <c r="U1691" s="2">
        <v>0.75928864399999996</v>
      </c>
      <c r="V1691" s="2">
        <v>3.162720325</v>
      </c>
      <c r="W1691" s="2">
        <v>0.107124837</v>
      </c>
      <c r="X1691">
        <f t="shared" si="78"/>
        <v>0</v>
      </c>
      <c r="Y1691">
        <f t="shared" si="79"/>
        <v>1</v>
      </c>
      <c r="Z1691">
        <f t="shared" si="80"/>
        <v>1</v>
      </c>
    </row>
    <row r="1692" spans="1:26" ht="15.75" customHeight="1" x14ac:dyDescent="0.2">
      <c r="A1692" s="2" t="s">
        <v>23</v>
      </c>
      <c r="B1692" s="2" t="s">
        <v>35</v>
      </c>
      <c r="C1692" s="2" t="s">
        <v>28</v>
      </c>
      <c r="D1692" s="2" t="s">
        <v>29</v>
      </c>
      <c r="E1692" s="2">
        <v>123</v>
      </c>
      <c r="F1692" s="2">
        <v>280.33333329999999</v>
      </c>
      <c r="G1692" s="2">
        <v>314</v>
      </c>
      <c r="H1692" s="2">
        <v>1268.333333</v>
      </c>
      <c r="I1692" s="2">
        <v>2180</v>
      </c>
      <c r="J1692" s="2">
        <v>2.82</v>
      </c>
      <c r="K1692" s="2">
        <v>3.17</v>
      </c>
      <c r="L1692" s="2">
        <v>10</v>
      </c>
      <c r="M1692" s="2">
        <v>13.59</v>
      </c>
      <c r="N1692" s="2">
        <v>2.0280345899999999</v>
      </c>
      <c r="O1692" s="2">
        <v>1.898564613</v>
      </c>
      <c r="P1692" s="2">
        <v>2.0612950329999999</v>
      </c>
      <c r="Q1692" s="2">
        <v>2.0570701269999998</v>
      </c>
      <c r="R1692" s="2">
        <v>1.5717756359999999</v>
      </c>
      <c r="S1692" s="2">
        <v>1.6203486469999999</v>
      </c>
      <c r="T1692" s="2">
        <v>1.3335886029999999</v>
      </c>
      <c r="U1692" s="2">
        <v>1.2672836199999999</v>
      </c>
      <c r="V1692" s="2">
        <v>-5.8465985999999998E-2</v>
      </c>
      <c r="W1692" s="2">
        <v>5.1900224000000002E-2</v>
      </c>
      <c r="X1692">
        <f t="shared" si="78"/>
        <v>0</v>
      </c>
      <c r="Y1692">
        <f t="shared" si="79"/>
        <v>1</v>
      </c>
      <c r="Z1692">
        <f t="shared" si="80"/>
        <v>1</v>
      </c>
    </row>
    <row r="1693" spans="1:26" ht="15.75" customHeight="1" x14ac:dyDescent="0.2">
      <c r="A1693" s="2" t="s">
        <v>23</v>
      </c>
      <c r="B1693" s="2" t="s">
        <v>35</v>
      </c>
      <c r="C1693" s="2" t="s">
        <v>28</v>
      </c>
      <c r="D1693" s="2" t="s">
        <v>29</v>
      </c>
      <c r="E1693" s="2">
        <v>130</v>
      </c>
      <c r="F1693" s="2">
        <v>203.33333329999999</v>
      </c>
      <c r="G1693" s="2">
        <v>662.33333330000005</v>
      </c>
      <c r="H1693" s="2">
        <v>1884</v>
      </c>
      <c r="I1693" s="2">
        <v>2934</v>
      </c>
      <c r="J1693" s="2">
        <v>1.99</v>
      </c>
      <c r="K1693" s="2">
        <v>6.24</v>
      </c>
      <c r="L1693" s="2">
        <v>12.61</v>
      </c>
      <c r="M1693" s="2">
        <v>15.54</v>
      </c>
      <c r="N1693" s="2">
        <v>4.8719342369999996</v>
      </c>
      <c r="O1693" s="2">
        <v>4.5528023040000001</v>
      </c>
      <c r="P1693" s="2">
        <v>1.9658918139999999</v>
      </c>
      <c r="Q1693" s="2">
        <v>1.9735376060000001</v>
      </c>
      <c r="R1693" s="2">
        <v>1.497737987</v>
      </c>
      <c r="S1693" s="2">
        <v>1.4491649769999999</v>
      </c>
      <c r="T1693" s="2">
        <v>1.2733858579999999</v>
      </c>
      <c r="U1693" s="2">
        <v>1.339690842</v>
      </c>
      <c r="V1693" s="2">
        <v>3.011047638</v>
      </c>
      <c r="W1693" s="2">
        <v>5.8953476999999997E-2</v>
      </c>
      <c r="X1693">
        <f t="shared" si="78"/>
        <v>0</v>
      </c>
      <c r="Y1693">
        <f t="shared" si="79"/>
        <v>1</v>
      </c>
      <c r="Z1693">
        <f t="shared" si="80"/>
        <v>1</v>
      </c>
    </row>
    <row r="1694" spans="1:26" ht="15.75" customHeight="1" x14ac:dyDescent="0.2">
      <c r="A1694" s="2" t="s">
        <v>23</v>
      </c>
      <c r="B1694" s="2" t="s">
        <v>35</v>
      </c>
      <c r="C1694" s="2" t="s">
        <v>32</v>
      </c>
      <c r="D1694" s="2" t="s">
        <v>33</v>
      </c>
      <c r="E1694" s="2">
        <v>150</v>
      </c>
      <c r="F1694" s="2">
        <v>232.66666670000001</v>
      </c>
      <c r="G1694" s="2">
        <v>718</v>
      </c>
      <c r="H1694" s="2">
        <v>1408</v>
      </c>
      <c r="I1694" s="2">
        <v>3213.333333</v>
      </c>
      <c r="J1694" s="2">
        <v>2.31</v>
      </c>
      <c r="K1694" s="2">
        <v>6.66</v>
      </c>
      <c r="L1694" s="2">
        <v>10.68</v>
      </c>
      <c r="M1694" s="2">
        <v>16.12</v>
      </c>
      <c r="N1694" s="2">
        <v>1.3857505000000001</v>
      </c>
      <c r="O1694" s="2">
        <v>1.1272925110000001</v>
      </c>
      <c r="P1694" s="2">
        <v>2.0243988530000001</v>
      </c>
      <c r="Q1694" s="2">
        <v>1.957458913</v>
      </c>
      <c r="R1694" s="2">
        <v>1.914271198</v>
      </c>
      <c r="S1694" s="2">
        <v>1.865698187</v>
      </c>
      <c r="T1694" s="2">
        <v>0.65860192699999998</v>
      </c>
      <c r="U1694" s="2">
        <v>0.59229694300000002</v>
      </c>
      <c r="V1694" s="2">
        <v>3.4275808479999998</v>
      </c>
      <c r="W1694" s="2">
        <v>0.103584236</v>
      </c>
      <c r="X1694">
        <f t="shared" si="78"/>
        <v>0</v>
      </c>
      <c r="Y1694">
        <f t="shared" si="79"/>
        <v>1</v>
      </c>
      <c r="Z1694">
        <f t="shared" si="80"/>
        <v>1</v>
      </c>
    </row>
    <row r="1695" spans="1:26" ht="15.75" customHeight="1" x14ac:dyDescent="0.2">
      <c r="A1695" s="2" t="s">
        <v>23</v>
      </c>
      <c r="B1695" s="2" t="s">
        <v>35</v>
      </c>
      <c r="C1695" s="2" t="s">
        <v>25</v>
      </c>
      <c r="D1695" s="2" t="s">
        <v>25</v>
      </c>
      <c r="E1695" s="2">
        <v>110</v>
      </c>
      <c r="F1695" s="2">
        <v>226.33333329999999</v>
      </c>
      <c r="G1695" s="2">
        <v>826</v>
      </c>
      <c r="H1695" s="2">
        <v>1653.666667</v>
      </c>
      <c r="I1695" s="2">
        <v>2469.666667</v>
      </c>
      <c r="J1695" s="2">
        <v>2.25</v>
      </c>
      <c r="K1695" s="2">
        <v>7.42</v>
      </c>
      <c r="L1695" s="2">
        <v>11.74</v>
      </c>
      <c r="M1695" s="2">
        <v>14.42</v>
      </c>
      <c r="N1695" s="2">
        <v>0.49670791199999997</v>
      </c>
      <c r="O1695" s="2">
        <v>0.35147244900000002</v>
      </c>
      <c r="P1695" s="2">
        <v>2.704969562</v>
      </c>
      <c r="Q1695" s="2">
        <v>2.6677848210000001</v>
      </c>
      <c r="R1695" s="2">
        <v>2.6749213489999999</v>
      </c>
      <c r="S1695" s="2">
        <v>2.6263483390000002</v>
      </c>
      <c r="T1695" s="2">
        <v>0.402064802</v>
      </c>
      <c r="U1695" s="2">
        <v>0.46836978499999998</v>
      </c>
      <c r="V1695" s="2">
        <v>4.188231</v>
      </c>
      <c r="W1695" s="2">
        <v>0.108241139</v>
      </c>
      <c r="X1695">
        <f t="shared" si="78"/>
        <v>0</v>
      </c>
      <c r="Y1695">
        <f t="shared" si="79"/>
        <v>1</v>
      </c>
      <c r="Z1695">
        <f t="shared" si="80"/>
        <v>0</v>
      </c>
    </row>
    <row r="1696" spans="1:26" ht="15.75" customHeight="1" x14ac:dyDescent="0.2">
      <c r="A1696" s="2" t="s">
        <v>23</v>
      </c>
      <c r="B1696" s="2" t="s">
        <v>35</v>
      </c>
      <c r="C1696" s="2" t="s">
        <v>27</v>
      </c>
      <c r="D1696" s="2" t="s">
        <v>27</v>
      </c>
      <c r="E1696" s="2">
        <v>83</v>
      </c>
      <c r="F1696" s="2">
        <v>226.33333329999999</v>
      </c>
      <c r="G1696" s="2">
        <v>381.66666670000001</v>
      </c>
      <c r="H1696" s="2">
        <v>2254</v>
      </c>
      <c r="I1696" s="2">
        <v>3188.333333</v>
      </c>
      <c r="J1696" s="2">
        <v>2.25</v>
      </c>
      <c r="K1696" s="2">
        <v>3.84</v>
      </c>
      <c r="L1696" s="2">
        <v>13.81</v>
      </c>
      <c r="M1696" s="2">
        <v>16.07</v>
      </c>
      <c r="N1696" s="2">
        <v>0.41644957900000001</v>
      </c>
      <c r="O1696" s="2">
        <v>0.73423695700000002</v>
      </c>
      <c r="P1696" s="2">
        <v>2.6336684990000001</v>
      </c>
      <c r="Q1696" s="2">
        <v>2.7127142869999998</v>
      </c>
      <c r="R1696" s="2">
        <v>0.90402834600000004</v>
      </c>
      <c r="S1696" s="2">
        <v>0.95260135599999995</v>
      </c>
      <c r="T1696" s="2">
        <v>2.473649634</v>
      </c>
      <c r="U1696" s="2">
        <v>2.5399546169999998</v>
      </c>
      <c r="V1696" s="2">
        <v>0.609281305</v>
      </c>
      <c r="W1696" s="2">
        <v>7.6883088000000002E-2</v>
      </c>
      <c r="X1696">
        <f t="shared" si="78"/>
        <v>0</v>
      </c>
      <c r="Y1696">
        <f t="shared" si="79"/>
        <v>1</v>
      </c>
      <c r="Z1696">
        <f t="shared" si="80"/>
        <v>0</v>
      </c>
    </row>
    <row r="1697" spans="1:26" ht="15.75" customHeight="1" x14ac:dyDescent="0.2">
      <c r="A1697" s="2" t="s">
        <v>23</v>
      </c>
      <c r="B1697" s="2" t="s">
        <v>35</v>
      </c>
      <c r="C1697" s="2" t="s">
        <v>32</v>
      </c>
      <c r="D1697" s="2" t="s">
        <v>33</v>
      </c>
      <c r="E1697" s="2">
        <v>102</v>
      </c>
      <c r="F1697" s="2">
        <v>266.33333329999999</v>
      </c>
      <c r="G1697" s="2">
        <v>597.66666669999995</v>
      </c>
      <c r="H1697" s="2">
        <v>1138.333333</v>
      </c>
      <c r="I1697" s="2">
        <v>3347.666667</v>
      </c>
      <c r="J1697" s="2">
        <v>2.68</v>
      </c>
      <c r="K1697" s="2">
        <v>5.73</v>
      </c>
      <c r="L1697" s="2">
        <v>9.32</v>
      </c>
      <c r="M1697" s="2">
        <v>16.38</v>
      </c>
      <c r="N1697" s="2">
        <v>2.9703505680000002</v>
      </c>
      <c r="O1697" s="2">
        <v>2.7439757149999999</v>
      </c>
      <c r="P1697" s="2">
        <v>2.246932046</v>
      </c>
      <c r="Q1697" s="2">
        <v>2.1660482509999999</v>
      </c>
      <c r="R1697" s="2">
        <v>0.99109559999999997</v>
      </c>
      <c r="S1697" s="2">
        <v>0.94252258899999997</v>
      </c>
      <c r="T1697" s="2">
        <v>2.0165398899999998</v>
      </c>
      <c r="U1697" s="2">
        <v>1.950234907</v>
      </c>
      <c r="V1697" s="2">
        <v>2.50440525</v>
      </c>
      <c r="W1697" s="2">
        <v>5.3522723000000001E-2</v>
      </c>
      <c r="X1697">
        <f t="shared" si="78"/>
        <v>0</v>
      </c>
      <c r="Y1697">
        <f t="shared" si="79"/>
        <v>1</v>
      </c>
      <c r="Z1697">
        <f t="shared" si="80"/>
        <v>1</v>
      </c>
    </row>
    <row r="1698" spans="1:26" ht="15.75" customHeight="1" x14ac:dyDescent="0.2">
      <c r="A1698" s="2" t="s">
        <v>23</v>
      </c>
      <c r="B1698" s="2" t="s">
        <v>35</v>
      </c>
      <c r="C1698" s="2" t="s">
        <v>28</v>
      </c>
      <c r="D1698" s="2" t="s">
        <v>29</v>
      </c>
      <c r="E1698" s="2">
        <v>115</v>
      </c>
      <c r="F1698" s="2">
        <v>158.66666670000001</v>
      </c>
      <c r="G1698" s="2">
        <v>409</v>
      </c>
      <c r="H1698" s="2">
        <v>1225.666667</v>
      </c>
      <c r="I1698" s="2">
        <v>2560.666667</v>
      </c>
      <c r="J1698" s="2">
        <v>1.48</v>
      </c>
      <c r="K1698" s="2">
        <v>4.0999999999999996</v>
      </c>
      <c r="L1698" s="2">
        <v>9.7799999999999994</v>
      </c>
      <c r="M1698" s="2">
        <v>14.66</v>
      </c>
      <c r="N1698" s="2">
        <v>1.5678390849999999</v>
      </c>
      <c r="O1698" s="2">
        <v>1.3168903359999999</v>
      </c>
      <c r="P1698" s="2">
        <v>1.680360031</v>
      </c>
      <c r="Q1698" s="2">
        <v>1.639292312</v>
      </c>
      <c r="R1698" s="2">
        <v>0.64511445700000003</v>
      </c>
      <c r="S1698" s="2">
        <v>0.69368746699999995</v>
      </c>
      <c r="T1698" s="2">
        <v>1.5515918179999999</v>
      </c>
      <c r="U1698" s="2">
        <v>1.4852868349999999</v>
      </c>
      <c r="V1698" s="2">
        <v>0.868195194</v>
      </c>
      <c r="W1698" s="2">
        <v>4.9211232000000001E-2</v>
      </c>
      <c r="X1698">
        <f t="shared" si="78"/>
        <v>0</v>
      </c>
      <c r="Y1698">
        <f t="shared" si="79"/>
        <v>1</v>
      </c>
      <c r="Z1698">
        <f t="shared" si="80"/>
        <v>1</v>
      </c>
    </row>
    <row r="1699" spans="1:26" ht="15.75" customHeight="1" x14ac:dyDescent="0.2">
      <c r="A1699" s="2" t="s">
        <v>23</v>
      </c>
      <c r="B1699" s="2" t="s">
        <v>35</v>
      </c>
      <c r="C1699" s="2" t="s">
        <v>27</v>
      </c>
      <c r="D1699" s="2" t="s">
        <v>27</v>
      </c>
      <c r="E1699" s="2">
        <v>155</v>
      </c>
      <c r="F1699" s="2">
        <v>226.66666670000001</v>
      </c>
      <c r="G1699" s="2">
        <v>458.33333329999999</v>
      </c>
      <c r="H1699" s="2">
        <v>2042.666667</v>
      </c>
      <c r="I1699" s="2">
        <v>2956</v>
      </c>
      <c r="J1699" s="2">
        <v>2.25</v>
      </c>
      <c r="K1699" s="2">
        <v>4.55</v>
      </c>
      <c r="L1699" s="2">
        <v>13.15</v>
      </c>
      <c r="M1699" s="2">
        <v>15.59</v>
      </c>
      <c r="N1699" s="2">
        <v>0.56132483399999999</v>
      </c>
      <c r="O1699" s="2">
        <v>0.23507742300000001</v>
      </c>
      <c r="P1699" s="2">
        <v>1.825460243</v>
      </c>
      <c r="Q1699" s="2">
        <v>1.896970203</v>
      </c>
      <c r="R1699" s="2">
        <v>0.192621188</v>
      </c>
      <c r="S1699" s="2">
        <v>0.241194198</v>
      </c>
      <c r="T1699" s="2">
        <v>1.815269174</v>
      </c>
      <c r="U1699" s="2">
        <v>1.8815741580000001</v>
      </c>
      <c r="V1699" s="2">
        <v>1.320688463</v>
      </c>
      <c r="W1699" s="2">
        <v>7.9421387999999996E-2</v>
      </c>
      <c r="X1699">
        <f t="shared" si="78"/>
        <v>0</v>
      </c>
      <c r="Y1699">
        <f t="shared" si="79"/>
        <v>1</v>
      </c>
      <c r="Z1699">
        <f t="shared" si="80"/>
        <v>0</v>
      </c>
    </row>
    <row r="1700" spans="1:26" ht="15.75" customHeight="1" x14ac:dyDescent="0.2">
      <c r="A1700" s="2" t="s">
        <v>23</v>
      </c>
      <c r="B1700" s="2" t="s">
        <v>35</v>
      </c>
      <c r="C1700" s="2" t="s">
        <v>26</v>
      </c>
      <c r="D1700" s="2" t="s">
        <v>26</v>
      </c>
      <c r="E1700" s="2">
        <v>102</v>
      </c>
      <c r="F1700" s="2">
        <v>252.33333329999999</v>
      </c>
      <c r="G1700" s="2">
        <v>442</v>
      </c>
      <c r="H1700" s="2">
        <v>768.33333330000005</v>
      </c>
      <c r="I1700" s="2">
        <v>2732.666667</v>
      </c>
      <c r="J1700" s="2">
        <v>2.5299999999999998</v>
      </c>
      <c r="K1700" s="2">
        <v>4.4000000000000004</v>
      </c>
      <c r="L1700" s="2">
        <v>7.02</v>
      </c>
      <c r="M1700" s="2">
        <v>15.08</v>
      </c>
      <c r="N1700" s="2">
        <v>1.227478136</v>
      </c>
      <c r="O1700" s="2">
        <v>1.4684307729999999</v>
      </c>
      <c r="P1700" s="2">
        <v>4.32994536</v>
      </c>
      <c r="Q1700" s="2">
        <v>4.2680008819999999</v>
      </c>
      <c r="R1700" s="2">
        <v>0.34037494899999998</v>
      </c>
      <c r="S1700" s="2">
        <v>0.38894795999999998</v>
      </c>
      <c r="T1700" s="2">
        <v>4.3165462720000001</v>
      </c>
      <c r="U1700" s="2">
        <v>4.2502412879999998</v>
      </c>
      <c r="V1700" s="2">
        <v>1.172934701</v>
      </c>
      <c r="W1700" s="2">
        <v>0.12960353199999999</v>
      </c>
      <c r="X1700">
        <f t="shared" si="78"/>
        <v>0</v>
      </c>
      <c r="Y1700">
        <f t="shared" si="79"/>
        <v>1</v>
      </c>
      <c r="Z1700">
        <f t="shared" si="80"/>
        <v>0</v>
      </c>
    </row>
    <row r="1701" spans="1:26" ht="15.75" customHeight="1" x14ac:dyDescent="0.2">
      <c r="A1701" s="2" t="s">
        <v>23</v>
      </c>
      <c r="B1701" s="2" t="s">
        <v>35</v>
      </c>
      <c r="C1701" s="2" t="s">
        <v>27</v>
      </c>
      <c r="D1701" s="2" t="s">
        <v>27</v>
      </c>
      <c r="E1701" s="2">
        <v>121</v>
      </c>
      <c r="F1701" s="2">
        <v>221.33333329999999</v>
      </c>
      <c r="G1701" s="2">
        <v>401.66666670000001</v>
      </c>
      <c r="H1701" s="2">
        <v>2173.333333</v>
      </c>
      <c r="I1701" s="2">
        <v>2790</v>
      </c>
      <c r="J1701" s="2">
        <v>2.19</v>
      </c>
      <c r="K1701" s="2">
        <v>4.03</v>
      </c>
      <c r="L1701" s="2">
        <v>13.57</v>
      </c>
      <c r="M1701" s="2">
        <v>15.22</v>
      </c>
      <c r="N1701" s="2">
        <v>0.107718734</v>
      </c>
      <c r="O1701" s="2">
        <v>0.43242694500000001</v>
      </c>
      <c r="P1701" s="2">
        <v>2.3417872979999999</v>
      </c>
      <c r="Q1701" s="2">
        <v>2.4198849629999999</v>
      </c>
      <c r="R1701" s="2">
        <v>0.71399089000000004</v>
      </c>
      <c r="S1701" s="2">
        <v>0.76256390100000004</v>
      </c>
      <c r="T1701" s="2">
        <v>2.2302880429999998</v>
      </c>
      <c r="U1701" s="2">
        <v>2.2965930270000001</v>
      </c>
      <c r="V1701" s="2">
        <v>0.79931876000000002</v>
      </c>
      <c r="W1701" s="2">
        <v>8.2872673999999993E-2</v>
      </c>
      <c r="X1701">
        <f t="shared" si="78"/>
        <v>0</v>
      </c>
      <c r="Y1701">
        <f t="shared" si="79"/>
        <v>1</v>
      </c>
      <c r="Z1701">
        <f t="shared" si="80"/>
        <v>0</v>
      </c>
    </row>
    <row r="1702" spans="1:26" ht="15.75" customHeight="1" x14ac:dyDescent="0.2">
      <c r="A1702" s="2" t="s">
        <v>23</v>
      </c>
      <c r="B1702" s="2" t="s">
        <v>35</v>
      </c>
      <c r="C1702" s="2" t="s">
        <v>27</v>
      </c>
      <c r="D1702" s="2" t="s">
        <v>27</v>
      </c>
      <c r="E1702" s="2">
        <v>93</v>
      </c>
      <c r="F1702" s="2">
        <v>244</v>
      </c>
      <c r="G1702" s="2">
        <v>459</v>
      </c>
      <c r="H1702" s="2">
        <v>2121.666667</v>
      </c>
      <c r="I1702" s="2">
        <v>3064</v>
      </c>
      <c r="J1702" s="2">
        <v>2.44</v>
      </c>
      <c r="K1702" s="2">
        <v>4.5599999999999996</v>
      </c>
      <c r="L1702" s="2">
        <v>13.41</v>
      </c>
      <c r="M1702" s="2">
        <v>15.82</v>
      </c>
      <c r="N1702" s="2">
        <v>0.46503911999999997</v>
      </c>
      <c r="O1702" s="2">
        <v>0.20101248899999999</v>
      </c>
      <c r="P1702" s="2">
        <v>2.0777613860000002</v>
      </c>
      <c r="Q1702" s="2">
        <v>2.1485801769999999</v>
      </c>
      <c r="R1702" s="2">
        <v>0.18663280400000001</v>
      </c>
      <c r="S1702" s="2">
        <v>0.23520581500000001</v>
      </c>
      <c r="T1702" s="2">
        <v>2.0693623589999999</v>
      </c>
      <c r="U1702" s="2">
        <v>2.1356673430000002</v>
      </c>
      <c r="V1702" s="2">
        <v>1.326676846</v>
      </c>
      <c r="W1702" s="2">
        <v>9.1157588999999997E-2</v>
      </c>
      <c r="X1702">
        <f t="shared" si="78"/>
        <v>0</v>
      </c>
      <c r="Y1702">
        <f t="shared" si="79"/>
        <v>1</v>
      </c>
      <c r="Z1702">
        <f t="shared" si="80"/>
        <v>0</v>
      </c>
    </row>
    <row r="1703" spans="1:26" ht="15.75" customHeight="1" x14ac:dyDescent="0.2">
      <c r="A1703" s="2" t="s">
        <v>23</v>
      </c>
      <c r="B1703" s="2" t="s">
        <v>35</v>
      </c>
      <c r="C1703" s="2" t="s">
        <v>32</v>
      </c>
      <c r="D1703" s="2" t="s">
        <v>33</v>
      </c>
      <c r="E1703" s="2">
        <v>132</v>
      </c>
      <c r="F1703" s="2">
        <v>214.66666670000001</v>
      </c>
      <c r="G1703" s="2">
        <v>472</v>
      </c>
      <c r="H1703" s="2">
        <v>982</v>
      </c>
      <c r="I1703" s="2">
        <v>2742</v>
      </c>
      <c r="J1703" s="2">
        <v>2.12</v>
      </c>
      <c r="K1703" s="2">
        <v>4.67</v>
      </c>
      <c r="L1703" s="2">
        <v>8.42</v>
      </c>
      <c r="M1703" s="2">
        <v>15.1</v>
      </c>
      <c r="N1703" s="2">
        <v>4.3589987419999998</v>
      </c>
      <c r="O1703" s="2">
        <v>4.1250393020000002</v>
      </c>
      <c r="P1703" s="2">
        <v>2.9186177660000001</v>
      </c>
      <c r="Q1703" s="2">
        <v>2.853946536</v>
      </c>
      <c r="R1703" s="2">
        <v>7.0515539000000002E-2</v>
      </c>
      <c r="S1703" s="2">
        <v>0.11908855</v>
      </c>
      <c r="T1703" s="2">
        <v>2.9177657930000001</v>
      </c>
      <c r="U1703" s="2">
        <v>2.8514608099999998</v>
      </c>
      <c r="V1703" s="2">
        <v>1.442794111</v>
      </c>
      <c r="W1703" s="2">
        <v>0.107042479</v>
      </c>
      <c r="X1703">
        <f t="shared" si="78"/>
        <v>0</v>
      </c>
      <c r="Y1703">
        <f t="shared" si="79"/>
        <v>1</v>
      </c>
      <c r="Z1703">
        <f t="shared" si="80"/>
        <v>1</v>
      </c>
    </row>
    <row r="1704" spans="1:26" ht="15.75" customHeight="1" x14ac:dyDescent="0.2">
      <c r="A1704" s="2" t="s">
        <v>23</v>
      </c>
      <c r="B1704" s="2" t="s">
        <v>35</v>
      </c>
      <c r="C1704" s="2" t="s">
        <v>28</v>
      </c>
      <c r="D1704" s="2" t="s">
        <v>29</v>
      </c>
      <c r="E1704" s="2">
        <v>142</v>
      </c>
      <c r="F1704" s="2">
        <v>253.66666670000001</v>
      </c>
      <c r="G1704" s="2">
        <v>343.33333329999999</v>
      </c>
      <c r="H1704" s="2">
        <v>1015.333333</v>
      </c>
      <c r="I1704" s="2">
        <v>2809.666667</v>
      </c>
      <c r="J1704" s="2">
        <v>2.54</v>
      </c>
      <c r="K1704" s="2">
        <v>3.47</v>
      </c>
      <c r="L1704" s="2">
        <v>8.6199999999999992</v>
      </c>
      <c r="M1704" s="2">
        <v>15.26</v>
      </c>
      <c r="N1704" s="2">
        <v>0.77891345899999997</v>
      </c>
      <c r="O1704" s="2">
        <v>0.85733558200000004</v>
      </c>
      <c r="P1704" s="2">
        <v>3.0029445400000001</v>
      </c>
      <c r="Q1704" s="2">
        <v>2.964480665</v>
      </c>
      <c r="R1704" s="2">
        <v>1.277491366</v>
      </c>
      <c r="S1704" s="2">
        <v>1.3260643759999999</v>
      </c>
      <c r="T1704" s="2">
        <v>2.717662915</v>
      </c>
      <c r="U1704" s="2">
        <v>2.6513579319999998</v>
      </c>
      <c r="V1704" s="2">
        <v>0.23581828499999999</v>
      </c>
      <c r="W1704" s="2">
        <v>6.0744921E-2</v>
      </c>
      <c r="X1704">
        <f t="shared" si="78"/>
        <v>0</v>
      </c>
      <c r="Y1704">
        <f t="shared" si="79"/>
        <v>1</v>
      </c>
      <c r="Z1704">
        <f t="shared" si="80"/>
        <v>1</v>
      </c>
    </row>
    <row r="1705" spans="1:26" ht="15.75" customHeight="1" x14ac:dyDescent="0.2">
      <c r="A1705" s="2" t="s">
        <v>23</v>
      </c>
      <c r="B1705" s="2" t="s">
        <v>35</v>
      </c>
      <c r="C1705" s="2" t="s">
        <v>26</v>
      </c>
      <c r="D1705" s="2" t="s">
        <v>26</v>
      </c>
      <c r="E1705" s="2">
        <v>97</v>
      </c>
      <c r="F1705" s="2">
        <v>229</v>
      </c>
      <c r="G1705" s="2">
        <v>427</v>
      </c>
      <c r="H1705" s="2">
        <v>1158.333333</v>
      </c>
      <c r="I1705" s="2">
        <v>2890.333333</v>
      </c>
      <c r="J1705" s="2">
        <v>2.27</v>
      </c>
      <c r="K1705" s="2">
        <v>4.2699999999999996</v>
      </c>
      <c r="L1705" s="2">
        <v>9.43</v>
      </c>
      <c r="M1705" s="2">
        <v>15.45</v>
      </c>
      <c r="N1705" s="2">
        <v>1.2184552230000001</v>
      </c>
      <c r="O1705" s="2">
        <v>0.94430830099999996</v>
      </c>
      <c r="P1705" s="2">
        <v>1.966698493</v>
      </c>
      <c r="Q1705" s="2">
        <v>1.915226144</v>
      </c>
      <c r="R1705" s="2">
        <v>0.477848365</v>
      </c>
      <c r="S1705" s="2">
        <v>0.52642137499999997</v>
      </c>
      <c r="T1705" s="2">
        <v>1.9077641110000001</v>
      </c>
      <c r="U1705" s="2">
        <v>1.841459127</v>
      </c>
      <c r="V1705" s="2">
        <v>1.0354612860000001</v>
      </c>
      <c r="W1705" s="2">
        <v>6.3211583000000002E-2</v>
      </c>
      <c r="X1705">
        <f t="shared" si="78"/>
        <v>0</v>
      </c>
      <c r="Y1705">
        <f t="shared" si="79"/>
        <v>1</v>
      </c>
      <c r="Z1705">
        <f t="shared" si="80"/>
        <v>0</v>
      </c>
    </row>
    <row r="1706" spans="1:26" ht="15.75" customHeight="1" x14ac:dyDescent="0.2">
      <c r="A1706" s="2" t="s">
        <v>23</v>
      </c>
      <c r="B1706" s="2" t="s">
        <v>35</v>
      </c>
      <c r="C1706" s="2" t="s">
        <v>30</v>
      </c>
      <c r="D1706" s="2" t="s">
        <v>31</v>
      </c>
      <c r="E1706" s="2">
        <v>100</v>
      </c>
      <c r="F1706" s="2">
        <v>215.66666670000001</v>
      </c>
      <c r="G1706" s="2">
        <v>825.66666669999995</v>
      </c>
      <c r="H1706" s="2">
        <v>1333</v>
      </c>
      <c r="I1706" s="2">
        <v>2732.666667</v>
      </c>
      <c r="J1706" s="2">
        <v>2.13</v>
      </c>
      <c r="K1706" s="2">
        <v>7.42</v>
      </c>
      <c r="L1706" s="2">
        <v>10.32</v>
      </c>
      <c r="M1706" s="2">
        <v>15.08</v>
      </c>
      <c r="N1706" s="2">
        <v>4.5828066070000002</v>
      </c>
      <c r="O1706" s="2">
        <v>4.261691194</v>
      </c>
      <c r="P1706" s="2">
        <v>2.858535217</v>
      </c>
      <c r="Q1706" s="2">
        <v>2.7899607670000002</v>
      </c>
      <c r="R1706" s="2">
        <v>2.6726644020000001</v>
      </c>
      <c r="S1706" s="2">
        <v>2.624091392</v>
      </c>
      <c r="T1706" s="2">
        <v>1.01394703</v>
      </c>
      <c r="U1706" s="2">
        <v>0.94764204699999999</v>
      </c>
      <c r="V1706" s="2">
        <v>4.1859740529999998</v>
      </c>
      <c r="W1706" s="2">
        <v>6.5861818000000003E-2</v>
      </c>
      <c r="X1706">
        <f t="shared" si="78"/>
        <v>0</v>
      </c>
      <c r="Y1706">
        <f t="shared" si="79"/>
        <v>1</v>
      </c>
      <c r="Z1706">
        <f t="shared" si="80"/>
        <v>1</v>
      </c>
    </row>
    <row r="1707" spans="1:26" ht="15.75" customHeight="1" x14ac:dyDescent="0.2">
      <c r="A1707" s="2" t="s">
        <v>23</v>
      </c>
      <c r="B1707" s="2" t="s">
        <v>35</v>
      </c>
      <c r="C1707" s="2" t="s">
        <v>27</v>
      </c>
      <c r="D1707" s="2" t="s">
        <v>27</v>
      </c>
      <c r="E1707" s="2">
        <v>80</v>
      </c>
      <c r="F1707" s="2">
        <v>213.33333329999999</v>
      </c>
      <c r="G1707" s="2">
        <v>416</v>
      </c>
      <c r="H1707" s="2">
        <v>2203.333333</v>
      </c>
      <c r="I1707" s="2">
        <v>2858.666667</v>
      </c>
      <c r="J1707" s="2">
        <v>2.1</v>
      </c>
      <c r="K1707" s="2">
        <v>4.16</v>
      </c>
      <c r="L1707" s="2">
        <v>13.66</v>
      </c>
      <c r="M1707" s="2">
        <v>15.37</v>
      </c>
      <c r="N1707" s="2">
        <v>0.186204958</v>
      </c>
      <c r="O1707" s="2">
        <v>0.407705341</v>
      </c>
      <c r="P1707" s="2">
        <v>2.3931837119999999</v>
      </c>
      <c r="Q1707" s="2">
        <v>2.4694761390000002</v>
      </c>
      <c r="R1707" s="2">
        <v>0.57976538399999999</v>
      </c>
      <c r="S1707" s="2">
        <v>0.62833839499999999</v>
      </c>
      <c r="T1707" s="2">
        <v>2.3218958590000001</v>
      </c>
      <c r="U1707" s="2">
        <v>2.3882008419999998</v>
      </c>
      <c r="V1707" s="2">
        <v>0.93354426599999996</v>
      </c>
      <c r="W1707" s="2">
        <v>8.2977686999999994E-2</v>
      </c>
      <c r="X1707">
        <f t="shared" si="78"/>
        <v>0</v>
      </c>
      <c r="Y1707">
        <f t="shared" si="79"/>
        <v>1</v>
      </c>
      <c r="Z1707">
        <f t="shared" si="80"/>
        <v>0</v>
      </c>
    </row>
    <row r="1708" spans="1:26" ht="15.75" customHeight="1" x14ac:dyDescent="0.2">
      <c r="A1708" s="2" t="s">
        <v>23</v>
      </c>
      <c r="B1708" s="2" t="s">
        <v>35</v>
      </c>
      <c r="C1708" s="2" t="s">
        <v>30</v>
      </c>
      <c r="D1708" s="2" t="s">
        <v>31</v>
      </c>
      <c r="E1708" s="2">
        <v>193</v>
      </c>
      <c r="F1708" s="2">
        <v>273</v>
      </c>
      <c r="G1708" s="2">
        <v>752.66666669999995</v>
      </c>
      <c r="H1708" s="2">
        <v>1530.666667</v>
      </c>
      <c r="I1708" s="2">
        <v>2803.666667</v>
      </c>
      <c r="J1708" s="2">
        <v>2.75</v>
      </c>
      <c r="K1708" s="2">
        <v>6.91</v>
      </c>
      <c r="L1708" s="2">
        <v>11.23</v>
      </c>
      <c r="M1708" s="2">
        <v>15.25</v>
      </c>
      <c r="N1708" s="2">
        <v>3.604780436</v>
      </c>
      <c r="O1708" s="2">
        <v>3.2786842749999998</v>
      </c>
      <c r="P1708" s="2">
        <v>2.1678402220000001</v>
      </c>
      <c r="Q1708" s="2">
        <v>2.1169157780000001</v>
      </c>
      <c r="R1708" s="2">
        <v>2.165031028</v>
      </c>
      <c r="S1708" s="2">
        <v>2.1164580169999998</v>
      </c>
      <c r="T1708" s="2">
        <v>0.11032624000000001</v>
      </c>
      <c r="U1708" s="2">
        <v>4.4021256000000002E-2</v>
      </c>
      <c r="V1708" s="2">
        <v>3.6783406780000001</v>
      </c>
      <c r="W1708" s="2">
        <v>8.2773188999999997E-2</v>
      </c>
      <c r="X1708">
        <f t="shared" si="78"/>
        <v>0</v>
      </c>
      <c r="Y1708">
        <f t="shared" si="79"/>
        <v>1</v>
      </c>
      <c r="Z1708">
        <f t="shared" si="80"/>
        <v>1</v>
      </c>
    </row>
    <row r="1709" spans="1:26" ht="15.75" customHeight="1" x14ac:dyDescent="0.2">
      <c r="A1709" s="2" t="s">
        <v>23</v>
      </c>
      <c r="B1709" s="2" t="s">
        <v>35</v>
      </c>
      <c r="C1709" s="2" t="s">
        <v>26</v>
      </c>
      <c r="D1709" s="2" t="s">
        <v>26</v>
      </c>
      <c r="E1709" s="2">
        <v>101</v>
      </c>
      <c r="F1709" s="2">
        <v>215.66666670000001</v>
      </c>
      <c r="G1709" s="2">
        <v>364.66666670000001</v>
      </c>
      <c r="H1709" s="2">
        <v>1001.333333</v>
      </c>
      <c r="I1709" s="2">
        <v>2689.333333</v>
      </c>
      <c r="J1709" s="2">
        <v>2.13</v>
      </c>
      <c r="K1709" s="2">
        <v>3.68</v>
      </c>
      <c r="L1709" s="2">
        <v>8.5399999999999991</v>
      </c>
      <c r="M1709" s="2">
        <v>14.98</v>
      </c>
      <c r="N1709" s="2">
        <v>0.55764947099999995</v>
      </c>
      <c r="O1709" s="2">
        <v>0.63949748699999998</v>
      </c>
      <c r="P1709" s="2">
        <v>2.997897129</v>
      </c>
      <c r="Q1709" s="2">
        <v>2.9540558859999999</v>
      </c>
      <c r="R1709" s="2">
        <v>1.0681311659999999</v>
      </c>
      <c r="S1709" s="2">
        <v>1.116704176</v>
      </c>
      <c r="T1709" s="2">
        <v>2.8011574399999999</v>
      </c>
      <c r="U1709" s="2">
        <v>2.7348524570000001</v>
      </c>
      <c r="V1709" s="2">
        <v>0.44517848500000001</v>
      </c>
      <c r="W1709" s="2">
        <v>0.103870638</v>
      </c>
      <c r="X1709">
        <f t="shared" si="78"/>
        <v>0</v>
      </c>
      <c r="Y1709">
        <f t="shared" si="79"/>
        <v>1</v>
      </c>
      <c r="Z1709">
        <f t="shared" si="80"/>
        <v>0</v>
      </c>
    </row>
    <row r="1710" spans="1:26" ht="15.75" customHeight="1" x14ac:dyDescent="0.2">
      <c r="A1710" s="2" t="s">
        <v>23</v>
      </c>
      <c r="B1710" s="2" t="s">
        <v>35</v>
      </c>
      <c r="C1710" s="2" t="s">
        <v>26</v>
      </c>
      <c r="D1710" s="2" t="s">
        <v>26</v>
      </c>
      <c r="E1710" s="2">
        <v>79</v>
      </c>
      <c r="F1710" s="2">
        <v>265.33333329999999</v>
      </c>
      <c r="G1710" s="2">
        <v>431.66666670000001</v>
      </c>
      <c r="H1710" s="2">
        <v>955</v>
      </c>
      <c r="I1710" s="2">
        <v>2874</v>
      </c>
      <c r="J1710" s="2">
        <v>2.67</v>
      </c>
      <c r="K1710" s="2">
        <v>4.3099999999999996</v>
      </c>
      <c r="L1710" s="2">
        <v>8.25</v>
      </c>
      <c r="M1710" s="2">
        <v>15.41</v>
      </c>
      <c r="N1710" s="2">
        <v>0.17869016900000001</v>
      </c>
      <c r="O1710" s="2">
        <v>0.23235593600000001</v>
      </c>
      <c r="P1710" s="2">
        <v>3.1137242710000002</v>
      </c>
      <c r="Q1710" s="2">
        <v>3.0553918229999999</v>
      </c>
      <c r="R1710" s="2">
        <v>0.43489406899999999</v>
      </c>
      <c r="S1710" s="2">
        <v>0.48346707999999999</v>
      </c>
      <c r="T1710" s="2">
        <v>3.0832038509999999</v>
      </c>
      <c r="U1710" s="2">
        <v>3.0168988670000001</v>
      </c>
      <c r="V1710" s="2">
        <v>1.078415581</v>
      </c>
      <c r="W1710" s="2">
        <v>9.7668274999999999E-2</v>
      </c>
      <c r="X1710">
        <f t="shared" si="78"/>
        <v>0</v>
      </c>
      <c r="Y1710">
        <f t="shared" si="79"/>
        <v>1</v>
      </c>
      <c r="Z1710">
        <f t="shared" si="80"/>
        <v>0</v>
      </c>
    </row>
    <row r="1711" spans="1:26" ht="15.75" customHeight="1" x14ac:dyDescent="0.2">
      <c r="A1711" s="2" t="s">
        <v>23</v>
      </c>
      <c r="B1711" s="2" t="s">
        <v>35</v>
      </c>
      <c r="C1711" s="2" t="s">
        <v>26</v>
      </c>
      <c r="D1711" s="2" t="s">
        <v>26</v>
      </c>
      <c r="E1711" s="2">
        <v>81</v>
      </c>
      <c r="F1711" s="2">
        <v>210.66666670000001</v>
      </c>
      <c r="G1711" s="2">
        <v>408</v>
      </c>
      <c r="H1711" s="2">
        <v>796.66666669999995</v>
      </c>
      <c r="I1711" s="2">
        <v>2791.333333</v>
      </c>
      <c r="J1711" s="2">
        <v>2.0699999999999998</v>
      </c>
      <c r="K1711" s="2">
        <v>4.09</v>
      </c>
      <c r="L1711" s="2">
        <v>7.22</v>
      </c>
      <c r="M1711" s="2">
        <v>15.22</v>
      </c>
      <c r="N1711" s="2">
        <v>1.000544844</v>
      </c>
      <c r="O1711" s="2">
        <v>1.287324634</v>
      </c>
      <c r="P1711" s="2">
        <v>4.1702675219999996</v>
      </c>
      <c r="Q1711" s="2">
        <v>4.1128215450000001</v>
      </c>
      <c r="R1711" s="2">
        <v>0.65448157799999995</v>
      </c>
      <c r="S1711" s="2">
        <v>0.70305458799999998</v>
      </c>
      <c r="T1711" s="2">
        <v>4.1185901789999999</v>
      </c>
      <c r="U1711" s="2">
        <v>4.0522851959999997</v>
      </c>
      <c r="V1711" s="2">
        <v>0.85882807299999997</v>
      </c>
      <c r="W1711" s="2">
        <v>9.7210295000000002E-2</v>
      </c>
      <c r="X1711">
        <f t="shared" si="78"/>
        <v>0</v>
      </c>
      <c r="Y1711">
        <f t="shared" si="79"/>
        <v>1</v>
      </c>
      <c r="Z1711">
        <f t="shared" si="80"/>
        <v>0</v>
      </c>
    </row>
    <row r="1712" spans="1:26" ht="15.75" customHeight="1" x14ac:dyDescent="0.2">
      <c r="A1712" s="2" t="s">
        <v>23</v>
      </c>
      <c r="B1712" s="2" t="s">
        <v>35</v>
      </c>
      <c r="C1712" s="2" t="s">
        <v>25</v>
      </c>
      <c r="D1712" s="2" t="s">
        <v>25</v>
      </c>
      <c r="E1712" s="2">
        <v>291</v>
      </c>
      <c r="F1712" s="2">
        <v>242.66666670000001</v>
      </c>
      <c r="G1712" s="2">
        <v>930</v>
      </c>
      <c r="H1712" s="2">
        <v>1583.666667</v>
      </c>
      <c r="I1712" s="2">
        <v>2411.666667</v>
      </c>
      <c r="J1712" s="2">
        <v>2.42</v>
      </c>
      <c r="K1712" s="2">
        <v>8.1</v>
      </c>
      <c r="L1712" s="2">
        <v>11.45</v>
      </c>
      <c r="M1712" s="2">
        <v>14.26</v>
      </c>
      <c r="N1712" s="2">
        <v>0.28214792300000002</v>
      </c>
      <c r="O1712" s="2">
        <v>0.57789732199999999</v>
      </c>
      <c r="P1712" s="2">
        <v>3.3556323570000002</v>
      </c>
      <c r="Q1712" s="2">
        <v>3.310053661</v>
      </c>
      <c r="R1712" s="2">
        <v>3.3536673279999998</v>
      </c>
      <c r="S1712" s="2">
        <v>3.3050943180000001</v>
      </c>
      <c r="T1712" s="2">
        <v>0.114821459</v>
      </c>
      <c r="U1712" s="2">
        <v>0.181126443</v>
      </c>
      <c r="V1712" s="2">
        <v>4.8669769790000004</v>
      </c>
      <c r="W1712" s="2">
        <v>0.132962092</v>
      </c>
      <c r="X1712">
        <f t="shared" si="78"/>
        <v>0</v>
      </c>
      <c r="Y1712">
        <f t="shared" si="79"/>
        <v>1</v>
      </c>
      <c r="Z1712">
        <f t="shared" si="80"/>
        <v>0</v>
      </c>
    </row>
    <row r="1713" spans="1:26" ht="15.75" customHeight="1" x14ac:dyDescent="0.2">
      <c r="A1713" s="2" t="s">
        <v>23</v>
      </c>
      <c r="B1713" s="2" t="s">
        <v>35</v>
      </c>
      <c r="C1713" s="2" t="s">
        <v>25</v>
      </c>
      <c r="D1713" s="2" t="s">
        <v>25</v>
      </c>
      <c r="E1713" s="2">
        <v>132</v>
      </c>
      <c r="F1713" s="2">
        <v>190</v>
      </c>
      <c r="G1713" s="2">
        <v>888.66666669999995</v>
      </c>
      <c r="H1713" s="2">
        <v>1499</v>
      </c>
      <c r="I1713" s="2">
        <v>2867.333333</v>
      </c>
      <c r="J1713" s="2">
        <v>1.84</v>
      </c>
      <c r="K1713" s="2">
        <v>7.83</v>
      </c>
      <c r="L1713" s="2">
        <v>11.09</v>
      </c>
      <c r="M1713" s="2">
        <v>15.39</v>
      </c>
      <c r="N1713" s="2">
        <v>0.35193562299999998</v>
      </c>
      <c r="O1713" s="2">
        <v>0.44275452199999998</v>
      </c>
      <c r="P1713" s="2">
        <v>3.0997915360000001</v>
      </c>
      <c r="Q1713" s="2">
        <v>3.0467017009999999</v>
      </c>
      <c r="R1713" s="2">
        <v>3.0898436079999998</v>
      </c>
      <c r="S1713" s="2">
        <v>3.0412705980000001</v>
      </c>
      <c r="T1713" s="2">
        <v>0.24814117799999999</v>
      </c>
      <c r="U1713" s="2">
        <v>0.18183619500000001</v>
      </c>
      <c r="V1713" s="2">
        <v>4.6031532589999999</v>
      </c>
      <c r="W1713" s="2">
        <v>7.0532257000000001E-2</v>
      </c>
      <c r="X1713">
        <f t="shared" si="78"/>
        <v>0</v>
      </c>
      <c r="Y1713">
        <f t="shared" si="79"/>
        <v>1</v>
      </c>
      <c r="Z1713">
        <f t="shared" si="80"/>
        <v>0</v>
      </c>
    </row>
    <row r="1714" spans="1:26" ht="15.75" customHeight="1" x14ac:dyDescent="0.2">
      <c r="A1714" s="2" t="s">
        <v>23</v>
      </c>
      <c r="B1714" s="2" t="s">
        <v>35</v>
      </c>
      <c r="C1714" s="2" t="s">
        <v>25</v>
      </c>
      <c r="D1714" s="2" t="s">
        <v>25</v>
      </c>
      <c r="E1714" s="2">
        <v>309</v>
      </c>
      <c r="F1714" s="2">
        <v>223.33333329999999</v>
      </c>
      <c r="G1714" s="2">
        <v>897</v>
      </c>
      <c r="H1714" s="2">
        <v>1631.333333</v>
      </c>
      <c r="I1714" s="2">
        <v>2218.333333</v>
      </c>
      <c r="J1714" s="2">
        <v>2.21</v>
      </c>
      <c r="K1714" s="2">
        <v>7.89</v>
      </c>
      <c r="L1714" s="2">
        <v>11.65</v>
      </c>
      <c r="M1714" s="2">
        <v>13.7</v>
      </c>
      <c r="N1714" s="2">
        <v>0.220365441</v>
      </c>
      <c r="O1714" s="2">
        <v>0.44063284699999999</v>
      </c>
      <c r="P1714" s="2">
        <v>3.1590571180000002</v>
      </c>
      <c r="Q1714" s="2">
        <v>3.1180652329999998</v>
      </c>
      <c r="R1714" s="2">
        <v>3.1436482529999998</v>
      </c>
      <c r="S1714" s="2">
        <v>3.0950752420000001</v>
      </c>
      <c r="T1714" s="2">
        <v>0.31163686400000001</v>
      </c>
      <c r="U1714" s="2">
        <v>0.37794184800000002</v>
      </c>
      <c r="V1714" s="2">
        <v>4.6569579030000003</v>
      </c>
      <c r="W1714" s="2">
        <v>0.12274581900000001</v>
      </c>
      <c r="X1714">
        <f t="shared" si="78"/>
        <v>0</v>
      </c>
      <c r="Y1714">
        <f t="shared" si="79"/>
        <v>1</v>
      </c>
      <c r="Z1714">
        <f t="shared" si="80"/>
        <v>0</v>
      </c>
    </row>
    <row r="1715" spans="1:26" ht="15.75" customHeight="1" x14ac:dyDescent="0.2">
      <c r="A1715" s="2" t="s">
        <v>23</v>
      </c>
      <c r="B1715" s="2" t="s">
        <v>35</v>
      </c>
      <c r="C1715" s="2" t="s">
        <v>28</v>
      </c>
      <c r="D1715" s="2" t="s">
        <v>29</v>
      </c>
      <c r="E1715" s="2">
        <v>95</v>
      </c>
      <c r="F1715" s="2">
        <v>229.66666670000001</v>
      </c>
      <c r="G1715" s="2">
        <v>257.33333329999999</v>
      </c>
      <c r="H1715" s="2">
        <v>1198.333333</v>
      </c>
      <c r="I1715" s="2">
        <v>2209.666667</v>
      </c>
      <c r="J1715" s="2">
        <v>2.2799999999999998</v>
      </c>
      <c r="K1715" s="2">
        <v>2.58</v>
      </c>
      <c r="L1715" s="2">
        <v>9.64</v>
      </c>
      <c r="M1715" s="2">
        <v>13.68</v>
      </c>
      <c r="N1715" s="2">
        <v>2.1070384400000002</v>
      </c>
      <c r="O1715" s="2">
        <v>2.082445458</v>
      </c>
      <c r="P1715" s="2">
        <v>2.7470844520000002</v>
      </c>
      <c r="Q1715" s="2">
        <v>2.7456516949999998</v>
      </c>
      <c r="R1715" s="2">
        <v>2.1623289429999999</v>
      </c>
      <c r="S1715" s="2">
        <v>2.2109019540000001</v>
      </c>
      <c r="T1715" s="2">
        <v>1.6943454570000001</v>
      </c>
      <c r="U1715" s="2">
        <v>1.6280404740000001</v>
      </c>
      <c r="V1715" s="2">
        <v>-0.64901929300000005</v>
      </c>
      <c r="W1715" s="2">
        <v>0.10599165000000001</v>
      </c>
      <c r="X1715">
        <f t="shared" si="78"/>
        <v>0</v>
      </c>
      <c r="Y1715">
        <f t="shared" si="79"/>
        <v>1</v>
      </c>
      <c r="Z1715">
        <f t="shared" si="80"/>
        <v>1</v>
      </c>
    </row>
    <row r="1716" spans="1:26" ht="15.75" customHeight="1" x14ac:dyDescent="0.2">
      <c r="A1716" s="2" t="s">
        <v>23</v>
      </c>
      <c r="B1716" s="2" t="s">
        <v>35</v>
      </c>
      <c r="C1716" s="2" t="s">
        <v>30</v>
      </c>
      <c r="D1716" s="2" t="s">
        <v>31</v>
      </c>
      <c r="E1716" s="2">
        <v>100</v>
      </c>
      <c r="F1716" s="2">
        <v>199.66666670000001</v>
      </c>
      <c r="G1716" s="2">
        <v>785</v>
      </c>
      <c r="H1716" s="2">
        <v>1263</v>
      </c>
      <c r="I1716" s="2">
        <v>2715.666667</v>
      </c>
      <c r="J1716" s="2">
        <v>1.95</v>
      </c>
      <c r="K1716" s="2">
        <v>7.14</v>
      </c>
      <c r="L1716" s="2">
        <v>9.98</v>
      </c>
      <c r="M1716" s="2">
        <v>15.04</v>
      </c>
      <c r="N1716" s="2">
        <v>4.6408363049999997</v>
      </c>
      <c r="O1716" s="2">
        <v>4.3283907350000002</v>
      </c>
      <c r="P1716" s="2">
        <v>2.7528984990000001</v>
      </c>
      <c r="Q1716" s="2">
        <v>2.6781143759999999</v>
      </c>
      <c r="R1716" s="2">
        <v>2.3932042020000002</v>
      </c>
      <c r="S1716" s="2">
        <v>2.344631192</v>
      </c>
      <c r="T1716" s="2">
        <v>1.360523352</v>
      </c>
      <c r="U1716" s="2">
        <v>1.294218369</v>
      </c>
      <c r="V1716" s="2">
        <v>3.9065138529999999</v>
      </c>
      <c r="W1716" s="2">
        <v>8.5108569999999995E-2</v>
      </c>
      <c r="X1716">
        <f t="shared" si="78"/>
        <v>0</v>
      </c>
      <c r="Y1716">
        <f t="shared" si="79"/>
        <v>1</v>
      </c>
      <c r="Z1716">
        <f t="shared" si="80"/>
        <v>1</v>
      </c>
    </row>
    <row r="1717" spans="1:26" ht="15.75" customHeight="1" x14ac:dyDescent="0.2">
      <c r="A1717" s="2" t="s">
        <v>23</v>
      </c>
      <c r="B1717" s="2" t="s">
        <v>35</v>
      </c>
      <c r="C1717" s="2" t="s">
        <v>32</v>
      </c>
      <c r="D1717" s="2" t="s">
        <v>33</v>
      </c>
      <c r="E1717" s="2">
        <v>134</v>
      </c>
      <c r="F1717" s="2">
        <v>221.66666670000001</v>
      </c>
      <c r="G1717" s="2">
        <v>535.33333330000005</v>
      </c>
      <c r="H1717" s="2">
        <v>824.66666669999995</v>
      </c>
      <c r="I1717" s="2">
        <v>2966</v>
      </c>
      <c r="J1717" s="2">
        <v>2.19</v>
      </c>
      <c r="K1717" s="2">
        <v>5.22</v>
      </c>
      <c r="L1717" s="2">
        <v>7.41</v>
      </c>
      <c r="M1717" s="2">
        <v>15.61</v>
      </c>
      <c r="N1717" s="2">
        <v>4.7928173320000003</v>
      </c>
      <c r="O1717" s="2">
        <v>4.607949112</v>
      </c>
      <c r="P1717" s="2">
        <v>3.9558909</v>
      </c>
      <c r="Q1717" s="2">
        <v>3.8844118820000002</v>
      </c>
      <c r="R1717" s="2">
        <v>0.47787896400000002</v>
      </c>
      <c r="S1717" s="2">
        <v>0.42930595300000002</v>
      </c>
      <c r="T1717" s="2">
        <v>3.9269204869999998</v>
      </c>
      <c r="U1717" s="2">
        <v>3.8606155040000001</v>
      </c>
      <c r="V1717" s="2">
        <v>1.9911886139999999</v>
      </c>
      <c r="W1717" s="2">
        <v>0.105422906</v>
      </c>
      <c r="X1717">
        <f t="shared" si="78"/>
        <v>0</v>
      </c>
      <c r="Y1717">
        <f t="shared" si="79"/>
        <v>1</v>
      </c>
      <c r="Z1717">
        <f t="shared" si="80"/>
        <v>1</v>
      </c>
    </row>
    <row r="1718" spans="1:26" ht="15.75" customHeight="1" x14ac:dyDescent="0.2">
      <c r="A1718" s="2" t="s">
        <v>23</v>
      </c>
      <c r="B1718" s="2" t="s">
        <v>35</v>
      </c>
      <c r="C1718" s="2" t="s">
        <v>26</v>
      </c>
      <c r="D1718" s="2" t="s">
        <v>26</v>
      </c>
      <c r="E1718" s="2">
        <v>90</v>
      </c>
      <c r="F1718" s="2">
        <v>241.66666670000001</v>
      </c>
      <c r="G1718" s="2">
        <v>462.33333329999999</v>
      </c>
      <c r="H1718" s="2">
        <v>1063.333333</v>
      </c>
      <c r="I1718" s="2">
        <v>2707</v>
      </c>
      <c r="J1718" s="2">
        <v>2.41</v>
      </c>
      <c r="K1718" s="2">
        <v>4.59</v>
      </c>
      <c r="L1718" s="2">
        <v>8.9</v>
      </c>
      <c r="M1718" s="2">
        <v>15.02</v>
      </c>
      <c r="N1718" s="2">
        <v>0.81866578400000001</v>
      </c>
      <c r="O1718" s="2">
        <v>0.49605010599999999</v>
      </c>
      <c r="P1718" s="2">
        <v>2.442301273</v>
      </c>
      <c r="Q1718" s="2">
        <v>2.3798344619999998</v>
      </c>
      <c r="R1718" s="2">
        <v>0.15674033100000001</v>
      </c>
      <c r="S1718" s="2">
        <v>0.20531334100000001</v>
      </c>
      <c r="T1718" s="2">
        <v>2.437266497</v>
      </c>
      <c r="U1718" s="2">
        <v>2.3709615130000001</v>
      </c>
      <c r="V1718" s="2">
        <v>1.35656932</v>
      </c>
      <c r="W1718" s="2">
        <v>7.5264314999999998E-2</v>
      </c>
      <c r="X1718">
        <f t="shared" si="78"/>
        <v>0</v>
      </c>
      <c r="Y1718">
        <f t="shared" si="79"/>
        <v>1</v>
      </c>
      <c r="Z1718">
        <f t="shared" si="80"/>
        <v>0</v>
      </c>
    </row>
    <row r="1719" spans="1:26" ht="15.75" customHeight="1" x14ac:dyDescent="0.2">
      <c r="A1719" s="2" t="s">
        <v>23</v>
      </c>
      <c r="B1719" s="2" t="s">
        <v>35</v>
      </c>
      <c r="C1719" s="2" t="s">
        <v>32</v>
      </c>
      <c r="D1719" s="2" t="s">
        <v>33</v>
      </c>
      <c r="E1719" s="2">
        <v>100</v>
      </c>
      <c r="F1719" s="2">
        <v>204.33333329999999</v>
      </c>
      <c r="G1719" s="2">
        <v>641.33333330000005</v>
      </c>
      <c r="H1719" s="2">
        <v>833.66666669999995</v>
      </c>
      <c r="I1719" s="2">
        <v>2810</v>
      </c>
      <c r="J1719" s="2">
        <v>2</v>
      </c>
      <c r="K1719" s="2">
        <v>6.08</v>
      </c>
      <c r="L1719" s="2">
        <v>7.47</v>
      </c>
      <c r="M1719" s="2">
        <v>15.26</v>
      </c>
      <c r="N1719" s="2">
        <v>4.3323818010000004</v>
      </c>
      <c r="O1719" s="2">
        <v>4.1881481300000001</v>
      </c>
      <c r="P1719" s="2">
        <v>4.0904484290000003</v>
      </c>
      <c r="Q1719" s="2">
        <v>4.0119886039999999</v>
      </c>
      <c r="R1719" s="2">
        <v>1.335971603</v>
      </c>
      <c r="S1719" s="2">
        <v>1.287398593</v>
      </c>
      <c r="T1719" s="2">
        <v>3.866128325</v>
      </c>
      <c r="U1719" s="2">
        <v>3.7998233410000002</v>
      </c>
      <c r="V1719" s="2">
        <v>2.8492812540000001</v>
      </c>
      <c r="W1719" s="2">
        <v>7.6574380999999997E-2</v>
      </c>
      <c r="X1719">
        <f t="shared" si="78"/>
        <v>0</v>
      </c>
      <c r="Y1719">
        <f t="shared" si="79"/>
        <v>1</v>
      </c>
      <c r="Z1719">
        <f t="shared" si="80"/>
        <v>1</v>
      </c>
    </row>
    <row r="1720" spans="1:26" ht="15.75" customHeight="1" x14ac:dyDescent="0.2">
      <c r="A1720" s="2" t="s">
        <v>23</v>
      </c>
      <c r="B1720" s="2" t="s">
        <v>35</v>
      </c>
      <c r="C1720" s="2" t="s">
        <v>28</v>
      </c>
      <c r="D1720" s="2" t="s">
        <v>29</v>
      </c>
      <c r="E1720" s="2">
        <v>116</v>
      </c>
      <c r="F1720" s="2">
        <v>216.66666670000001</v>
      </c>
      <c r="G1720" s="2">
        <v>375.33333329999999</v>
      </c>
      <c r="H1720" s="2">
        <v>1398.333333</v>
      </c>
      <c r="I1720" s="2">
        <v>3101.333333</v>
      </c>
      <c r="J1720" s="2">
        <v>2.14</v>
      </c>
      <c r="K1720" s="2">
        <v>3.78</v>
      </c>
      <c r="L1720" s="2">
        <v>10.63</v>
      </c>
      <c r="M1720" s="2">
        <v>15.9</v>
      </c>
      <c r="N1720" s="2">
        <v>2.4414626899999998</v>
      </c>
      <c r="O1720" s="2">
        <v>2.2128536950000002</v>
      </c>
      <c r="P1720" s="2">
        <v>1.1941237819999999</v>
      </c>
      <c r="Q1720" s="2">
        <v>1.1971338739999999</v>
      </c>
      <c r="R1720" s="2">
        <v>0.96488545000000003</v>
      </c>
      <c r="S1720" s="2">
        <v>1.0134584600000001</v>
      </c>
      <c r="T1720" s="2">
        <v>0.70351096400000002</v>
      </c>
      <c r="U1720" s="2">
        <v>0.63720598100000003</v>
      </c>
      <c r="V1720" s="2">
        <v>0.548424201</v>
      </c>
      <c r="W1720" s="2">
        <v>4.3558211999999999E-2</v>
      </c>
      <c r="X1720">
        <f t="shared" si="78"/>
        <v>0</v>
      </c>
      <c r="Y1720">
        <f t="shared" si="79"/>
        <v>1</v>
      </c>
      <c r="Z1720">
        <f t="shared" si="80"/>
        <v>1</v>
      </c>
    </row>
    <row r="1721" spans="1:26" ht="15.75" customHeight="1" x14ac:dyDescent="0.2">
      <c r="A1721" s="2" t="s">
        <v>23</v>
      </c>
      <c r="B1721" s="2" t="s">
        <v>35</v>
      </c>
      <c r="C1721" s="2" t="s">
        <v>32</v>
      </c>
      <c r="D1721" s="2" t="s">
        <v>33</v>
      </c>
      <c r="E1721" s="2">
        <v>106</v>
      </c>
      <c r="F1721" s="2">
        <v>205.66666670000001</v>
      </c>
      <c r="G1721" s="2">
        <v>663</v>
      </c>
      <c r="H1721" s="2">
        <v>1095.333333</v>
      </c>
      <c r="I1721" s="2">
        <v>3160</v>
      </c>
      <c r="J1721" s="2">
        <v>2.02</v>
      </c>
      <c r="K1721" s="2">
        <v>6.25</v>
      </c>
      <c r="L1721" s="2">
        <v>9.08</v>
      </c>
      <c r="M1721" s="2">
        <v>16.02</v>
      </c>
      <c r="N1721" s="2">
        <v>2.8327230619999999</v>
      </c>
      <c r="O1721" s="2">
        <v>2.6483456080000001</v>
      </c>
      <c r="P1721" s="2">
        <v>2.7100855770000001</v>
      </c>
      <c r="Q1721" s="2">
        <v>2.6279763100000002</v>
      </c>
      <c r="R1721" s="2">
        <v>1.502831008</v>
      </c>
      <c r="S1721" s="2">
        <v>1.4542579980000001</v>
      </c>
      <c r="T1721" s="2">
        <v>2.2552300989999998</v>
      </c>
      <c r="U1721" s="2">
        <v>2.188925115</v>
      </c>
      <c r="V1721" s="2">
        <v>3.0161406589999999</v>
      </c>
      <c r="W1721" s="2">
        <v>4.6833209000000001E-2</v>
      </c>
      <c r="X1721">
        <f t="shared" si="78"/>
        <v>0</v>
      </c>
      <c r="Y1721">
        <f t="shared" si="79"/>
        <v>1</v>
      </c>
      <c r="Z1721">
        <f t="shared" si="80"/>
        <v>1</v>
      </c>
    </row>
    <row r="1722" spans="1:26" ht="15.75" customHeight="1" x14ac:dyDescent="0.2">
      <c r="A1722" s="2" t="s">
        <v>23</v>
      </c>
      <c r="B1722" s="2" t="s">
        <v>35</v>
      </c>
      <c r="C1722" s="2" t="s">
        <v>25</v>
      </c>
      <c r="D1722" s="2" t="s">
        <v>25</v>
      </c>
      <c r="E1722" s="2">
        <v>208</v>
      </c>
      <c r="F1722" s="2">
        <v>212.66666670000001</v>
      </c>
      <c r="G1722" s="2">
        <v>833.33333330000005</v>
      </c>
      <c r="H1722" s="2">
        <v>1722</v>
      </c>
      <c r="I1722" s="2">
        <v>2186</v>
      </c>
      <c r="J1722" s="2">
        <v>2.09</v>
      </c>
      <c r="K1722" s="2">
        <v>7.47</v>
      </c>
      <c r="L1722" s="2">
        <v>12.01</v>
      </c>
      <c r="M1722" s="2">
        <v>13.61</v>
      </c>
      <c r="N1722" s="2">
        <v>0.66628805800000002</v>
      </c>
      <c r="O1722" s="2">
        <v>0.60828528100000001</v>
      </c>
      <c r="P1722" s="2">
        <v>2.8060750969999999</v>
      </c>
      <c r="Q1722" s="2">
        <v>2.7758332100000001</v>
      </c>
      <c r="R1722" s="2">
        <v>2.7244379059999999</v>
      </c>
      <c r="S1722" s="2">
        <v>2.6758648950000001</v>
      </c>
      <c r="T1722" s="2">
        <v>0.67193418599999999</v>
      </c>
      <c r="U1722" s="2">
        <v>0.73823916899999997</v>
      </c>
      <c r="V1722" s="2">
        <v>4.2377475560000004</v>
      </c>
      <c r="W1722" s="2">
        <v>0.165018623</v>
      </c>
      <c r="X1722">
        <f t="shared" si="78"/>
        <v>0</v>
      </c>
      <c r="Y1722">
        <f t="shared" si="79"/>
        <v>1</v>
      </c>
      <c r="Z1722">
        <f t="shared" si="80"/>
        <v>0</v>
      </c>
    </row>
    <row r="1723" spans="1:26" ht="15.75" customHeight="1" x14ac:dyDescent="0.2">
      <c r="A1723" s="2" t="s">
        <v>23</v>
      </c>
      <c r="B1723" s="2" t="s">
        <v>35</v>
      </c>
      <c r="C1723" s="2" t="s">
        <v>27</v>
      </c>
      <c r="D1723" s="2" t="s">
        <v>27</v>
      </c>
      <c r="E1723" s="2">
        <v>112</v>
      </c>
      <c r="F1723" s="2">
        <v>210</v>
      </c>
      <c r="G1723" s="2">
        <v>333.33333329999999</v>
      </c>
      <c r="H1723" s="2">
        <v>2397.333333</v>
      </c>
      <c r="I1723" s="2">
        <v>2983.333333</v>
      </c>
      <c r="J1723" s="2">
        <v>2.06</v>
      </c>
      <c r="K1723" s="2">
        <v>3.37</v>
      </c>
      <c r="L1723" s="2">
        <v>14.22</v>
      </c>
      <c r="M1723" s="2">
        <v>15.65</v>
      </c>
      <c r="N1723" s="2">
        <v>1.038205292</v>
      </c>
      <c r="O1723" s="2">
        <v>1.3601182570000001</v>
      </c>
      <c r="P1723" s="2">
        <v>3.1957120049999999</v>
      </c>
      <c r="Q1723" s="2">
        <v>3.2765109319999999</v>
      </c>
      <c r="R1723" s="2">
        <v>1.376969793</v>
      </c>
      <c r="S1723" s="2">
        <v>1.4255428029999999</v>
      </c>
      <c r="T1723" s="2">
        <v>2.8838393519999999</v>
      </c>
      <c r="U1723" s="2">
        <v>2.9501443360000001</v>
      </c>
      <c r="V1723" s="2">
        <v>0.13633985800000001</v>
      </c>
      <c r="W1723" s="2">
        <v>7.0839160999999998E-2</v>
      </c>
      <c r="X1723">
        <f t="shared" si="78"/>
        <v>0</v>
      </c>
      <c r="Y1723">
        <f t="shared" si="79"/>
        <v>1</v>
      </c>
      <c r="Z1723">
        <f t="shared" si="80"/>
        <v>0</v>
      </c>
    </row>
    <row r="1724" spans="1:26" ht="15.75" customHeight="1" x14ac:dyDescent="0.2">
      <c r="A1724" s="2" t="s">
        <v>23</v>
      </c>
      <c r="B1724" s="2" t="s">
        <v>35</v>
      </c>
      <c r="C1724" s="2" t="s">
        <v>30</v>
      </c>
      <c r="D1724" s="2" t="s">
        <v>31</v>
      </c>
      <c r="E1724" s="2">
        <v>81</v>
      </c>
      <c r="F1724" s="2">
        <v>266.66666670000001</v>
      </c>
      <c r="G1724" s="2">
        <v>637</v>
      </c>
      <c r="H1724" s="2">
        <v>1063.333333</v>
      </c>
      <c r="I1724" s="2">
        <v>2661.333333</v>
      </c>
      <c r="J1724" s="2">
        <v>2.68</v>
      </c>
      <c r="K1724" s="2">
        <v>6.05</v>
      </c>
      <c r="L1724" s="2">
        <v>8.9</v>
      </c>
      <c r="M1724" s="2">
        <v>14.91</v>
      </c>
      <c r="N1724" s="2">
        <v>4.981192515</v>
      </c>
      <c r="O1724" s="2">
        <v>4.7172044309999999</v>
      </c>
      <c r="P1724" s="2">
        <v>2.7633609450000001</v>
      </c>
      <c r="Q1724" s="2">
        <v>2.6820148490000002</v>
      </c>
      <c r="R1724" s="2">
        <v>1.3022656180000001</v>
      </c>
      <c r="S1724" s="2">
        <v>1.2536926070000001</v>
      </c>
      <c r="T1724" s="2">
        <v>2.437266497</v>
      </c>
      <c r="U1724" s="2">
        <v>2.3709615130000001</v>
      </c>
      <c r="V1724" s="2">
        <v>2.8155752679999999</v>
      </c>
      <c r="W1724" s="2">
        <v>5.1237677000000002E-2</v>
      </c>
      <c r="X1724">
        <f t="shared" si="78"/>
        <v>0</v>
      </c>
      <c r="Y1724">
        <f t="shared" si="79"/>
        <v>1</v>
      </c>
      <c r="Z1724">
        <f t="shared" si="80"/>
        <v>1</v>
      </c>
    </row>
    <row r="1725" spans="1:26" ht="15.75" customHeight="1" x14ac:dyDescent="0.2">
      <c r="A1725" s="2" t="s">
        <v>23</v>
      </c>
      <c r="B1725" s="2" t="s">
        <v>35</v>
      </c>
      <c r="C1725" s="2" t="s">
        <v>25</v>
      </c>
      <c r="D1725" s="2" t="s">
        <v>25</v>
      </c>
      <c r="E1725" s="2">
        <v>95</v>
      </c>
      <c r="F1725" s="2">
        <v>191.66666670000001</v>
      </c>
      <c r="G1725" s="2">
        <v>853.33333330000005</v>
      </c>
      <c r="H1725" s="2">
        <v>1542.333333</v>
      </c>
      <c r="I1725" s="2">
        <v>2864.333333</v>
      </c>
      <c r="J1725" s="2">
        <v>1.86</v>
      </c>
      <c r="K1725" s="2">
        <v>7.6</v>
      </c>
      <c r="L1725" s="2">
        <v>11.28</v>
      </c>
      <c r="M1725" s="2">
        <v>15.39</v>
      </c>
      <c r="N1725" s="2">
        <v>0.26898500800000003</v>
      </c>
      <c r="O1725" s="2">
        <v>0.14958110899999999</v>
      </c>
      <c r="P1725" s="2">
        <v>2.858804508</v>
      </c>
      <c r="Q1725" s="2">
        <v>2.8096046750000001</v>
      </c>
      <c r="R1725" s="2">
        <v>2.85817101</v>
      </c>
      <c r="S1725" s="2">
        <v>2.8095979990000002</v>
      </c>
      <c r="T1725" s="2">
        <v>6.0180525999999998E-2</v>
      </c>
      <c r="U1725" s="2">
        <v>6.1244580000000002E-3</v>
      </c>
      <c r="V1725" s="2">
        <v>4.3714806599999996</v>
      </c>
      <c r="W1725" s="2">
        <v>0.122743037</v>
      </c>
      <c r="X1725">
        <f t="shared" si="78"/>
        <v>0</v>
      </c>
      <c r="Y1725">
        <f t="shared" si="79"/>
        <v>1</v>
      </c>
      <c r="Z1725">
        <f t="shared" si="80"/>
        <v>0</v>
      </c>
    </row>
    <row r="1726" spans="1:26" ht="15.75" customHeight="1" x14ac:dyDescent="0.2">
      <c r="A1726" s="2" t="s">
        <v>23</v>
      </c>
      <c r="B1726" s="2" t="s">
        <v>35</v>
      </c>
      <c r="C1726" s="2" t="s">
        <v>30</v>
      </c>
      <c r="D1726" s="2" t="s">
        <v>31</v>
      </c>
      <c r="E1726" s="2">
        <v>148</v>
      </c>
      <c r="F1726" s="2">
        <v>226.33333329999999</v>
      </c>
      <c r="G1726" s="2">
        <v>633.66666669999995</v>
      </c>
      <c r="H1726" s="2">
        <v>1267</v>
      </c>
      <c r="I1726" s="2">
        <v>2704.333333</v>
      </c>
      <c r="J1726" s="2">
        <v>2.25</v>
      </c>
      <c r="K1726" s="2">
        <v>6.02</v>
      </c>
      <c r="L1726" s="2">
        <v>10</v>
      </c>
      <c r="M1726" s="2">
        <v>15.01</v>
      </c>
      <c r="N1726" s="2">
        <v>3.9820107629999999</v>
      </c>
      <c r="O1726" s="2">
        <v>3.6996963360000001</v>
      </c>
      <c r="P1726" s="2">
        <v>1.8507523779999999</v>
      </c>
      <c r="Q1726" s="2">
        <v>1.7692702899999999</v>
      </c>
      <c r="R1726" s="2">
        <v>1.276261297</v>
      </c>
      <c r="S1726" s="2">
        <v>1.227688286</v>
      </c>
      <c r="T1726" s="2">
        <v>1.340313944</v>
      </c>
      <c r="U1726" s="2">
        <v>1.27400896</v>
      </c>
      <c r="V1726" s="2">
        <v>2.7895709470000001</v>
      </c>
      <c r="W1726" s="2">
        <v>0.136343828</v>
      </c>
      <c r="X1726">
        <f t="shared" si="78"/>
        <v>0</v>
      </c>
      <c r="Y1726">
        <f t="shared" si="79"/>
        <v>1</v>
      </c>
      <c r="Z1726">
        <f t="shared" si="80"/>
        <v>1</v>
      </c>
    </row>
    <row r="1727" spans="1:26" ht="15.75" customHeight="1" x14ac:dyDescent="0.2">
      <c r="A1727" s="2" t="s">
        <v>23</v>
      </c>
      <c r="B1727" s="2" t="s">
        <v>35</v>
      </c>
      <c r="C1727" s="2" t="s">
        <v>25</v>
      </c>
      <c r="D1727" s="2" t="s">
        <v>25</v>
      </c>
      <c r="E1727" s="2">
        <v>164</v>
      </c>
      <c r="F1727" s="2">
        <v>255.66666670000001</v>
      </c>
      <c r="G1727" s="2">
        <v>846</v>
      </c>
      <c r="H1727" s="2">
        <v>1431</v>
      </c>
      <c r="I1727" s="2">
        <v>2614.666667</v>
      </c>
      <c r="J1727" s="2">
        <v>2.56</v>
      </c>
      <c r="K1727" s="2">
        <v>7.55</v>
      </c>
      <c r="L1727" s="2">
        <v>10.78</v>
      </c>
      <c r="M1727" s="2">
        <v>14.79</v>
      </c>
      <c r="N1727" s="2">
        <v>0.91217932599999996</v>
      </c>
      <c r="O1727" s="2">
        <v>1.2320830840000001</v>
      </c>
      <c r="P1727" s="2">
        <v>2.9592403809999999</v>
      </c>
      <c r="Q1727" s="2">
        <v>2.9934919899999999</v>
      </c>
      <c r="R1727" s="2">
        <v>2.8631791569999998</v>
      </c>
      <c r="S1727" s="2">
        <v>2.850383882</v>
      </c>
      <c r="T1727" s="2">
        <v>0.74786947299999995</v>
      </c>
      <c r="U1727" s="2">
        <v>0.914497687</v>
      </c>
      <c r="V1727" s="2">
        <v>4.3761980889999998</v>
      </c>
      <c r="W1727" s="2">
        <v>6.7074134999999993E-2</v>
      </c>
      <c r="X1727">
        <f t="shared" si="78"/>
        <v>0</v>
      </c>
      <c r="Y1727">
        <f t="shared" si="79"/>
        <v>1</v>
      </c>
      <c r="Z1727">
        <f t="shared" si="80"/>
        <v>0</v>
      </c>
    </row>
    <row r="1728" spans="1:26" ht="15.75" customHeight="1" x14ac:dyDescent="0.2">
      <c r="A1728" s="2" t="s">
        <v>23</v>
      </c>
      <c r="B1728" s="2" t="s">
        <v>35</v>
      </c>
      <c r="C1728" s="2" t="s">
        <v>26</v>
      </c>
      <c r="D1728" s="2" t="s">
        <v>26</v>
      </c>
      <c r="E1728" s="2">
        <v>105</v>
      </c>
      <c r="F1728" s="2">
        <v>227.33333329999999</v>
      </c>
      <c r="G1728" s="2">
        <v>390.33333329999999</v>
      </c>
      <c r="H1728" s="2">
        <v>929.33333330000005</v>
      </c>
      <c r="I1728" s="2">
        <v>2537</v>
      </c>
      <c r="J1728" s="2">
        <v>2.2599999999999998</v>
      </c>
      <c r="K1728" s="2">
        <v>3.92</v>
      </c>
      <c r="L1728" s="2">
        <v>8.09</v>
      </c>
      <c r="M1728" s="2">
        <v>14.59</v>
      </c>
      <c r="N1728" s="2">
        <v>0.28898387800000003</v>
      </c>
      <c r="O1728" s="2">
        <v>0.166807752</v>
      </c>
      <c r="P1728" s="2">
        <v>3.5230372829999999</v>
      </c>
      <c r="Q1728" s="2">
        <v>3.6885280040000001</v>
      </c>
      <c r="R1728" s="2">
        <v>0.76745942499999997</v>
      </c>
      <c r="S1728" s="2">
        <v>0.78025469999999997</v>
      </c>
      <c r="T1728" s="2">
        <v>3.4384295439999999</v>
      </c>
      <c r="U1728" s="2">
        <v>3.6050577590000001</v>
      </c>
      <c r="V1728" s="2">
        <v>0.74555950699999995</v>
      </c>
      <c r="W1728" s="2">
        <v>4.3987418E-2</v>
      </c>
      <c r="X1728">
        <f t="shared" si="78"/>
        <v>0</v>
      </c>
      <c r="Y1728">
        <f t="shared" si="79"/>
        <v>1</v>
      </c>
      <c r="Z1728">
        <f t="shared" si="80"/>
        <v>0</v>
      </c>
    </row>
    <row r="1729" spans="1:26" ht="15.75" customHeight="1" x14ac:dyDescent="0.2">
      <c r="A1729" s="2" t="s">
        <v>23</v>
      </c>
      <c r="B1729" s="2" t="s">
        <v>35</v>
      </c>
      <c r="C1729" s="2" t="s">
        <v>27</v>
      </c>
      <c r="D1729" s="2" t="s">
        <v>27</v>
      </c>
      <c r="E1729" s="2">
        <v>160</v>
      </c>
      <c r="F1729" s="2">
        <v>248</v>
      </c>
      <c r="G1729" s="2">
        <v>415.66666670000001</v>
      </c>
      <c r="H1729" s="2">
        <v>2352.333333</v>
      </c>
      <c r="I1729" s="2">
        <v>3223.333333</v>
      </c>
      <c r="J1729" s="2">
        <v>2.48</v>
      </c>
      <c r="K1729" s="2">
        <v>4.16</v>
      </c>
      <c r="L1729" s="2">
        <v>14.09</v>
      </c>
      <c r="M1729" s="2">
        <v>16.14</v>
      </c>
      <c r="N1729" s="2">
        <v>0.24986829799999999</v>
      </c>
      <c r="O1729" s="2">
        <v>0.17688298699999999</v>
      </c>
      <c r="P1729" s="2">
        <v>2.6169391160000002</v>
      </c>
      <c r="Q1729" s="2">
        <v>2.4567729109999998</v>
      </c>
      <c r="R1729" s="2">
        <v>0.52904624600000005</v>
      </c>
      <c r="S1729" s="2">
        <v>0.54184152100000005</v>
      </c>
      <c r="T1729" s="2">
        <v>2.562904681</v>
      </c>
      <c r="U1729" s="2">
        <v>2.3962764660000002</v>
      </c>
      <c r="V1729" s="2">
        <v>0.98397268599999999</v>
      </c>
      <c r="W1729" s="2">
        <v>6.8502914999999998E-2</v>
      </c>
      <c r="X1729">
        <f t="shared" si="78"/>
        <v>0</v>
      </c>
      <c r="Y1729">
        <f t="shared" si="79"/>
        <v>1</v>
      </c>
      <c r="Z1729">
        <f t="shared" si="80"/>
        <v>0</v>
      </c>
    </row>
    <row r="1730" spans="1:26" ht="15.75" customHeight="1" x14ac:dyDescent="0.2">
      <c r="A1730" s="2" t="s">
        <v>23</v>
      </c>
      <c r="B1730" s="2" t="s">
        <v>35</v>
      </c>
      <c r="C1730" s="2" t="s">
        <v>28</v>
      </c>
      <c r="D1730" s="2" t="s">
        <v>29</v>
      </c>
      <c r="E1730" s="2">
        <v>132</v>
      </c>
      <c r="F1730" s="2">
        <v>254.33333329999999</v>
      </c>
      <c r="G1730" s="2">
        <v>423.33333329999999</v>
      </c>
      <c r="H1730" s="2">
        <v>762.66666669999995</v>
      </c>
      <c r="I1730" s="2">
        <v>2339</v>
      </c>
      <c r="J1730" s="2">
        <v>2.5499999999999998</v>
      </c>
      <c r="K1730" s="2">
        <v>4.2300000000000004</v>
      </c>
      <c r="L1730" s="2">
        <v>6.98</v>
      </c>
      <c r="M1730" s="2">
        <v>14.06</v>
      </c>
      <c r="N1730" s="2">
        <v>0.909638116</v>
      </c>
      <c r="O1730" s="2">
        <v>1.3166696870000001</v>
      </c>
      <c r="P1730" s="2">
        <v>4.5746962460000002</v>
      </c>
      <c r="Q1730" s="2">
        <v>4.7417700299999996</v>
      </c>
      <c r="R1730" s="2">
        <v>0.45789390800000002</v>
      </c>
      <c r="S1730" s="2">
        <v>0.47068918300000001</v>
      </c>
      <c r="T1730" s="2">
        <v>4.5517226319999997</v>
      </c>
      <c r="U1730" s="2">
        <v>4.7183508459999999</v>
      </c>
      <c r="V1730" s="2">
        <v>1.0551250240000001</v>
      </c>
      <c r="W1730" s="2">
        <v>3.7641835999999998E-2</v>
      </c>
      <c r="X1730">
        <f t="shared" si="78"/>
        <v>0</v>
      </c>
      <c r="Y1730">
        <f t="shared" si="79"/>
        <v>1</v>
      </c>
      <c r="Z1730">
        <f t="shared" si="80"/>
        <v>1</v>
      </c>
    </row>
    <row r="1731" spans="1:26" ht="15.75" customHeight="1" x14ac:dyDescent="0.2">
      <c r="A1731" s="2" t="s">
        <v>23</v>
      </c>
      <c r="B1731" s="2" t="s">
        <v>35</v>
      </c>
      <c r="C1731" s="2" t="s">
        <v>30</v>
      </c>
      <c r="D1731" s="2" t="s">
        <v>31</v>
      </c>
      <c r="E1731" s="2">
        <v>145</v>
      </c>
      <c r="F1731" s="2">
        <v>213.33333329999999</v>
      </c>
      <c r="G1731" s="2">
        <v>760.66666669999995</v>
      </c>
      <c r="H1731" s="2">
        <v>1737</v>
      </c>
      <c r="I1731" s="2">
        <v>3152.333333</v>
      </c>
      <c r="J1731" s="2">
        <v>2.1</v>
      </c>
      <c r="K1731" s="2">
        <v>6.97</v>
      </c>
      <c r="L1731" s="2">
        <v>12.07</v>
      </c>
      <c r="M1731" s="2">
        <v>16</v>
      </c>
      <c r="N1731" s="2">
        <v>3.4260339659999999</v>
      </c>
      <c r="O1731" s="2">
        <v>3.418903561</v>
      </c>
      <c r="P1731" s="2">
        <v>2.3377942570000001</v>
      </c>
      <c r="Q1731" s="2">
        <v>2.2927632280000001</v>
      </c>
      <c r="R1731" s="2">
        <v>2.2758134409999999</v>
      </c>
      <c r="S1731" s="2">
        <v>2.2630181660000002</v>
      </c>
      <c r="T1731" s="2">
        <v>0.53474776300000004</v>
      </c>
      <c r="U1731" s="2">
        <v>0.36811954800000002</v>
      </c>
      <c r="V1731" s="2">
        <v>3.788832373</v>
      </c>
      <c r="W1731" s="2">
        <v>4.1610360999999998E-2</v>
      </c>
      <c r="X1731">
        <f t="shared" ref="X1731:X1794" si="81">IF(B1731="normal",1,0)</f>
        <v>0</v>
      </c>
      <c r="Y1731">
        <f t="shared" ref="Y1731:Y1794" si="82">IF(A1731="lecture",1,0)</f>
        <v>1</v>
      </c>
      <c r="Z1731">
        <f t="shared" ref="Z1731:Z1794" si="83">IF(ISNUMBER(FIND("~",D1731)),1,0)</f>
        <v>1</v>
      </c>
    </row>
    <row r="1732" spans="1:26" ht="15.75" customHeight="1" x14ac:dyDescent="0.2">
      <c r="A1732" s="2" t="s">
        <v>23</v>
      </c>
      <c r="B1732" s="2" t="s">
        <v>35</v>
      </c>
      <c r="C1732" s="2" t="s">
        <v>26</v>
      </c>
      <c r="D1732" s="2" t="s">
        <v>26</v>
      </c>
      <c r="E1732" s="2">
        <v>145</v>
      </c>
      <c r="F1732" s="2">
        <v>245.33333329999999</v>
      </c>
      <c r="G1732" s="2">
        <v>366.66666670000001</v>
      </c>
      <c r="H1732" s="2">
        <v>710</v>
      </c>
      <c r="I1732" s="2">
        <v>2437</v>
      </c>
      <c r="J1732" s="2">
        <v>2.4500000000000002</v>
      </c>
      <c r="K1732" s="2">
        <v>3.7</v>
      </c>
      <c r="L1732" s="2">
        <v>6.6</v>
      </c>
      <c r="M1732" s="2">
        <v>14.33</v>
      </c>
      <c r="N1732" s="2">
        <v>1.2228873659999999</v>
      </c>
      <c r="O1732" s="2">
        <v>1.6764818960000001</v>
      </c>
      <c r="P1732" s="2">
        <v>5.0317568100000001</v>
      </c>
      <c r="Q1732" s="2">
        <v>5.1976654709999996</v>
      </c>
      <c r="R1732" s="2">
        <v>0.99487821899999995</v>
      </c>
      <c r="S1732" s="2">
        <v>1.0076734940000001</v>
      </c>
      <c r="T1732" s="2">
        <v>4.9324227240000003</v>
      </c>
      <c r="U1732" s="2">
        <v>5.0990509380000004</v>
      </c>
      <c r="V1732" s="2">
        <v>0.51814071299999997</v>
      </c>
      <c r="W1732" s="2">
        <v>5.2351729999999999E-2</v>
      </c>
      <c r="X1732">
        <f t="shared" si="81"/>
        <v>0</v>
      </c>
      <c r="Y1732">
        <f t="shared" si="82"/>
        <v>1</v>
      </c>
      <c r="Z1732">
        <f t="shared" si="83"/>
        <v>0</v>
      </c>
    </row>
    <row r="1733" spans="1:26" ht="15.75" customHeight="1" x14ac:dyDescent="0.2">
      <c r="A1733" s="2" t="s">
        <v>23</v>
      </c>
      <c r="B1733" s="2" t="s">
        <v>35</v>
      </c>
      <c r="C1733" s="2" t="s">
        <v>28</v>
      </c>
      <c r="D1733" s="2" t="s">
        <v>29</v>
      </c>
      <c r="E1733" s="2">
        <v>161</v>
      </c>
      <c r="F1733" s="2">
        <v>221.66666670000001</v>
      </c>
      <c r="G1733" s="2">
        <v>370.66666670000001</v>
      </c>
      <c r="H1733" s="2">
        <v>1182.666667</v>
      </c>
      <c r="I1733" s="2">
        <v>2975</v>
      </c>
      <c r="J1733" s="2">
        <v>2.19</v>
      </c>
      <c r="K1733" s="2">
        <v>3.73</v>
      </c>
      <c r="L1733" s="2">
        <v>9.56</v>
      </c>
      <c r="M1733" s="2">
        <v>15.63</v>
      </c>
      <c r="N1733" s="2">
        <v>1.753214638</v>
      </c>
      <c r="O1733" s="2">
        <v>1.3130747920000001</v>
      </c>
      <c r="P1733" s="2">
        <v>2.1919019789999998</v>
      </c>
      <c r="Q1733" s="2">
        <v>2.34822021</v>
      </c>
      <c r="R1733" s="2">
        <v>0.95611690000000005</v>
      </c>
      <c r="S1733" s="2">
        <v>0.96891217500000004</v>
      </c>
      <c r="T1733" s="2">
        <v>1.9723779450000001</v>
      </c>
      <c r="U1733" s="2">
        <v>2.1390061600000001</v>
      </c>
      <c r="V1733" s="2">
        <v>0.55690203199999999</v>
      </c>
      <c r="W1733" s="2">
        <v>4.5426600999999997E-2</v>
      </c>
      <c r="X1733">
        <f t="shared" si="81"/>
        <v>0</v>
      </c>
      <c r="Y1733">
        <f t="shared" si="82"/>
        <v>1</v>
      </c>
      <c r="Z1733">
        <f t="shared" si="83"/>
        <v>1</v>
      </c>
    </row>
    <row r="1734" spans="1:26" ht="15.75" customHeight="1" x14ac:dyDescent="0.2">
      <c r="A1734" s="2" t="s">
        <v>23</v>
      </c>
      <c r="B1734" s="2" t="s">
        <v>35</v>
      </c>
      <c r="C1734" s="2" t="s">
        <v>32</v>
      </c>
      <c r="D1734" s="2" t="s">
        <v>33</v>
      </c>
      <c r="E1734" s="2">
        <v>162</v>
      </c>
      <c r="F1734" s="2">
        <v>214</v>
      </c>
      <c r="G1734" s="2">
        <v>424</v>
      </c>
      <c r="H1734" s="2">
        <v>827.66666669999995</v>
      </c>
      <c r="I1734" s="2">
        <v>2336</v>
      </c>
      <c r="J1734" s="2">
        <v>2.11</v>
      </c>
      <c r="K1734" s="2">
        <v>4.24</v>
      </c>
      <c r="L1734" s="2">
        <v>7.43</v>
      </c>
      <c r="M1734" s="2">
        <v>14.05</v>
      </c>
      <c r="N1734" s="2">
        <v>5.3172938050000003</v>
      </c>
      <c r="O1734" s="2">
        <v>5.5590867380000004</v>
      </c>
      <c r="P1734" s="2">
        <v>4.1265034309999997</v>
      </c>
      <c r="Q1734" s="2">
        <v>4.2935344769999997</v>
      </c>
      <c r="R1734" s="2">
        <v>0.45172837599999999</v>
      </c>
      <c r="S1734" s="2">
        <v>0.46452365099999998</v>
      </c>
      <c r="T1734" s="2">
        <v>4.1017035540000002</v>
      </c>
      <c r="U1734" s="2">
        <v>4.2683317680000004</v>
      </c>
      <c r="V1734" s="2">
        <v>1.061290557</v>
      </c>
      <c r="W1734" s="2">
        <v>5.5882230999999997E-2</v>
      </c>
      <c r="X1734">
        <f t="shared" si="81"/>
        <v>0</v>
      </c>
      <c r="Y1734">
        <f t="shared" si="82"/>
        <v>1</v>
      </c>
      <c r="Z1734">
        <f t="shared" si="83"/>
        <v>1</v>
      </c>
    </row>
    <row r="1735" spans="1:26" ht="15.75" customHeight="1" x14ac:dyDescent="0.2">
      <c r="A1735" s="2" t="s">
        <v>23</v>
      </c>
      <c r="B1735" s="2" t="s">
        <v>35</v>
      </c>
      <c r="C1735" s="2" t="s">
        <v>32</v>
      </c>
      <c r="D1735" s="2" t="s">
        <v>33</v>
      </c>
      <c r="E1735" s="2">
        <v>158</v>
      </c>
      <c r="F1735" s="2">
        <v>232</v>
      </c>
      <c r="G1735" s="2">
        <v>404</v>
      </c>
      <c r="H1735" s="2">
        <v>933.66666669999995</v>
      </c>
      <c r="I1735" s="2">
        <v>2439.666667</v>
      </c>
      <c r="J1735" s="2">
        <v>2.31</v>
      </c>
      <c r="K1735" s="2">
        <v>4.05</v>
      </c>
      <c r="L1735" s="2">
        <v>8.1199999999999992</v>
      </c>
      <c r="M1735" s="2">
        <v>14.34</v>
      </c>
      <c r="N1735" s="2">
        <v>4.908633536</v>
      </c>
      <c r="O1735" s="2">
        <v>5.1257415650000002</v>
      </c>
      <c r="P1735" s="2">
        <v>3.470382662</v>
      </c>
      <c r="Q1735" s="2">
        <v>3.6365669330000001</v>
      </c>
      <c r="R1735" s="2">
        <v>0.63820704299999997</v>
      </c>
      <c r="S1735" s="2">
        <v>0.65100231900000005</v>
      </c>
      <c r="T1735" s="2">
        <v>3.4111944529999998</v>
      </c>
      <c r="U1735" s="2">
        <v>3.577822667</v>
      </c>
      <c r="V1735" s="2">
        <v>0.87481188899999995</v>
      </c>
      <c r="W1735" s="2">
        <v>6.1306695000000001E-2</v>
      </c>
      <c r="X1735">
        <f t="shared" si="81"/>
        <v>0</v>
      </c>
      <c r="Y1735">
        <f t="shared" si="82"/>
        <v>1</v>
      </c>
      <c r="Z1735">
        <f t="shared" si="83"/>
        <v>1</v>
      </c>
    </row>
    <row r="1736" spans="1:26" ht="15.75" customHeight="1" x14ac:dyDescent="0.2">
      <c r="A1736" s="2" t="s">
        <v>23</v>
      </c>
      <c r="B1736" s="2" t="s">
        <v>35</v>
      </c>
      <c r="C1736" s="2" t="s">
        <v>25</v>
      </c>
      <c r="D1736" s="2" t="s">
        <v>25</v>
      </c>
      <c r="E1736" s="2">
        <v>198</v>
      </c>
      <c r="F1736" s="2">
        <v>224.33333329999999</v>
      </c>
      <c r="G1736" s="2">
        <v>882.66666669999995</v>
      </c>
      <c r="H1736" s="2">
        <v>1747</v>
      </c>
      <c r="I1736" s="2">
        <v>2709.333333</v>
      </c>
      <c r="J1736" s="2">
        <v>2.2200000000000002</v>
      </c>
      <c r="K1736" s="2">
        <v>7.79</v>
      </c>
      <c r="L1736" s="2">
        <v>12.1</v>
      </c>
      <c r="M1736" s="2">
        <v>15.03</v>
      </c>
      <c r="N1736" s="2">
        <v>0.55826876999999997</v>
      </c>
      <c r="O1736" s="2">
        <v>0.41165376599999998</v>
      </c>
      <c r="P1736" s="2">
        <v>3.157180436</v>
      </c>
      <c r="Q1736" s="2">
        <v>3.1185379879999999</v>
      </c>
      <c r="R1736" s="2">
        <v>3.1047311990000002</v>
      </c>
      <c r="S1736" s="2">
        <v>3.0919359229999999</v>
      </c>
      <c r="T1736" s="2">
        <v>0.57309030000000005</v>
      </c>
      <c r="U1736" s="2">
        <v>0.40646208499999997</v>
      </c>
      <c r="V1736" s="2">
        <v>4.6177501310000002</v>
      </c>
      <c r="W1736" s="2">
        <v>4.6200339E-2</v>
      </c>
      <c r="X1736">
        <f t="shared" si="81"/>
        <v>0</v>
      </c>
      <c r="Y1736">
        <f t="shared" si="82"/>
        <v>1</v>
      </c>
      <c r="Z1736">
        <f t="shared" si="83"/>
        <v>0</v>
      </c>
    </row>
    <row r="1737" spans="1:26" ht="15.75" customHeight="1" x14ac:dyDescent="0.2">
      <c r="A1737" s="2" t="s">
        <v>23</v>
      </c>
      <c r="B1737" s="2" t="s">
        <v>35</v>
      </c>
      <c r="C1737" s="2" t="s">
        <v>32</v>
      </c>
      <c r="D1737" s="2" t="s">
        <v>33</v>
      </c>
      <c r="E1737" s="2">
        <v>122</v>
      </c>
      <c r="F1737" s="2">
        <v>227.33333329999999</v>
      </c>
      <c r="G1737" s="2">
        <v>505.66666670000001</v>
      </c>
      <c r="H1737" s="2">
        <v>935</v>
      </c>
      <c r="I1737" s="2">
        <v>2716.333333</v>
      </c>
      <c r="J1737" s="2">
        <v>2.2599999999999998</v>
      </c>
      <c r="K1737" s="2">
        <v>4.97</v>
      </c>
      <c r="L1737" s="2">
        <v>8.1300000000000008</v>
      </c>
      <c r="M1737" s="2">
        <v>15.04</v>
      </c>
      <c r="N1737" s="2">
        <v>4.3234955829999997</v>
      </c>
      <c r="O1737" s="2">
        <v>4.5738048200000003</v>
      </c>
      <c r="P1737" s="2">
        <v>3.4141946010000002</v>
      </c>
      <c r="Q1737" s="2">
        <v>3.579322018</v>
      </c>
      <c r="R1737" s="2">
        <v>0.27832918000000001</v>
      </c>
      <c r="S1737" s="2">
        <v>0.26553390500000001</v>
      </c>
      <c r="T1737" s="2">
        <v>3.4028308279999999</v>
      </c>
      <c r="U1737" s="2">
        <v>3.5694590420000001</v>
      </c>
      <c r="V1737" s="2">
        <v>1.7913481120000001</v>
      </c>
      <c r="W1737" s="2">
        <v>3.7589666000000001E-2</v>
      </c>
      <c r="X1737">
        <f t="shared" si="81"/>
        <v>0</v>
      </c>
      <c r="Y1737">
        <f t="shared" si="82"/>
        <v>1</v>
      </c>
      <c r="Z1737">
        <f t="shared" si="83"/>
        <v>1</v>
      </c>
    </row>
    <row r="1738" spans="1:26" ht="15.75" customHeight="1" x14ac:dyDescent="0.2">
      <c r="A1738" s="2" t="s">
        <v>23</v>
      </c>
      <c r="B1738" s="2" t="s">
        <v>35</v>
      </c>
      <c r="C1738" s="2" t="s">
        <v>32</v>
      </c>
      <c r="D1738" s="2" t="s">
        <v>33</v>
      </c>
      <c r="E1738" s="2">
        <v>175</v>
      </c>
      <c r="F1738" s="2">
        <v>234.33333329999999</v>
      </c>
      <c r="G1738" s="2">
        <v>494.33333329999999</v>
      </c>
      <c r="H1738" s="2">
        <v>962</v>
      </c>
      <c r="I1738" s="2">
        <v>2340.333333</v>
      </c>
      <c r="J1738" s="2">
        <v>2.33</v>
      </c>
      <c r="K1738" s="2">
        <v>4.87</v>
      </c>
      <c r="L1738" s="2">
        <v>8.3000000000000007</v>
      </c>
      <c r="M1738" s="2">
        <v>14.06</v>
      </c>
      <c r="N1738" s="2">
        <v>4.245038858</v>
      </c>
      <c r="O1738" s="2">
        <v>4.4871699280000001</v>
      </c>
      <c r="P1738" s="2">
        <v>3.2401088200000001</v>
      </c>
      <c r="Q1738" s="2">
        <v>3.4058406790000002</v>
      </c>
      <c r="R1738" s="2">
        <v>0.179918408</v>
      </c>
      <c r="S1738" s="2">
        <v>0.16712313300000001</v>
      </c>
      <c r="T1738" s="2">
        <v>3.2351096629999998</v>
      </c>
      <c r="U1738" s="2">
        <v>3.401737878</v>
      </c>
      <c r="V1738" s="2">
        <v>1.6929373400000001</v>
      </c>
      <c r="W1738" s="2">
        <v>6.6486588999999999E-2</v>
      </c>
      <c r="X1738">
        <f t="shared" si="81"/>
        <v>0</v>
      </c>
      <c r="Y1738">
        <f t="shared" si="82"/>
        <v>1</v>
      </c>
      <c r="Z1738">
        <f t="shared" si="83"/>
        <v>1</v>
      </c>
    </row>
    <row r="1739" spans="1:26" ht="15.75" customHeight="1" x14ac:dyDescent="0.2">
      <c r="A1739" s="2" t="s">
        <v>23</v>
      </c>
      <c r="B1739" s="2" t="s">
        <v>35</v>
      </c>
      <c r="C1739" s="2" t="s">
        <v>25</v>
      </c>
      <c r="D1739" s="2" t="s">
        <v>25</v>
      </c>
      <c r="E1739" s="2">
        <v>116</v>
      </c>
      <c r="F1739" s="2">
        <v>257.66666670000001</v>
      </c>
      <c r="G1739" s="2">
        <v>838.66666669999995</v>
      </c>
      <c r="H1739" s="2">
        <v>1644.333333</v>
      </c>
      <c r="I1739" s="2">
        <v>2719</v>
      </c>
      <c r="J1739" s="2">
        <v>2.59</v>
      </c>
      <c r="K1739" s="2">
        <v>7.5</v>
      </c>
      <c r="L1739" s="2">
        <v>11.7</v>
      </c>
      <c r="M1739" s="2">
        <v>15.05</v>
      </c>
      <c r="N1739" s="2">
        <v>8.0795672999999998E-2</v>
      </c>
      <c r="O1739" s="2">
        <v>0.32360751199999999</v>
      </c>
      <c r="P1739" s="2">
        <v>2.8191984400000001</v>
      </c>
      <c r="Q1739" s="2">
        <v>2.8013152410000002</v>
      </c>
      <c r="R1739" s="2">
        <v>2.8141092240000001</v>
      </c>
      <c r="S1739" s="2">
        <v>2.8013139480000002</v>
      </c>
      <c r="T1739" s="2">
        <v>0.16931958899999999</v>
      </c>
      <c r="U1739" s="2">
        <v>2.6913739999999998E-3</v>
      </c>
      <c r="V1739" s="2">
        <v>4.3271281559999997</v>
      </c>
      <c r="W1739" s="2">
        <v>7.5050292000000005E-2</v>
      </c>
      <c r="X1739">
        <f t="shared" si="81"/>
        <v>0</v>
      </c>
      <c r="Y1739">
        <f t="shared" si="82"/>
        <v>1</v>
      </c>
      <c r="Z1739">
        <f t="shared" si="83"/>
        <v>0</v>
      </c>
    </row>
    <row r="1740" spans="1:26" ht="15.75" customHeight="1" x14ac:dyDescent="0.2">
      <c r="A1740" s="2" t="s">
        <v>23</v>
      </c>
      <c r="B1740" s="2" t="s">
        <v>35</v>
      </c>
      <c r="C1740" s="2" t="s">
        <v>25</v>
      </c>
      <c r="D1740" s="2" t="s">
        <v>25</v>
      </c>
      <c r="E1740" s="2">
        <v>169</v>
      </c>
      <c r="F1740" s="2">
        <v>247</v>
      </c>
      <c r="G1740" s="2">
        <v>864</v>
      </c>
      <c r="H1740" s="2">
        <v>1487.666667</v>
      </c>
      <c r="I1740" s="2">
        <v>2683</v>
      </c>
      <c r="J1740" s="2">
        <v>2.4700000000000002</v>
      </c>
      <c r="K1740" s="2">
        <v>7.67</v>
      </c>
      <c r="L1740" s="2">
        <v>11.04</v>
      </c>
      <c r="M1740" s="2">
        <v>14.96</v>
      </c>
      <c r="N1740" s="2">
        <v>0.69417286600000006</v>
      </c>
      <c r="O1740" s="2">
        <v>1.006196001</v>
      </c>
      <c r="P1740" s="2">
        <v>3.0230415329999998</v>
      </c>
      <c r="Q1740" s="2">
        <v>3.0421597679999999</v>
      </c>
      <c r="R1740" s="2">
        <v>2.9825430659999999</v>
      </c>
      <c r="S1740" s="2">
        <v>2.96974779</v>
      </c>
      <c r="T1740" s="2">
        <v>0.49317032500000002</v>
      </c>
      <c r="U1740" s="2">
        <v>0.65979853899999996</v>
      </c>
      <c r="V1740" s="2">
        <v>4.4955619980000003</v>
      </c>
      <c r="W1740" s="2">
        <v>7.9090332999999999E-2</v>
      </c>
      <c r="X1740">
        <f t="shared" si="81"/>
        <v>0</v>
      </c>
      <c r="Y1740">
        <f t="shared" si="82"/>
        <v>1</v>
      </c>
      <c r="Z1740">
        <f t="shared" si="83"/>
        <v>0</v>
      </c>
    </row>
    <row r="1741" spans="1:26" ht="15.75" customHeight="1" x14ac:dyDescent="0.2">
      <c r="A1741" s="2" t="s">
        <v>23</v>
      </c>
      <c r="B1741" s="2" t="s">
        <v>35</v>
      </c>
      <c r="C1741" s="2" t="s">
        <v>27</v>
      </c>
      <c r="D1741" s="2" t="s">
        <v>27</v>
      </c>
      <c r="E1741" s="2">
        <v>160</v>
      </c>
      <c r="F1741" s="2">
        <v>247.66666670000001</v>
      </c>
      <c r="G1741" s="2">
        <v>450.33333329999999</v>
      </c>
      <c r="H1741" s="2">
        <v>2501</v>
      </c>
      <c r="I1741" s="2">
        <v>3189.333333</v>
      </c>
      <c r="J1741" s="2">
        <v>2.48</v>
      </c>
      <c r="K1741" s="2">
        <v>4.4800000000000004</v>
      </c>
      <c r="L1741" s="2">
        <v>14.5</v>
      </c>
      <c r="M1741" s="2">
        <v>16.079999999999998</v>
      </c>
      <c r="N1741" s="2">
        <v>0.27062792400000002</v>
      </c>
      <c r="O1741" s="2">
        <v>0.34590580900000001</v>
      </c>
      <c r="P1741" s="2">
        <v>2.976476747</v>
      </c>
      <c r="Q1741" s="2">
        <v>2.8112814789999998</v>
      </c>
      <c r="R1741" s="2">
        <v>0.21091790599999999</v>
      </c>
      <c r="S1741" s="2">
        <v>0.22371318200000001</v>
      </c>
      <c r="T1741" s="2">
        <v>2.9689943520000002</v>
      </c>
      <c r="U1741" s="2">
        <v>2.8023661369999999</v>
      </c>
      <c r="V1741" s="2">
        <v>1.3021010260000001</v>
      </c>
      <c r="W1741" s="2">
        <v>6.3421543999999996E-2</v>
      </c>
      <c r="X1741">
        <f t="shared" si="81"/>
        <v>0</v>
      </c>
      <c r="Y1741">
        <f t="shared" si="82"/>
        <v>1</v>
      </c>
      <c r="Z1741">
        <f t="shared" si="83"/>
        <v>0</v>
      </c>
    </row>
    <row r="1742" spans="1:26" ht="15.75" customHeight="1" x14ac:dyDescent="0.2">
      <c r="A1742" s="2" t="s">
        <v>23</v>
      </c>
      <c r="B1742" s="2" t="s">
        <v>35</v>
      </c>
      <c r="C1742" s="2" t="s">
        <v>30</v>
      </c>
      <c r="D1742" s="2" t="s">
        <v>31</v>
      </c>
      <c r="E1742" s="2">
        <v>193</v>
      </c>
      <c r="F1742" s="2">
        <v>252</v>
      </c>
      <c r="G1742" s="2">
        <v>538.66666669999995</v>
      </c>
      <c r="H1742" s="2">
        <v>1319.333333</v>
      </c>
      <c r="I1742" s="2">
        <v>2184.333333</v>
      </c>
      <c r="J1742" s="2">
        <v>2.52</v>
      </c>
      <c r="K1742" s="2">
        <v>5.25</v>
      </c>
      <c r="L1742" s="2">
        <v>10.26</v>
      </c>
      <c r="M1742" s="2">
        <v>13.6</v>
      </c>
      <c r="N1742" s="2">
        <v>4.1135818510000002</v>
      </c>
      <c r="O1742" s="2">
        <v>4.0622586289999996</v>
      </c>
      <c r="P1742" s="2">
        <v>1.3929725019999999</v>
      </c>
      <c r="Q1742" s="2">
        <v>1.5424194120000001</v>
      </c>
      <c r="R1742" s="2">
        <v>0.55979401100000004</v>
      </c>
      <c r="S1742" s="2">
        <v>0.54699873600000004</v>
      </c>
      <c r="T1742" s="2">
        <v>1.2755403000000001</v>
      </c>
      <c r="U1742" s="2">
        <v>1.442168514</v>
      </c>
      <c r="V1742" s="2">
        <v>2.0728129439999998</v>
      </c>
      <c r="W1742" s="2">
        <v>5.0001084000000001E-2</v>
      </c>
      <c r="X1742">
        <f t="shared" si="81"/>
        <v>0</v>
      </c>
      <c r="Y1742">
        <f t="shared" si="82"/>
        <v>1</v>
      </c>
      <c r="Z1742">
        <f t="shared" si="83"/>
        <v>1</v>
      </c>
    </row>
    <row r="1743" spans="1:26" ht="15.75" customHeight="1" x14ac:dyDescent="0.2">
      <c r="A1743" s="2" t="s">
        <v>23</v>
      </c>
      <c r="B1743" s="2" t="s">
        <v>35</v>
      </c>
      <c r="C1743" s="2" t="s">
        <v>28</v>
      </c>
      <c r="D1743" s="2" t="s">
        <v>29</v>
      </c>
      <c r="E1743" s="2">
        <v>216</v>
      </c>
      <c r="F1743" s="2">
        <v>223.66666670000001</v>
      </c>
      <c r="G1743" s="2">
        <v>360.33333329999999</v>
      </c>
      <c r="H1743" s="2">
        <v>983.33333330000005</v>
      </c>
      <c r="I1743" s="2">
        <v>2175.666667</v>
      </c>
      <c r="J1743" s="2">
        <v>2.2200000000000002</v>
      </c>
      <c r="K1743" s="2">
        <v>3.63</v>
      </c>
      <c r="L1743" s="2">
        <v>8.43</v>
      </c>
      <c r="M1743" s="2">
        <v>13.57</v>
      </c>
      <c r="N1743" s="2">
        <v>0.65706140300000004</v>
      </c>
      <c r="O1743" s="2">
        <v>0.33496768799999999</v>
      </c>
      <c r="P1743" s="2">
        <v>3.2796052059999998</v>
      </c>
      <c r="Q1743" s="2">
        <v>3.4417232649999998</v>
      </c>
      <c r="R1743" s="2">
        <v>1.0565236200000001</v>
      </c>
      <c r="S1743" s="2">
        <v>1.069318896</v>
      </c>
      <c r="T1743" s="2">
        <v>3.1047653930000001</v>
      </c>
      <c r="U1743" s="2">
        <v>3.2713936079999999</v>
      </c>
      <c r="V1743" s="2">
        <v>0.45649531199999999</v>
      </c>
      <c r="W1743" s="2">
        <v>5.6568605000000001E-2</v>
      </c>
      <c r="X1743">
        <f t="shared" si="81"/>
        <v>0</v>
      </c>
      <c r="Y1743">
        <f t="shared" si="82"/>
        <v>1</v>
      </c>
      <c r="Z1743">
        <f t="shared" si="83"/>
        <v>1</v>
      </c>
    </row>
    <row r="1744" spans="1:26" ht="15.75" customHeight="1" x14ac:dyDescent="0.2">
      <c r="A1744" s="2" t="s">
        <v>23</v>
      </c>
      <c r="B1744" s="2" t="s">
        <v>35</v>
      </c>
      <c r="C1744" s="2" t="s">
        <v>28</v>
      </c>
      <c r="D1744" s="2" t="s">
        <v>29</v>
      </c>
      <c r="E1744" s="2">
        <v>241</v>
      </c>
      <c r="F1744" s="2">
        <v>221.33333329999999</v>
      </c>
      <c r="G1744" s="2">
        <v>291</v>
      </c>
      <c r="H1744" s="2">
        <v>1041</v>
      </c>
      <c r="I1744" s="2">
        <v>2383.666667</v>
      </c>
      <c r="J1744" s="2">
        <v>2.19</v>
      </c>
      <c r="K1744" s="2">
        <v>2.94</v>
      </c>
      <c r="L1744" s="2">
        <v>8.77</v>
      </c>
      <c r="M1744" s="2">
        <v>14.18</v>
      </c>
      <c r="N1744" s="2">
        <v>1.333076682</v>
      </c>
      <c r="O1744" s="2">
        <v>1.1118200039999999</v>
      </c>
      <c r="P1744" s="2">
        <v>3.2716580030000002</v>
      </c>
      <c r="Q1744" s="2">
        <v>3.42007569</v>
      </c>
      <c r="R1744" s="2">
        <v>1.7540635790000001</v>
      </c>
      <c r="S1744" s="2">
        <v>1.766858855</v>
      </c>
      <c r="T1744" s="2">
        <v>2.7617036499999998</v>
      </c>
      <c r="U1744" s="2">
        <v>2.9283318650000001</v>
      </c>
      <c r="V1744" s="2">
        <v>-0.241044647</v>
      </c>
      <c r="W1744" s="2">
        <v>7.1745550000000005E-2</v>
      </c>
      <c r="X1744">
        <f t="shared" si="81"/>
        <v>0</v>
      </c>
      <c r="Y1744">
        <f t="shared" si="82"/>
        <v>1</v>
      </c>
      <c r="Z1744">
        <f t="shared" si="83"/>
        <v>1</v>
      </c>
    </row>
    <row r="1745" spans="1:26" ht="15.75" customHeight="1" x14ac:dyDescent="0.2">
      <c r="A1745" s="2" t="s">
        <v>23</v>
      </c>
      <c r="B1745" s="2" t="s">
        <v>35</v>
      </c>
      <c r="C1745" s="2" t="s">
        <v>32</v>
      </c>
      <c r="D1745" s="2" t="s">
        <v>33</v>
      </c>
      <c r="E1745" s="2">
        <v>154</v>
      </c>
      <c r="F1745" s="2">
        <v>251</v>
      </c>
      <c r="G1745" s="2">
        <v>426.33333329999999</v>
      </c>
      <c r="H1745" s="2">
        <v>891.66666669999995</v>
      </c>
      <c r="I1745" s="2">
        <v>2372.666667</v>
      </c>
      <c r="J1745" s="2">
        <v>2.5099999999999998</v>
      </c>
      <c r="K1745" s="2">
        <v>4.26</v>
      </c>
      <c r="L1745" s="2">
        <v>7.85</v>
      </c>
      <c r="M1745" s="2">
        <v>14.15</v>
      </c>
      <c r="N1745" s="2">
        <v>4.9713108459999997</v>
      </c>
      <c r="O1745" s="2">
        <v>5.203388855</v>
      </c>
      <c r="P1745" s="2">
        <v>3.7037187139999999</v>
      </c>
      <c r="Q1745" s="2">
        <v>3.8707110299999998</v>
      </c>
      <c r="R1745" s="2">
        <v>0.43017614100000001</v>
      </c>
      <c r="S1745" s="2">
        <v>0.44297141600000001</v>
      </c>
      <c r="T1745" s="2">
        <v>3.6786520349999998</v>
      </c>
      <c r="U1745" s="2">
        <v>3.8452802500000001</v>
      </c>
      <c r="V1745" s="2">
        <v>1.0828427920000001</v>
      </c>
      <c r="W1745" s="2">
        <v>5.4700958000000001E-2</v>
      </c>
      <c r="X1745">
        <f t="shared" si="81"/>
        <v>0</v>
      </c>
      <c r="Y1745">
        <f t="shared" si="82"/>
        <v>1</v>
      </c>
      <c r="Z1745">
        <f t="shared" si="83"/>
        <v>1</v>
      </c>
    </row>
    <row r="1746" spans="1:26" ht="15.75" customHeight="1" x14ac:dyDescent="0.2">
      <c r="A1746" s="2" t="s">
        <v>23</v>
      </c>
      <c r="B1746" s="2" t="s">
        <v>35</v>
      </c>
      <c r="C1746" s="2" t="s">
        <v>26</v>
      </c>
      <c r="D1746" s="2" t="s">
        <v>26</v>
      </c>
      <c r="E1746" s="2">
        <v>165</v>
      </c>
      <c r="F1746" s="2">
        <v>211.66666670000001</v>
      </c>
      <c r="G1746" s="2">
        <v>367.33333329999999</v>
      </c>
      <c r="H1746" s="2">
        <v>899.33333330000005</v>
      </c>
      <c r="I1746" s="2">
        <v>2572</v>
      </c>
      <c r="J1746" s="2">
        <v>2.08</v>
      </c>
      <c r="K1746" s="2">
        <v>3.7</v>
      </c>
      <c r="L1746" s="2">
        <v>7.9</v>
      </c>
      <c r="M1746" s="2">
        <v>14.69</v>
      </c>
      <c r="N1746" s="2">
        <v>0.18447440000000001</v>
      </c>
      <c r="O1746" s="2">
        <v>0.42109612499999999</v>
      </c>
      <c r="P1746" s="2">
        <v>3.7614312750000001</v>
      </c>
      <c r="Q1746" s="2">
        <v>3.9256918879999998</v>
      </c>
      <c r="R1746" s="2">
        <v>0.98840874599999995</v>
      </c>
      <c r="S1746" s="2">
        <v>1.001204022</v>
      </c>
      <c r="T1746" s="2">
        <v>3.629244189</v>
      </c>
      <c r="U1746" s="2">
        <v>3.7958724039999998</v>
      </c>
      <c r="V1746" s="2">
        <v>0.52461018599999998</v>
      </c>
      <c r="W1746" s="2">
        <v>7.2667337999999998E-2</v>
      </c>
      <c r="X1746">
        <f t="shared" si="81"/>
        <v>0</v>
      </c>
      <c r="Y1746">
        <f t="shared" si="82"/>
        <v>1</v>
      </c>
      <c r="Z1746">
        <f t="shared" si="83"/>
        <v>0</v>
      </c>
    </row>
    <row r="1747" spans="1:26" ht="15.75" customHeight="1" x14ac:dyDescent="0.2">
      <c r="A1747" s="2" t="s">
        <v>23</v>
      </c>
      <c r="B1747" s="2" t="s">
        <v>35</v>
      </c>
      <c r="C1747" s="2" t="s">
        <v>25</v>
      </c>
      <c r="D1747" s="2" t="s">
        <v>25</v>
      </c>
      <c r="E1747" s="2">
        <v>288</v>
      </c>
      <c r="F1747" s="2">
        <v>247.66666670000001</v>
      </c>
      <c r="G1747" s="2">
        <v>675.66666669999995</v>
      </c>
      <c r="H1747" s="2">
        <v>1469.666667</v>
      </c>
      <c r="I1747" s="2">
        <v>2295</v>
      </c>
      <c r="J1747" s="2">
        <v>2.48</v>
      </c>
      <c r="K1747" s="2">
        <v>6.34</v>
      </c>
      <c r="L1747" s="2">
        <v>10.96</v>
      </c>
      <c r="M1747" s="2">
        <v>13.93</v>
      </c>
      <c r="N1747" s="2">
        <v>1.3040023949999999</v>
      </c>
      <c r="O1747" s="2">
        <v>1.4845346420000001</v>
      </c>
      <c r="P1747" s="2">
        <v>1.7494847099999999</v>
      </c>
      <c r="Q1747" s="2">
        <v>1.7992598879999999</v>
      </c>
      <c r="R1747" s="2">
        <v>1.6529311390000001</v>
      </c>
      <c r="S1747" s="2">
        <v>1.6401358640000001</v>
      </c>
      <c r="T1747" s="2">
        <v>0.57316262900000003</v>
      </c>
      <c r="U1747" s="2">
        <v>0.73979084399999995</v>
      </c>
      <c r="V1747" s="2">
        <v>3.1659500719999998</v>
      </c>
      <c r="W1747" s="2">
        <v>6.5966925999999995E-2</v>
      </c>
      <c r="X1747">
        <f t="shared" si="81"/>
        <v>0</v>
      </c>
      <c r="Y1747">
        <f t="shared" si="82"/>
        <v>1</v>
      </c>
      <c r="Z1747">
        <f t="shared" si="83"/>
        <v>0</v>
      </c>
    </row>
    <row r="1748" spans="1:26" ht="15.75" customHeight="1" x14ac:dyDescent="0.2">
      <c r="A1748" s="2" t="s">
        <v>23</v>
      </c>
      <c r="B1748" s="2" t="s">
        <v>35</v>
      </c>
      <c r="C1748" s="2" t="s">
        <v>30</v>
      </c>
      <c r="D1748" s="2" t="s">
        <v>31</v>
      </c>
      <c r="E1748" s="2">
        <v>206</v>
      </c>
      <c r="F1748" s="2">
        <v>234</v>
      </c>
      <c r="G1748" s="2">
        <v>455.33333329999999</v>
      </c>
      <c r="H1748" s="2">
        <v>1239</v>
      </c>
      <c r="I1748" s="2">
        <v>1836</v>
      </c>
      <c r="J1748" s="2">
        <v>2.33</v>
      </c>
      <c r="K1748" s="2">
        <v>4.5199999999999996</v>
      </c>
      <c r="L1748" s="2">
        <v>9.85</v>
      </c>
      <c r="M1748" s="2">
        <v>12.44</v>
      </c>
      <c r="N1748" s="2">
        <v>4.4180955300000004</v>
      </c>
      <c r="O1748" s="2">
        <v>4.3575886280000002</v>
      </c>
      <c r="P1748" s="2">
        <v>1.686102269</v>
      </c>
      <c r="Q1748" s="2">
        <v>1.85318475</v>
      </c>
      <c r="R1748" s="2">
        <v>0.165787556</v>
      </c>
      <c r="S1748" s="2">
        <v>0.178582831</v>
      </c>
      <c r="T1748" s="2">
        <v>1.677931866</v>
      </c>
      <c r="U1748" s="2">
        <v>1.8445600799999999</v>
      </c>
      <c r="V1748" s="2">
        <v>1.347231377</v>
      </c>
      <c r="W1748" s="2">
        <v>6.3397591000000003E-2</v>
      </c>
      <c r="X1748">
        <f t="shared" si="81"/>
        <v>0</v>
      </c>
      <c r="Y1748">
        <f t="shared" si="82"/>
        <v>1</v>
      </c>
      <c r="Z1748">
        <f t="shared" si="83"/>
        <v>1</v>
      </c>
    </row>
    <row r="1749" spans="1:26" ht="15.75" customHeight="1" x14ac:dyDescent="0.2">
      <c r="A1749" s="2" t="s">
        <v>23</v>
      </c>
      <c r="B1749" s="2" t="s">
        <v>35</v>
      </c>
      <c r="C1749" s="2" t="s">
        <v>27</v>
      </c>
      <c r="D1749" s="2" t="s">
        <v>27</v>
      </c>
      <c r="E1749" s="2">
        <v>158</v>
      </c>
      <c r="F1749" s="2">
        <v>254.33333329999999</v>
      </c>
      <c r="G1749" s="2">
        <v>436</v>
      </c>
      <c r="H1749" s="2">
        <v>2475</v>
      </c>
      <c r="I1749" s="2">
        <v>3253</v>
      </c>
      <c r="J1749" s="2">
        <v>2.5499999999999998</v>
      </c>
      <c r="K1749" s="2">
        <v>4.3499999999999996</v>
      </c>
      <c r="L1749" s="2">
        <v>14.43</v>
      </c>
      <c r="M1749" s="2">
        <v>16.2</v>
      </c>
      <c r="N1749" s="2">
        <v>0.16377143999999999</v>
      </c>
      <c r="O1749" s="2">
        <v>0.23156432900000001</v>
      </c>
      <c r="P1749" s="2">
        <v>2.9199577589999999</v>
      </c>
      <c r="Q1749" s="2">
        <v>2.7561556199999999</v>
      </c>
      <c r="R1749" s="2">
        <v>0.34133549499999999</v>
      </c>
      <c r="S1749" s="2">
        <v>0.35413076999999998</v>
      </c>
      <c r="T1749" s="2">
        <v>2.8999385160000002</v>
      </c>
      <c r="U1749" s="2">
        <v>2.7333103009999999</v>
      </c>
      <c r="V1749" s="2">
        <v>1.171683437</v>
      </c>
      <c r="W1749" s="2">
        <v>5.1549124000000002E-2</v>
      </c>
      <c r="X1749">
        <f t="shared" si="81"/>
        <v>0</v>
      </c>
      <c r="Y1749">
        <f t="shared" si="82"/>
        <v>1</v>
      </c>
      <c r="Z1749">
        <f t="shared" si="83"/>
        <v>0</v>
      </c>
    </row>
    <row r="1750" spans="1:26" ht="15.75" customHeight="1" x14ac:dyDescent="0.2">
      <c r="A1750" s="2" t="s">
        <v>23</v>
      </c>
      <c r="B1750" s="2" t="s">
        <v>35</v>
      </c>
      <c r="C1750" s="2" t="s">
        <v>30</v>
      </c>
      <c r="D1750" s="2" t="s">
        <v>31</v>
      </c>
      <c r="E1750" s="2">
        <v>263</v>
      </c>
      <c r="F1750" s="2">
        <v>259</v>
      </c>
      <c r="G1750" s="2">
        <v>497.33333329999999</v>
      </c>
      <c r="H1750" s="2">
        <v>1255</v>
      </c>
      <c r="I1750" s="2">
        <v>2069.333333</v>
      </c>
      <c r="J1750" s="2">
        <v>2.6</v>
      </c>
      <c r="K1750" s="2">
        <v>4.9000000000000004</v>
      </c>
      <c r="L1750" s="2">
        <v>9.94</v>
      </c>
      <c r="M1750" s="2">
        <v>13.24</v>
      </c>
      <c r="N1750" s="2">
        <v>4.3679735089999996</v>
      </c>
      <c r="O1750" s="2">
        <v>4.3115791620000001</v>
      </c>
      <c r="P1750" s="2">
        <v>1.6094290819999999</v>
      </c>
      <c r="Q1750" s="2">
        <v>1.7733741999999999</v>
      </c>
      <c r="R1750" s="2">
        <v>0.206056659</v>
      </c>
      <c r="S1750" s="2">
        <v>0.19326138400000001</v>
      </c>
      <c r="T1750" s="2">
        <v>1.596183769</v>
      </c>
      <c r="U1750" s="2">
        <v>1.7628119840000001</v>
      </c>
      <c r="V1750" s="2">
        <v>1.719075591</v>
      </c>
      <c r="W1750" s="2">
        <v>4.7520490999999998E-2</v>
      </c>
      <c r="X1750">
        <f t="shared" si="81"/>
        <v>0</v>
      </c>
      <c r="Y1750">
        <f t="shared" si="82"/>
        <v>1</v>
      </c>
      <c r="Z1750">
        <f t="shared" si="83"/>
        <v>1</v>
      </c>
    </row>
    <row r="1751" spans="1:26" ht="15.75" customHeight="1" x14ac:dyDescent="0.2">
      <c r="A1751" s="2" t="s">
        <v>23</v>
      </c>
      <c r="B1751" s="2" t="s">
        <v>35</v>
      </c>
      <c r="C1751" s="2" t="s">
        <v>27</v>
      </c>
      <c r="D1751" s="2" t="s">
        <v>27</v>
      </c>
      <c r="E1751" s="2">
        <v>150</v>
      </c>
      <c r="F1751" s="2">
        <v>224.66666670000001</v>
      </c>
      <c r="G1751" s="2">
        <v>429</v>
      </c>
      <c r="H1751" s="2">
        <v>2284</v>
      </c>
      <c r="I1751" s="2">
        <v>3214</v>
      </c>
      <c r="J1751" s="2">
        <v>2.23</v>
      </c>
      <c r="K1751" s="2">
        <v>4.28</v>
      </c>
      <c r="L1751" s="2">
        <v>13.9</v>
      </c>
      <c r="M1751" s="2">
        <v>16.12</v>
      </c>
      <c r="N1751" s="2">
        <v>0.37392941600000001</v>
      </c>
      <c r="O1751" s="2">
        <v>0.30744896199999999</v>
      </c>
      <c r="P1751" s="2">
        <v>2.4012084890000001</v>
      </c>
      <c r="Q1751" s="2">
        <v>2.2395067750000002</v>
      </c>
      <c r="R1751" s="2">
        <v>0.40559656599999999</v>
      </c>
      <c r="S1751" s="2">
        <v>0.41839184099999999</v>
      </c>
      <c r="T1751" s="2">
        <v>2.3667052279999998</v>
      </c>
      <c r="U1751" s="2">
        <v>2.200077013</v>
      </c>
      <c r="V1751" s="2">
        <v>1.107422366</v>
      </c>
      <c r="W1751" s="2">
        <v>5.7707486000000002E-2</v>
      </c>
      <c r="X1751">
        <f t="shared" si="81"/>
        <v>0</v>
      </c>
      <c r="Y1751">
        <f t="shared" si="82"/>
        <v>1</v>
      </c>
      <c r="Z1751">
        <f t="shared" si="83"/>
        <v>0</v>
      </c>
    </row>
    <row r="1752" spans="1:26" ht="15.75" customHeight="1" x14ac:dyDescent="0.2">
      <c r="A1752" s="2" t="s">
        <v>23</v>
      </c>
      <c r="B1752" s="2" t="s">
        <v>35</v>
      </c>
      <c r="C1752" s="2" t="s">
        <v>26</v>
      </c>
      <c r="D1752" s="2" t="s">
        <v>26</v>
      </c>
      <c r="E1752" s="2">
        <v>141</v>
      </c>
      <c r="F1752" s="2">
        <v>232.33333329999999</v>
      </c>
      <c r="G1752" s="2">
        <v>379</v>
      </c>
      <c r="H1752" s="2">
        <v>924.66666669999995</v>
      </c>
      <c r="I1752" s="2">
        <v>2536</v>
      </c>
      <c r="J1752" s="2">
        <v>2.31</v>
      </c>
      <c r="K1752" s="2">
        <v>3.81</v>
      </c>
      <c r="L1752" s="2">
        <v>8.06</v>
      </c>
      <c r="M1752" s="2">
        <v>14.59</v>
      </c>
      <c r="N1752" s="2">
        <v>0.25748965600000001</v>
      </c>
      <c r="O1752" s="2">
        <v>0.22481340899999999</v>
      </c>
      <c r="P1752" s="2">
        <v>3.576730301</v>
      </c>
      <c r="Q1752" s="2">
        <v>3.741526956</v>
      </c>
      <c r="R1752" s="2">
        <v>0.87578995500000001</v>
      </c>
      <c r="S1752" s="2">
        <v>0.88858523</v>
      </c>
      <c r="T1752" s="2">
        <v>3.46785115</v>
      </c>
      <c r="U1752" s="2">
        <v>3.6344793649999998</v>
      </c>
      <c r="V1752" s="2">
        <v>0.637228978</v>
      </c>
      <c r="W1752" s="2">
        <v>6.0962161000000001E-2</v>
      </c>
      <c r="X1752">
        <f t="shared" si="81"/>
        <v>0</v>
      </c>
      <c r="Y1752">
        <f t="shared" si="82"/>
        <v>1</v>
      </c>
      <c r="Z1752">
        <f t="shared" si="83"/>
        <v>0</v>
      </c>
    </row>
    <row r="1753" spans="1:26" ht="15.75" customHeight="1" x14ac:dyDescent="0.2">
      <c r="A1753" s="2" t="s">
        <v>23</v>
      </c>
      <c r="B1753" s="2" t="s">
        <v>35</v>
      </c>
      <c r="C1753" s="2" t="s">
        <v>27</v>
      </c>
      <c r="D1753" s="2" t="s">
        <v>27</v>
      </c>
      <c r="E1753" s="2">
        <v>144</v>
      </c>
      <c r="F1753" s="2">
        <v>241.33333329999999</v>
      </c>
      <c r="G1753" s="2">
        <v>409</v>
      </c>
      <c r="H1753" s="2">
        <v>2441</v>
      </c>
      <c r="I1753" s="2">
        <v>3166.333333</v>
      </c>
      <c r="J1753" s="2">
        <v>2.41</v>
      </c>
      <c r="K1753" s="2">
        <v>4.0999999999999996</v>
      </c>
      <c r="L1753" s="2">
        <v>14.34</v>
      </c>
      <c r="M1753" s="2">
        <v>16.03</v>
      </c>
      <c r="N1753" s="2">
        <v>0.25259729399999997</v>
      </c>
      <c r="O1753" s="2">
        <v>0.241093957</v>
      </c>
      <c r="P1753" s="2">
        <v>2.8699751230000001</v>
      </c>
      <c r="Q1753" s="2">
        <v>2.7099628830000002</v>
      </c>
      <c r="R1753" s="2">
        <v>0.59129219099999997</v>
      </c>
      <c r="S1753" s="2">
        <v>0.60408746599999996</v>
      </c>
      <c r="T1753" s="2">
        <v>2.8084035950000001</v>
      </c>
      <c r="U1753" s="2">
        <v>2.6417753799999999</v>
      </c>
      <c r="V1753" s="2">
        <v>0.92172674200000004</v>
      </c>
      <c r="W1753" s="2">
        <v>5.4167262000000001E-2</v>
      </c>
      <c r="X1753">
        <f t="shared" si="81"/>
        <v>0</v>
      </c>
      <c r="Y1753">
        <f t="shared" si="82"/>
        <v>1</v>
      </c>
      <c r="Z1753">
        <f t="shared" si="83"/>
        <v>0</v>
      </c>
    </row>
    <row r="1754" spans="1:26" ht="15.75" customHeight="1" x14ac:dyDescent="0.2">
      <c r="A1754" s="2" t="s">
        <v>23</v>
      </c>
      <c r="B1754" s="2" t="s">
        <v>35</v>
      </c>
      <c r="C1754" s="2" t="s">
        <v>30</v>
      </c>
      <c r="D1754" s="2" t="s">
        <v>31</v>
      </c>
      <c r="E1754" s="2">
        <v>135</v>
      </c>
      <c r="F1754" s="2">
        <v>209</v>
      </c>
      <c r="G1754" s="2">
        <v>663</v>
      </c>
      <c r="H1754" s="2">
        <v>1366.333333</v>
      </c>
      <c r="I1754" s="2">
        <v>2517.666667</v>
      </c>
      <c r="J1754" s="2">
        <v>2.0499999999999998</v>
      </c>
      <c r="K1754" s="2">
        <v>6.25</v>
      </c>
      <c r="L1754" s="2">
        <v>10.48</v>
      </c>
      <c r="M1754" s="2">
        <v>14.54</v>
      </c>
      <c r="N1754" s="2">
        <v>4.2381739080000003</v>
      </c>
      <c r="O1754" s="2">
        <v>4.2017498919999996</v>
      </c>
      <c r="P1754" s="2">
        <v>1.877189292</v>
      </c>
      <c r="Q1754" s="2">
        <v>1.9650856109999999</v>
      </c>
      <c r="R1754" s="2">
        <v>1.5566532740000001</v>
      </c>
      <c r="S1754" s="2">
        <v>1.5438579990000001</v>
      </c>
      <c r="T1754" s="2">
        <v>1.0491283149999999</v>
      </c>
      <c r="U1754" s="2">
        <v>1.2157565299999999</v>
      </c>
      <c r="V1754" s="2">
        <v>3.0696722059999999</v>
      </c>
      <c r="W1754" s="2">
        <v>3.0237960000000001E-2</v>
      </c>
      <c r="X1754">
        <f t="shared" si="81"/>
        <v>0</v>
      </c>
      <c r="Y1754">
        <f t="shared" si="82"/>
        <v>1</v>
      </c>
      <c r="Z1754">
        <f t="shared" si="83"/>
        <v>1</v>
      </c>
    </row>
    <row r="1755" spans="1:26" ht="15.75" customHeight="1" x14ac:dyDescent="0.2">
      <c r="A1755" s="2" t="s">
        <v>23</v>
      </c>
      <c r="B1755" s="2" t="s">
        <v>35</v>
      </c>
      <c r="C1755" s="2" t="s">
        <v>27</v>
      </c>
      <c r="D1755" s="2" t="s">
        <v>27</v>
      </c>
      <c r="E1755" s="2">
        <v>161</v>
      </c>
      <c r="F1755" s="2">
        <v>230</v>
      </c>
      <c r="G1755" s="2">
        <v>442.66666670000001</v>
      </c>
      <c r="H1755" s="2">
        <v>2296</v>
      </c>
      <c r="I1755" s="2">
        <v>3001.333333</v>
      </c>
      <c r="J1755" s="2">
        <v>2.29</v>
      </c>
      <c r="K1755" s="2">
        <v>4.41</v>
      </c>
      <c r="L1755" s="2">
        <v>13.93</v>
      </c>
      <c r="M1755" s="2">
        <v>15.69</v>
      </c>
      <c r="N1755" s="2">
        <v>0.34171778400000002</v>
      </c>
      <c r="O1755" s="2">
        <v>0.29388135700000001</v>
      </c>
      <c r="P1755" s="2">
        <v>2.417938999</v>
      </c>
      <c r="Q1755" s="2">
        <v>2.254147616</v>
      </c>
      <c r="R1755" s="2">
        <v>0.28048259399999997</v>
      </c>
      <c r="S1755" s="2">
        <v>0.29327786900000002</v>
      </c>
      <c r="T1755" s="2">
        <v>2.4016158139999999</v>
      </c>
      <c r="U1755" s="2">
        <v>2.2349875990000001</v>
      </c>
      <c r="V1755" s="2">
        <v>1.2325363389999999</v>
      </c>
      <c r="W1755" s="2">
        <v>5.0146634000000002E-2</v>
      </c>
      <c r="X1755">
        <f t="shared" si="81"/>
        <v>0</v>
      </c>
      <c r="Y1755">
        <f t="shared" si="82"/>
        <v>1</v>
      </c>
      <c r="Z1755">
        <f t="shared" si="83"/>
        <v>0</v>
      </c>
    </row>
    <row r="1756" spans="1:26" ht="15.75" customHeight="1" x14ac:dyDescent="0.2">
      <c r="A1756" s="2" t="s">
        <v>23</v>
      </c>
      <c r="B1756" s="2" t="s">
        <v>35</v>
      </c>
      <c r="C1756" s="2" t="s">
        <v>26</v>
      </c>
      <c r="D1756" s="2" t="s">
        <v>26</v>
      </c>
      <c r="E1756" s="2">
        <v>188</v>
      </c>
      <c r="F1756" s="2">
        <v>228</v>
      </c>
      <c r="G1756" s="2">
        <v>362</v>
      </c>
      <c r="H1756" s="2">
        <v>981</v>
      </c>
      <c r="I1756" s="2">
        <v>2544</v>
      </c>
      <c r="J1756" s="2">
        <v>2.2599999999999998</v>
      </c>
      <c r="K1756" s="2">
        <v>3.65</v>
      </c>
      <c r="L1756" s="2">
        <v>8.41</v>
      </c>
      <c r="M1756" s="2">
        <v>14.61</v>
      </c>
      <c r="N1756" s="2">
        <v>0.63821698800000004</v>
      </c>
      <c r="O1756" s="2">
        <v>0.31384503600000002</v>
      </c>
      <c r="P1756" s="2">
        <v>3.2878383609999999</v>
      </c>
      <c r="Q1756" s="2">
        <v>3.4501933550000001</v>
      </c>
      <c r="R1756" s="2">
        <v>1.040268543</v>
      </c>
      <c r="S1756" s="2">
        <v>1.053063818</v>
      </c>
      <c r="T1756" s="2">
        <v>3.1189296949999998</v>
      </c>
      <c r="U1756" s="2">
        <v>3.2855579100000001</v>
      </c>
      <c r="V1756" s="2">
        <v>0.47275038899999999</v>
      </c>
      <c r="W1756" s="2">
        <v>6.0616710999999997E-2</v>
      </c>
      <c r="X1756">
        <f t="shared" si="81"/>
        <v>0</v>
      </c>
      <c r="Y1756">
        <f t="shared" si="82"/>
        <v>1</v>
      </c>
      <c r="Z1756">
        <f t="shared" si="83"/>
        <v>0</v>
      </c>
    </row>
    <row r="1757" spans="1:26" ht="15.75" customHeight="1" x14ac:dyDescent="0.2">
      <c r="A1757" s="2" t="s">
        <v>23</v>
      </c>
      <c r="B1757" s="2" t="s">
        <v>35</v>
      </c>
      <c r="C1757" s="2" t="s">
        <v>30</v>
      </c>
      <c r="D1757" s="2" t="s">
        <v>31</v>
      </c>
      <c r="E1757" s="2">
        <v>175</v>
      </c>
      <c r="F1757" s="2">
        <v>246</v>
      </c>
      <c r="G1757" s="2">
        <v>670</v>
      </c>
      <c r="H1757" s="2">
        <v>1374.666667</v>
      </c>
      <c r="I1757" s="2">
        <v>2316.333333</v>
      </c>
      <c r="J1757" s="2">
        <v>2.46</v>
      </c>
      <c r="K1757" s="2">
        <v>6.3</v>
      </c>
      <c r="L1757" s="2">
        <v>10.52</v>
      </c>
      <c r="M1757" s="2">
        <v>13.99</v>
      </c>
      <c r="N1757" s="2">
        <v>4.2273959200000002</v>
      </c>
      <c r="O1757" s="2">
        <v>4.1920024299999996</v>
      </c>
      <c r="P1757" s="2">
        <v>1.900371195</v>
      </c>
      <c r="Q1757" s="2">
        <v>1.9835855790000001</v>
      </c>
      <c r="R1757" s="2">
        <v>1.609974102</v>
      </c>
      <c r="S1757" s="2">
        <v>1.597178827</v>
      </c>
      <c r="T1757" s="2">
        <v>1.0096504690000001</v>
      </c>
      <c r="U1757" s="2">
        <v>1.1762786839999999</v>
      </c>
      <c r="V1757" s="2">
        <v>3.1229930349999999</v>
      </c>
      <c r="W1757" s="2">
        <v>5.3095370000000003E-2</v>
      </c>
      <c r="X1757">
        <f t="shared" si="81"/>
        <v>0</v>
      </c>
      <c r="Y1757">
        <f t="shared" si="82"/>
        <v>1</v>
      </c>
      <c r="Z1757">
        <f t="shared" si="83"/>
        <v>1</v>
      </c>
    </row>
    <row r="1758" spans="1:26" ht="15.75" customHeight="1" x14ac:dyDescent="0.2">
      <c r="A1758" s="2" t="s">
        <v>23</v>
      </c>
      <c r="B1758" s="2" t="s">
        <v>35</v>
      </c>
      <c r="C1758" s="2" t="s">
        <v>32</v>
      </c>
      <c r="D1758" s="2" t="s">
        <v>33</v>
      </c>
      <c r="E1758" s="2">
        <v>188</v>
      </c>
      <c r="F1758" s="2">
        <v>239</v>
      </c>
      <c r="G1758" s="2">
        <v>464.33333329999999</v>
      </c>
      <c r="H1758" s="2">
        <v>946.33333330000005</v>
      </c>
      <c r="I1758" s="2">
        <v>2309.666667</v>
      </c>
      <c r="J1758" s="2">
        <v>2.38</v>
      </c>
      <c r="K1758" s="2">
        <v>4.5999999999999996</v>
      </c>
      <c r="L1758" s="2">
        <v>8.1999999999999993</v>
      </c>
      <c r="M1758" s="2">
        <v>13.97</v>
      </c>
      <c r="N1758" s="2">
        <v>4.484519369</v>
      </c>
      <c r="O1758" s="2">
        <v>4.7192689620000001</v>
      </c>
      <c r="P1758" s="2">
        <v>3.3331344029999999</v>
      </c>
      <c r="Q1758" s="2">
        <v>3.5000452040000001</v>
      </c>
      <c r="R1758" s="2">
        <v>8.5022036999999995E-2</v>
      </c>
      <c r="S1758" s="2">
        <v>9.7817312000000003E-2</v>
      </c>
      <c r="T1758" s="2">
        <v>3.3320498500000002</v>
      </c>
      <c r="U1758" s="2">
        <v>3.498678065</v>
      </c>
      <c r="V1758" s="2">
        <v>1.4279968949999999</v>
      </c>
      <c r="W1758" s="2">
        <v>5.6646382000000002E-2</v>
      </c>
      <c r="X1758">
        <f t="shared" si="81"/>
        <v>0</v>
      </c>
      <c r="Y1758">
        <f t="shared" si="82"/>
        <v>1</v>
      </c>
      <c r="Z1758">
        <f t="shared" si="83"/>
        <v>1</v>
      </c>
    </row>
    <row r="1759" spans="1:26" ht="15.75" customHeight="1" x14ac:dyDescent="0.2">
      <c r="A1759" s="2" t="s">
        <v>23</v>
      </c>
      <c r="B1759" s="2" t="s">
        <v>35</v>
      </c>
      <c r="C1759" s="2" t="s">
        <v>28</v>
      </c>
      <c r="D1759" s="2" t="s">
        <v>29</v>
      </c>
      <c r="E1759" s="2">
        <v>122</v>
      </c>
      <c r="F1759" s="2">
        <v>210.33333329999999</v>
      </c>
      <c r="G1759" s="2">
        <v>720.66666669999995</v>
      </c>
      <c r="H1759" s="2">
        <v>1890.333333</v>
      </c>
      <c r="I1759" s="2">
        <v>2888.333333</v>
      </c>
      <c r="J1759" s="2">
        <v>2.0699999999999998</v>
      </c>
      <c r="K1759" s="2">
        <v>6.68</v>
      </c>
      <c r="L1759" s="2">
        <v>12.63</v>
      </c>
      <c r="M1759" s="2">
        <v>15.44</v>
      </c>
      <c r="N1759" s="2">
        <v>5.5837652350000004</v>
      </c>
      <c r="O1759" s="2">
        <v>5.1672769489999997</v>
      </c>
      <c r="P1759" s="2">
        <v>2.2720746690000002</v>
      </c>
      <c r="Q1759" s="2">
        <v>2.1846156730000001</v>
      </c>
      <c r="R1759" s="2">
        <v>1.987612943</v>
      </c>
      <c r="S1759" s="2">
        <v>1.974817668</v>
      </c>
      <c r="T1759" s="2">
        <v>1.100780673</v>
      </c>
      <c r="U1759" s="2">
        <v>0.93415245800000002</v>
      </c>
      <c r="V1759" s="2">
        <v>3.5006318749999998</v>
      </c>
      <c r="W1759" s="2">
        <v>4.3412693000000002E-2</v>
      </c>
      <c r="X1759">
        <f t="shared" si="81"/>
        <v>0</v>
      </c>
      <c r="Y1759">
        <f t="shared" si="82"/>
        <v>1</v>
      </c>
      <c r="Z1759">
        <f t="shared" si="83"/>
        <v>1</v>
      </c>
    </row>
    <row r="1760" spans="1:26" ht="15.75" customHeight="1" x14ac:dyDescent="0.2">
      <c r="A1760" s="2" t="s">
        <v>23</v>
      </c>
      <c r="B1760" s="2" t="s">
        <v>35</v>
      </c>
      <c r="C1760" s="2" t="s">
        <v>28</v>
      </c>
      <c r="D1760" s="2" t="s">
        <v>29</v>
      </c>
      <c r="E1760" s="2">
        <v>124</v>
      </c>
      <c r="F1760" s="2">
        <v>229</v>
      </c>
      <c r="G1760" s="2">
        <v>396.33333329999999</v>
      </c>
      <c r="H1760" s="2">
        <v>1346</v>
      </c>
      <c r="I1760" s="2">
        <v>2500</v>
      </c>
      <c r="J1760" s="2">
        <v>2.27</v>
      </c>
      <c r="K1760" s="2">
        <v>3.98</v>
      </c>
      <c r="L1760" s="2">
        <v>10.39</v>
      </c>
      <c r="M1760" s="2">
        <v>14.5</v>
      </c>
      <c r="N1760" s="2">
        <v>2.577333586</v>
      </c>
      <c r="O1760" s="2">
        <v>2.1260637330000001</v>
      </c>
      <c r="P1760" s="2">
        <v>1.3486409109999999</v>
      </c>
      <c r="Q1760" s="2">
        <v>1.4989837180000001</v>
      </c>
      <c r="R1760" s="2">
        <v>0.71052984900000005</v>
      </c>
      <c r="S1760" s="2">
        <v>0.72332512500000001</v>
      </c>
      <c r="T1760" s="2">
        <v>1.1462895099999999</v>
      </c>
      <c r="U1760" s="2">
        <v>1.3129177249999999</v>
      </c>
      <c r="V1760" s="2">
        <v>0.80248908299999999</v>
      </c>
      <c r="W1760" s="2">
        <v>5.7649959000000001E-2</v>
      </c>
      <c r="X1760">
        <f t="shared" si="81"/>
        <v>0</v>
      </c>
      <c r="Y1760">
        <f t="shared" si="82"/>
        <v>1</v>
      </c>
      <c r="Z1760">
        <f t="shared" si="83"/>
        <v>1</v>
      </c>
    </row>
    <row r="1761" spans="1:26" ht="15.75" customHeight="1" x14ac:dyDescent="0.2">
      <c r="A1761" s="2" t="s">
        <v>23</v>
      </c>
      <c r="B1761" s="2" t="s">
        <v>35</v>
      </c>
      <c r="C1761" s="2" t="s">
        <v>26</v>
      </c>
      <c r="D1761" s="2" t="s">
        <v>26</v>
      </c>
      <c r="E1761" s="2">
        <v>163</v>
      </c>
      <c r="F1761" s="2">
        <v>248.66666670000001</v>
      </c>
      <c r="G1761" s="2">
        <v>397.66666670000001</v>
      </c>
      <c r="H1761" s="2">
        <v>926.33333330000005</v>
      </c>
      <c r="I1761" s="2">
        <v>2555.666667</v>
      </c>
      <c r="J1761" s="2">
        <v>2.4900000000000002</v>
      </c>
      <c r="K1761" s="2">
        <v>3.99</v>
      </c>
      <c r="L1761" s="2">
        <v>8.07</v>
      </c>
      <c r="M1761" s="2">
        <v>14.64</v>
      </c>
      <c r="N1761" s="2">
        <v>0.29409369800000001</v>
      </c>
      <c r="O1761" s="2">
        <v>0.19781732799999999</v>
      </c>
      <c r="P1761" s="2">
        <v>3.5270721410000001</v>
      </c>
      <c r="Q1761" s="2">
        <v>3.6929940389999998</v>
      </c>
      <c r="R1761" s="2">
        <v>0.697918182</v>
      </c>
      <c r="S1761" s="2">
        <v>0.71071345799999996</v>
      </c>
      <c r="T1761" s="2">
        <v>3.4573325119999998</v>
      </c>
      <c r="U1761" s="2">
        <v>3.623960727</v>
      </c>
      <c r="V1761" s="2">
        <v>0.81510075000000004</v>
      </c>
      <c r="W1761" s="2">
        <v>7.2343859999999996E-2</v>
      </c>
      <c r="X1761">
        <f t="shared" si="81"/>
        <v>0</v>
      </c>
      <c r="Y1761">
        <f t="shared" si="82"/>
        <v>1</v>
      </c>
      <c r="Z1761">
        <f t="shared" si="83"/>
        <v>0</v>
      </c>
    </row>
    <row r="1762" spans="1:26" ht="15.75" customHeight="1" x14ac:dyDescent="0.2">
      <c r="A1762" s="2" t="s">
        <v>23</v>
      </c>
      <c r="B1762" s="2" t="s">
        <v>35</v>
      </c>
      <c r="C1762" s="2" t="s">
        <v>25</v>
      </c>
      <c r="D1762" s="2" t="s">
        <v>25</v>
      </c>
      <c r="E1762" s="2">
        <v>177</v>
      </c>
      <c r="F1762" s="2">
        <v>237.66666670000001</v>
      </c>
      <c r="G1762" s="2">
        <v>779</v>
      </c>
      <c r="H1762" s="2">
        <v>1640</v>
      </c>
      <c r="I1762" s="2">
        <v>2811.666667</v>
      </c>
      <c r="J1762" s="2">
        <v>2.37</v>
      </c>
      <c r="K1762" s="2">
        <v>7.1</v>
      </c>
      <c r="L1762" s="2">
        <v>11.68</v>
      </c>
      <c r="M1762" s="2">
        <v>15.27</v>
      </c>
      <c r="N1762" s="2">
        <v>0.329483211</v>
      </c>
      <c r="O1762" s="2">
        <v>0.44034652299999999</v>
      </c>
      <c r="P1762" s="2">
        <v>2.4098760430000001</v>
      </c>
      <c r="Q1762" s="2">
        <v>2.3923429949999999</v>
      </c>
      <c r="R1762" s="2">
        <v>2.4050921340000002</v>
      </c>
      <c r="S1762" s="2">
        <v>2.392296859</v>
      </c>
      <c r="T1762" s="2">
        <v>0.15177078399999999</v>
      </c>
      <c r="U1762" s="2">
        <v>1.485743E-2</v>
      </c>
      <c r="V1762" s="2">
        <v>3.9181110659999998</v>
      </c>
      <c r="W1762" s="2">
        <v>6.5344579999999999E-2</v>
      </c>
      <c r="X1762">
        <f t="shared" si="81"/>
        <v>0</v>
      </c>
      <c r="Y1762">
        <f t="shared" si="82"/>
        <v>1</v>
      </c>
      <c r="Z1762">
        <f t="shared" si="83"/>
        <v>0</v>
      </c>
    </row>
    <row r="1763" spans="1:26" ht="15.75" customHeight="1" x14ac:dyDescent="0.2">
      <c r="A1763" s="2" t="s">
        <v>23</v>
      </c>
      <c r="B1763" s="2" t="s">
        <v>35</v>
      </c>
      <c r="C1763" s="2" t="s">
        <v>30</v>
      </c>
      <c r="D1763" s="2" t="s">
        <v>31</v>
      </c>
      <c r="E1763" s="2">
        <v>220</v>
      </c>
      <c r="F1763" s="2">
        <v>231.33333329999999</v>
      </c>
      <c r="G1763" s="2">
        <v>662</v>
      </c>
      <c r="H1763" s="2">
        <v>1691.333333</v>
      </c>
      <c r="I1763" s="2">
        <v>2152.333333</v>
      </c>
      <c r="J1763" s="2">
        <v>2.2999999999999998</v>
      </c>
      <c r="K1763" s="2">
        <v>6.24</v>
      </c>
      <c r="L1763" s="2">
        <v>11.89</v>
      </c>
      <c r="M1763" s="2">
        <v>13.5</v>
      </c>
      <c r="N1763" s="2">
        <v>3.0437789209999999</v>
      </c>
      <c r="O1763" s="2">
        <v>3.02198536</v>
      </c>
      <c r="P1763" s="2">
        <v>1.589614984</v>
      </c>
      <c r="Q1763" s="2">
        <v>1.5479658489999999</v>
      </c>
      <c r="R1763" s="2">
        <v>1.549012772</v>
      </c>
      <c r="S1763" s="2">
        <v>1.536217497</v>
      </c>
      <c r="T1763" s="2">
        <v>0.35698071300000001</v>
      </c>
      <c r="U1763" s="2">
        <v>0.19035249800000001</v>
      </c>
      <c r="V1763" s="2">
        <v>3.0620317039999998</v>
      </c>
      <c r="W1763" s="2">
        <v>7.0059705999999999E-2</v>
      </c>
      <c r="X1763">
        <f t="shared" si="81"/>
        <v>0</v>
      </c>
      <c r="Y1763">
        <f t="shared" si="82"/>
        <v>1</v>
      </c>
      <c r="Z1763">
        <f t="shared" si="83"/>
        <v>1</v>
      </c>
    </row>
    <row r="1764" spans="1:26" ht="15.75" customHeight="1" x14ac:dyDescent="0.2">
      <c r="A1764" s="2" t="s">
        <v>23</v>
      </c>
      <c r="B1764" s="2" t="s">
        <v>35</v>
      </c>
      <c r="C1764" s="2" t="s">
        <v>28</v>
      </c>
      <c r="D1764" s="2" t="s">
        <v>29</v>
      </c>
      <c r="E1764" s="2">
        <v>193</v>
      </c>
      <c r="F1764" s="2">
        <v>234</v>
      </c>
      <c r="G1764" s="2">
        <v>375</v>
      </c>
      <c r="H1764" s="2">
        <v>933</v>
      </c>
      <c r="I1764" s="2">
        <v>2450</v>
      </c>
      <c r="J1764" s="2">
        <v>2.33</v>
      </c>
      <c r="K1764" s="2">
        <v>3.78</v>
      </c>
      <c r="L1764" s="2">
        <v>8.1199999999999992</v>
      </c>
      <c r="M1764" s="2">
        <v>14.36</v>
      </c>
      <c r="N1764" s="2">
        <v>0.317407143</v>
      </c>
      <c r="O1764" s="2">
        <v>0.20646514199999999</v>
      </c>
      <c r="P1764" s="2">
        <v>3.5356349030000001</v>
      </c>
      <c r="Q1764" s="2">
        <v>3.7000319890000002</v>
      </c>
      <c r="R1764" s="2">
        <v>0.91427533400000005</v>
      </c>
      <c r="S1764" s="2">
        <v>0.92707060900000005</v>
      </c>
      <c r="T1764" s="2">
        <v>3.4153791560000002</v>
      </c>
      <c r="U1764" s="2">
        <v>3.582007371</v>
      </c>
      <c r="V1764" s="2">
        <v>0.59874359799999999</v>
      </c>
      <c r="W1764" s="2">
        <v>6.7048233999999998E-2</v>
      </c>
      <c r="X1764">
        <f t="shared" si="81"/>
        <v>0</v>
      </c>
      <c r="Y1764">
        <f t="shared" si="82"/>
        <v>1</v>
      </c>
      <c r="Z1764">
        <f t="shared" si="83"/>
        <v>1</v>
      </c>
    </row>
    <row r="1765" spans="1:26" ht="15.75" customHeight="1" x14ac:dyDescent="0.2">
      <c r="A1765" s="2" t="s">
        <v>23</v>
      </c>
      <c r="B1765" s="2" t="s">
        <v>35</v>
      </c>
      <c r="C1765" s="2" t="s">
        <v>28</v>
      </c>
      <c r="D1765" s="2" t="s">
        <v>29</v>
      </c>
      <c r="E1765" s="2">
        <v>157</v>
      </c>
      <c r="F1765" s="2">
        <v>243</v>
      </c>
      <c r="G1765" s="2">
        <v>430</v>
      </c>
      <c r="H1765" s="2">
        <v>917.66666669999995</v>
      </c>
      <c r="I1765" s="2">
        <v>2272.333333</v>
      </c>
      <c r="J1765" s="2">
        <v>2.4300000000000002</v>
      </c>
      <c r="K1765" s="2">
        <v>4.29</v>
      </c>
      <c r="L1765" s="2">
        <v>8.02</v>
      </c>
      <c r="M1765" s="2">
        <v>13.86</v>
      </c>
      <c r="N1765" s="2">
        <v>0.47974424199999999</v>
      </c>
      <c r="O1765" s="2">
        <v>0.44104602999999998</v>
      </c>
      <c r="P1765" s="2">
        <v>3.5344607790000002</v>
      </c>
      <c r="Q1765" s="2">
        <v>3.7014775879999999</v>
      </c>
      <c r="R1765" s="2">
        <v>0.396393367</v>
      </c>
      <c r="S1765" s="2">
        <v>0.40918864199999999</v>
      </c>
      <c r="T1765" s="2">
        <v>3.5121624819999999</v>
      </c>
      <c r="U1765" s="2">
        <v>3.6787906970000002</v>
      </c>
      <c r="V1765" s="2">
        <v>1.116625566</v>
      </c>
      <c r="W1765" s="2">
        <v>4.7547163000000003E-2</v>
      </c>
      <c r="X1765">
        <f t="shared" si="81"/>
        <v>0</v>
      </c>
      <c r="Y1765">
        <f t="shared" si="82"/>
        <v>1</v>
      </c>
      <c r="Z1765">
        <f t="shared" si="83"/>
        <v>1</v>
      </c>
    </row>
    <row r="1766" spans="1:26" ht="15.75" customHeight="1" x14ac:dyDescent="0.2">
      <c r="A1766" s="2" t="s">
        <v>23</v>
      </c>
      <c r="B1766" s="2" t="s">
        <v>35</v>
      </c>
      <c r="C1766" s="2" t="s">
        <v>32</v>
      </c>
      <c r="D1766" s="2" t="s">
        <v>33</v>
      </c>
      <c r="E1766" s="2">
        <v>174</v>
      </c>
      <c r="F1766" s="2">
        <v>234.33333329999999</v>
      </c>
      <c r="G1766" s="2">
        <v>565.33333330000005</v>
      </c>
      <c r="H1766" s="2">
        <v>1031.666667</v>
      </c>
      <c r="I1766" s="2">
        <v>2687.333333</v>
      </c>
      <c r="J1766" s="2">
        <v>2.33</v>
      </c>
      <c r="K1766" s="2">
        <v>5.47</v>
      </c>
      <c r="L1766" s="2">
        <v>8.7200000000000006</v>
      </c>
      <c r="M1766" s="2">
        <v>14.97</v>
      </c>
      <c r="N1766" s="2">
        <v>3.555696384</v>
      </c>
      <c r="O1766" s="2">
        <v>3.8112522320000002</v>
      </c>
      <c r="P1766" s="2">
        <v>2.922847177</v>
      </c>
      <c r="Q1766" s="2">
        <v>3.0805058569999999</v>
      </c>
      <c r="R1766" s="2">
        <v>0.78186641000000001</v>
      </c>
      <c r="S1766" s="2">
        <v>0.76907113400000005</v>
      </c>
      <c r="T1766" s="2">
        <v>2.8163310419999998</v>
      </c>
      <c r="U1766" s="2">
        <v>2.982959256</v>
      </c>
      <c r="V1766" s="2">
        <v>2.2948853420000002</v>
      </c>
      <c r="W1766" s="2">
        <v>6.5341706999999999E-2</v>
      </c>
      <c r="X1766">
        <f t="shared" si="81"/>
        <v>0</v>
      </c>
      <c r="Y1766">
        <f t="shared" si="82"/>
        <v>1</v>
      </c>
      <c r="Z1766">
        <f t="shared" si="83"/>
        <v>1</v>
      </c>
    </row>
    <row r="1767" spans="1:26" ht="15.75" customHeight="1" x14ac:dyDescent="0.2">
      <c r="A1767" s="2" t="s">
        <v>23</v>
      </c>
      <c r="B1767" s="2" t="s">
        <v>35</v>
      </c>
      <c r="C1767" s="2" t="s">
        <v>25</v>
      </c>
      <c r="D1767" s="2" t="s">
        <v>25</v>
      </c>
      <c r="E1767" s="2">
        <v>158</v>
      </c>
      <c r="F1767" s="2">
        <v>234</v>
      </c>
      <c r="G1767" s="2">
        <v>857.66666669999995</v>
      </c>
      <c r="H1767" s="2">
        <v>1763</v>
      </c>
      <c r="I1767" s="2">
        <v>2705.666667</v>
      </c>
      <c r="J1767" s="2">
        <v>2.33</v>
      </c>
      <c r="K1767" s="2">
        <v>7.63</v>
      </c>
      <c r="L1767" s="2">
        <v>12.17</v>
      </c>
      <c r="M1767" s="2">
        <v>15.02</v>
      </c>
      <c r="N1767" s="2">
        <v>0.52131080200000002</v>
      </c>
      <c r="O1767" s="2">
        <v>0.28473280499999998</v>
      </c>
      <c r="P1767" s="2">
        <v>3.0082875819999999</v>
      </c>
      <c r="Q1767" s="2">
        <v>2.9649924730000001</v>
      </c>
      <c r="R1767" s="2">
        <v>2.9407185500000002</v>
      </c>
      <c r="S1767" s="2">
        <v>2.9279232739999999</v>
      </c>
      <c r="T1767" s="2">
        <v>0.634009928</v>
      </c>
      <c r="U1767" s="2">
        <v>0.467381714</v>
      </c>
      <c r="V1767" s="2">
        <v>4.4537374820000002</v>
      </c>
      <c r="W1767" s="2">
        <v>5.5101144999999997E-2</v>
      </c>
      <c r="X1767">
        <f t="shared" si="81"/>
        <v>0</v>
      </c>
      <c r="Y1767">
        <f t="shared" si="82"/>
        <v>1</v>
      </c>
      <c r="Z1767">
        <f t="shared" si="83"/>
        <v>0</v>
      </c>
    </row>
    <row r="1768" spans="1:26" ht="15.75" customHeight="1" x14ac:dyDescent="0.2">
      <c r="A1768" s="2" t="s">
        <v>23</v>
      </c>
      <c r="B1768" s="2" t="s">
        <v>35</v>
      </c>
      <c r="C1768" s="2" t="s">
        <v>27</v>
      </c>
      <c r="D1768" s="2" t="s">
        <v>27</v>
      </c>
      <c r="E1768" s="2">
        <v>125</v>
      </c>
      <c r="F1768" s="2">
        <v>240.66666670000001</v>
      </c>
      <c r="G1768" s="2">
        <v>437</v>
      </c>
      <c r="H1768" s="2">
        <v>2509.666667</v>
      </c>
      <c r="I1768" s="2">
        <v>3293</v>
      </c>
      <c r="J1768" s="2">
        <v>2.4</v>
      </c>
      <c r="K1768" s="2">
        <v>4.3600000000000003</v>
      </c>
      <c r="L1768" s="2">
        <v>14.52</v>
      </c>
      <c r="M1768" s="2">
        <v>16.28</v>
      </c>
      <c r="N1768" s="2">
        <v>0.25604410500000002</v>
      </c>
      <c r="O1768" s="2">
        <v>0.32345471100000001</v>
      </c>
      <c r="P1768" s="2">
        <v>3.0102193929999999</v>
      </c>
      <c r="Q1768" s="2">
        <v>2.8461908290000002</v>
      </c>
      <c r="R1768" s="2">
        <v>0.33218598100000002</v>
      </c>
      <c r="S1768" s="2">
        <v>0.34498125600000001</v>
      </c>
      <c r="T1768" s="2">
        <v>2.991834431</v>
      </c>
      <c r="U1768" s="2">
        <v>2.8252062169999999</v>
      </c>
      <c r="V1768" s="2">
        <v>1.180832952</v>
      </c>
      <c r="W1768" s="2">
        <v>4.7774908999999997E-2</v>
      </c>
      <c r="X1768">
        <f t="shared" si="81"/>
        <v>0</v>
      </c>
      <c r="Y1768">
        <f t="shared" si="82"/>
        <v>1</v>
      </c>
      <c r="Z1768">
        <f t="shared" si="83"/>
        <v>0</v>
      </c>
    </row>
    <row r="1769" spans="1:26" ht="15.75" customHeight="1" x14ac:dyDescent="0.2">
      <c r="A1769" s="2" t="s">
        <v>23</v>
      </c>
      <c r="B1769" s="2" t="s">
        <v>35</v>
      </c>
      <c r="C1769" s="2" t="s">
        <v>32</v>
      </c>
      <c r="D1769" s="2" t="s">
        <v>33</v>
      </c>
      <c r="E1769" s="2">
        <v>278</v>
      </c>
      <c r="F1769" s="2">
        <v>237</v>
      </c>
      <c r="G1769" s="2">
        <v>473</v>
      </c>
      <c r="H1769" s="2">
        <v>973.33333330000005</v>
      </c>
      <c r="I1769" s="2">
        <v>2320</v>
      </c>
      <c r="J1769" s="2">
        <v>2.36</v>
      </c>
      <c r="K1769" s="2">
        <v>4.68</v>
      </c>
      <c r="L1769" s="2">
        <v>8.3699999999999992</v>
      </c>
      <c r="M1769" s="2">
        <v>14</v>
      </c>
      <c r="N1769" s="2">
        <v>4.3067933009999999</v>
      </c>
      <c r="O1769" s="2">
        <v>4.5395447869999996</v>
      </c>
      <c r="P1769" s="2">
        <v>3.1656378460000001</v>
      </c>
      <c r="Q1769" s="2">
        <v>3.332320143</v>
      </c>
      <c r="R1769" s="2">
        <v>7.8125729999999997E-3</v>
      </c>
      <c r="S1769" s="2">
        <v>2.0607848000000002E-2</v>
      </c>
      <c r="T1769" s="2">
        <v>3.1656282060000001</v>
      </c>
      <c r="U1769" s="2">
        <v>3.3322564200000002</v>
      </c>
      <c r="V1769" s="2">
        <v>1.505206359</v>
      </c>
      <c r="W1769" s="2">
        <v>5.8356946E-2</v>
      </c>
      <c r="X1769">
        <f t="shared" si="81"/>
        <v>0</v>
      </c>
      <c r="Y1769">
        <f t="shared" si="82"/>
        <v>1</v>
      </c>
      <c r="Z1769">
        <f t="shared" si="83"/>
        <v>1</v>
      </c>
    </row>
    <row r="1770" spans="1:26" ht="15.75" customHeight="1" x14ac:dyDescent="0.2">
      <c r="A1770" s="2" t="s">
        <v>23</v>
      </c>
      <c r="B1770" s="2" t="s">
        <v>35</v>
      </c>
      <c r="C1770" s="2" t="s">
        <v>28</v>
      </c>
      <c r="D1770" s="2" t="s">
        <v>29</v>
      </c>
      <c r="E1770" s="2">
        <v>124</v>
      </c>
      <c r="F1770" s="2">
        <v>212.66666670000001</v>
      </c>
      <c r="G1770" s="2">
        <v>714</v>
      </c>
      <c r="H1770" s="2">
        <v>1770.333333</v>
      </c>
      <c r="I1770" s="2">
        <v>3453</v>
      </c>
      <c r="J1770" s="2">
        <v>2.09</v>
      </c>
      <c r="K1770" s="2">
        <v>6.63</v>
      </c>
      <c r="L1770" s="2">
        <v>12.19</v>
      </c>
      <c r="M1770" s="2">
        <v>16.57</v>
      </c>
      <c r="N1770" s="2">
        <v>5.1831103250000004</v>
      </c>
      <c r="O1770" s="2">
        <v>4.773629992</v>
      </c>
      <c r="P1770" s="2">
        <v>2.0485701490000001</v>
      </c>
      <c r="Q1770" s="2">
        <v>1.988572397</v>
      </c>
      <c r="R1770" s="2">
        <v>1.9387412470000001</v>
      </c>
      <c r="S1770" s="2">
        <v>1.9259459720000001</v>
      </c>
      <c r="T1770" s="2">
        <v>0.66175677499999996</v>
      </c>
      <c r="U1770" s="2">
        <v>0.49512856</v>
      </c>
      <c r="V1770" s="2">
        <v>3.45176018</v>
      </c>
      <c r="W1770" s="2">
        <v>2.7422242999999999E-2</v>
      </c>
      <c r="X1770">
        <f t="shared" si="81"/>
        <v>0</v>
      </c>
      <c r="Y1770">
        <f t="shared" si="82"/>
        <v>1</v>
      </c>
      <c r="Z1770">
        <f t="shared" si="83"/>
        <v>1</v>
      </c>
    </row>
    <row r="1771" spans="1:26" ht="15.75" customHeight="1" x14ac:dyDescent="0.2">
      <c r="A1771" s="2" t="s">
        <v>23</v>
      </c>
      <c r="B1771" s="2" t="s">
        <v>35</v>
      </c>
      <c r="C1771" s="2" t="s">
        <v>27</v>
      </c>
      <c r="D1771" s="2" t="s">
        <v>27</v>
      </c>
      <c r="E1771" s="2">
        <v>134</v>
      </c>
      <c r="F1771" s="2">
        <v>247</v>
      </c>
      <c r="G1771" s="2">
        <v>457.66666670000001</v>
      </c>
      <c r="H1771" s="2">
        <v>2436.666667</v>
      </c>
      <c r="I1771" s="2">
        <v>3203.666667</v>
      </c>
      <c r="J1771" s="2">
        <v>2.4700000000000002</v>
      </c>
      <c r="K1771" s="2">
        <v>4.55</v>
      </c>
      <c r="L1771" s="2">
        <v>14.33</v>
      </c>
      <c r="M1771" s="2">
        <v>16.100000000000001</v>
      </c>
      <c r="N1771" s="2">
        <v>0.21310088099999999</v>
      </c>
      <c r="O1771" s="2">
        <v>0.27537284499999998</v>
      </c>
      <c r="P1771" s="2">
        <v>2.8003812890000002</v>
      </c>
      <c r="Q1771" s="2">
        <v>2.6347243690000002</v>
      </c>
      <c r="R1771" s="2">
        <v>0.14479060799999999</v>
      </c>
      <c r="S1771" s="2">
        <v>0.15758588300000001</v>
      </c>
      <c r="T1771" s="2">
        <v>2.7966356650000002</v>
      </c>
      <c r="U1771" s="2">
        <v>2.6300074499999999</v>
      </c>
      <c r="V1771" s="2">
        <v>1.368228325</v>
      </c>
      <c r="W1771" s="2">
        <v>5.3339296000000001E-2</v>
      </c>
      <c r="X1771">
        <f t="shared" si="81"/>
        <v>0</v>
      </c>
      <c r="Y1771">
        <f t="shared" si="82"/>
        <v>1</v>
      </c>
      <c r="Z1771">
        <f t="shared" si="83"/>
        <v>0</v>
      </c>
    </row>
    <row r="1772" spans="1:26" ht="15.75" customHeight="1" x14ac:dyDescent="0.2">
      <c r="A1772" s="2" t="s">
        <v>23</v>
      </c>
      <c r="B1772" s="2" t="s">
        <v>35</v>
      </c>
      <c r="C1772" s="2" t="s">
        <v>26</v>
      </c>
      <c r="D1772" s="2" t="s">
        <v>26</v>
      </c>
      <c r="E1772" s="2">
        <v>125</v>
      </c>
      <c r="F1772" s="2">
        <v>207</v>
      </c>
      <c r="G1772" s="2">
        <v>395.33333329999999</v>
      </c>
      <c r="H1772" s="2">
        <v>830.33333330000005</v>
      </c>
      <c r="I1772" s="2">
        <v>2530.333333</v>
      </c>
      <c r="J1772" s="2">
        <v>2.0299999999999998</v>
      </c>
      <c r="K1772" s="2">
        <v>3.97</v>
      </c>
      <c r="L1772" s="2">
        <v>7.45</v>
      </c>
      <c r="M1772" s="2">
        <v>14.58</v>
      </c>
      <c r="N1772" s="2">
        <v>0.37859034600000002</v>
      </c>
      <c r="O1772" s="2">
        <v>0.81336759000000003</v>
      </c>
      <c r="P1772" s="2">
        <v>4.1466748759999996</v>
      </c>
      <c r="Q1772" s="2">
        <v>4.3130246870000004</v>
      </c>
      <c r="R1772" s="2">
        <v>0.71999796999999999</v>
      </c>
      <c r="S1772" s="2">
        <v>0.73279324499999998</v>
      </c>
      <c r="T1772" s="2">
        <v>4.0836889510000001</v>
      </c>
      <c r="U1772" s="2">
        <v>4.2503171660000003</v>
      </c>
      <c r="V1772" s="2">
        <v>0.79302096200000005</v>
      </c>
      <c r="W1772" s="2">
        <v>4.6321286000000003E-2</v>
      </c>
      <c r="X1772">
        <f t="shared" si="81"/>
        <v>0</v>
      </c>
      <c r="Y1772">
        <f t="shared" si="82"/>
        <v>1</v>
      </c>
      <c r="Z1772">
        <f t="shared" si="83"/>
        <v>0</v>
      </c>
    </row>
    <row r="1773" spans="1:26" ht="15.75" customHeight="1" x14ac:dyDescent="0.2">
      <c r="A1773" s="2" t="s">
        <v>23</v>
      </c>
      <c r="B1773" s="2" t="s">
        <v>35</v>
      </c>
      <c r="C1773" s="2" t="s">
        <v>27</v>
      </c>
      <c r="D1773" s="2" t="s">
        <v>27</v>
      </c>
      <c r="E1773" s="2">
        <v>143</v>
      </c>
      <c r="F1773" s="2">
        <v>242</v>
      </c>
      <c r="G1773" s="2">
        <v>455.66666670000001</v>
      </c>
      <c r="H1773" s="2">
        <v>2339.333333</v>
      </c>
      <c r="I1773" s="2">
        <v>3251.333333</v>
      </c>
      <c r="J1773" s="2">
        <v>2.42</v>
      </c>
      <c r="K1773" s="2">
        <v>4.53</v>
      </c>
      <c r="L1773" s="2">
        <v>14.06</v>
      </c>
      <c r="M1773" s="2">
        <v>16.2</v>
      </c>
      <c r="N1773" s="2">
        <v>0.28101660499999997</v>
      </c>
      <c r="O1773" s="2">
        <v>0.27209014100000001</v>
      </c>
      <c r="P1773" s="2">
        <v>2.5312990379999998</v>
      </c>
      <c r="Q1773" s="2">
        <v>2.3659551479999998</v>
      </c>
      <c r="R1773" s="2">
        <v>0.162785508</v>
      </c>
      <c r="S1773" s="2">
        <v>0.17558078399999999</v>
      </c>
      <c r="T1773" s="2">
        <v>2.5260593220000001</v>
      </c>
      <c r="U1773" s="2">
        <v>2.3594311069999998</v>
      </c>
      <c r="V1773" s="2">
        <v>1.350233424</v>
      </c>
      <c r="W1773" s="2">
        <v>5.5235085000000003E-2</v>
      </c>
      <c r="X1773">
        <f t="shared" si="81"/>
        <v>0</v>
      </c>
      <c r="Y1773">
        <f t="shared" si="82"/>
        <v>1</v>
      </c>
      <c r="Z1773">
        <f t="shared" si="83"/>
        <v>0</v>
      </c>
    </row>
    <row r="1774" spans="1:26" ht="15.75" customHeight="1" x14ac:dyDescent="0.2">
      <c r="A1774" s="2" t="s">
        <v>23</v>
      </c>
      <c r="B1774" s="2" t="s">
        <v>35</v>
      </c>
      <c r="C1774" s="2" t="s">
        <v>27</v>
      </c>
      <c r="D1774" s="2" t="s">
        <v>27</v>
      </c>
      <c r="E1774" s="2">
        <v>125</v>
      </c>
      <c r="F1774" s="2">
        <v>226.66666670000001</v>
      </c>
      <c r="G1774" s="2">
        <v>414</v>
      </c>
      <c r="H1774" s="2">
        <v>2472.333333</v>
      </c>
      <c r="I1774" s="2">
        <v>3099.333333</v>
      </c>
      <c r="J1774" s="2">
        <v>2.25</v>
      </c>
      <c r="K1774" s="2">
        <v>4.1500000000000004</v>
      </c>
      <c r="L1774" s="2">
        <v>14.42</v>
      </c>
      <c r="M1774" s="2">
        <v>15.89</v>
      </c>
      <c r="N1774" s="2">
        <v>0.25030806</v>
      </c>
      <c r="O1774" s="2">
        <v>0.26732510799999998</v>
      </c>
      <c r="P1774" s="2">
        <v>2.9436222440000002</v>
      </c>
      <c r="Q1774" s="2">
        <v>2.7825759680000002</v>
      </c>
      <c r="R1774" s="2">
        <v>0.54457495700000003</v>
      </c>
      <c r="S1774" s="2">
        <v>0.55737023299999999</v>
      </c>
      <c r="T1774" s="2">
        <v>2.8928100579999998</v>
      </c>
      <c r="U1774" s="2">
        <v>2.726181843</v>
      </c>
      <c r="V1774" s="2">
        <v>0.96844397500000001</v>
      </c>
      <c r="W1774" s="2">
        <v>5.8677062000000002E-2</v>
      </c>
      <c r="X1774">
        <f t="shared" si="81"/>
        <v>0</v>
      </c>
      <c r="Y1774">
        <f t="shared" si="82"/>
        <v>1</v>
      </c>
      <c r="Z1774">
        <f t="shared" si="83"/>
        <v>0</v>
      </c>
    </row>
    <row r="1775" spans="1:26" ht="15.75" customHeight="1" x14ac:dyDescent="0.2">
      <c r="A1775" s="2" t="s">
        <v>23</v>
      </c>
      <c r="B1775" s="2" t="s">
        <v>35</v>
      </c>
      <c r="C1775" s="2" t="s">
        <v>32</v>
      </c>
      <c r="D1775" s="2" t="s">
        <v>33</v>
      </c>
      <c r="E1775" s="2">
        <v>171</v>
      </c>
      <c r="F1775" s="2">
        <v>232.66666670000001</v>
      </c>
      <c r="G1775" s="2">
        <v>370.33333329999999</v>
      </c>
      <c r="H1775" s="2">
        <v>1155.666667</v>
      </c>
      <c r="I1775" s="2">
        <v>2593.666667</v>
      </c>
      <c r="J1775" s="2">
        <v>2.31</v>
      </c>
      <c r="K1775" s="2">
        <v>3.73</v>
      </c>
      <c r="L1775" s="2">
        <v>9.41</v>
      </c>
      <c r="M1775" s="2">
        <v>14.74</v>
      </c>
      <c r="N1775" s="2">
        <v>4.3369379070000003</v>
      </c>
      <c r="O1775" s="2">
        <v>4.4881606290000002</v>
      </c>
      <c r="P1775" s="2">
        <v>2.3244787279999999</v>
      </c>
      <c r="Q1775" s="2">
        <v>2.4821918740000002</v>
      </c>
      <c r="R1775" s="2">
        <v>0.95934192799999995</v>
      </c>
      <c r="S1775" s="2">
        <v>0.97213720299999995</v>
      </c>
      <c r="T1775" s="2">
        <v>2.1172775970000002</v>
      </c>
      <c r="U1775" s="2">
        <v>2.283905812</v>
      </c>
      <c r="V1775" s="2">
        <v>0.55367700500000006</v>
      </c>
      <c r="W1775" s="2">
        <v>6.9155745000000005E-2</v>
      </c>
      <c r="X1775">
        <f t="shared" si="81"/>
        <v>0</v>
      </c>
      <c r="Y1775">
        <f t="shared" si="82"/>
        <v>1</v>
      </c>
      <c r="Z1775">
        <f t="shared" si="83"/>
        <v>1</v>
      </c>
    </row>
    <row r="1776" spans="1:26" ht="15.75" customHeight="1" x14ac:dyDescent="0.2">
      <c r="A1776" s="2" t="s">
        <v>23</v>
      </c>
      <c r="B1776" s="2" t="s">
        <v>35</v>
      </c>
      <c r="C1776" s="2" t="s">
        <v>28</v>
      </c>
      <c r="D1776" s="2" t="s">
        <v>29</v>
      </c>
      <c r="E1776" s="2">
        <v>177</v>
      </c>
      <c r="F1776" s="2">
        <v>252</v>
      </c>
      <c r="G1776" s="2">
        <v>427</v>
      </c>
      <c r="H1776" s="2">
        <v>990.33333330000005</v>
      </c>
      <c r="I1776" s="2">
        <v>2314</v>
      </c>
      <c r="J1776" s="2">
        <v>2.52</v>
      </c>
      <c r="K1776" s="2">
        <v>4.2699999999999996</v>
      </c>
      <c r="L1776" s="2">
        <v>8.4700000000000006</v>
      </c>
      <c r="M1776" s="2">
        <v>13.99</v>
      </c>
      <c r="N1776" s="2">
        <v>0.77273227</v>
      </c>
      <c r="O1776" s="2">
        <v>0.40096228</v>
      </c>
      <c r="P1776" s="2">
        <v>3.0916232340000001</v>
      </c>
      <c r="Q1776" s="2">
        <v>3.2584475990000001</v>
      </c>
      <c r="R1776" s="2">
        <v>0.42402609800000002</v>
      </c>
      <c r="S1776" s="2">
        <v>0.43682137399999998</v>
      </c>
      <c r="T1776" s="2">
        <v>3.0624069110000001</v>
      </c>
      <c r="U1776" s="2">
        <v>3.2290351249999998</v>
      </c>
      <c r="V1776" s="2">
        <v>1.0889928339999999</v>
      </c>
      <c r="W1776" s="2">
        <v>5.7850648999999997E-2</v>
      </c>
      <c r="X1776">
        <f t="shared" si="81"/>
        <v>0</v>
      </c>
      <c r="Y1776">
        <f t="shared" si="82"/>
        <v>1</v>
      </c>
      <c r="Z1776">
        <f t="shared" si="83"/>
        <v>1</v>
      </c>
    </row>
    <row r="1777" spans="1:26" ht="15.75" customHeight="1" x14ac:dyDescent="0.2">
      <c r="A1777" s="2" t="s">
        <v>23</v>
      </c>
      <c r="B1777" s="2" t="s">
        <v>35</v>
      </c>
      <c r="C1777" s="2" t="s">
        <v>26</v>
      </c>
      <c r="D1777" s="2" t="s">
        <v>26</v>
      </c>
      <c r="E1777" s="2">
        <v>213</v>
      </c>
      <c r="F1777" s="2">
        <v>234</v>
      </c>
      <c r="G1777" s="2">
        <v>387.33333329999999</v>
      </c>
      <c r="H1777" s="2">
        <v>965</v>
      </c>
      <c r="I1777" s="2">
        <v>2539</v>
      </c>
      <c r="J1777" s="2">
        <v>2.33</v>
      </c>
      <c r="K1777" s="2">
        <v>3.89</v>
      </c>
      <c r="L1777" s="2">
        <v>8.32</v>
      </c>
      <c r="M1777" s="2">
        <v>14.6</v>
      </c>
      <c r="N1777" s="2">
        <v>0.50529770399999996</v>
      </c>
      <c r="O1777" s="2">
        <v>6.2596870999999998E-2</v>
      </c>
      <c r="P1777" s="2">
        <v>3.3136993750000001</v>
      </c>
      <c r="Q1777" s="2">
        <v>3.4786315540000001</v>
      </c>
      <c r="R1777" s="2">
        <v>0.79603335099999994</v>
      </c>
      <c r="S1777" s="2">
        <v>0.80882862600000005</v>
      </c>
      <c r="T1777" s="2">
        <v>3.2166651129999999</v>
      </c>
      <c r="U1777" s="2">
        <v>3.3832933280000002</v>
      </c>
      <c r="V1777" s="2">
        <v>0.71698558099999998</v>
      </c>
      <c r="W1777" s="2">
        <v>5.7495356999999997E-2</v>
      </c>
      <c r="X1777">
        <f t="shared" si="81"/>
        <v>0</v>
      </c>
      <c r="Y1777">
        <f t="shared" si="82"/>
        <v>1</v>
      </c>
      <c r="Z1777">
        <f t="shared" si="83"/>
        <v>0</v>
      </c>
    </row>
    <row r="1778" spans="1:26" ht="15.75" customHeight="1" x14ac:dyDescent="0.2">
      <c r="A1778" s="2" t="s">
        <v>23</v>
      </c>
      <c r="B1778" s="2" t="s">
        <v>35</v>
      </c>
      <c r="C1778" s="2" t="s">
        <v>30</v>
      </c>
      <c r="D1778" s="2" t="s">
        <v>31</v>
      </c>
      <c r="E1778" s="2">
        <v>177</v>
      </c>
      <c r="F1778" s="2">
        <v>257.33333329999999</v>
      </c>
      <c r="G1778" s="2">
        <v>542</v>
      </c>
      <c r="H1778" s="2">
        <v>1240.666667</v>
      </c>
      <c r="I1778" s="2">
        <v>2502.333333</v>
      </c>
      <c r="J1778" s="2">
        <v>2.58</v>
      </c>
      <c r="K1778" s="2">
        <v>5.28</v>
      </c>
      <c r="L1778" s="2">
        <v>9.86</v>
      </c>
      <c r="M1778" s="2">
        <v>14.5</v>
      </c>
      <c r="N1778" s="2">
        <v>4.5042711540000004</v>
      </c>
      <c r="O1778" s="2">
        <v>4.4521845979999997</v>
      </c>
      <c r="P1778" s="2">
        <v>1.7698437220000001</v>
      </c>
      <c r="Q1778" s="2">
        <v>1.9239449319999999</v>
      </c>
      <c r="R1778" s="2">
        <v>0.58781193799999998</v>
      </c>
      <c r="S1778" s="2">
        <v>0.57501666299999998</v>
      </c>
      <c r="T1778" s="2">
        <v>1.669378305</v>
      </c>
      <c r="U1778" s="2">
        <v>1.83600652</v>
      </c>
      <c r="V1778" s="2">
        <v>2.1008308709999999</v>
      </c>
      <c r="W1778" s="2">
        <v>4.9786817999999997E-2</v>
      </c>
      <c r="X1778">
        <f t="shared" si="81"/>
        <v>0</v>
      </c>
      <c r="Y1778">
        <f t="shared" si="82"/>
        <v>1</v>
      </c>
      <c r="Z1778">
        <f t="shared" si="83"/>
        <v>1</v>
      </c>
    </row>
    <row r="1779" spans="1:26" ht="15.75" customHeight="1" x14ac:dyDescent="0.2">
      <c r="A1779" s="2" t="s">
        <v>23</v>
      </c>
      <c r="B1779" s="2" t="s">
        <v>35</v>
      </c>
      <c r="C1779" s="2" t="s">
        <v>27</v>
      </c>
      <c r="D1779" s="2" t="s">
        <v>27</v>
      </c>
      <c r="E1779" s="2">
        <v>117</v>
      </c>
      <c r="F1779" s="2">
        <v>224.33333329999999</v>
      </c>
      <c r="G1779" s="2">
        <v>425.66666670000001</v>
      </c>
      <c r="H1779" s="2">
        <v>2448.666667</v>
      </c>
      <c r="I1779" s="2">
        <v>3279</v>
      </c>
      <c r="J1779" s="2">
        <v>2.2200000000000002</v>
      </c>
      <c r="K1779" s="2">
        <v>4.25</v>
      </c>
      <c r="L1779" s="2">
        <v>14.36</v>
      </c>
      <c r="M1779" s="2">
        <v>16.25</v>
      </c>
      <c r="N1779" s="2">
        <v>0.12730936400000001</v>
      </c>
      <c r="O1779" s="2">
        <v>0.161753601</v>
      </c>
      <c r="P1779" s="2">
        <v>2.8626159470000001</v>
      </c>
      <c r="Q1779" s="2">
        <v>2.7001530570000001</v>
      </c>
      <c r="R1779" s="2">
        <v>0.43632961999999997</v>
      </c>
      <c r="S1779" s="2">
        <v>0.44912489500000002</v>
      </c>
      <c r="T1779" s="2">
        <v>2.829167108</v>
      </c>
      <c r="U1779" s="2">
        <v>2.6625388929999998</v>
      </c>
      <c r="V1779" s="2">
        <v>1.0766893120000001</v>
      </c>
      <c r="W1779" s="2">
        <v>3.4419333000000003E-2</v>
      </c>
      <c r="X1779">
        <f t="shared" si="81"/>
        <v>0</v>
      </c>
      <c r="Y1779">
        <f t="shared" si="82"/>
        <v>1</v>
      </c>
      <c r="Z1779">
        <f t="shared" si="83"/>
        <v>0</v>
      </c>
    </row>
    <row r="1780" spans="1:26" ht="15.75" customHeight="1" x14ac:dyDescent="0.2">
      <c r="A1780" s="2" t="s">
        <v>23</v>
      </c>
      <c r="B1780" s="2" t="s">
        <v>35</v>
      </c>
      <c r="C1780" s="2" t="s">
        <v>30</v>
      </c>
      <c r="D1780" s="2" t="s">
        <v>31</v>
      </c>
      <c r="E1780" s="2">
        <v>212</v>
      </c>
      <c r="F1780" s="2">
        <v>243</v>
      </c>
      <c r="G1780" s="2">
        <v>489.66666670000001</v>
      </c>
      <c r="H1780" s="2">
        <v>1319</v>
      </c>
      <c r="I1780" s="2">
        <v>2183.333333</v>
      </c>
      <c r="J1780" s="2">
        <v>2.4300000000000002</v>
      </c>
      <c r="K1780" s="2">
        <v>4.83</v>
      </c>
      <c r="L1780" s="2">
        <v>10.25</v>
      </c>
      <c r="M1780" s="2">
        <v>13.6</v>
      </c>
      <c r="N1780" s="2">
        <v>4.0431221070000003</v>
      </c>
      <c r="O1780" s="2">
        <v>3.9864303780000001</v>
      </c>
      <c r="P1780" s="2">
        <v>1.284725216</v>
      </c>
      <c r="Q1780" s="2">
        <v>1.449314309</v>
      </c>
      <c r="R1780" s="2">
        <v>0.13913165599999999</v>
      </c>
      <c r="S1780" s="2">
        <v>0.12633638</v>
      </c>
      <c r="T1780" s="2">
        <v>1.2771692379999999</v>
      </c>
      <c r="U1780" s="2">
        <v>1.443797453</v>
      </c>
      <c r="V1780" s="2">
        <v>1.652150588</v>
      </c>
      <c r="W1780" s="2">
        <v>4.9424454999999999E-2</v>
      </c>
      <c r="X1780">
        <f t="shared" si="81"/>
        <v>0</v>
      </c>
      <c r="Y1780">
        <f t="shared" si="82"/>
        <v>1</v>
      </c>
      <c r="Z1780">
        <f t="shared" si="83"/>
        <v>1</v>
      </c>
    </row>
    <row r="1781" spans="1:26" ht="15.75" customHeight="1" x14ac:dyDescent="0.2">
      <c r="A1781" s="2" t="s">
        <v>23</v>
      </c>
      <c r="B1781" s="2" t="s">
        <v>35</v>
      </c>
      <c r="C1781" s="2" t="s">
        <v>26</v>
      </c>
      <c r="D1781" s="2" t="s">
        <v>26</v>
      </c>
      <c r="E1781" s="2">
        <v>112</v>
      </c>
      <c r="F1781" s="2">
        <v>226</v>
      </c>
      <c r="G1781" s="2">
        <v>377.66666670000001</v>
      </c>
      <c r="H1781" s="2">
        <v>925.66666669999995</v>
      </c>
      <c r="I1781" s="2">
        <v>2518</v>
      </c>
      <c r="J1781" s="2">
        <v>2.2400000000000002</v>
      </c>
      <c r="K1781" s="2">
        <v>3.8</v>
      </c>
      <c r="L1781" s="2">
        <v>8.07</v>
      </c>
      <c r="M1781" s="2">
        <v>14.55</v>
      </c>
      <c r="N1781" s="2">
        <v>0.26630131699999998</v>
      </c>
      <c r="O1781" s="2">
        <v>0.22600767599999999</v>
      </c>
      <c r="P1781" s="2">
        <v>3.5737746889999999</v>
      </c>
      <c r="Q1781" s="2">
        <v>3.7384641279999999</v>
      </c>
      <c r="R1781" s="2">
        <v>0.88860378100000004</v>
      </c>
      <c r="S1781" s="2">
        <v>0.90139905600000003</v>
      </c>
      <c r="T1781" s="2">
        <v>3.4615385089999999</v>
      </c>
      <c r="U1781" s="2">
        <v>3.6281667240000002</v>
      </c>
      <c r="V1781" s="2">
        <v>0.62441515199999997</v>
      </c>
      <c r="W1781" s="2">
        <v>6.6916524000000005E-2</v>
      </c>
      <c r="X1781">
        <f t="shared" si="81"/>
        <v>0</v>
      </c>
      <c r="Y1781">
        <f t="shared" si="82"/>
        <v>1</v>
      </c>
      <c r="Z1781">
        <f t="shared" si="83"/>
        <v>0</v>
      </c>
    </row>
    <row r="1782" spans="1:26" ht="15.75" customHeight="1" x14ac:dyDescent="0.2">
      <c r="A1782" s="2" t="s">
        <v>23</v>
      </c>
      <c r="B1782" s="2" t="s">
        <v>35</v>
      </c>
      <c r="C1782" s="2" t="s">
        <v>26</v>
      </c>
      <c r="D1782" s="2" t="s">
        <v>26</v>
      </c>
      <c r="E1782" s="2">
        <v>116</v>
      </c>
      <c r="F1782" s="2">
        <v>228.66666670000001</v>
      </c>
      <c r="G1782" s="2">
        <v>368.66666670000001</v>
      </c>
      <c r="H1782" s="2">
        <v>892.66666669999995</v>
      </c>
      <c r="I1782" s="2">
        <v>2441.666667</v>
      </c>
      <c r="J1782" s="2">
        <v>2.27</v>
      </c>
      <c r="K1782" s="2">
        <v>3.71</v>
      </c>
      <c r="L1782" s="2">
        <v>7.86</v>
      </c>
      <c r="M1782" s="2">
        <v>14.34</v>
      </c>
      <c r="N1782" s="2">
        <v>0.155010129</v>
      </c>
      <c r="O1782" s="2">
        <v>0.45199899100000002</v>
      </c>
      <c r="P1782" s="2">
        <v>3.7995474169999999</v>
      </c>
      <c r="Q1782" s="2">
        <v>3.9639921920000001</v>
      </c>
      <c r="R1782" s="2">
        <v>0.97548091400000003</v>
      </c>
      <c r="S1782" s="2">
        <v>0.98827619</v>
      </c>
      <c r="T1782" s="2">
        <v>3.672192473</v>
      </c>
      <c r="U1782" s="2">
        <v>3.8388206880000002</v>
      </c>
      <c r="V1782" s="2">
        <v>0.53753801800000001</v>
      </c>
      <c r="W1782" s="2">
        <v>4.8667419000000003E-2</v>
      </c>
      <c r="X1782">
        <f t="shared" si="81"/>
        <v>0</v>
      </c>
      <c r="Y1782">
        <f t="shared" si="82"/>
        <v>1</v>
      </c>
      <c r="Z1782">
        <f t="shared" si="83"/>
        <v>0</v>
      </c>
    </row>
    <row r="1783" spans="1:26" ht="15.75" customHeight="1" x14ac:dyDescent="0.2">
      <c r="A1783" s="2" t="s">
        <v>23</v>
      </c>
      <c r="B1783" s="2" t="s">
        <v>35</v>
      </c>
      <c r="C1783" s="2" t="s">
        <v>26</v>
      </c>
      <c r="D1783" s="2" t="s">
        <v>26</v>
      </c>
      <c r="E1783" s="2">
        <v>118</v>
      </c>
      <c r="F1783" s="2">
        <v>250.33333329999999</v>
      </c>
      <c r="G1783" s="2">
        <v>405.33333329999999</v>
      </c>
      <c r="H1783" s="2">
        <v>707.33333330000005</v>
      </c>
      <c r="I1783" s="2">
        <v>2530.333333</v>
      </c>
      <c r="J1783" s="2">
        <v>2.5099999999999998</v>
      </c>
      <c r="K1783" s="2">
        <v>4.0599999999999996</v>
      </c>
      <c r="L1783" s="2">
        <v>6.58</v>
      </c>
      <c r="M1783" s="2">
        <v>14.58</v>
      </c>
      <c r="N1783" s="2">
        <v>1.2477364369999999</v>
      </c>
      <c r="O1783" s="2">
        <v>1.6863257229999999</v>
      </c>
      <c r="P1783" s="2">
        <v>4.9914679030000002</v>
      </c>
      <c r="Q1783" s="2">
        <v>5.1583922500000003</v>
      </c>
      <c r="R1783" s="2">
        <v>0.62567702199999997</v>
      </c>
      <c r="S1783" s="2">
        <v>0.63847229800000005</v>
      </c>
      <c r="T1783" s="2">
        <v>4.952098554</v>
      </c>
      <c r="U1783" s="2">
        <v>5.1187267690000002</v>
      </c>
      <c r="V1783" s="2">
        <v>0.88734190999999996</v>
      </c>
      <c r="W1783" s="2">
        <v>5.2279990999999998E-2</v>
      </c>
      <c r="X1783">
        <f t="shared" si="81"/>
        <v>0</v>
      </c>
      <c r="Y1783">
        <f t="shared" si="82"/>
        <v>1</v>
      </c>
      <c r="Z1783">
        <f t="shared" si="83"/>
        <v>0</v>
      </c>
    </row>
    <row r="1784" spans="1:26" ht="15.75" customHeight="1" x14ac:dyDescent="0.2">
      <c r="A1784" s="2" t="s">
        <v>23</v>
      </c>
      <c r="B1784" s="2" t="s">
        <v>35</v>
      </c>
      <c r="C1784" s="2" t="s">
        <v>25</v>
      </c>
      <c r="D1784" s="2" t="s">
        <v>25</v>
      </c>
      <c r="E1784" s="2">
        <v>236</v>
      </c>
      <c r="F1784" s="2">
        <v>195.66666670000001</v>
      </c>
      <c r="G1784" s="2">
        <v>841.66666669999995</v>
      </c>
      <c r="H1784" s="2">
        <v>1607</v>
      </c>
      <c r="I1784" s="2">
        <v>2622.666667</v>
      </c>
      <c r="J1784" s="2">
        <v>1.9</v>
      </c>
      <c r="K1784" s="2">
        <v>7.52</v>
      </c>
      <c r="L1784" s="2">
        <v>11.55</v>
      </c>
      <c r="M1784" s="2">
        <v>14.81</v>
      </c>
      <c r="N1784" s="2">
        <v>0.17059907099999999</v>
      </c>
      <c r="O1784" s="2">
        <v>0.475166535</v>
      </c>
      <c r="P1784" s="2">
        <v>2.83426372</v>
      </c>
      <c r="Q1784" s="2">
        <v>2.8253981389999998</v>
      </c>
      <c r="R1784" s="2">
        <v>2.8342143360000001</v>
      </c>
      <c r="S1784" s="2">
        <v>2.8214190609999998</v>
      </c>
      <c r="T1784" s="2">
        <v>1.6731162000000001E-2</v>
      </c>
      <c r="U1784" s="2">
        <v>0.149897053</v>
      </c>
      <c r="V1784" s="2">
        <v>4.3472332680000001</v>
      </c>
      <c r="W1784" s="2">
        <v>4.5243142E-2</v>
      </c>
      <c r="X1784">
        <f t="shared" si="81"/>
        <v>0</v>
      </c>
      <c r="Y1784">
        <f t="shared" si="82"/>
        <v>1</v>
      </c>
      <c r="Z1784">
        <f t="shared" si="83"/>
        <v>0</v>
      </c>
    </row>
    <row r="1785" spans="1:26" ht="15.75" customHeight="1" x14ac:dyDescent="0.2">
      <c r="A1785" s="2" t="s">
        <v>23</v>
      </c>
      <c r="B1785" s="2" t="s">
        <v>35</v>
      </c>
      <c r="C1785" s="2" t="s">
        <v>25</v>
      </c>
      <c r="D1785" s="2" t="s">
        <v>25</v>
      </c>
      <c r="E1785" s="2">
        <v>136</v>
      </c>
      <c r="F1785" s="2">
        <v>202.66666670000001</v>
      </c>
      <c r="G1785" s="2">
        <v>769</v>
      </c>
      <c r="H1785" s="2">
        <v>1790.333333</v>
      </c>
      <c r="I1785" s="2">
        <v>2806.333333</v>
      </c>
      <c r="J1785" s="2">
        <v>1.98</v>
      </c>
      <c r="K1785" s="2">
        <v>7.02</v>
      </c>
      <c r="L1785" s="2">
        <v>12.27</v>
      </c>
      <c r="M1785" s="2">
        <v>15.26</v>
      </c>
      <c r="N1785" s="2">
        <v>0.70580939499999995</v>
      </c>
      <c r="O1785" s="2">
        <v>0.45416448199999998</v>
      </c>
      <c r="P1785" s="2">
        <v>2.4483142529999999</v>
      </c>
      <c r="Q1785" s="2">
        <v>2.3909942000000002</v>
      </c>
      <c r="R1785" s="2">
        <v>2.3347918120000002</v>
      </c>
      <c r="S1785" s="2">
        <v>2.3219965359999999</v>
      </c>
      <c r="T1785" s="2">
        <v>0.73687846899999998</v>
      </c>
      <c r="U1785" s="2">
        <v>0.57025025399999996</v>
      </c>
      <c r="V1785" s="2">
        <v>3.8478107439999998</v>
      </c>
      <c r="W1785" s="2">
        <v>3.5803588999999997E-2</v>
      </c>
      <c r="X1785">
        <f t="shared" si="81"/>
        <v>0</v>
      </c>
      <c r="Y1785">
        <f t="shared" si="82"/>
        <v>1</v>
      </c>
      <c r="Z1785">
        <f t="shared" si="83"/>
        <v>0</v>
      </c>
    </row>
    <row r="1786" spans="1:26" ht="15.75" customHeight="1" x14ac:dyDescent="0.2">
      <c r="A1786" s="2" t="s">
        <v>23</v>
      </c>
      <c r="B1786" s="2" t="s">
        <v>35</v>
      </c>
      <c r="C1786" s="2" t="s">
        <v>25</v>
      </c>
      <c r="D1786" s="2" t="s">
        <v>25</v>
      </c>
      <c r="E1786" s="2">
        <v>180</v>
      </c>
      <c r="F1786" s="2">
        <v>224.33333329999999</v>
      </c>
      <c r="G1786" s="2">
        <v>901</v>
      </c>
      <c r="H1786" s="2">
        <v>1742.333333</v>
      </c>
      <c r="I1786" s="2">
        <v>2729.666667</v>
      </c>
      <c r="J1786" s="2">
        <v>2.2200000000000002</v>
      </c>
      <c r="K1786" s="2">
        <v>7.91</v>
      </c>
      <c r="L1786" s="2">
        <v>12.09</v>
      </c>
      <c r="M1786" s="2">
        <v>15.08</v>
      </c>
      <c r="N1786" s="2">
        <v>0.63148915900000002</v>
      </c>
      <c r="O1786" s="2">
        <v>0.52433666999999995</v>
      </c>
      <c r="P1786" s="2">
        <v>3.2706569189999999</v>
      </c>
      <c r="Q1786" s="2">
        <v>3.2338229190000001</v>
      </c>
      <c r="R1786" s="2">
        <v>3.2231854150000001</v>
      </c>
      <c r="S1786" s="2">
        <v>3.2103901399999999</v>
      </c>
      <c r="T1786" s="2">
        <v>0.55522289199999997</v>
      </c>
      <c r="U1786" s="2">
        <v>0.388594677</v>
      </c>
      <c r="V1786" s="2">
        <v>4.7362043480000002</v>
      </c>
      <c r="W1786" s="2">
        <v>5.7121316999999998E-2</v>
      </c>
      <c r="X1786">
        <f t="shared" si="81"/>
        <v>0</v>
      </c>
      <c r="Y1786">
        <f t="shared" si="82"/>
        <v>1</v>
      </c>
      <c r="Z1786">
        <f t="shared" si="83"/>
        <v>0</v>
      </c>
    </row>
    <row r="1787" spans="1:26" ht="15.75" customHeight="1" x14ac:dyDescent="0.2">
      <c r="A1787" s="2" t="s">
        <v>23</v>
      </c>
      <c r="B1787" s="2" t="s">
        <v>35</v>
      </c>
      <c r="C1787" s="2" t="s">
        <v>28</v>
      </c>
      <c r="D1787" s="2" t="s">
        <v>29</v>
      </c>
      <c r="E1787" s="2">
        <v>157</v>
      </c>
      <c r="F1787" s="2">
        <v>248.66666670000001</v>
      </c>
      <c r="G1787" s="2">
        <v>509.66666670000001</v>
      </c>
      <c r="H1787" s="2">
        <v>1386</v>
      </c>
      <c r="I1787" s="2">
        <v>2626.333333</v>
      </c>
      <c r="J1787" s="2">
        <v>2.4900000000000002</v>
      </c>
      <c r="K1787" s="2">
        <v>5</v>
      </c>
      <c r="L1787" s="2">
        <v>10.58</v>
      </c>
      <c r="M1787" s="2">
        <v>14.82</v>
      </c>
      <c r="N1787" s="2">
        <v>2.9909190360000002</v>
      </c>
      <c r="O1787" s="2">
        <v>2.5543931130000002</v>
      </c>
      <c r="P1787" s="2">
        <v>1.0061496910000001</v>
      </c>
      <c r="Q1787" s="2">
        <v>1.1623016580000001</v>
      </c>
      <c r="R1787" s="2">
        <v>0.31284674699999998</v>
      </c>
      <c r="S1787" s="2">
        <v>0.30005147100000001</v>
      </c>
      <c r="T1787" s="2">
        <v>0.95627617099999995</v>
      </c>
      <c r="U1787" s="2">
        <v>1.122904385</v>
      </c>
      <c r="V1787" s="2">
        <v>1.8258656790000001</v>
      </c>
      <c r="W1787" s="2">
        <v>3.8630649000000003E-2</v>
      </c>
      <c r="X1787">
        <f t="shared" si="81"/>
        <v>0</v>
      </c>
      <c r="Y1787">
        <f t="shared" si="82"/>
        <v>1</v>
      </c>
      <c r="Z1787">
        <f t="shared" si="83"/>
        <v>1</v>
      </c>
    </row>
    <row r="1788" spans="1:26" ht="15.75" customHeight="1" x14ac:dyDescent="0.2">
      <c r="A1788" s="2" t="s">
        <v>23</v>
      </c>
      <c r="B1788" s="2" t="s">
        <v>35</v>
      </c>
      <c r="C1788" s="2" t="s">
        <v>30</v>
      </c>
      <c r="D1788" s="2" t="s">
        <v>31</v>
      </c>
      <c r="E1788" s="2">
        <v>150</v>
      </c>
      <c r="F1788" s="2">
        <v>219.66666670000001</v>
      </c>
      <c r="G1788" s="2">
        <v>652.66666669999995</v>
      </c>
      <c r="H1788" s="2">
        <v>1311.666667</v>
      </c>
      <c r="I1788" s="2">
        <v>2212.333333</v>
      </c>
      <c r="J1788" s="2">
        <v>2.17</v>
      </c>
      <c r="K1788" s="2">
        <v>6.17</v>
      </c>
      <c r="L1788" s="2">
        <v>10.220000000000001</v>
      </c>
      <c r="M1788" s="2">
        <v>13.69</v>
      </c>
      <c r="N1788" s="2">
        <v>4.4423531589999996</v>
      </c>
      <c r="O1788" s="2">
        <v>4.4031130770000004</v>
      </c>
      <c r="P1788" s="2">
        <v>1.9766064320000001</v>
      </c>
      <c r="Q1788" s="2">
        <v>2.0819916749999998</v>
      </c>
      <c r="R1788" s="2">
        <v>1.477419375</v>
      </c>
      <c r="S1788" s="2">
        <v>1.4646240989999999</v>
      </c>
      <c r="T1788" s="2">
        <v>1.3130898600000001</v>
      </c>
      <c r="U1788" s="2">
        <v>1.479718074</v>
      </c>
      <c r="V1788" s="2">
        <v>2.9904383069999998</v>
      </c>
      <c r="W1788" s="2">
        <v>5.4920711999999997E-2</v>
      </c>
      <c r="X1788">
        <f t="shared" si="81"/>
        <v>0</v>
      </c>
      <c r="Y1788">
        <f t="shared" si="82"/>
        <v>1</v>
      </c>
      <c r="Z1788">
        <f t="shared" si="83"/>
        <v>1</v>
      </c>
    </row>
    <row r="1789" spans="1:26" ht="15.75" customHeight="1" x14ac:dyDescent="0.2">
      <c r="A1789" s="2" t="s">
        <v>23</v>
      </c>
      <c r="B1789" s="2" t="s">
        <v>35</v>
      </c>
      <c r="C1789" s="2" t="s">
        <v>32</v>
      </c>
      <c r="D1789" s="2" t="s">
        <v>33</v>
      </c>
      <c r="E1789" s="2">
        <v>247</v>
      </c>
      <c r="F1789" s="2">
        <v>244.33333329999999</v>
      </c>
      <c r="G1789" s="2">
        <v>458</v>
      </c>
      <c r="H1789" s="2">
        <v>940.66666669999995</v>
      </c>
      <c r="I1789" s="2">
        <v>2343.333333</v>
      </c>
      <c r="J1789" s="2">
        <v>2.44</v>
      </c>
      <c r="K1789" s="2">
        <v>4.55</v>
      </c>
      <c r="L1789" s="2">
        <v>8.16</v>
      </c>
      <c r="M1789" s="2">
        <v>14.07</v>
      </c>
      <c r="N1789" s="2">
        <v>4.5477336409999998</v>
      </c>
      <c r="O1789" s="2">
        <v>4.781386221</v>
      </c>
      <c r="P1789" s="2">
        <v>3.3703552399999999</v>
      </c>
      <c r="Q1789" s="2">
        <v>3.5373789480000002</v>
      </c>
      <c r="R1789" s="2">
        <v>0.14179435200000001</v>
      </c>
      <c r="S1789" s="2">
        <v>0.15458962700000001</v>
      </c>
      <c r="T1789" s="2">
        <v>3.3673712010000001</v>
      </c>
      <c r="U1789" s="2">
        <v>3.5339994159999999</v>
      </c>
      <c r="V1789" s="2">
        <v>1.3712245810000001</v>
      </c>
      <c r="W1789" s="2">
        <v>6.6550253000000004E-2</v>
      </c>
      <c r="X1789">
        <f t="shared" si="81"/>
        <v>0</v>
      </c>
      <c r="Y1789">
        <f t="shared" si="82"/>
        <v>1</v>
      </c>
      <c r="Z1789">
        <f t="shared" si="83"/>
        <v>1</v>
      </c>
    </row>
    <row r="1790" spans="1:26" ht="15.75" customHeight="1" x14ac:dyDescent="0.2">
      <c r="A1790" s="2" t="s">
        <v>23</v>
      </c>
      <c r="B1790" s="2" t="s">
        <v>35</v>
      </c>
      <c r="C1790" s="2" t="s">
        <v>26</v>
      </c>
      <c r="D1790" s="2" t="s">
        <v>26</v>
      </c>
      <c r="E1790" s="2">
        <v>128</v>
      </c>
      <c r="F1790" s="2">
        <v>227</v>
      </c>
      <c r="G1790" s="2">
        <v>411.33333329999999</v>
      </c>
      <c r="H1790" s="2">
        <v>964.33333330000005</v>
      </c>
      <c r="I1790" s="2">
        <v>2622.666667</v>
      </c>
      <c r="J1790" s="2">
        <v>2.25</v>
      </c>
      <c r="K1790" s="2">
        <v>4.12</v>
      </c>
      <c r="L1790" s="2">
        <v>8.31</v>
      </c>
      <c r="M1790" s="2">
        <v>14.81</v>
      </c>
      <c r="N1790" s="2">
        <v>0.56318760999999995</v>
      </c>
      <c r="O1790" s="2">
        <v>0.203082348</v>
      </c>
      <c r="P1790" s="2">
        <v>3.2707171860000002</v>
      </c>
      <c r="Q1790" s="2">
        <v>3.4370673159999998</v>
      </c>
      <c r="R1790" s="2">
        <v>0.56946629900000001</v>
      </c>
      <c r="S1790" s="2">
        <v>0.582261574</v>
      </c>
      <c r="T1790" s="2">
        <v>3.2207606310000001</v>
      </c>
      <c r="U1790" s="2">
        <v>3.3873888459999999</v>
      </c>
      <c r="V1790" s="2">
        <v>0.943552634</v>
      </c>
      <c r="W1790" s="2">
        <v>4.8300497999999997E-2</v>
      </c>
      <c r="X1790">
        <f t="shared" si="81"/>
        <v>0</v>
      </c>
      <c r="Y1790">
        <f t="shared" si="82"/>
        <v>1</v>
      </c>
      <c r="Z1790">
        <f t="shared" si="83"/>
        <v>0</v>
      </c>
    </row>
    <row r="1791" spans="1:26" ht="15.75" customHeight="1" x14ac:dyDescent="0.2">
      <c r="A1791" s="2" t="s">
        <v>23</v>
      </c>
      <c r="B1791" s="2" t="s">
        <v>35</v>
      </c>
      <c r="C1791" s="2" t="s">
        <v>32</v>
      </c>
      <c r="D1791" s="2" t="s">
        <v>33</v>
      </c>
      <c r="E1791" s="2">
        <v>148</v>
      </c>
      <c r="F1791" s="2">
        <v>225</v>
      </c>
      <c r="G1791" s="2">
        <v>483.33333329999999</v>
      </c>
      <c r="H1791" s="2">
        <v>909.33333330000005</v>
      </c>
      <c r="I1791" s="2">
        <v>2353.666667</v>
      </c>
      <c r="J1791" s="2">
        <v>2.23</v>
      </c>
      <c r="K1791" s="2">
        <v>4.7699999999999996</v>
      </c>
      <c r="L1791" s="2">
        <v>7.97</v>
      </c>
      <c r="M1791" s="2">
        <v>14.1</v>
      </c>
      <c r="N1791" s="2">
        <v>4.5682896299999998</v>
      </c>
      <c r="O1791" s="2">
        <v>4.8154372649999999</v>
      </c>
      <c r="P1791" s="2">
        <v>3.566174331</v>
      </c>
      <c r="Q1791" s="2">
        <v>3.7324944699999998</v>
      </c>
      <c r="R1791" s="2">
        <v>8.3529002000000005E-2</v>
      </c>
      <c r="S1791" s="2">
        <v>7.0733726999999996E-2</v>
      </c>
      <c r="T1791" s="2">
        <v>3.565195965</v>
      </c>
      <c r="U1791" s="2">
        <v>3.7318241799999998</v>
      </c>
      <c r="V1791" s="2">
        <v>1.5965479339999999</v>
      </c>
      <c r="W1791" s="2">
        <v>4.6546249999999997E-2</v>
      </c>
      <c r="X1791">
        <f t="shared" si="81"/>
        <v>0</v>
      </c>
      <c r="Y1791">
        <f t="shared" si="82"/>
        <v>1</v>
      </c>
      <c r="Z1791">
        <f t="shared" si="83"/>
        <v>1</v>
      </c>
    </row>
    <row r="1792" spans="1:26" ht="15.75" customHeight="1" x14ac:dyDescent="0.2">
      <c r="A1792" s="2" t="s">
        <v>23</v>
      </c>
      <c r="B1792" s="2" t="s">
        <v>35</v>
      </c>
      <c r="C1792" s="2" t="s">
        <v>28</v>
      </c>
      <c r="D1792" s="2" t="s">
        <v>29</v>
      </c>
      <c r="E1792" s="2">
        <v>140</v>
      </c>
      <c r="F1792" s="2">
        <v>257.33333329999999</v>
      </c>
      <c r="G1792" s="2">
        <v>404.66666670000001</v>
      </c>
      <c r="H1792" s="2">
        <v>909.33333330000005</v>
      </c>
      <c r="I1792" s="2">
        <v>2286.333333</v>
      </c>
      <c r="J1792" s="2">
        <v>2.58</v>
      </c>
      <c r="K1792" s="2">
        <v>4.0599999999999996</v>
      </c>
      <c r="L1792" s="2">
        <v>7.97</v>
      </c>
      <c r="M1792" s="2">
        <v>13.91</v>
      </c>
      <c r="N1792" s="2">
        <v>0.25064436200000001</v>
      </c>
      <c r="O1792" s="2">
        <v>0.32276083999999999</v>
      </c>
      <c r="P1792" s="2">
        <v>3.6207693609999998</v>
      </c>
      <c r="Q1792" s="2">
        <v>3.7871091379999999</v>
      </c>
      <c r="R1792" s="2">
        <v>0.63194026700000006</v>
      </c>
      <c r="S1792" s="2">
        <v>0.64473554200000005</v>
      </c>
      <c r="T1792" s="2">
        <v>3.565195965</v>
      </c>
      <c r="U1792" s="2">
        <v>3.7318241799999998</v>
      </c>
      <c r="V1792" s="2">
        <v>0.88107866599999995</v>
      </c>
      <c r="W1792" s="2">
        <v>3.8030989000000001E-2</v>
      </c>
      <c r="X1792">
        <f t="shared" si="81"/>
        <v>0</v>
      </c>
      <c r="Y1792">
        <f t="shared" si="82"/>
        <v>1</v>
      </c>
      <c r="Z1792">
        <f t="shared" si="83"/>
        <v>1</v>
      </c>
    </row>
    <row r="1793" spans="1:26" ht="15.75" customHeight="1" x14ac:dyDescent="0.2">
      <c r="A1793" s="2" t="s">
        <v>23</v>
      </c>
      <c r="B1793" s="2" t="s">
        <v>35</v>
      </c>
      <c r="C1793" s="2" t="s">
        <v>32</v>
      </c>
      <c r="D1793" s="2" t="s">
        <v>33</v>
      </c>
      <c r="E1793" s="2">
        <v>150</v>
      </c>
      <c r="F1793" s="2">
        <v>254.66666670000001</v>
      </c>
      <c r="G1793" s="2">
        <v>481</v>
      </c>
      <c r="H1793" s="2">
        <v>975.33333330000005</v>
      </c>
      <c r="I1793" s="2">
        <v>2390</v>
      </c>
      <c r="J1793" s="2">
        <v>2.5499999999999998</v>
      </c>
      <c r="K1793" s="2">
        <v>4.75</v>
      </c>
      <c r="L1793" s="2">
        <v>8.3800000000000008</v>
      </c>
      <c r="M1793" s="2">
        <v>14.2</v>
      </c>
      <c r="N1793" s="2">
        <v>4.252567655</v>
      </c>
      <c r="O1793" s="2">
        <v>4.4877284489999996</v>
      </c>
      <c r="P1793" s="2">
        <v>3.1540511439999999</v>
      </c>
      <c r="Q1793" s="2">
        <v>3.3204298130000001</v>
      </c>
      <c r="R1793" s="2">
        <v>6.2971081999999998E-2</v>
      </c>
      <c r="S1793" s="2">
        <v>5.0175807000000003E-2</v>
      </c>
      <c r="T1793" s="2">
        <v>3.153422468</v>
      </c>
      <c r="U1793" s="2">
        <v>3.3200506820000002</v>
      </c>
      <c r="V1793" s="2">
        <v>1.5759900140000001</v>
      </c>
      <c r="W1793" s="2">
        <v>4.4014187000000003E-2</v>
      </c>
      <c r="X1793">
        <f t="shared" si="81"/>
        <v>0</v>
      </c>
      <c r="Y1793">
        <f t="shared" si="82"/>
        <v>1</v>
      </c>
      <c r="Z1793">
        <f t="shared" si="83"/>
        <v>1</v>
      </c>
    </row>
    <row r="1794" spans="1:26" ht="15.75" customHeight="1" x14ac:dyDescent="0.2">
      <c r="A1794" s="2" t="s">
        <v>23</v>
      </c>
      <c r="B1794" s="2" t="s">
        <v>35</v>
      </c>
      <c r="C1794" s="2" t="s">
        <v>25</v>
      </c>
      <c r="D1794" s="2" t="s">
        <v>25</v>
      </c>
      <c r="E1794" s="2">
        <v>277</v>
      </c>
      <c r="F1794" s="2">
        <v>237.66666670000001</v>
      </c>
      <c r="G1794" s="2">
        <v>833</v>
      </c>
      <c r="H1794" s="2">
        <v>1706.333333</v>
      </c>
      <c r="I1794" s="2">
        <v>2726.666667</v>
      </c>
      <c r="J1794" s="2">
        <v>2.37</v>
      </c>
      <c r="K1794" s="2">
        <v>7.47</v>
      </c>
      <c r="L1794" s="2">
        <v>11.95</v>
      </c>
      <c r="M1794" s="2">
        <v>15.07</v>
      </c>
      <c r="N1794" s="2">
        <v>0.26393979499999998</v>
      </c>
      <c r="O1794" s="2">
        <v>9.1671750999999996E-2</v>
      </c>
      <c r="P1794" s="2">
        <v>2.8069910839999999</v>
      </c>
      <c r="Q1794" s="2">
        <v>2.7744368690000001</v>
      </c>
      <c r="R1794" s="2">
        <v>2.7760150600000002</v>
      </c>
      <c r="S1794" s="2">
        <v>2.763219785</v>
      </c>
      <c r="T1794" s="2">
        <v>0.41585975200000003</v>
      </c>
      <c r="U1794" s="2">
        <v>0.249231537</v>
      </c>
      <c r="V1794" s="2">
        <v>4.2890339920000002</v>
      </c>
      <c r="W1794" s="2">
        <v>6.4368677999999999E-2</v>
      </c>
      <c r="X1794">
        <f t="shared" si="81"/>
        <v>0</v>
      </c>
      <c r="Y1794">
        <f t="shared" si="82"/>
        <v>1</v>
      </c>
      <c r="Z1794">
        <f t="shared" si="83"/>
        <v>0</v>
      </c>
    </row>
    <row r="1795" spans="1:26" ht="15.75" customHeight="1" x14ac:dyDescent="0.2">
      <c r="A1795" s="2" t="s">
        <v>23</v>
      </c>
      <c r="B1795" s="2" t="s">
        <v>35</v>
      </c>
      <c r="C1795" s="2" t="s">
        <v>27</v>
      </c>
      <c r="D1795" s="2" t="s">
        <v>27</v>
      </c>
      <c r="E1795" s="2">
        <v>171</v>
      </c>
      <c r="F1795" s="2">
        <v>232.66666670000001</v>
      </c>
      <c r="G1795" s="2">
        <v>450.33333329999999</v>
      </c>
      <c r="H1795" s="2">
        <v>2434.666667</v>
      </c>
      <c r="I1795" s="2">
        <v>3104</v>
      </c>
      <c r="J1795" s="2">
        <v>2.31</v>
      </c>
      <c r="K1795" s="2">
        <v>4.4800000000000004</v>
      </c>
      <c r="L1795" s="2">
        <v>14.32</v>
      </c>
      <c r="M1795" s="2">
        <v>15.9</v>
      </c>
      <c r="N1795" s="2">
        <v>0.148748612</v>
      </c>
      <c r="O1795" s="2">
        <v>0.215174478</v>
      </c>
      <c r="P1795" s="2">
        <v>2.799154191</v>
      </c>
      <c r="Q1795" s="2">
        <v>2.6340854569999999</v>
      </c>
      <c r="R1795" s="2">
        <v>0.21091790599999999</v>
      </c>
      <c r="S1795" s="2">
        <v>0.22371318200000001</v>
      </c>
      <c r="T1795" s="2">
        <v>2.791196486</v>
      </c>
      <c r="U1795" s="2">
        <v>2.6245682709999998</v>
      </c>
      <c r="V1795" s="2">
        <v>1.3021010260000001</v>
      </c>
      <c r="W1795" s="2">
        <v>5.466058E-2</v>
      </c>
      <c r="X1795">
        <f t="shared" ref="X1795:X1858" si="84">IF(B1795="normal",1,0)</f>
        <v>0</v>
      </c>
      <c r="Y1795">
        <f t="shared" ref="Y1795:Y1858" si="85">IF(A1795="lecture",1,0)</f>
        <v>1</v>
      </c>
      <c r="Z1795">
        <f t="shared" ref="Z1795:Z1858" si="86">IF(ISNUMBER(FIND("~",D1795)),1,0)</f>
        <v>0</v>
      </c>
    </row>
    <row r="1796" spans="1:26" ht="15.75" customHeight="1" x14ac:dyDescent="0.2">
      <c r="A1796" s="2" t="s">
        <v>23</v>
      </c>
      <c r="B1796" s="2" t="s">
        <v>35</v>
      </c>
      <c r="C1796" s="2" t="s">
        <v>30</v>
      </c>
      <c r="D1796" s="2" t="s">
        <v>31</v>
      </c>
      <c r="E1796" s="2">
        <v>140</v>
      </c>
      <c r="F1796" s="2">
        <v>240.66666670000001</v>
      </c>
      <c r="G1796" s="2">
        <v>687.33333330000005</v>
      </c>
      <c r="H1796" s="2">
        <v>1415.666667</v>
      </c>
      <c r="I1796" s="2">
        <v>2147.333333</v>
      </c>
      <c r="J1796" s="2">
        <v>2.4</v>
      </c>
      <c r="K1796" s="2">
        <v>6.43</v>
      </c>
      <c r="L1796" s="2">
        <v>10.71</v>
      </c>
      <c r="M1796" s="2">
        <v>13.49</v>
      </c>
      <c r="N1796" s="2">
        <v>4.1235054919999996</v>
      </c>
      <c r="O1796" s="2">
        <v>4.0914851399999996</v>
      </c>
      <c r="P1796" s="2">
        <v>1.923514129</v>
      </c>
      <c r="Q1796" s="2">
        <v>1.988963847</v>
      </c>
      <c r="R1796" s="2">
        <v>1.740793034</v>
      </c>
      <c r="S1796" s="2">
        <v>1.727997759</v>
      </c>
      <c r="T1796" s="2">
        <v>0.81825803799999997</v>
      </c>
      <c r="U1796" s="2">
        <v>0.98488625299999999</v>
      </c>
      <c r="V1796" s="2">
        <v>3.2538119659999998</v>
      </c>
      <c r="W1796" s="2">
        <v>5.5832092E-2</v>
      </c>
      <c r="X1796">
        <f t="shared" si="84"/>
        <v>0</v>
      </c>
      <c r="Y1796">
        <f t="shared" si="85"/>
        <v>1</v>
      </c>
      <c r="Z1796">
        <f t="shared" si="86"/>
        <v>1</v>
      </c>
    </row>
    <row r="1797" spans="1:26" ht="15.75" customHeight="1" x14ac:dyDescent="0.2">
      <c r="A1797" s="2" t="s">
        <v>23</v>
      </c>
      <c r="B1797" s="2" t="s">
        <v>35</v>
      </c>
      <c r="C1797" s="2" t="s">
        <v>25</v>
      </c>
      <c r="D1797" s="2" t="s">
        <v>25</v>
      </c>
      <c r="E1797" s="2">
        <v>139</v>
      </c>
      <c r="F1797" s="2">
        <v>221.33333329999999</v>
      </c>
      <c r="G1797" s="2">
        <v>849</v>
      </c>
      <c r="H1797" s="2">
        <v>1708.333333</v>
      </c>
      <c r="I1797" s="2">
        <v>2831.333333</v>
      </c>
      <c r="J1797" s="2">
        <v>2.19</v>
      </c>
      <c r="K1797" s="2">
        <v>7.57</v>
      </c>
      <c r="L1797" s="2">
        <v>11.96</v>
      </c>
      <c r="M1797" s="2">
        <v>15.31</v>
      </c>
      <c r="N1797" s="2">
        <v>0.30686924300000001</v>
      </c>
      <c r="O1797" s="2">
        <v>0.184995878</v>
      </c>
      <c r="P1797" s="2">
        <v>2.9141418790000002</v>
      </c>
      <c r="Q1797" s="2">
        <v>2.8818704639999999</v>
      </c>
      <c r="R1797" s="2">
        <v>2.8831793750000001</v>
      </c>
      <c r="S1797" s="2">
        <v>2.8703840999999999</v>
      </c>
      <c r="T1797" s="2">
        <v>0.42367390900000002</v>
      </c>
      <c r="U1797" s="2">
        <v>0.25704569399999999</v>
      </c>
      <c r="V1797" s="2">
        <v>4.3961983079999998</v>
      </c>
      <c r="W1797" s="2">
        <v>6.6354073999999999E-2</v>
      </c>
      <c r="X1797">
        <f t="shared" si="84"/>
        <v>0</v>
      </c>
      <c r="Y1797">
        <f t="shared" si="85"/>
        <v>1</v>
      </c>
      <c r="Z1797">
        <f t="shared" si="86"/>
        <v>0</v>
      </c>
    </row>
    <row r="1798" spans="1:26" ht="15.75" customHeight="1" x14ac:dyDescent="0.2">
      <c r="A1798" s="2" t="s">
        <v>23</v>
      </c>
      <c r="B1798" s="2" t="s">
        <v>35</v>
      </c>
      <c r="C1798" s="2" t="s">
        <v>30</v>
      </c>
      <c r="D1798" s="2" t="s">
        <v>31</v>
      </c>
      <c r="E1798" s="2">
        <v>146</v>
      </c>
      <c r="F1798" s="2">
        <v>219.33333329999999</v>
      </c>
      <c r="G1798" s="2">
        <v>691.33333330000005</v>
      </c>
      <c r="H1798" s="2">
        <v>1383</v>
      </c>
      <c r="I1798" s="2">
        <v>2751</v>
      </c>
      <c r="J1798" s="2">
        <v>2.17</v>
      </c>
      <c r="K1798" s="2">
        <v>6.46</v>
      </c>
      <c r="L1798" s="2">
        <v>10.56</v>
      </c>
      <c r="M1798" s="2">
        <v>15.13</v>
      </c>
      <c r="N1798" s="2">
        <v>4.2701171110000002</v>
      </c>
      <c r="O1798" s="2">
        <v>4.2372571480000003</v>
      </c>
      <c r="P1798" s="2">
        <v>2.0191913850000001</v>
      </c>
      <c r="Q1798" s="2">
        <v>2.093592653</v>
      </c>
      <c r="R1798" s="2">
        <v>1.770739109</v>
      </c>
      <c r="S1798" s="2">
        <v>1.757943834</v>
      </c>
      <c r="T1798" s="2">
        <v>0.97036944199999997</v>
      </c>
      <c r="U1798" s="2">
        <v>1.136997657</v>
      </c>
      <c r="V1798" s="2">
        <v>3.2837580420000001</v>
      </c>
      <c r="W1798" s="2">
        <v>4.5523000000000001E-2</v>
      </c>
      <c r="X1798">
        <f t="shared" si="84"/>
        <v>0</v>
      </c>
      <c r="Y1798">
        <f t="shared" si="85"/>
        <v>1</v>
      </c>
      <c r="Z1798">
        <f t="shared" si="86"/>
        <v>1</v>
      </c>
    </row>
    <row r="1799" spans="1:26" ht="15.75" customHeight="1" x14ac:dyDescent="0.2">
      <c r="A1799" s="2" t="s">
        <v>23</v>
      </c>
      <c r="B1799" s="2" t="s">
        <v>35</v>
      </c>
      <c r="C1799" s="2" t="s">
        <v>25</v>
      </c>
      <c r="D1799" s="2" t="s">
        <v>25</v>
      </c>
      <c r="E1799" s="2">
        <v>114</v>
      </c>
      <c r="F1799" s="2">
        <v>147.66666670000001</v>
      </c>
      <c r="G1799" s="2">
        <v>597.33333330000005</v>
      </c>
      <c r="H1799" s="2">
        <v>1568.333333</v>
      </c>
      <c r="I1799" s="2">
        <v>2556.666667</v>
      </c>
      <c r="J1799" s="2">
        <v>1.35</v>
      </c>
      <c r="K1799" s="2">
        <v>5.73</v>
      </c>
      <c r="L1799" s="2">
        <v>11.39</v>
      </c>
      <c r="M1799" s="2">
        <v>14.65</v>
      </c>
      <c r="N1799" s="2">
        <v>4.6218759999999996E-3</v>
      </c>
      <c r="O1799" s="2">
        <v>0.15071071599999999</v>
      </c>
      <c r="P1799" s="2">
        <v>1.5633769909999999</v>
      </c>
      <c r="Q1799" s="2">
        <v>1.5747778910000001</v>
      </c>
      <c r="R1799" s="2">
        <v>1.5354301159999999</v>
      </c>
      <c r="S1799" s="2">
        <v>1.5495379840000001</v>
      </c>
      <c r="T1799" s="2">
        <v>0.294282137</v>
      </c>
      <c r="U1799" s="2">
        <v>0.28081567499999999</v>
      </c>
      <c r="V1799" s="2">
        <v>2.3643785049999999</v>
      </c>
      <c r="W1799" s="2">
        <v>0.21732069100000001</v>
      </c>
      <c r="X1799">
        <f t="shared" si="84"/>
        <v>0</v>
      </c>
      <c r="Y1799">
        <f t="shared" si="85"/>
        <v>1</v>
      </c>
      <c r="Z1799">
        <f t="shared" si="86"/>
        <v>0</v>
      </c>
    </row>
    <row r="1800" spans="1:26" ht="15.75" customHeight="1" x14ac:dyDescent="0.2">
      <c r="A1800" s="2" t="s">
        <v>23</v>
      </c>
      <c r="B1800" s="2" t="s">
        <v>35</v>
      </c>
      <c r="C1800" s="2" t="s">
        <v>26</v>
      </c>
      <c r="D1800" s="2" t="s">
        <v>26</v>
      </c>
      <c r="E1800" s="2">
        <v>139</v>
      </c>
      <c r="F1800" s="2">
        <v>139.66666670000001</v>
      </c>
      <c r="G1800" s="2">
        <v>379.66666670000001</v>
      </c>
      <c r="H1800" s="2">
        <v>935.66666669999995</v>
      </c>
      <c r="I1800" s="2">
        <v>2670.666667</v>
      </c>
      <c r="J1800" s="2">
        <v>1.25</v>
      </c>
      <c r="K1800" s="2">
        <v>3.82</v>
      </c>
      <c r="L1800" s="2">
        <v>8.1300000000000008</v>
      </c>
      <c r="M1800" s="2">
        <v>14.93</v>
      </c>
      <c r="N1800" s="2">
        <v>0.64487664</v>
      </c>
      <c r="O1800" s="2">
        <v>0.79537236499999997</v>
      </c>
      <c r="P1800" s="2">
        <v>2.9834720269999999</v>
      </c>
      <c r="Q1800" s="2">
        <v>2.9950931980000002</v>
      </c>
      <c r="R1800" s="2">
        <v>0.376198331</v>
      </c>
      <c r="S1800" s="2">
        <v>0.362090464</v>
      </c>
      <c r="T1800" s="2">
        <v>2.9596587900000002</v>
      </c>
      <c r="U1800" s="2">
        <v>2.9731252509999999</v>
      </c>
      <c r="V1800" s="2">
        <v>0.45275005800000001</v>
      </c>
      <c r="W1800" s="2">
        <v>0.18936192700000001</v>
      </c>
      <c r="X1800">
        <f t="shared" si="84"/>
        <v>0</v>
      </c>
      <c r="Y1800">
        <f t="shared" si="85"/>
        <v>1</v>
      </c>
      <c r="Z1800">
        <f t="shared" si="86"/>
        <v>0</v>
      </c>
    </row>
    <row r="1801" spans="1:26" ht="15.75" customHeight="1" x14ac:dyDescent="0.2">
      <c r="A1801" s="2" t="s">
        <v>23</v>
      </c>
      <c r="B1801" s="2" t="s">
        <v>35</v>
      </c>
      <c r="C1801" s="2" t="s">
        <v>27</v>
      </c>
      <c r="D1801" s="2" t="s">
        <v>27</v>
      </c>
      <c r="E1801" s="2">
        <v>140</v>
      </c>
      <c r="F1801" s="2">
        <v>151.33333329999999</v>
      </c>
      <c r="G1801" s="2">
        <v>381</v>
      </c>
      <c r="H1801" s="2">
        <v>1884.333333</v>
      </c>
      <c r="I1801" s="2">
        <v>2626.333333</v>
      </c>
      <c r="J1801" s="2">
        <v>1.39</v>
      </c>
      <c r="K1801" s="2">
        <v>3.83</v>
      </c>
      <c r="L1801" s="2">
        <v>12.61</v>
      </c>
      <c r="M1801" s="2">
        <v>14.82</v>
      </c>
      <c r="N1801" s="2">
        <v>0.198612082</v>
      </c>
      <c r="O1801" s="2">
        <v>0.17201719200000001</v>
      </c>
      <c r="P1801" s="2">
        <v>1.561353926</v>
      </c>
      <c r="Q1801" s="2">
        <v>1.5450099509999999</v>
      </c>
      <c r="R1801" s="2">
        <v>0.36340639699999999</v>
      </c>
      <c r="S1801" s="2">
        <v>0.34929852900000002</v>
      </c>
      <c r="T1801" s="2">
        <v>1.5184735330000001</v>
      </c>
      <c r="U1801" s="2">
        <v>1.5050070719999999</v>
      </c>
      <c r="V1801" s="2">
        <v>0.46554199200000002</v>
      </c>
      <c r="W1801" s="2">
        <v>0.16870787800000001</v>
      </c>
      <c r="X1801">
        <f t="shared" si="84"/>
        <v>0</v>
      </c>
      <c r="Y1801">
        <f t="shared" si="85"/>
        <v>1</v>
      </c>
      <c r="Z1801">
        <f t="shared" si="86"/>
        <v>0</v>
      </c>
    </row>
    <row r="1802" spans="1:26" ht="15.75" customHeight="1" x14ac:dyDescent="0.2">
      <c r="A1802" s="2" t="s">
        <v>23</v>
      </c>
      <c r="B1802" s="2" t="s">
        <v>35</v>
      </c>
      <c r="C1802" s="2" t="s">
        <v>28</v>
      </c>
      <c r="D1802" s="2" t="s">
        <v>29</v>
      </c>
      <c r="E1802" s="2">
        <v>105</v>
      </c>
      <c r="F1802" s="2">
        <v>152.33333329999999</v>
      </c>
      <c r="G1802" s="2">
        <v>672</v>
      </c>
      <c r="H1802" s="2">
        <v>992</v>
      </c>
      <c r="I1802" s="2">
        <v>2984.666667</v>
      </c>
      <c r="J1802" s="2">
        <v>1.4</v>
      </c>
      <c r="K1802" s="2">
        <v>6.32</v>
      </c>
      <c r="L1802" s="2">
        <v>8.48</v>
      </c>
      <c r="M1802" s="2">
        <v>15.65</v>
      </c>
      <c r="N1802" s="2">
        <v>2.2904870320000001</v>
      </c>
      <c r="O1802" s="2">
        <v>2.3214466699999998</v>
      </c>
      <c r="P1802" s="2">
        <v>3.364079834</v>
      </c>
      <c r="Q1802" s="2">
        <v>3.3834257179999998</v>
      </c>
      <c r="R1802" s="2">
        <v>2.1183467180000002</v>
      </c>
      <c r="S1802" s="2">
        <v>2.1324545860000002</v>
      </c>
      <c r="T1802" s="2">
        <v>2.6133580529999998</v>
      </c>
      <c r="U1802" s="2">
        <v>2.626824515</v>
      </c>
      <c r="V1802" s="2">
        <v>2.947295107</v>
      </c>
      <c r="W1802" s="2">
        <v>0.12728017699999999</v>
      </c>
      <c r="X1802">
        <f t="shared" si="84"/>
        <v>0</v>
      </c>
      <c r="Y1802">
        <f t="shared" si="85"/>
        <v>1</v>
      </c>
      <c r="Z1802">
        <f t="shared" si="86"/>
        <v>1</v>
      </c>
    </row>
    <row r="1803" spans="1:26" ht="15.75" customHeight="1" x14ac:dyDescent="0.2">
      <c r="A1803" s="2" t="s">
        <v>23</v>
      </c>
      <c r="B1803" s="2" t="s">
        <v>35</v>
      </c>
      <c r="C1803" s="2" t="s">
        <v>30</v>
      </c>
      <c r="D1803" s="2" t="s">
        <v>31</v>
      </c>
      <c r="E1803" s="2">
        <v>138</v>
      </c>
      <c r="F1803" s="2">
        <v>140.66666670000001</v>
      </c>
      <c r="G1803" s="2">
        <v>638</v>
      </c>
      <c r="H1803" s="2">
        <v>1360.666667</v>
      </c>
      <c r="I1803" s="2">
        <v>2612.333333</v>
      </c>
      <c r="J1803" s="2">
        <v>1.27</v>
      </c>
      <c r="K1803" s="2">
        <v>6.05</v>
      </c>
      <c r="L1803" s="2">
        <v>10.46</v>
      </c>
      <c r="M1803" s="2">
        <v>14.79</v>
      </c>
      <c r="N1803" s="2">
        <v>3.1198223120000002</v>
      </c>
      <c r="O1803" s="2">
        <v>2.9991776290000001</v>
      </c>
      <c r="P1803" s="2">
        <v>1.9633092830000001</v>
      </c>
      <c r="Q1803" s="2">
        <v>1.981040382</v>
      </c>
      <c r="R1803" s="2">
        <v>1.8570663549999999</v>
      </c>
      <c r="S1803" s="2">
        <v>1.8711742229999999</v>
      </c>
      <c r="T1803" s="2">
        <v>0.63709331499999999</v>
      </c>
      <c r="U1803" s="2">
        <v>0.65055977600000003</v>
      </c>
      <c r="V1803" s="2">
        <v>2.686014744</v>
      </c>
      <c r="W1803" s="2">
        <v>0.1296968</v>
      </c>
      <c r="X1803">
        <f t="shared" si="84"/>
        <v>0</v>
      </c>
      <c r="Y1803">
        <f t="shared" si="85"/>
        <v>1</v>
      </c>
      <c r="Z1803">
        <f t="shared" si="86"/>
        <v>1</v>
      </c>
    </row>
    <row r="1804" spans="1:26" ht="15.75" customHeight="1" x14ac:dyDescent="0.2">
      <c r="A1804" s="2" t="s">
        <v>23</v>
      </c>
      <c r="B1804" s="2" t="s">
        <v>35</v>
      </c>
      <c r="C1804" s="2" t="s">
        <v>26</v>
      </c>
      <c r="D1804" s="2" t="s">
        <v>26</v>
      </c>
      <c r="E1804" s="2">
        <v>141</v>
      </c>
      <c r="F1804" s="2">
        <v>140.66666670000001</v>
      </c>
      <c r="G1804" s="2">
        <v>416</v>
      </c>
      <c r="H1804" s="2">
        <v>836</v>
      </c>
      <c r="I1804" s="2">
        <v>2696</v>
      </c>
      <c r="J1804" s="2">
        <v>1.27</v>
      </c>
      <c r="K1804" s="2">
        <v>4.16</v>
      </c>
      <c r="L1804" s="2">
        <v>7.49</v>
      </c>
      <c r="M1804" s="2">
        <v>14.99</v>
      </c>
      <c r="N1804" s="2">
        <v>1.25963219</v>
      </c>
      <c r="O1804" s="2">
        <v>1.4197552879999999</v>
      </c>
      <c r="P1804" s="2">
        <v>3.6066776219999999</v>
      </c>
      <c r="Q1804" s="2">
        <v>3.6200433790000002</v>
      </c>
      <c r="R1804" s="2">
        <v>3.2752930999999999E-2</v>
      </c>
      <c r="S1804" s="2">
        <v>1.8645063E-2</v>
      </c>
      <c r="T1804" s="2">
        <v>3.6065289009999999</v>
      </c>
      <c r="U1804" s="2">
        <v>3.6199953630000001</v>
      </c>
      <c r="V1804" s="2">
        <v>0.79619545800000002</v>
      </c>
      <c r="W1804" s="2">
        <v>0.22093605699999999</v>
      </c>
      <c r="X1804">
        <f t="shared" si="84"/>
        <v>0</v>
      </c>
      <c r="Y1804">
        <f t="shared" si="85"/>
        <v>1</v>
      </c>
      <c r="Z1804">
        <f t="shared" si="86"/>
        <v>0</v>
      </c>
    </row>
    <row r="1805" spans="1:26" ht="15.75" customHeight="1" x14ac:dyDescent="0.2">
      <c r="A1805" s="2" t="s">
        <v>23</v>
      </c>
      <c r="B1805" s="2" t="s">
        <v>35</v>
      </c>
      <c r="C1805" s="2" t="s">
        <v>28</v>
      </c>
      <c r="D1805" s="2" t="s">
        <v>29</v>
      </c>
      <c r="E1805" s="2">
        <v>120</v>
      </c>
      <c r="F1805" s="2">
        <v>143.33333329999999</v>
      </c>
      <c r="G1805" s="2">
        <v>474</v>
      </c>
      <c r="H1805" s="2">
        <v>1057.333333</v>
      </c>
      <c r="I1805" s="2">
        <v>3019.666667</v>
      </c>
      <c r="J1805" s="2">
        <v>1.3</v>
      </c>
      <c r="K1805" s="2">
        <v>4.6900000000000004</v>
      </c>
      <c r="L1805" s="2">
        <v>8.86</v>
      </c>
      <c r="M1805" s="2">
        <v>15.73</v>
      </c>
      <c r="N1805" s="2">
        <v>0.66346311099999999</v>
      </c>
      <c r="O1805" s="2">
        <v>0.65988972499999998</v>
      </c>
      <c r="P1805" s="2">
        <v>2.2820905809999998</v>
      </c>
      <c r="Q1805" s="2">
        <v>2.2983185169999998</v>
      </c>
      <c r="R1805" s="2">
        <v>0.49425101700000001</v>
      </c>
      <c r="S1805" s="2">
        <v>0.50835888500000004</v>
      </c>
      <c r="T1805" s="2">
        <v>2.2279257960000001</v>
      </c>
      <c r="U1805" s="2">
        <v>2.2413922570000002</v>
      </c>
      <c r="V1805" s="2">
        <v>1.3231994060000001</v>
      </c>
      <c r="W1805" s="2">
        <v>0.15052191400000001</v>
      </c>
      <c r="X1805">
        <f t="shared" si="84"/>
        <v>0</v>
      </c>
      <c r="Y1805">
        <f t="shared" si="85"/>
        <v>1</v>
      </c>
      <c r="Z1805">
        <f t="shared" si="86"/>
        <v>1</v>
      </c>
    </row>
    <row r="1806" spans="1:26" ht="15.75" customHeight="1" x14ac:dyDescent="0.2">
      <c r="A1806" s="2" t="s">
        <v>23</v>
      </c>
      <c r="B1806" s="2" t="s">
        <v>35</v>
      </c>
      <c r="C1806" s="2" t="s">
        <v>32</v>
      </c>
      <c r="D1806" s="2" t="s">
        <v>33</v>
      </c>
      <c r="E1806" s="2">
        <v>140</v>
      </c>
      <c r="F1806" s="2">
        <v>145</v>
      </c>
      <c r="G1806" s="2">
        <v>641.66666669999995</v>
      </c>
      <c r="H1806" s="2">
        <v>972.66666669999995</v>
      </c>
      <c r="I1806" s="2">
        <v>2864.666667</v>
      </c>
      <c r="J1806" s="2">
        <v>1.32</v>
      </c>
      <c r="K1806" s="2">
        <v>6.08</v>
      </c>
      <c r="L1806" s="2">
        <v>8.36</v>
      </c>
      <c r="M1806" s="2">
        <v>15.39</v>
      </c>
      <c r="N1806" s="2">
        <v>3.0467810439999998</v>
      </c>
      <c r="O1806" s="2">
        <v>3.0521912740000001</v>
      </c>
      <c r="P1806" s="2">
        <v>3.3184552379999999</v>
      </c>
      <c r="Q1806" s="2">
        <v>3.3375551350000001</v>
      </c>
      <c r="R1806" s="2">
        <v>1.885572174</v>
      </c>
      <c r="S1806" s="2">
        <v>1.8996800410000001</v>
      </c>
      <c r="T1806" s="2">
        <v>2.7307073709999998</v>
      </c>
      <c r="U1806" s="2">
        <v>2.744173832</v>
      </c>
      <c r="V1806" s="2">
        <v>2.7145205630000002</v>
      </c>
      <c r="W1806" s="2">
        <v>0.17117881400000001</v>
      </c>
      <c r="X1806">
        <f t="shared" si="84"/>
        <v>0</v>
      </c>
      <c r="Y1806">
        <f t="shared" si="85"/>
        <v>1</v>
      </c>
      <c r="Z1806">
        <f t="shared" si="86"/>
        <v>1</v>
      </c>
    </row>
    <row r="1807" spans="1:26" ht="15.75" customHeight="1" x14ac:dyDescent="0.2">
      <c r="A1807" s="2" t="s">
        <v>23</v>
      </c>
      <c r="B1807" s="2" t="s">
        <v>35</v>
      </c>
      <c r="C1807" s="2" t="s">
        <v>32</v>
      </c>
      <c r="D1807" s="2" t="s">
        <v>33</v>
      </c>
      <c r="E1807" s="2">
        <v>170</v>
      </c>
      <c r="F1807" s="2">
        <v>143</v>
      </c>
      <c r="G1807" s="2">
        <v>636.66666669999995</v>
      </c>
      <c r="H1807" s="2">
        <v>1028</v>
      </c>
      <c r="I1807" s="2">
        <v>2854.666667</v>
      </c>
      <c r="J1807" s="2">
        <v>1.29</v>
      </c>
      <c r="K1807" s="2">
        <v>6.04</v>
      </c>
      <c r="L1807" s="2">
        <v>8.69</v>
      </c>
      <c r="M1807" s="2">
        <v>15.37</v>
      </c>
      <c r="N1807" s="2">
        <v>2.7126958390000002</v>
      </c>
      <c r="O1807" s="2">
        <v>2.718535637</v>
      </c>
      <c r="P1807" s="2">
        <v>3.027360651</v>
      </c>
      <c r="Q1807" s="2">
        <v>3.0466387240000001</v>
      </c>
      <c r="R1807" s="2">
        <v>1.846680643</v>
      </c>
      <c r="S1807" s="2">
        <v>1.860788511</v>
      </c>
      <c r="T1807" s="2">
        <v>2.398892059</v>
      </c>
      <c r="U1807" s="2">
        <v>2.4123585209999998</v>
      </c>
      <c r="V1807" s="2">
        <v>2.6756290319999998</v>
      </c>
      <c r="W1807" s="2">
        <v>0.17552421300000001</v>
      </c>
      <c r="X1807">
        <f t="shared" si="84"/>
        <v>0</v>
      </c>
      <c r="Y1807">
        <f t="shared" si="85"/>
        <v>1</v>
      </c>
      <c r="Z1807">
        <f t="shared" si="86"/>
        <v>1</v>
      </c>
    </row>
    <row r="1808" spans="1:26" ht="15.75" customHeight="1" x14ac:dyDescent="0.2">
      <c r="A1808" s="2" t="s">
        <v>23</v>
      </c>
      <c r="B1808" s="2" t="s">
        <v>35</v>
      </c>
      <c r="C1808" s="2" t="s">
        <v>25</v>
      </c>
      <c r="D1808" s="2" t="s">
        <v>25</v>
      </c>
      <c r="E1808" s="2">
        <v>130</v>
      </c>
      <c r="F1808" s="2">
        <v>147.33333329999999</v>
      </c>
      <c r="G1808" s="2">
        <v>614.66666669999995</v>
      </c>
      <c r="H1808" s="2">
        <v>1616.666667</v>
      </c>
      <c r="I1808" s="2">
        <v>2584</v>
      </c>
      <c r="J1808" s="2">
        <v>1.34</v>
      </c>
      <c r="K1808" s="2">
        <v>5.87</v>
      </c>
      <c r="L1808" s="2">
        <v>11.59</v>
      </c>
      <c r="M1808" s="2">
        <v>14.72</v>
      </c>
      <c r="N1808" s="2">
        <v>0.24017253899999999</v>
      </c>
      <c r="O1808" s="2">
        <v>0.35990231499999997</v>
      </c>
      <c r="P1808" s="2">
        <v>1.7455781699999999</v>
      </c>
      <c r="Q1808" s="2">
        <v>1.7553642540000001</v>
      </c>
      <c r="R1808" s="2">
        <v>1.67376338</v>
      </c>
      <c r="S1808" s="2">
        <v>1.687871248</v>
      </c>
      <c r="T1808" s="2">
        <v>0.49553939800000002</v>
      </c>
      <c r="U1808" s="2">
        <v>0.48207293600000001</v>
      </c>
      <c r="V1808" s="2">
        <v>2.5027117689999998</v>
      </c>
      <c r="W1808" s="2">
        <v>0.22007133400000001</v>
      </c>
      <c r="X1808">
        <f t="shared" si="84"/>
        <v>0</v>
      </c>
      <c r="Y1808">
        <f t="shared" si="85"/>
        <v>1</v>
      </c>
      <c r="Z1808">
        <f t="shared" si="86"/>
        <v>0</v>
      </c>
    </row>
    <row r="1809" spans="1:26" ht="15.75" customHeight="1" x14ac:dyDescent="0.2">
      <c r="A1809" s="2" t="s">
        <v>23</v>
      </c>
      <c r="B1809" s="2" t="s">
        <v>35</v>
      </c>
      <c r="C1809" s="2" t="s">
        <v>32</v>
      </c>
      <c r="D1809" s="2" t="s">
        <v>33</v>
      </c>
      <c r="E1809" s="2">
        <v>131</v>
      </c>
      <c r="F1809" s="2">
        <v>143</v>
      </c>
      <c r="G1809" s="2">
        <v>757</v>
      </c>
      <c r="H1809" s="2">
        <v>993.33333330000005</v>
      </c>
      <c r="I1809" s="2">
        <v>2889</v>
      </c>
      <c r="J1809" s="2">
        <v>1.29</v>
      </c>
      <c r="K1809" s="2">
        <v>6.94</v>
      </c>
      <c r="L1809" s="2">
        <v>8.49</v>
      </c>
      <c r="M1809" s="2">
        <v>15.44</v>
      </c>
      <c r="N1809" s="2">
        <v>3.141320302</v>
      </c>
      <c r="O1809" s="2">
        <v>3.1889366369999999</v>
      </c>
      <c r="P1809" s="2">
        <v>3.7830427680000001</v>
      </c>
      <c r="Q1809" s="2">
        <v>3.8025459779999999</v>
      </c>
      <c r="R1809" s="2">
        <v>2.7429385320000002</v>
      </c>
      <c r="S1809" s="2">
        <v>2.757046399</v>
      </c>
      <c r="T1809" s="2">
        <v>2.6053216300000002</v>
      </c>
      <c r="U1809" s="2">
        <v>2.6187880909999999</v>
      </c>
      <c r="V1809" s="2">
        <v>3.5718869209999999</v>
      </c>
      <c r="W1809" s="2">
        <v>0.14330991800000001</v>
      </c>
      <c r="X1809">
        <f t="shared" si="84"/>
        <v>0</v>
      </c>
      <c r="Y1809">
        <f t="shared" si="85"/>
        <v>1</v>
      </c>
      <c r="Z1809">
        <f t="shared" si="86"/>
        <v>1</v>
      </c>
    </row>
    <row r="1810" spans="1:26" ht="15.75" customHeight="1" x14ac:dyDescent="0.2">
      <c r="A1810" s="2" t="s">
        <v>23</v>
      </c>
      <c r="B1810" s="2" t="s">
        <v>35</v>
      </c>
      <c r="C1810" s="2" t="s">
        <v>32</v>
      </c>
      <c r="D1810" s="2" t="s">
        <v>33</v>
      </c>
      <c r="E1810" s="2">
        <v>173</v>
      </c>
      <c r="F1810" s="2">
        <v>143</v>
      </c>
      <c r="G1810" s="2">
        <v>643</v>
      </c>
      <c r="H1810" s="2">
        <v>1130.333333</v>
      </c>
      <c r="I1810" s="2">
        <v>2972.666667</v>
      </c>
      <c r="J1810" s="2">
        <v>1.29</v>
      </c>
      <c r="K1810" s="2">
        <v>6.09</v>
      </c>
      <c r="L1810" s="2">
        <v>9.2799999999999994</v>
      </c>
      <c r="M1810" s="2">
        <v>15.63</v>
      </c>
      <c r="N1810" s="2">
        <v>2.1427449780000001</v>
      </c>
      <c r="O1810" s="2">
        <v>2.1580218179999999</v>
      </c>
      <c r="P1810" s="2">
        <v>2.6257056460000001</v>
      </c>
      <c r="Q1810" s="2">
        <v>2.6452088809999998</v>
      </c>
      <c r="R1810" s="2">
        <v>1.8959180149999999</v>
      </c>
      <c r="S1810" s="2">
        <v>1.910025882</v>
      </c>
      <c r="T1810" s="2">
        <v>1.81654205</v>
      </c>
      <c r="U1810" s="2">
        <v>1.8300085109999999</v>
      </c>
      <c r="V1810" s="2">
        <v>2.7248664040000001</v>
      </c>
      <c r="W1810" s="2">
        <v>0.22298563699999999</v>
      </c>
      <c r="X1810">
        <f t="shared" si="84"/>
        <v>0</v>
      </c>
      <c r="Y1810">
        <f t="shared" si="85"/>
        <v>1</v>
      </c>
      <c r="Z1810">
        <f t="shared" si="86"/>
        <v>1</v>
      </c>
    </row>
    <row r="1811" spans="1:26" ht="15.75" customHeight="1" x14ac:dyDescent="0.2">
      <c r="A1811" s="2" t="s">
        <v>23</v>
      </c>
      <c r="B1811" s="2" t="s">
        <v>35</v>
      </c>
      <c r="C1811" s="2" t="s">
        <v>25</v>
      </c>
      <c r="D1811" s="2" t="s">
        <v>25</v>
      </c>
      <c r="E1811" s="2">
        <v>108</v>
      </c>
      <c r="F1811" s="2">
        <v>147</v>
      </c>
      <c r="G1811" s="2">
        <v>598.66666669999995</v>
      </c>
      <c r="H1811" s="2">
        <v>1653.333333</v>
      </c>
      <c r="I1811" s="2">
        <v>2664.666667</v>
      </c>
      <c r="J1811" s="2">
        <v>1.34</v>
      </c>
      <c r="K1811" s="2">
        <v>5.74</v>
      </c>
      <c r="L1811" s="2">
        <v>11.74</v>
      </c>
      <c r="M1811" s="2">
        <v>14.92</v>
      </c>
      <c r="N1811" s="2">
        <v>0.34832593699999997</v>
      </c>
      <c r="O1811" s="2">
        <v>0.39829187199999999</v>
      </c>
      <c r="P1811" s="2">
        <v>1.675137023</v>
      </c>
      <c r="Q1811" s="2">
        <v>1.683071056</v>
      </c>
      <c r="R1811" s="2">
        <v>1.5461376769999999</v>
      </c>
      <c r="S1811" s="2">
        <v>1.5602455449999999</v>
      </c>
      <c r="T1811" s="2">
        <v>0.64462572699999998</v>
      </c>
      <c r="U1811" s="2">
        <v>0.63115926499999997</v>
      </c>
      <c r="V1811" s="2">
        <v>2.3750860669999998</v>
      </c>
      <c r="W1811" s="2">
        <v>0.22916593599999999</v>
      </c>
      <c r="X1811">
        <f t="shared" si="84"/>
        <v>0</v>
      </c>
      <c r="Y1811">
        <f t="shared" si="85"/>
        <v>1</v>
      </c>
      <c r="Z1811">
        <f t="shared" si="86"/>
        <v>0</v>
      </c>
    </row>
    <row r="1812" spans="1:26" ht="15.75" customHeight="1" x14ac:dyDescent="0.2">
      <c r="A1812" s="2" t="s">
        <v>23</v>
      </c>
      <c r="B1812" s="2" t="s">
        <v>35</v>
      </c>
      <c r="C1812" s="2" t="s">
        <v>25</v>
      </c>
      <c r="D1812" s="2" t="s">
        <v>25</v>
      </c>
      <c r="E1812" s="2">
        <v>150</v>
      </c>
      <c r="F1812" s="2">
        <v>138</v>
      </c>
      <c r="G1812" s="2">
        <v>582.66666669999995</v>
      </c>
      <c r="H1812" s="2">
        <v>1623</v>
      </c>
      <c r="I1812" s="2">
        <v>2574</v>
      </c>
      <c r="J1812" s="2">
        <v>1.23</v>
      </c>
      <c r="K1812" s="2">
        <v>5.61</v>
      </c>
      <c r="L1812" s="2">
        <v>11.61</v>
      </c>
      <c r="M1812" s="2">
        <v>14.69</v>
      </c>
      <c r="N1812" s="2">
        <v>0.25638744499999999</v>
      </c>
      <c r="O1812" s="2">
        <v>0.24334106899999999</v>
      </c>
      <c r="P1812" s="2">
        <v>1.5098322049999999</v>
      </c>
      <c r="Q1812" s="2">
        <v>1.5185213040000001</v>
      </c>
      <c r="R1812" s="2">
        <v>1.4169057780000001</v>
      </c>
      <c r="S1812" s="2">
        <v>1.431013646</v>
      </c>
      <c r="T1812" s="2">
        <v>0.52150868100000003</v>
      </c>
      <c r="U1812" s="2">
        <v>0.50804221900000002</v>
      </c>
      <c r="V1812" s="2">
        <v>2.2458541670000001</v>
      </c>
      <c r="W1812" s="2">
        <v>0.29216887499999999</v>
      </c>
      <c r="X1812">
        <f t="shared" si="84"/>
        <v>0</v>
      </c>
      <c r="Y1812">
        <f t="shared" si="85"/>
        <v>1</v>
      </c>
      <c r="Z1812">
        <f t="shared" si="86"/>
        <v>0</v>
      </c>
    </row>
    <row r="1813" spans="1:26" ht="15.75" customHeight="1" x14ac:dyDescent="0.2">
      <c r="A1813" s="2" t="s">
        <v>23</v>
      </c>
      <c r="B1813" s="2" t="s">
        <v>35</v>
      </c>
      <c r="C1813" s="2" t="s">
        <v>27</v>
      </c>
      <c r="D1813" s="2" t="s">
        <v>27</v>
      </c>
      <c r="E1813" s="2">
        <v>123</v>
      </c>
      <c r="F1813" s="2">
        <v>146</v>
      </c>
      <c r="G1813" s="2">
        <v>374</v>
      </c>
      <c r="H1813" s="2">
        <v>2003.333333</v>
      </c>
      <c r="I1813" s="2">
        <v>2624.333333</v>
      </c>
      <c r="J1813" s="2">
        <v>1.33</v>
      </c>
      <c r="K1813" s="2">
        <v>3.77</v>
      </c>
      <c r="L1813" s="2">
        <v>13.02</v>
      </c>
      <c r="M1813" s="2">
        <v>14.82</v>
      </c>
      <c r="N1813" s="2">
        <v>0.31920813300000001</v>
      </c>
      <c r="O1813" s="2">
        <v>0.44593945400000001</v>
      </c>
      <c r="P1813" s="2">
        <v>1.9763902769999999</v>
      </c>
      <c r="Q1813" s="2">
        <v>1.960202832</v>
      </c>
      <c r="R1813" s="2">
        <v>0.430727103</v>
      </c>
      <c r="S1813" s="2">
        <v>0.41661923499999998</v>
      </c>
      <c r="T1813" s="2">
        <v>1.9288837940000001</v>
      </c>
      <c r="U1813" s="2">
        <v>1.9154173320000001</v>
      </c>
      <c r="V1813" s="2">
        <v>0.39822128600000001</v>
      </c>
      <c r="W1813" s="2">
        <v>0.17182225400000001</v>
      </c>
      <c r="X1813">
        <f t="shared" si="84"/>
        <v>0</v>
      </c>
      <c r="Y1813">
        <f t="shared" si="85"/>
        <v>1</v>
      </c>
      <c r="Z1813">
        <f t="shared" si="86"/>
        <v>0</v>
      </c>
    </row>
    <row r="1814" spans="1:26" ht="15.75" customHeight="1" x14ac:dyDescent="0.2">
      <c r="A1814" s="2" t="s">
        <v>23</v>
      </c>
      <c r="B1814" s="2" t="s">
        <v>35</v>
      </c>
      <c r="C1814" s="2" t="s">
        <v>30</v>
      </c>
      <c r="D1814" s="2" t="s">
        <v>31</v>
      </c>
      <c r="E1814" s="2">
        <v>176</v>
      </c>
      <c r="F1814" s="2">
        <v>148</v>
      </c>
      <c r="G1814" s="2">
        <v>680.33333330000005</v>
      </c>
      <c r="H1814" s="2">
        <v>1452</v>
      </c>
      <c r="I1814" s="2">
        <v>2768.666667</v>
      </c>
      <c r="J1814" s="2">
        <v>1.35</v>
      </c>
      <c r="K1814" s="2">
        <v>6.38</v>
      </c>
      <c r="L1814" s="2">
        <v>10.88</v>
      </c>
      <c r="M1814" s="2">
        <v>15.17</v>
      </c>
      <c r="N1814" s="2">
        <v>3.06920737</v>
      </c>
      <c r="O1814" s="2">
        <v>2.9591852639999998</v>
      </c>
      <c r="P1814" s="2">
        <v>2.191782602</v>
      </c>
      <c r="Q1814" s="2">
        <v>2.2071679180000001</v>
      </c>
      <c r="R1814" s="2">
        <v>2.1813592590000002</v>
      </c>
      <c r="S1814" s="2">
        <v>2.1954671270000001</v>
      </c>
      <c r="T1814" s="2">
        <v>0.21350117900000001</v>
      </c>
      <c r="U1814" s="2">
        <v>0.226967641</v>
      </c>
      <c r="V1814" s="2">
        <v>3.010307649</v>
      </c>
      <c r="W1814" s="2">
        <v>0.18074058300000001</v>
      </c>
      <c r="X1814">
        <f t="shared" si="84"/>
        <v>0</v>
      </c>
      <c r="Y1814">
        <f t="shared" si="85"/>
        <v>1</v>
      </c>
      <c r="Z1814">
        <f t="shared" si="86"/>
        <v>1</v>
      </c>
    </row>
    <row r="1815" spans="1:26" ht="15.75" customHeight="1" x14ac:dyDescent="0.2">
      <c r="A1815" s="2" t="s">
        <v>23</v>
      </c>
      <c r="B1815" s="2" t="s">
        <v>35</v>
      </c>
      <c r="C1815" s="2" t="s">
        <v>28</v>
      </c>
      <c r="D1815" s="2" t="s">
        <v>29</v>
      </c>
      <c r="E1815" s="2">
        <v>121</v>
      </c>
      <c r="F1815" s="2">
        <v>152</v>
      </c>
      <c r="G1815" s="2">
        <v>659.66666669999995</v>
      </c>
      <c r="H1815" s="2">
        <v>1180</v>
      </c>
      <c r="I1815" s="2">
        <v>2918</v>
      </c>
      <c r="J1815" s="2">
        <v>1.4</v>
      </c>
      <c r="K1815" s="2">
        <v>6.22</v>
      </c>
      <c r="L1815" s="2">
        <v>9.5500000000000007</v>
      </c>
      <c r="M1815" s="2">
        <v>15.51</v>
      </c>
      <c r="N1815" s="2">
        <v>2.3256020140000002</v>
      </c>
      <c r="O1815" s="2">
        <v>2.2822025290000001</v>
      </c>
      <c r="P1815" s="2">
        <v>2.548140917</v>
      </c>
      <c r="Q1815" s="2">
        <v>2.5675284010000001</v>
      </c>
      <c r="R1815" s="2">
        <v>2.024352436</v>
      </c>
      <c r="S1815" s="2">
        <v>2.038460304</v>
      </c>
      <c r="T1815" s="2">
        <v>1.547585005</v>
      </c>
      <c r="U1815" s="2">
        <v>1.5610514660000001</v>
      </c>
      <c r="V1815" s="2">
        <v>2.8533008249999998</v>
      </c>
      <c r="W1815" s="2">
        <v>0.15014949999999999</v>
      </c>
      <c r="X1815">
        <f t="shared" si="84"/>
        <v>0</v>
      </c>
      <c r="Y1815">
        <f t="shared" si="85"/>
        <v>1</v>
      </c>
      <c r="Z1815">
        <f t="shared" si="86"/>
        <v>1</v>
      </c>
    </row>
    <row r="1816" spans="1:26" ht="15.75" customHeight="1" x14ac:dyDescent="0.2">
      <c r="A1816" s="2" t="s">
        <v>23</v>
      </c>
      <c r="B1816" s="2" t="s">
        <v>35</v>
      </c>
      <c r="C1816" s="2" t="s">
        <v>28</v>
      </c>
      <c r="D1816" s="2" t="s">
        <v>29</v>
      </c>
      <c r="E1816" s="2">
        <v>138</v>
      </c>
      <c r="F1816" s="2">
        <v>144.66666670000001</v>
      </c>
      <c r="G1816" s="2">
        <v>458.33333329999999</v>
      </c>
      <c r="H1816" s="2">
        <v>1149.333333</v>
      </c>
      <c r="I1816" s="2">
        <v>1939.666667</v>
      </c>
      <c r="J1816" s="2">
        <v>1.31</v>
      </c>
      <c r="K1816" s="2">
        <v>4.55</v>
      </c>
      <c r="L1816" s="2">
        <v>9.3800000000000008</v>
      </c>
      <c r="M1816" s="2">
        <v>12.81</v>
      </c>
      <c r="N1816" s="2">
        <v>0.819746109</v>
      </c>
      <c r="O1816" s="2">
        <v>0.707202887</v>
      </c>
      <c r="P1816" s="2">
        <v>1.748919935</v>
      </c>
      <c r="Q1816" s="2">
        <v>1.7650005849999999</v>
      </c>
      <c r="R1816" s="2">
        <v>0.35439126500000001</v>
      </c>
      <c r="S1816" s="2">
        <v>0.36849913299999998</v>
      </c>
      <c r="T1816" s="2">
        <v>1.7126376649999999</v>
      </c>
      <c r="U1816" s="2">
        <v>1.7261041260000001</v>
      </c>
      <c r="V1816" s="2">
        <v>1.1833396549999999</v>
      </c>
      <c r="W1816" s="2">
        <v>0.13660694400000001</v>
      </c>
      <c r="X1816">
        <f t="shared" si="84"/>
        <v>0</v>
      </c>
      <c r="Y1816">
        <f t="shared" si="85"/>
        <v>1</v>
      </c>
      <c r="Z1816">
        <f t="shared" si="86"/>
        <v>1</v>
      </c>
    </row>
    <row r="1817" spans="1:26" ht="15.75" customHeight="1" x14ac:dyDescent="0.2">
      <c r="A1817" s="2" t="s">
        <v>23</v>
      </c>
      <c r="B1817" s="2" t="s">
        <v>35</v>
      </c>
      <c r="C1817" s="2" t="s">
        <v>32</v>
      </c>
      <c r="D1817" s="2" t="s">
        <v>33</v>
      </c>
      <c r="E1817" s="2">
        <v>171</v>
      </c>
      <c r="F1817" s="2">
        <v>141.66666670000001</v>
      </c>
      <c r="G1817" s="2">
        <v>651.33333330000005</v>
      </c>
      <c r="H1817" s="2">
        <v>1073.666667</v>
      </c>
      <c r="I1817" s="2">
        <v>2871</v>
      </c>
      <c r="J1817" s="2">
        <v>1.28</v>
      </c>
      <c r="K1817" s="2">
        <v>6.16</v>
      </c>
      <c r="L1817" s="2">
        <v>8.9600000000000009</v>
      </c>
      <c r="M1817" s="2">
        <v>15.4</v>
      </c>
      <c r="N1817" s="2">
        <v>2.4666785689999999</v>
      </c>
      <c r="O1817" s="2">
        <v>2.4818976230000001</v>
      </c>
      <c r="P1817" s="2">
        <v>2.8978577780000001</v>
      </c>
      <c r="Q1817" s="2">
        <v>2.9173192710000002</v>
      </c>
      <c r="R1817" s="2">
        <v>1.960340156</v>
      </c>
      <c r="S1817" s="2">
        <v>1.974448024</v>
      </c>
      <c r="T1817" s="2">
        <v>2.1341617020000001</v>
      </c>
      <c r="U1817" s="2">
        <v>2.1476281639999999</v>
      </c>
      <c r="V1817" s="2">
        <v>2.7892885449999998</v>
      </c>
      <c r="W1817" s="2">
        <v>0.17412998700000001</v>
      </c>
      <c r="X1817">
        <f t="shared" si="84"/>
        <v>0</v>
      </c>
      <c r="Y1817">
        <f t="shared" si="85"/>
        <v>1</v>
      </c>
      <c r="Z1817">
        <f t="shared" si="86"/>
        <v>1</v>
      </c>
    </row>
    <row r="1818" spans="1:26" ht="15.75" customHeight="1" x14ac:dyDescent="0.2">
      <c r="A1818" s="2" t="s">
        <v>23</v>
      </c>
      <c r="B1818" s="2" t="s">
        <v>35</v>
      </c>
      <c r="C1818" s="2" t="s">
        <v>26</v>
      </c>
      <c r="D1818" s="2" t="s">
        <v>26</v>
      </c>
      <c r="E1818" s="2">
        <v>99</v>
      </c>
      <c r="F1818" s="2">
        <v>146</v>
      </c>
      <c r="G1818" s="2">
        <v>413.66666670000001</v>
      </c>
      <c r="H1818" s="2">
        <v>1127.333333</v>
      </c>
      <c r="I1818" s="2">
        <v>2648.666667</v>
      </c>
      <c r="J1818" s="2">
        <v>1.33</v>
      </c>
      <c r="K1818" s="2">
        <v>4.1399999999999997</v>
      </c>
      <c r="L1818" s="2">
        <v>9.26</v>
      </c>
      <c r="M1818" s="2">
        <v>14.88</v>
      </c>
      <c r="N1818" s="2">
        <v>0.53007032499999995</v>
      </c>
      <c r="O1818" s="2">
        <v>0.37635451599999997</v>
      </c>
      <c r="P1818" s="2">
        <v>1.833874716</v>
      </c>
      <c r="Q1818" s="2">
        <v>1.846972952</v>
      </c>
      <c r="R1818" s="2">
        <v>5.4493129000000001E-2</v>
      </c>
      <c r="S1818" s="2">
        <v>4.0385261999999998E-2</v>
      </c>
      <c r="T1818" s="2">
        <v>1.833064912</v>
      </c>
      <c r="U1818" s="2">
        <v>1.846531374</v>
      </c>
      <c r="V1818" s="2">
        <v>0.77445525999999998</v>
      </c>
      <c r="W1818" s="2">
        <v>0.18075829199999999</v>
      </c>
      <c r="X1818">
        <f t="shared" si="84"/>
        <v>0</v>
      </c>
      <c r="Y1818">
        <f t="shared" si="85"/>
        <v>1</v>
      </c>
      <c r="Z1818">
        <f t="shared" si="86"/>
        <v>0</v>
      </c>
    </row>
    <row r="1819" spans="1:26" ht="15.75" customHeight="1" x14ac:dyDescent="0.2">
      <c r="A1819" s="2" t="s">
        <v>23</v>
      </c>
      <c r="B1819" s="2" t="s">
        <v>35</v>
      </c>
      <c r="C1819" s="2" t="s">
        <v>25</v>
      </c>
      <c r="D1819" s="2" t="s">
        <v>25</v>
      </c>
      <c r="E1819" s="2">
        <v>167</v>
      </c>
      <c r="F1819" s="2">
        <v>140.66666670000001</v>
      </c>
      <c r="G1819" s="2">
        <v>601</v>
      </c>
      <c r="H1819" s="2">
        <v>1485</v>
      </c>
      <c r="I1819" s="2">
        <v>2481</v>
      </c>
      <c r="J1819" s="2">
        <v>1.27</v>
      </c>
      <c r="K1819" s="2">
        <v>5.76</v>
      </c>
      <c r="L1819" s="2">
        <v>11.03</v>
      </c>
      <c r="M1819" s="2">
        <v>14.45</v>
      </c>
      <c r="N1819" s="2">
        <v>0.36321873500000001</v>
      </c>
      <c r="O1819" s="2">
        <v>0.389949351</v>
      </c>
      <c r="P1819" s="2">
        <v>1.566239245</v>
      </c>
      <c r="Q1819" s="2">
        <v>1.5809541490000001</v>
      </c>
      <c r="R1819" s="2">
        <v>1.5648490820000001</v>
      </c>
      <c r="S1819" s="2">
        <v>1.5789569489999999</v>
      </c>
      <c r="T1819" s="2">
        <v>6.5975175999999996E-2</v>
      </c>
      <c r="U1819" s="2">
        <v>7.9441637999999995E-2</v>
      </c>
      <c r="V1819" s="2">
        <v>2.3937974710000001</v>
      </c>
      <c r="W1819" s="2">
        <v>0.25461096300000002</v>
      </c>
      <c r="X1819">
        <f t="shared" si="84"/>
        <v>0</v>
      </c>
      <c r="Y1819">
        <f t="shared" si="85"/>
        <v>1</v>
      </c>
      <c r="Z1819">
        <f t="shared" si="86"/>
        <v>0</v>
      </c>
    </row>
    <row r="1820" spans="1:26" ht="15.75" customHeight="1" x14ac:dyDescent="0.2">
      <c r="A1820" s="2" t="s">
        <v>23</v>
      </c>
      <c r="B1820" s="2" t="s">
        <v>35</v>
      </c>
      <c r="C1820" s="2" t="s">
        <v>30</v>
      </c>
      <c r="D1820" s="2" t="s">
        <v>31</v>
      </c>
      <c r="E1820" s="2">
        <v>140</v>
      </c>
      <c r="F1820" s="2">
        <v>141.33333329999999</v>
      </c>
      <c r="G1820" s="2">
        <v>837.33333330000005</v>
      </c>
      <c r="H1820" s="2">
        <v>1178.333333</v>
      </c>
      <c r="I1820" s="2">
        <v>2675</v>
      </c>
      <c r="J1820" s="2">
        <v>1.27</v>
      </c>
      <c r="K1820" s="2">
        <v>7.5</v>
      </c>
      <c r="L1820" s="2">
        <v>9.5399999999999991</v>
      </c>
      <c r="M1820" s="2">
        <v>14.94</v>
      </c>
      <c r="N1820" s="2">
        <v>4.7903229940000003</v>
      </c>
      <c r="O1820" s="2">
        <v>4.6748285039999997</v>
      </c>
      <c r="P1820" s="2">
        <v>3.647152137</v>
      </c>
      <c r="Q1820" s="2">
        <v>3.6656629430000001</v>
      </c>
      <c r="R1820" s="2">
        <v>3.2983499630000002</v>
      </c>
      <c r="S1820" s="2">
        <v>3.3124578310000001</v>
      </c>
      <c r="T1820" s="2">
        <v>1.5564723680000001</v>
      </c>
      <c r="U1820" s="2">
        <v>1.569938829</v>
      </c>
      <c r="V1820" s="2">
        <v>4.1272983520000004</v>
      </c>
      <c r="W1820" s="2">
        <v>0.23442563399999999</v>
      </c>
      <c r="X1820">
        <f t="shared" si="84"/>
        <v>0</v>
      </c>
      <c r="Y1820">
        <f t="shared" si="85"/>
        <v>1</v>
      </c>
      <c r="Z1820">
        <f t="shared" si="86"/>
        <v>1</v>
      </c>
    </row>
    <row r="1821" spans="1:26" ht="15.75" customHeight="1" x14ac:dyDescent="0.2">
      <c r="A1821" s="2" t="s">
        <v>23</v>
      </c>
      <c r="B1821" s="2" t="s">
        <v>35</v>
      </c>
      <c r="C1821" s="2" t="s">
        <v>27</v>
      </c>
      <c r="D1821" s="2" t="s">
        <v>27</v>
      </c>
      <c r="E1821" s="2">
        <v>100</v>
      </c>
      <c r="F1821" s="2">
        <v>145</v>
      </c>
      <c r="G1821" s="2">
        <v>346</v>
      </c>
      <c r="H1821" s="2">
        <v>1968.333333</v>
      </c>
      <c r="I1821" s="2">
        <v>2669</v>
      </c>
      <c r="J1821" s="2">
        <v>1.32</v>
      </c>
      <c r="K1821" s="2">
        <v>3.49</v>
      </c>
      <c r="L1821" s="2">
        <v>12.9</v>
      </c>
      <c r="M1821" s="2">
        <v>14.93</v>
      </c>
      <c r="N1821" s="2">
        <v>0.48469974500000002</v>
      </c>
      <c r="O1821" s="2">
        <v>0.57217905599999996</v>
      </c>
      <c r="P1821" s="2">
        <v>1.942830418</v>
      </c>
      <c r="Q1821" s="2">
        <v>1.9251843660000001</v>
      </c>
      <c r="R1821" s="2">
        <v>0.704097046</v>
      </c>
      <c r="S1821" s="2">
        <v>0.68998917800000004</v>
      </c>
      <c r="T1821" s="2">
        <v>1.810756026</v>
      </c>
      <c r="U1821" s="2">
        <v>1.797289564</v>
      </c>
      <c r="V1821" s="2">
        <v>0.124851343</v>
      </c>
      <c r="W1821" s="2">
        <v>0.187627606</v>
      </c>
      <c r="X1821">
        <f t="shared" si="84"/>
        <v>0</v>
      </c>
      <c r="Y1821">
        <f t="shared" si="85"/>
        <v>1</v>
      </c>
      <c r="Z1821">
        <f t="shared" si="86"/>
        <v>0</v>
      </c>
    </row>
    <row r="1822" spans="1:26" ht="15.75" customHeight="1" x14ac:dyDescent="0.2">
      <c r="A1822" s="2" t="s">
        <v>23</v>
      </c>
      <c r="B1822" s="2" t="s">
        <v>35</v>
      </c>
      <c r="C1822" s="2" t="s">
        <v>30</v>
      </c>
      <c r="D1822" s="2" t="s">
        <v>31</v>
      </c>
      <c r="E1822" s="2">
        <v>152</v>
      </c>
      <c r="F1822" s="2">
        <v>145</v>
      </c>
      <c r="G1822" s="2">
        <v>671</v>
      </c>
      <c r="H1822" s="2">
        <v>1379.333333</v>
      </c>
      <c r="I1822" s="2">
        <v>2674</v>
      </c>
      <c r="J1822" s="2">
        <v>1.32</v>
      </c>
      <c r="K1822" s="2">
        <v>6.31</v>
      </c>
      <c r="L1822" s="2">
        <v>10.54</v>
      </c>
      <c r="M1822" s="2">
        <v>14.94</v>
      </c>
      <c r="N1822" s="2">
        <v>3.2342436349999999</v>
      </c>
      <c r="O1822" s="2">
        <v>3.1178673720000001</v>
      </c>
      <c r="P1822" s="2">
        <v>2.1808948269999999</v>
      </c>
      <c r="Q1822" s="2">
        <v>2.1979571409999998</v>
      </c>
      <c r="R1822" s="2">
        <v>2.1107583889999999</v>
      </c>
      <c r="S1822" s="2">
        <v>2.1248662569999999</v>
      </c>
      <c r="T1822" s="2">
        <v>0.54863582700000002</v>
      </c>
      <c r="U1822" s="2">
        <v>0.56210228799999995</v>
      </c>
      <c r="V1822" s="2">
        <v>2.9397067780000001</v>
      </c>
      <c r="W1822" s="2">
        <v>0.226524163</v>
      </c>
      <c r="X1822">
        <f t="shared" si="84"/>
        <v>0</v>
      </c>
      <c r="Y1822">
        <f t="shared" si="85"/>
        <v>1</v>
      </c>
      <c r="Z1822">
        <f t="shared" si="86"/>
        <v>1</v>
      </c>
    </row>
    <row r="1823" spans="1:26" ht="15.75" customHeight="1" x14ac:dyDescent="0.2">
      <c r="A1823" s="2" t="s">
        <v>23</v>
      </c>
      <c r="B1823" s="2" t="s">
        <v>35</v>
      </c>
      <c r="C1823" s="2" t="s">
        <v>27</v>
      </c>
      <c r="D1823" s="2" t="s">
        <v>27</v>
      </c>
      <c r="E1823" s="2">
        <v>130</v>
      </c>
      <c r="F1823" s="2">
        <v>145</v>
      </c>
      <c r="G1823" s="2">
        <v>420.33333329999999</v>
      </c>
      <c r="H1823" s="2">
        <v>1865.666667</v>
      </c>
      <c r="I1823" s="2">
        <v>2669.666667</v>
      </c>
      <c r="J1823" s="2">
        <v>1.32</v>
      </c>
      <c r="K1823" s="2">
        <v>4.2</v>
      </c>
      <c r="L1823" s="2">
        <v>12.54</v>
      </c>
      <c r="M1823" s="2">
        <v>14.93</v>
      </c>
      <c r="N1823" s="2">
        <v>0.33172336499999999</v>
      </c>
      <c r="O1823" s="2">
        <v>0.22486655899999999</v>
      </c>
      <c r="P1823" s="2">
        <v>1.4517982250000001</v>
      </c>
      <c r="Q1823" s="2">
        <v>1.438474775</v>
      </c>
      <c r="R1823" s="2">
        <v>7.5086450000000004E-3</v>
      </c>
      <c r="S1823" s="2">
        <v>2.1616513E-2</v>
      </c>
      <c r="T1823" s="2">
        <v>1.4517788069999999</v>
      </c>
      <c r="U1823" s="2">
        <v>1.438312346</v>
      </c>
      <c r="V1823" s="2">
        <v>0.83645703400000004</v>
      </c>
      <c r="W1823" s="2">
        <v>0.221572186</v>
      </c>
      <c r="X1823">
        <f t="shared" si="84"/>
        <v>0</v>
      </c>
      <c r="Y1823">
        <f t="shared" si="85"/>
        <v>1</v>
      </c>
      <c r="Z1823">
        <f t="shared" si="86"/>
        <v>0</v>
      </c>
    </row>
    <row r="1824" spans="1:26" ht="15.75" customHeight="1" x14ac:dyDescent="0.2">
      <c r="A1824" s="2" t="s">
        <v>23</v>
      </c>
      <c r="B1824" s="2" t="s">
        <v>35</v>
      </c>
      <c r="C1824" s="2" t="s">
        <v>26</v>
      </c>
      <c r="D1824" s="2" t="s">
        <v>26</v>
      </c>
      <c r="E1824" s="2">
        <v>100</v>
      </c>
      <c r="F1824" s="2">
        <v>150</v>
      </c>
      <c r="G1824" s="2">
        <v>405</v>
      </c>
      <c r="H1824" s="2">
        <v>1269.666667</v>
      </c>
      <c r="I1824" s="2">
        <v>2347</v>
      </c>
      <c r="J1824" s="2">
        <v>1.38</v>
      </c>
      <c r="K1824" s="2">
        <v>4.0599999999999996</v>
      </c>
      <c r="L1824" s="2">
        <v>10.01</v>
      </c>
      <c r="M1824" s="2">
        <v>14.08</v>
      </c>
      <c r="N1824" s="2">
        <v>1.270288117</v>
      </c>
      <c r="O1824" s="2">
        <v>1.110333883</v>
      </c>
      <c r="P1824" s="2">
        <v>1.0914250089999999</v>
      </c>
      <c r="Q1824" s="2">
        <v>1.1031454199999999</v>
      </c>
      <c r="R1824" s="2">
        <v>0.13561801600000001</v>
      </c>
      <c r="S1824" s="2">
        <v>0.121510148</v>
      </c>
      <c r="T1824" s="2">
        <v>1.0829664370000001</v>
      </c>
      <c r="U1824" s="2">
        <v>1.0964328990000001</v>
      </c>
      <c r="V1824" s="2">
        <v>0.693330373</v>
      </c>
      <c r="W1824" s="2">
        <v>0.14301422899999999</v>
      </c>
      <c r="X1824">
        <f t="shared" si="84"/>
        <v>0</v>
      </c>
      <c r="Y1824">
        <f t="shared" si="85"/>
        <v>1</v>
      </c>
      <c r="Z1824">
        <f t="shared" si="86"/>
        <v>0</v>
      </c>
    </row>
    <row r="1825" spans="1:26" ht="15.75" customHeight="1" x14ac:dyDescent="0.2">
      <c r="A1825" s="2" t="s">
        <v>23</v>
      </c>
      <c r="B1825" s="2" t="s">
        <v>35</v>
      </c>
      <c r="C1825" s="2" t="s">
        <v>27</v>
      </c>
      <c r="D1825" s="2" t="s">
        <v>27</v>
      </c>
      <c r="E1825" s="2">
        <v>111</v>
      </c>
      <c r="F1825" s="2">
        <v>152.66666670000001</v>
      </c>
      <c r="G1825" s="2">
        <v>377</v>
      </c>
      <c r="H1825" s="2">
        <v>1986.333333</v>
      </c>
      <c r="I1825" s="2">
        <v>2632.666667</v>
      </c>
      <c r="J1825" s="2">
        <v>1.41</v>
      </c>
      <c r="K1825" s="2">
        <v>3.79</v>
      </c>
      <c r="L1825" s="2">
        <v>12.96</v>
      </c>
      <c r="M1825" s="2">
        <v>14.84</v>
      </c>
      <c r="N1825" s="2">
        <v>0.25641610999999997</v>
      </c>
      <c r="O1825" s="2">
        <v>0.38223125800000002</v>
      </c>
      <c r="P1825" s="2">
        <v>1.9144147650000001</v>
      </c>
      <c r="Q1825" s="2">
        <v>1.8983187930000001</v>
      </c>
      <c r="R1825" s="2">
        <v>0.40182598899999999</v>
      </c>
      <c r="S1825" s="2">
        <v>0.38771812100000003</v>
      </c>
      <c r="T1825" s="2">
        <v>1.8717691540000001</v>
      </c>
      <c r="U1825" s="2">
        <v>1.8583026920000001</v>
      </c>
      <c r="V1825" s="2">
        <v>0.42712240000000001</v>
      </c>
      <c r="W1825" s="2">
        <v>0.123012368</v>
      </c>
      <c r="X1825">
        <f t="shared" si="84"/>
        <v>0</v>
      </c>
      <c r="Y1825">
        <f t="shared" si="85"/>
        <v>1</v>
      </c>
      <c r="Z1825">
        <f t="shared" si="86"/>
        <v>0</v>
      </c>
    </row>
    <row r="1826" spans="1:26" ht="15.75" customHeight="1" x14ac:dyDescent="0.2">
      <c r="A1826" s="2" t="s">
        <v>23</v>
      </c>
      <c r="B1826" s="2" t="s">
        <v>35</v>
      </c>
      <c r="C1826" s="2" t="s">
        <v>30</v>
      </c>
      <c r="D1826" s="2" t="s">
        <v>31</v>
      </c>
      <c r="E1826" s="2">
        <v>134</v>
      </c>
      <c r="F1826" s="2">
        <v>144.66666670000001</v>
      </c>
      <c r="G1826" s="2">
        <v>692</v>
      </c>
      <c r="H1826" s="2">
        <v>1323.666667</v>
      </c>
      <c r="I1826" s="2">
        <v>2709.666667</v>
      </c>
      <c r="J1826" s="2">
        <v>1.31</v>
      </c>
      <c r="K1826" s="2">
        <v>6.47</v>
      </c>
      <c r="L1826" s="2">
        <v>10.28</v>
      </c>
      <c r="M1826" s="2">
        <v>15.03</v>
      </c>
      <c r="N1826" s="2">
        <v>3.5334683469999999</v>
      </c>
      <c r="O1826" s="2">
        <v>3.415622398</v>
      </c>
      <c r="P1826" s="2">
        <v>2.4109828790000001</v>
      </c>
      <c r="Q1826" s="2">
        <v>2.4288266630000002</v>
      </c>
      <c r="R1826" s="2">
        <v>2.2689115270000002</v>
      </c>
      <c r="S1826" s="2">
        <v>2.2830193940000001</v>
      </c>
      <c r="T1826" s="2">
        <v>0.81540108200000005</v>
      </c>
      <c r="U1826" s="2">
        <v>0.82886754399999996</v>
      </c>
      <c r="V1826" s="2">
        <v>3.097859916</v>
      </c>
      <c r="W1826" s="2">
        <v>0.116797571</v>
      </c>
      <c r="X1826">
        <f t="shared" si="84"/>
        <v>0</v>
      </c>
      <c r="Y1826">
        <f t="shared" si="85"/>
        <v>1</v>
      </c>
      <c r="Z1826">
        <f t="shared" si="86"/>
        <v>1</v>
      </c>
    </row>
    <row r="1827" spans="1:26" ht="15.75" customHeight="1" x14ac:dyDescent="0.2">
      <c r="A1827" s="2" t="s">
        <v>23</v>
      </c>
      <c r="B1827" s="2" t="s">
        <v>35</v>
      </c>
      <c r="C1827" s="2" t="s">
        <v>27</v>
      </c>
      <c r="D1827" s="2" t="s">
        <v>27</v>
      </c>
      <c r="E1827" s="2">
        <v>125</v>
      </c>
      <c r="F1827" s="2">
        <v>145.33333329999999</v>
      </c>
      <c r="G1827" s="2">
        <v>440</v>
      </c>
      <c r="H1827" s="2">
        <v>1835.333333</v>
      </c>
      <c r="I1827" s="2">
        <v>2487.666667</v>
      </c>
      <c r="J1827" s="2">
        <v>1.32</v>
      </c>
      <c r="K1827" s="2">
        <v>4.3899999999999997</v>
      </c>
      <c r="L1827" s="2">
        <v>12.43</v>
      </c>
      <c r="M1827" s="2">
        <v>14.47</v>
      </c>
      <c r="N1827" s="2">
        <v>0.54107919800000004</v>
      </c>
      <c r="O1827" s="2">
        <v>0.43602752900000002</v>
      </c>
      <c r="P1827" s="2">
        <v>1.355161584</v>
      </c>
      <c r="Q1827" s="2">
        <v>1.343880701</v>
      </c>
      <c r="R1827" s="2">
        <v>0.18840700199999999</v>
      </c>
      <c r="S1827" s="2">
        <v>0.20251487000000001</v>
      </c>
      <c r="T1827" s="2">
        <v>1.342000641</v>
      </c>
      <c r="U1827" s="2">
        <v>1.3285341799999999</v>
      </c>
      <c r="V1827" s="2">
        <v>1.0173553909999999</v>
      </c>
      <c r="W1827" s="2">
        <v>0.174286467</v>
      </c>
      <c r="X1827">
        <f t="shared" si="84"/>
        <v>0</v>
      </c>
      <c r="Y1827">
        <f t="shared" si="85"/>
        <v>1</v>
      </c>
      <c r="Z1827">
        <f t="shared" si="86"/>
        <v>0</v>
      </c>
    </row>
    <row r="1828" spans="1:26" ht="15.75" customHeight="1" x14ac:dyDescent="0.2">
      <c r="A1828" s="2" t="s">
        <v>23</v>
      </c>
      <c r="B1828" s="2" t="s">
        <v>35</v>
      </c>
      <c r="C1828" s="2" t="s">
        <v>26</v>
      </c>
      <c r="D1828" s="2" t="s">
        <v>26</v>
      </c>
      <c r="E1828" s="2">
        <v>93</v>
      </c>
      <c r="F1828" s="2">
        <v>141.66666670000001</v>
      </c>
      <c r="G1828" s="2">
        <v>428.33333329999999</v>
      </c>
      <c r="H1828" s="2">
        <v>1290.666667</v>
      </c>
      <c r="I1828" s="2">
        <v>2596.333333</v>
      </c>
      <c r="J1828" s="2">
        <v>1.28</v>
      </c>
      <c r="K1828" s="2">
        <v>4.28</v>
      </c>
      <c r="L1828" s="2">
        <v>10.11</v>
      </c>
      <c r="M1828" s="2">
        <v>14.75</v>
      </c>
      <c r="N1828" s="2">
        <v>1.3957844589999999</v>
      </c>
      <c r="O1828" s="2">
        <v>1.2397470020000001</v>
      </c>
      <c r="P1828" s="2">
        <v>0.98124354300000005</v>
      </c>
      <c r="Q1828" s="2">
        <v>0.99591871799999998</v>
      </c>
      <c r="R1828" s="2">
        <v>8.1453872999999996E-2</v>
      </c>
      <c r="S1828" s="2">
        <v>9.5561741000000006E-2</v>
      </c>
      <c r="T1828" s="2">
        <v>0.97785692000000002</v>
      </c>
      <c r="U1828" s="2">
        <v>0.99132338200000003</v>
      </c>
      <c r="V1828" s="2">
        <v>0.91040226199999996</v>
      </c>
      <c r="W1828" s="2">
        <v>0.21973780700000001</v>
      </c>
      <c r="X1828">
        <f t="shared" si="84"/>
        <v>0</v>
      </c>
      <c r="Y1828">
        <f t="shared" si="85"/>
        <v>1</v>
      </c>
      <c r="Z1828">
        <f t="shared" si="86"/>
        <v>0</v>
      </c>
    </row>
    <row r="1829" spans="1:26" ht="15.75" customHeight="1" x14ac:dyDescent="0.2">
      <c r="A1829" s="2" t="s">
        <v>23</v>
      </c>
      <c r="B1829" s="2" t="s">
        <v>35</v>
      </c>
      <c r="C1829" s="2" t="s">
        <v>30</v>
      </c>
      <c r="D1829" s="2" t="s">
        <v>31</v>
      </c>
      <c r="E1829" s="2">
        <v>130</v>
      </c>
      <c r="F1829" s="2">
        <v>147</v>
      </c>
      <c r="G1829" s="2">
        <v>606.66666669999995</v>
      </c>
      <c r="H1829" s="2">
        <v>1548</v>
      </c>
      <c r="I1829" s="2">
        <v>2776.666667</v>
      </c>
      <c r="J1829" s="2">
        <v>1.34</v>
      </c>
      <c r="K1829" s="2">
        <v>5.81</v>
      </c>
      <c r="L1829" s="2">
        <v>11.3</v>
      </c>
      <c r="M1829" s="2">
        <v>15.19</v>
      </c>
      <c r="N1829" s="2">
        <v>2.3596659180000001</v>
      </c>
      <c r="O1829" s="2">
        <v>2.2493244990000001</v>
      </c>
      <c r="P1829" s="2">
        <v>1.6235232369999999</v>
      </c>
      <c r="Q1829" s="2">
        <v>1.6358602360000001</v>
      </c>
      <c r="R1829" s="2">
        <v>1.610149426</v>
      </c>
      <c r="S1829" s="2">
        <v>1.624257294</v>
      </c>
      <c r="T1829" s="2">
        <v>0.20795799400000001</v>
      </c>
      <c r="U1829" s="2">
        <v>0.19449153299999999</v>
      </c>
      <c r="V1829" s="2">
        <v>2.4390978149999998</v>
      </c>
      <c r="W1829" s="2">
        <v>0.203704354</v>
      </c>
      <c r="X1829">
        <f t="shared" si="84"/>
        <v>0</v>
      </c>
      <c r="Y1829">
        <f t="shared" si="85"/>
        <v>1</v>
      </c>
      <c r="Z1829">
        <f t="shared" si="86"/>
        <v>1</v>
      </c>
    </row>
    <row r="1830" spans="1:26" ht="15.75" customHeight="1" x14ac:dyDescent="0.2">
      <c r="A1830" s="2" t="s">
        <v>23</v>
      </c>
      <c r="B1830" s="2" t="s">
        <v>35</v>
      </c>
      <c r="C1830" s="2" t="s">
        <v>32</v>
      </c>
      <c r="D1830" s="2" t="s">
        <v>33</v>
      </c>
      <c r="E1830" s="2">
        <v>112</v>
      </c>
      <c r="F1830" s="2">
        <v>138</v>
      </c>
      <c r="G1830" s="2">
        <v>721.33333330000005</v>
      </c>
      <c r="H1830" s="2">
        <v>1159.333333</v>
      </c>
      <c r="I1830" s="2">
        <v>2782</v>
      </c>
      <c r="J1830" s="2">
        <v>1.23</v>
      </c>
      <c r="K1830" s="2">
        <v>6.68</v>
      </c>
      <c r="L1830" s="2">
        <v>9.43</v>
      </c>
      <c r="M1830" s="2">
        <v>15.2</v>
      </c>
      <c r="N1830" s="2">
        <v>2.171743288</v>
      </c>
      <c r="O1830" s="2">
        <v>2.2291553830000002</v>
      </c>
      <c r="P1830" s="2">
        <v>2.9881562759999998</v>
      </c>
      <c r="Q1830" s="2">
        <v>3.007367731</v>
      </c>
      <c r="R1830" s="2">
        <v>2.4856769339999998</v>
      </c>
      <c r="S1830" s="2">
        <v>2.4997848020000002</v>
      </c>
      <c r="T1830" s="2">
        <v>1.658459559</v>
      </c>
      <c r="U1830" s="2">
        <v>1.6719260199999999</v>
      </c>
      <c r="V1830" s="2">
        <v>3.314625323</v>
      </c>
      <c r="W1830" s="2">
        <v>0.15087047100000001</v>
      </c>
      <c r="X1830">
        <f t="shared" si="84"/>
        <v>0</v>
      </c>
      <c r="Y1830">
        <f t="shared" si="85"/>
        <v>1</v>
      </c>
      <c r="Z1830">
        <f t="shared" si="86"/>
        <v>1</v>
      </c>
    </row>
    <row r="1831" spans="1:26" ht="15.75" customHeight="1" x14ac:dyDescent="0.2">
      <c r="A1831" s="2" t="s">
        <v>23</v>
      </c>
      <c r="B1831" s="2" t="s">
        <v>35</v>
      </c>
      <c r="C1831" s="2" t="s">
        <v>28</v>
      </c>
      <c r="D1831" s="2" t="s">
        <v>29</v>
      </c>
      <c r="E1831" s="2">
        <v>130</v>
      </c>
      <c r="F1831" s="2">
        <v>142.66666670000001</v>
      </c>
      <c r="G1831" s="2">
        <v>671.33333330000005</v>
      </c>
      <c r="H1831" s="2">
        <v>1335</v>
      </c>
      <c r="I1831" s="2">
        <v>3291.333333</v>
      </c>
      <c r="J1831" s="2">
        <v>1.29</v>
      </c>
      <c r="K1831" s="2">
        <v>6.31</v>
      </c>
      <c r="L1831" s="2">
        <v>10.33</v>
      </c>
      <c r="M1831" s="2">
        <v>16.27</v>
      </c>
      <c r="N1831" s="2">
        <v>2.7735017150000001</v>
      </c>
      <c r="O1831" s="2">
        <v>2.6910042459999999</v>
      </c>
      <c r="P1831" s="2">
        <v>2.245914902</v>
      </c>
      <c r="Q1831" s="2">
        <v>2.2637625309999998</v>
      </c>
      <c r="R1831" s="2">
        <v>2.1132884729999999</v>
      </c>
      <c r="S1831" s="2">
        <v>2.1273963409999999</v>
      </c>
      <c r="T1831" s="2">
        <v>0.760358847</v>
      </c>
      <c r="U1831" s="2">
        <v>0.77382530800000005</v>
      </c>
      <c r="V1831" s="2">
        <v>2.9422368620000001</v>
      </c>
      <c r="W1831" s="2">
        <v>0.18487970300000001</v>
      </c>
      <c r="X1831">
        <f t="shared" si="84"/>
        <v>0</v>
      </c>
      <c r="Y1831">
        <f t="shared" si="85"/>
        <v>1</v>
      </c>
      <c r="Z1831">
        <f t="shared" si="86"/>
        <v>1</v>
      </c>
    </row>
    <row r="1832" spans="1:26" ht="15.75" customHeight="1" x14ac:dyDescent="0.2">
      <c r="A1832" s="2" t="s">
        <v>23</v>
      </c>
      <c r="B1832" s="2" t="s">
        <v>35</v>
      </c>
      <c r="C1832" s="2" t="s">
        <v>28</v>
      </c>
      <c r="D1832" s="2" t="s">
        <v>29</v>
      </c>
      <c r="E1832" s="2">
        <v>131</v>
      </c>
      <c r="F1832" s="2">
        <v>144</v>
      </c>
      <c r="G1832" s="2">
        <v>605</v>
      </c>
      <c r="H1832" s="2">
        <v>995.66666669999995</v>
      </c>
      <c r="I1832" s="2">
        <v>2980.333333</v>
      </c>
      <c r="J1832" s="2">
        <v>1.3</v>
      </c>
      <c r="K1832" s="2">
        <v>5.79</v>
      </c>
      <c r="L1832" s="2">
        <v>8.5</v>
      </c>
      <c r="M1832" s="2">
        <v>15.64</v>
      </c>
      <c r="N1832" s="2">
        <v>1.7702491440000001</v>
      </c>
      <c r="O1832" s="2">
        <v>1.806036408</v>
      </c>
      <c r="P1832" s="2">
        <v>3.0437849539999999</v>
      </c>
      <c r="Q1832" s="2">
        <v>3.062654738</v>
      </c>
      <c r="R1832" s="2">
        <v>1.5968465730000001</v>
      </c>
      <c r="S1832" s="2">
        <v>1.6109544410000001</v>
      </c>
      <c r="T1832" s="2">
        <v>2.5912753359999998</v>
      </c>
      <c r="U1832" s="2">
        <v>2.604741797</v>
      </c>
      <c r="V1832" s="2">
        <v>2.4257949619999999</v>
      </c>
      <c r="W1832" s="2">
        <v>0.19293508500000001</v>
      </c>
      <c r="X1832">
        <f t="shared" si="84"/>
        <v>0</v>
      </c>
      <c r="Y1832">
        <f t="shared" si="85"/>
        <v>1</v>
      </c>
      <c r="Z1832">
        <f t="shared" si="86"/>
        <v>1</v>
      </c>
    </row>
    <row r="1833" spans="1:26" ht="15.75" customHeight="1" x14ac:dyDescent="0.2">
      <c r="A1833" s="2" t="s">
        <v>23</v>
      </c>
      <c r="B1833" s="2" t="s">
        <v>35</v>
      </c>
      <c r="C1833" s="2" t="s">
        <v>26</v>
      </c>
      <c r="D1833" s="2" t="s">
        <v>26</v>
      </c>
      <c r="E1833" s="2">
        <v>132</v>
      </c>
      <c r="F1833" s="2">
        <v>143.66666670000001</v>
      </c>
      <c r="G1833" s="2">
        <v>397.33333329999999</v>
      </c>
      <c r="H1833" s="2">
        <v>884.66666669999995</v>
      </c>
      <c r="I1833" s="2">
        <v>2687</v>
      </c>
      <c r="J1833" s="2">
        <v>1.3</v>
      </c>
      <c r="K1833" s="2">
        <v>3.99</v>
      </c>
      <c r="L1833" s="2">
        <v>7.81</v>
      </c>
      <c r="M1833" s="2">
        <v>14.97</v>
      </c>
      <c r="N1833" s="2">
        <v>0.93330497999999995</v>
      </c>
      <c r="O1833" s="2">
        <v>1.0929367969999999</v>
      </c>
      <c r="P1833" s="2">
        <v>3.2915739039999998</v>
      </c>
      <c r="Q1833" s="2">
        <v>3.3041562309999999</v>
      </c>
      <c r="R1833" s="2">
        <v>0.20787957400000001</v>
      </c>
      <c r="S1833" s="2">
        <v>0.19377170699999999</v>
      </c>
      <c r="T1833" s="2">
        <v>3.2850030210000001</v>
      </c>
      <c r="U1833" s="2">
        <v>3.2984694829999999</v>
      </c>
      <c r="V1833" s="2">
        <v>0.621068815</v>
      </c>
      <c r="W1833" s="2">
        <v>0.17797547599999999</v>
      </c>
      <c r="X1833">
        <f t="shared" si="84"/>
        <v>0</v>
      </c>
      <c r="Y1833">
        <f t="shared" si="85"/>
        <v>1</v>
      </c>
      <c r="Z1833">
        <f t="shared" si="86"/>
        <v>0</v>
      </c>
    </row>
    <row r="1834" spans="1:26" ht="15.75" customHeight="1" x14ac:dyDescent="0.2">
      <c r="A1834" s="2" t="s">
        <v>23</v>
      </c>
      <c r="B1834" s="2" t="s">
        <v>35</v>
      </c>
      <c r="C1834" s="2" t="s">
        <v>25</v>
      </c>
      <c r="D1834" s="2" t="s">
        <v>25</v>
      </c>
      <c r="E1834" s="2">
        <v>99</v>
      </c>
      <c r="F1834" s="2">
        <v>145</v>
      </c>
      <c r="G1834" s="2">
        <v>515</v>
      </c>
      <c r="H1834" s="2">
        <v>1622</v>
      </c>
      <c r="I1834" s="2">
        <v>2648.333333</v>
      </c>
      <c r="J1834" s="2">
        <v>1.32</v>
      </c>
      <c r="K1834" s="2">
        <v>5.05</v>
      </c>
      <c r="L1834" s="2">
        <v>11.61</v>
      </c>
      <c r="M1834" s="2">
        <v>14.88</v>
      </c>
      <c r="N1834" s="2">
        <v>0.72232631599999997</v>
      </c>
      <c r="O1834" s="2">
        <v>0.58384374800000005</v>
      </c>
      <c r="P1834" s="2">
        <v>0.99670896099999995</v>
      </c>
      <c r="Q1834" s="2">
        <v>1.0019532229999999</v>
      </c>
      <c r="R1834" s="2">
        <v>0.85188680000000006</v>
      </c>
      <c r="S1834" s="2">
        <v>0.86599466800000002</v>
      </c>
      <c r="T1834" s="2">
        <v>0.51741437300000004</v>
      </c>
      <c r="U1834" s="2">
        <v>0.50394791100000003</v>
      </c>
      <c r="V1834" s="2">
        <v>1.680835189</v>
      </c>
      <c r="W1834" s="2">
        <v>0.147759576</v>
      </c>
      <c r="X1834">
        <f t="shared" si="84"/>
        <v>0</v>
      </c>
      <c r="Y1834">
        <f t="shared" si="85"/>
        <v>1</v>
      </c>
      <c r="Z1834">
        <f t="shared" si="86"/>
        <v>0</v>
      </c>
    </row>
    <row r="1835" spans="1:26" ht="15.75" customHeight="1" x14ac:dyDescent="0.2">
      <c r="A1835" s="2" t="s">
        <v>23</v>
      </c>
      <c r="B1835" s="2" t="s">
        <v>35</v>
      </c>
      <c r="C1835" s="2" t="s">
        <v>30</v>
      </c>
      <c r="D1835" s="2" t="s">
        <v>31</v>
      </c>
      <c r="E1835" s="2">
        <v>130</v>
      </c>
      <c r="F1835" s="2">
        <v>144</v>
      </c>
      <c r="G1835" s="2">
        <v>569.66666669999995</v>
      </c>
      <c r="H1835" s="2">
        <v>1380</v>
      </c>
      <c r="I1835" s="2">
        <v>2794.333333</v>
      </c>
      <c r="J1835" s="2">
        <v>1.3</v>
      </c>
      <c r="K1835" s="2">
        <v>5.51</v>
      </c>
      <c r="L1835" s="2">
        <v>10.55</v>
      </c>
      <c r="M1835" s="2">
        <v>15.23</v>
      </c>
      <c r="N1835" s="2">
        <v>2.70669666</v>
      </c>
      <c r="O1835" s="2">
        <v>2.5805889629999998</v>
      </c>
      <c r="P1835" s="2">
        <v>1.419683826</v>
      </c>
      <c r="Q1835" s="2">
        <v>1.4379001060000001</v>
      </c>
      <c r="R1835" s="2">
        <v>1.3107011340000001</v>
      </c>
      <c r="S1835" s="2">
        <v>1.324809001</v>
      </c>
      <c r="T1835" s="2">
        <v>0.54549491699999997</v>
      </c>
      <c r="U1835" s="2">
        <v>0.55896137899999998</v>
      </c>
      <c r="V1835" s="2">
        <v>2.1396495230000001</v>
      </c>
      <c r="W1835" s="2">
        <v>0.220041665</v>
      </c>
      <c r="X1835">
        <f t="shared" si="84"/>
        <v>0</v>
      </c>
      <c r="Y1835">
        <f t="shared" si="85"/>
        <v>1</v>
      </c>
      <c r="Z1835">
        <f t="shared" si="86"/>
        <v>1</v>
      </c>
    </row>
    <row r="1836" spans="1:26" ht="15.75" customHeight="1" x14ac:dyDescent="0.2">
      <c r="A1836" s="2" t="s">
        <v>23</v>
      </c>
      <c r="B1836" s="2" t="s">
        <v>35</v>
      </c>
      <c r="C1836" s="2" t="s">
        <v>28</v>
      </c>
      <c r="D1836" s="2" t="s">
        <v>29</v>
      </c>
      <c r="E1836" s="2">
        <v>121</v>
      </c>
      <c r="F1836" s="2">
        <v>144.66666670000001</v>
      </c>
      <c r="G1836" s="2">
        <v>546.33333330000005</v>
      </c>
      <c r="H1836" s="2">
        <v>977.66666669999995</v>
      </c>
      <c r="I1836" s="2">
        <v>3007</v>
      </c>
      <c r="J1836" s="2">
        <v>1.31</v>
      </c>
      <c r="K1836" s="2">
        <v>5.31</v>
      </c>
      <c r="L1836" s="2">
        <v>8.39</v>
      </c>
      <c r="M1836" s="2">
        <v>15.7</v>
      </c>
      <c r="N1836" s="2">
        <v>1.32104307</v>
      </c>
      <c r="O1836" s="2">
        <v>1.3787417019999999</v>
      </c>
      <c r="P1836" s="2">
        <v>2.9222468140000002</v>
      </c>
      <c r="Q1836" s="2">
        <v>2.9400947629999998</v>
      </c>
      <c r="R1836" s="2">
        <v>1.117314015</v>
      </c>
      <c r="S1836" s="2">
        <v>1.131421883</v>
      </c>
      <c r="T1836" s="2">
        <v>2.7002103320000002</v>
      </c>
      <c r="U1836" s="2">
        <v>2.7136767929999999</v>
      </c>
      <c r="V1836" s="2">
        <v>1.9462624040000001</v>
      </c>
      <c r="W1836" s="2">
        <v>0.12858597399999999</v>
      </c>
      <c r="X1836">
        <f t="shared" si="84"/>
        <v>0</v>
      </c>
      <c r="Y1836">
        <f t="shared" si="85"/>
        <v>1</v>
      </c>
      <c r="Z1836">
        <f t="shared" si="86"/>
        <v>1</v>
      </c>
    </row>
    <row r="1837" spans="1:26" ht="15.75" customHeight="1" x14ac:dyDescent="0.2">
      <c r="A1837" s="2" t="s">
        <v>23</v>
      </c>
      <c r="B1837" s="2" t="s">
        <v>35</v>
      </c>
      <c r="C1837" s="2" t="s">
        <v>28</v>
      </c>
      <c r="D1837" s="2" t="s">
        <v>29</v>
      </c>
      <c r="E1837" s="2">
        <v>120</v>
      </c>
      <c r="F1837" s="2">
        <v>155</v>
      </c>
      <c r="G1837" s="2">
        <v>644</v>
      </c>
      <c r="H1837" s="2">
        <v>1118.666667</v>
      </c>
      <c r="I1837" s="2">
        <v>2845.666667</v>
      </c>
      <c r="J1837" s="2">
        <v>1.43</v>
      </c>
      <c r="K1837" s="2">
        <v>6.1</v>
      </c>
      <c r="L1837" s="2">
        <v>9.2100000000000009</v>
      </c>
      <c r="M1837" s="2">
        <v>15.35</v>
      </c>
      <c r="N1837" s="2">
        <v>2.1143510889999999</v>
      </c>
      <c r="O1837" s="2">
        <v>2.09177021</v>
      </c>
      <c r="P1837" s="2">
        <v>2.6761990419999999</v>
      </c>
      <c r="Q1837" s="2">
        <v>2.6956994270000001</v>
      </c>
      <c r="R1837" s="2">
        <v>1.903670443</v>
      </c>
      <c r="S1837" s="2">
        <v>1.9177783100000001</v>
      </c>
      <c r="T1837" s="2">
        <v>1.8809785109999999</v>
      </c>
      <c r="U1837" s="2">
        <v>1.8944449720000001</v>
      </c>
      <c r="V1837" s="2">
        <v>2.732618832</v>
      </c>
      <c r="W1837" s="2">
        <v>0.139851001</v>
      </c>
      <c r="X1837">
        <f t="shared" si="84"/>
        <v>0</v>
      </c>
      <c r="Y1837">
        <f t="shared" si="85"/>
        <v>1</v>
      </c>
      <c r="Z1837">
        <f t="shared" si="86"/>
        <v>1</v>
      </c>
    </row>
    <row r="1838" spans="1:26" ht="15.75" customHeight="1" x14ac:dyDescent="0.2">
      <c r="A1838" s="2" t="s">
        <v>23</v>
      </c>
      <c r="B1838" s="2" t="s">
        <v>35</v>
      </c>
      <c r="C1838" s="2" t="s">
        <v>32</v>
      </c>
      <c r="D1838" s="2" t="s">
        <v>33</v>
      </c>
      <c r="E1838" s="2">
        <v>136</v>
      </c>
      <c r="F1838" s="2">
        <v>138.33333329999999</v>
      </c>
      <c r="G1838" s="2">
        <v>732.66666669999995</v>
      </c>
      <c r="H1838" s="2">
        <v>1083.333333</v>
      </c>
      <c r="I1838" s="2">
        <v>2710.333333</v>
      </c>
      <c r="J1838" s="2">
        <v>1.24</v>
      </c>
      <c r="K1838" s="2">
        <v>6.76</v>
      </c>
      <c r="L1838" s="2">
        <v>9.01</v>
      </c>
      <c r="M1838" s="2">
        <v>15.03</v>
      </c>
      <c r="N1838" s="2">
        <v>2.5886387009999998</v>
      </c>
      <c r="O1838" s="2">
        <v>2.6392362779999998</v>
      </c>
      <c r="P1838" s="2">
        <v>3.3042839530000001</v>
      </c>
      <c r="Q1838" s="2">
        <v>3.3237227329999999</v>
      </c>
      <c r="R1838" s="2">
        <v>2.5681623450000002</v>
      </c>
      <c r="S1838" s="2">
        <v>2.5822702130000001</v>
      </c>
      <c r="T1838" s="2">
        <v>2.0791427589999998</v>
      </c>
      <c r="U1838" s="2">
        <v>2.0926092199999999</v>
      </c>
      <c r="V1838" s="2">
        <v>3.397110735</v>
      </c>
      <c r="W1838" s="2">
        <v>0.154941256</v>
      </c>
      <c r="X1838">
        <f t="shared" si="84"/>
        <v>0</v>
      </c>
      <c r="Y1838">
        <f t="shared" si="85"/>
        <v>1</v>
      </c>
      <c r="Z1838">
        <f t="shared" si="86"/>
        <v>1</v>
      </c>
    </row>
    <row r="1839" spans="1:26" ht="15.75" customHeight="1" x14ac:dyDescent="0.2">
      <c r="A1839" s="2" t="s">
        <v>23</v>
      </c>
      <c r="B1839" s="2" t="s">
        <v>35</v>
      </c>
      <c r="C1839" s="2" t="s">
        <v>25</v>
      </c>
      <c r="D1839" s="2" t="s">
        <v>25</v>
      </c>
      <c r="E1839" s="2">
        <v>120</v>
      </c>
      <c r="F1839" s="2">
        <v>152.66666670000001</v>
      </c>
      <c r="G1839" s="2">
        <v>620.66666669999995</v>
      </c>
      <c r="H1839" s="2">
        <v>1567.333333</v>
      </c>
      <c r="I1839" s="2">
        <v>2603.666667</v>
      </c>
      <c r="J1839" s="2">
        <v>1.41</v>
      </c>
      <c r="K1839" s="2">
        <v>5.92</v>
      </c>
      <c r="L1839" s="2">
        <v>11.38</v>
      </c>
      <c r="M1839" s="2">
        <v>14.77</v>
      </c>
      <c r="N1839" s="2">
        <v>0.181766698</v>
      </c>
      <c r="O1839" s="2">
        <v>0.33598219200000001</v>
      </c>
      <c r="P1839" s="2">
        <v>1.745484437</v>
      </c>
      <c r="Q1839" s="2">
        <v>1.757227783</v>
      </c>
      <c r="R1839" s="2">
        <v>1.721215019</v>
      </c>
      <c r="S1839" s="2">
        <v>1.7353228860000001</v>
      </c>
      <c r="T1839" s="2">
        <v>0.29005995699999998</v>
      </c>
      <c r="U1839" s="2">
        <v>0.27659349500000002</v>
      </c>
      <c r="V1839" s="2">
        <v>2.550163408</v>
      </c>
      <c r="W1839" s="2">
        <v>0.19450453100000001</v>
      </c>
      <c r="X1839">
        <f t="shared" si="84"/>
        <v>0</v>
      </c>
      <c r="Y1839">
        <f t="shared" si="85"/>
        <v>1</v>
      </c>
      <c r="Z1839">
        <f t="shared" si="86"/>
        <v>0</v>
      </c>
    </row>
    <row r="1840" spans="1:26" ht="15.75" customHeight="1" x14ac:dyDescent="0.2">
      <c r="A1840" s="2" t="s">
        <v>23</v>
      </c>
      <c r="B1840" s="2" t="s">
        <v>35</v>
      </c>
      <c r="C1840" s="2" t="s">
        <v>27</v>
      </c>
      <c r="D1840" s="2" t="s">
        <v>27</v>
      </c>
      <c r="E1840" s="2">
        <v>142</v>
      </c>
      <c r="F1840" s="2">
        <v>149</v>
      </c>
      <c r="G1840" s="2">
        <v>406</v>
      </c>
      <c r="H1840" s="2">
        <v>1910.666667</v>
      </c>
      <c r="I1840" s="2">
        <v>2651</v>
      </c>
      <c r="J1840" s="2">
        <v>1.36</v>
      </c>
      <c r="K1840" s="2">
        <v>4.07</v>
      </c>
      <c r="L1840" s="2">
        <v>12.7</v>
      </c>
      <c r="M1840" s="2">
        <v>14.88</v>
      </c>
      <c r="N1840" s="2">
        <v>0.128913676</v>
      </c>
      <c r="O1840" s="2">
        <v>9.1353597999999994E-2</v>
      </c>
      <c r="P1840" s="2">
        <v>1.6164030490000001</v>
      </c>
      <c r="Q1840" s="2">
        <v>1.6019288650000001</v>
      </c>
      <c r="R1840" s="2">
        <v>0.126227121</v>
      </c>
      <c r="S1840" s="2">
        <v>0.112119253</v>
      </c>
      <c r="T1840" s="2">
        <v>1.611466887</v>
      </c>
      <c r="U1840" s="2">
        <v>1.598000426</v>
      </c>
      <c r="V1840" s="2">
        <v>0.70272126899999998</v>
      </c>
      <c r="W1840" s="2">
        <v>0.19652378600000001</v>
      </c>
      <c r="X1840">
        <f t="shared" si="84"/>
        <v>0</v>
      </c>
      <c r="Y1840">
        <f t="shared" si="85"/>
        <v>1</v>
      </c>
      <c r="Z1840">
        <f t="shared" si="86"/>
        <v>0</v>
      </c>
    </row>
    <row r="1841" spans="1:26" ht="15.75" customHeight="1" x14ac:dyDescent="0.2">
      <c r="A1841" s="2" t="s">
        <v>23</v>
      </c>
      <c r="B1841" s="2" t="s">
        <v>35</v>
      </c>
      <c r="C1841" s="2" t="s">
        <v>32</v>
      </c>
      <c r="D1841" s="2" t="s">
        <v>33</v>
      </c>
      <c r="E1841" s="2">
        <v>132</v>
      </c>
      <c r="F1841" s="2">
        <v>147</v>
      </c>
      <c r="G1841" s="2">
        <v>773.66666669999995</v>
      </c>
      <c r="H1841" s="2">
        <v>1206.333333</v>
      </c>
      <c r="I1841" s="2">
        <v>2930.666667</v>
      </c>
      <c r="J1841" s="2">
        <v>1.34</v>
      </c>
      <c r="K1841" s="2">
        <v>7.06</v>
      </c>
      <c r="L1841" s="2">
        <v>9.68</v>
      </c>
      <c r="M1841" s="2">
        <v>15.54</v>
      </c>
      <c r="N1841" s="2">
        <v>2.1568625859999999</v>
      </c>
      <c r="O1841" s="2">
        <v>2.2424281530000001</v>
      </c>
      <c r="P1841" s="2">
        <v>3.188743873</v>
      </c>
      <c r="Q1841" s="2">
        <v>3.207354273</v>
      </c>
      <c r="R1841" s="2">
        <v>2.8608528209999999</v>
      </c>
      <c r="S1841" s="2">
        <v>2.8749606889999999</v>
      </c>
      <c r="T1841" s="2">
        <v>1.4084064119999999</v>
      </c>
      <c r="U1841" s="2">
        <v>1.421872874</v>
      </c>
      <c r="V1841" s="2">
        <v>3.6898012100000002</v>
      </c>
      <c r="W1841" s="2">
        <v>0.16574681099999999</v>
      </c>
      <c r="X1841">
        <f t="shared" si="84"/>
        <v>0</v>
      </c>
      <c r="Y1841">
        <f t="shared" si="85"/>
        <v>1</v>
      </c>
      <c r="Z1841">
        <f t="shared" si="86"/>
        <v>1</v>
      </c>
    </row>
    <row r="1842" spans="1:26" ht="15.75" customHeight="1" x14ac:dyDescent="0.2">
      <c r="A1842" s="2" t="s">
        <v>23</v>
      </c>
      <c r="B1842" s="2" t="s">
        <v>35</v>
      </c>
      <c r="C1842" s="2" t="s">
        <v>28</v>
      </c>
      <c r="D1842" s="2" t="s">
        <v>29</v>
      </c>
      <c r="E1842" s="2">
        <v>103</v>
      </c>
      <c r="F1842" s="2">
        <v>146.66666670000001</v>
      </c>
      <c r="G1842" s="2">
        <v>528.33333330000005</v>
      </c>
      <c r="H1842" s="2">
        <v>1009</v>
      </c>
      <c r="I1842" s="2">
        <v>2359.333333</v>
      </c>
      <c r="J1842" s="2">
        <v>1.34</v>
      </c>
      <c r="K1842" s="2">
        <v>5.16</v>
      </c>
      <c r="L1842" s="2">
        <v>8.58</v>
      </c>
      <c r="M1842" s="2">
        <v>14.11</v>
      </c>
      <c r="N1842" s="2">
        <v>1.134066123</v>
      </c>
      <c r="O1842" s="2">
        <v>1.1743798999999999</v>
      </c>
      <c r="P1842" s="2">
        <v>2.690684933</v>
      </c>
      <c r="Q1842" s="2">
        <v>2.7083302279999999</v>
      </c>
      <c r="R1842" s="2">
        <v>0.96565158799999995</v>
      </c>
      <c r="S1842" s="2">
        <v>0.97975945499999995</v>
      </c>
      <c r="T1842" s="2">
        <v>2.5114343350000001</v>
      </c>
      <c r="U1842" s="2">
        <v>2.5249007969999999</v>
      </c>
      <c r="V1842" s="2">
        <v>1.7945999770000001</v>
      </c>
      <c r="W1842" s="2">
        <v>0.102165543</v>
      </c>
      <c r="X1842">
        <f t="shared" si="84"/>
        <v>0</v>
      </c>
      <c r="Y1842">
        <f t="shared" si="85"/>
        <v>1</v>
      </c>
      <c r="Z1842">
        <f t="shared" si="86"/>
        <v>1</v>
      </c>
    </row>
    <row r="1843" spans="1:26" ht="15.75" customHeight="1" x14ac:dyDescent="0.2">
      <c r="A1843" s="2" t="s">
        <v>23</v>
      </c>
      <c r="B1843" s="2" t="s">
        <v>35</v>
      </c>
      <c r="C1843" s="2" t="s">
        <v>27</v>
      </c>
      <c r="D1843" s="2" t="s">
        <v>27</v>
      </c>
      <c r="E1843" s="2">
        <v>140</v>
      </c>
      <c r="F1843" s="2">
        <v>147</v>
      </c>
      <c r="G1843" s="2">
        <v>404.33333329999999</v>
      </c>
      <c r="H1843" s="2">
        <v>1886.333333</v>
      </c>
      <c r="I1843" s="2">
        <v>2632.666667</v>
      </c>
      <c r="J1843" s="2">
        <v>1.34</v>
      </c>
      <c r="K1843" s="2">
        <v>4.05</v>
      </c>
      <c r="L1843" s="2">
        <v>12.62</v>
      </c>
      <c r="M1843" s="2">
        <v>14.84</v>
      </c>
      <c r="N1843" s="2">
        <v>0.17707378800000001</v>
      </c>
      <c r="O1843" s="2">
        <v>5.8243001000000003E-2</v>
      </c>
      <c r="P1843" s="2">
        <v>1.5321645429999999</v>
      </c>
      <c r="Q1843" s="2">
        <v>1.5175034999999999</v>
      </c>
      <c r="R1843" s="2">
        <v>0.141883026</v>
      </c>
      <c r="S1843" s="2">
        <v>0.127775158</v>
      </c>
      <c r="T1843" s="2">
        <v>1.525581002</v>
      </c>
      <c r="U1843" s="2">
        <v>1.51211454</v>
      </c>
      <c r="V1843" s="2">
        <v>0.68706536299999998</v>
      </c>
      <c r="W1843" s="2">
        <v>0.17087337899999999</v>
      </c>
      <c r="X1843">
        <f t="shared" si="84"/>
        <v>0</v>
      </c>
      <c r="Y1843">
        <f t="shared" si="85"/>
        <v>1</v>
      </c>
      <c r="Z1843">
        <f t="shared" si="86"/>
        <v>0</v>
      </c>
    </row>
    <row r="1844" spans="1:26" ht="15.75" customHeight="1" x14ac:dyDescent="0.2">
      <c r="A1844" s="2" t="s">
        <v>23</v>
      </c>
      <c r="B1844" s="2" t="s">
        <v>35</v>
      </c>
      <c r="C1844" s="2" t="s">
        <v>26</v>
      </c>
      <c r="D1844" s="2" t="s">
        <v>26</v>
      </c>
      <c r="E1844" s="2">
        <v>144</v>
      </c>
      <c r="F1844" s="2">
        <v>139.66666670000001</v>
      </c>
      <c r="G1844" s="2">
        <v>400.66666670000001</v>
      </c>
      <c r="H1844" s="2">
        <v>931</v>
      </c>
      <c r="I1844" s="2">
        <v>2647.666667</v>
      </c>
      <c r="J1844" s="2">
        <v>1.25</v>
      </c>
      <c r="K1844" s="2">
        <v>4.0199999999999996</v>
      </c>
      <c r="L1844" s="2">
        <v>8.1</v>
      </c>
      <c r="M1844" s="2">
        <v>14.88</v>
      </c>
      <c r="N1844" s="2">
        <v>0.63616909899999996</v>
      </c>
      <c r="O1844" s="2">
        <v>0.79611847999999996</v>
      </c>
      <c r="P1844" s="2">
        <v>2.9941527639999999</v>
      </c>
      <c r="Q1844" s="2">
        <v>3.0068014559999998</v>
      </c>
      <c r="R1844" s="2">
        <v>0.17640383300000001</v>
      </c>
      <c r="S1844" s="2">
        <v>0.16229596499999999</v>
      </c>
      <c r="T1844" s="2">
        <v>2.9889517329999999</v>
      </c>
      <c r="U1844" s="2">
        <v>3.0024181940000001</v>
      </c>
      <c r="V1844" s="2">
        <v>0.65254455600000005</v>
      </c>
      <c r="W1844" s="2">
        <v>0.23029428299999999</v>
      </c>
      <c r="X1844">
        <f t="shared" si="84"/>
        <v>0</v>
      </c>
      <c r="Y1844">
        <f t="shared" si="85"/>
        <v>1</v>
      </c>
      <c r="Z1844">
        <f t="shared" si="86"/>
        <v>0</v>
      </c>
    </row>
    <row r="1845" spans="1:26" ht="15.75" customHeight="1" x14ac:dyDescent="0.2">
      <c r="A1845" s="2" t="s">
        <v>23</v>
      </c>
      <c r="B1845" s="2" t="s">
        <v>35</v>
      </c>
      <c r="C1845" s="2" t="s">
        <v>27</v>
      </c>
      <c r="D1845" s="2" t="s">
        <v>27</v>
      </c>
      <c r="E1845" s="2">
        <v>154</v>
      </c>
      <c r="F1845" s="2">
        <v>144</v>
      </c>
      <c r="G1845" s="2">
        <v>411</v>
      </c>
      <c r="H1845" s="2">
        <v>1949</v>
      </c>
      <c r="I1845" s="2">
        <v>2643.666667</v>
      </c>
      <c r="J1845" s="2">
        <v>1.3</v>
      </c>
      <c r="K1845" s="2">
        <v>4.12</v>
      </c>
      <c r="L1845" s="2">
        <v>12.84</v>
      </c>
      <c r="M1845" s="2">
        <v>14.87</v>
      </c>
      <c r="N1845" s="2">
        <v>0.17495217699999999</v>
      </c>
      <c r="O1845" s="2">
        <v>0.225462362</v>
      </c>
      <c r="P1845" s="2">
        <v>1.7464030310000001</v>
      </c>
      <c r="Q1845" s="2">
        <v>1.732361603</v>
      </c>
      <c r="R1845" s="2">
        <v>7.9391465999999994E-2</v>
      </c>
      <c r="S1845" s="2">
        <v>6.5283597999999998E-2</v>
      </c>
      <c r="T1845" s="2">
        <v>1.7445975300000001</v>
      </c>
      <c r="U1845" s="2">
        <v>1.7311310680000001</v>
      </c>
      <c r="V1845" s="2">
        <v>0.74955692299999999</v>
      </c>
      <c r="W1845" s="2">
        <v>0.22664003499999999</v>
      </c>
      <c r="X1845">
        <f t="shared" si="84"/>
        <v>0</v>
      </c>
      <c r="Y1845">
        <f t="shared" si="85"/>
        <v>1</v>
      </c>
      <c r="Z1845">
        <f t="shared" si="86"/>
        <v>0</v>
      </c>
    </row>
    <row r="1846" spans="1:26" ht="15.75" customHeight="1" x14ac:dyDescent="0.2">
      <c r="A1846" s="2" t="s">
        <v>23</v>
      </c>
      <c r="B1846" s="2" t="s">
        <v>35</v>
      </c>
      <c r="C1846" s="2" t="s">
        <v>27</v>
      </c>
      <c r="D1846" s="2" t="s">
        <v>27</v>
      </c>
      <c r="E1846" s="2">
        <v>146</v>
      </c>
      <c r="F1846" s="2">
        <v>143.33333329999999</v>
      </c>
      <c r="G1846" s="2">
        <v>414</v>
      </c>
      <c r="H1846" s="2">
        <v>1946.333333</v>
      </c>
      <c r="I1846" s="2">
        <v>2524.333333</v>
      </c>
      <c r="J1846" s="2">
        <v>1.3</v>
      </c>
      <c r="K1846" s="2">
        <v>4.1500000000000004</v>
      </c>
      <c r="L1846" s="2">
        <v>12.83</v>
      </c>
      <c r="M1846" s="2">
        <v>14.56</v>
      </c>
      <c r="N1846" s="2">
        <v>0.19780154899999999</v>
      </c>
      <c r="O1846" s="2">
        <v>0.23363857699999999</v>
      </c>
      <c r="P1846" s="2">
        <v>1.736181397</v>
      </c>
      <c r="Q1846" s="2">
        <v>1.722357804</v>
      </c>
      <c r="R1846" s="2">
        <v>5.1384770000000003E-2</v>
      </c>
      <c r="S1846" s="2">
        <v>3.7276902000000001E-2</v>
      </c>
      <c r="T1846" s="2">
        <v>1.7354208280000001</v>
      </c>
      <c r="U1846" s="2">
        <v>1.7219543660000001</v>
      </c>
      <c r="V1846" s="2">
        <v>0.77756361900000004</v>
      </c>
      <c r="W1846" s="2">
        <v>0.21743251999999999</v>
      </c>
      <c r="X1846">
        <f t="shared" si="84"/>
        <v>0</v>
      </c>
      <c r="Y1846">
        <f t="shared" si="85"/>
        <v>1</v>
      </c>
      <c r="Z1846">
        <f t="shared" si="86"/>
        <v>0</v>
      </c>
    </row>
    <row r="1847" spans="1:26" ht="15.75" customHeight="1" x14ac:dyDescent="0.2">
      <c r="A1847" s="2" t="s">
        <v>23</v>
      </c>
      <c r="B1847" s="2" t="s">
        <v>35</v>
      </c>
      <c r="C1847" s="2" t="s">
        <v>32</v>
      </c>
      <c r="D1847" s="2" t="s">
        <v>33</v>
      </c>
      <c r="E1847" s="2">
        <v>140</v>
      </c>
      <c r="F1847" s="2">
        <v>145</v>
      </c>
      <c r="G1847" s="2">
        <v>617</v>
      </c>
      <c r="H1847" s="2">
        <v>1057.666667</v>
      </c>
      <c r="I1847" s="2">
        <v>2403</v>
      </c>
      <c r="J1847" s="2">
        <v>1.32</v>
      </c>
      <c r="K1847" s="2">
        <v>5.89</v>
      </c>
      <c r="L1847" s="2">
        <v>8.8699999999999992</v>
      </c>
      <c r="M1847" s="2">
        <v>14.24</v>
      </c>
      <c r="N1847" s="2">
        <v>2.526981047</v>
      </c>
      <c r="O1847" s="2">
        <v>2.5249376080000001</v>
      </c>
      <c r="P1847" s="2">
        <v>2.796206695</v>
      </c>
      <c r="Q1847" s="2">
        <v>2.8154667259999999</v>
      </c>
      <c r="R1847" s="2">
        <v>1.6922430509999999</v>
      </c>
      <c r="S1847" s="2">
        <v>1.7063509189999999</v>
      </c>
      <c r="T1847" s="2">
        <v>2.2260020969999998</v>
      </c>
      <c r="U1847" s="2">
        <v>2.2394685590000001</v>
      </c>
      <c r="V1847" s="2">
        <v>2.52119144</v>
      </c>
      <c r="W1847" s="2">
        <v>0.21670569000000001</v>
      </c>
      <c r="X1847">
        <f t="shared" si="84"/>
        <v>0</v>
      </c>
      <c r="Y1847">
        <f t="shared" si="85"/>
        <v>1</v>
      </c>
      <c r="Z1847">
        <f t="shared" si="86"/>
        <v>1</v>
      </c>
    </row>
    <row r="1848" spans="1:26" ht="15.75" customHeight="1" x14ac:dyDescent="0.2">
      <c r="A1848" s="2" t="s">
        <v>23</v>
      </c>
      <c r="B1848" s="2" t="s">
        <v>35</v>
      </c>
      <c r="C1848" s="2" t="s">
        <v>28</v>
      </c>
      <c r="D1848" s="2" t="s">
        <v>29</v>
      </c>
      <c r="E1848" s="2">
        <v>116</v>
      </c>
      <c r="F1848" s="2">
        <v>149.66666670000001</v>
      </c>
      <c r="G1848" s="2">
        <v>770.66666669999995</v>
      </c>
      <c r="H1848" s="2">
        <v>1286</v>
      </c>
      <c r="I1848" s="2">
        <v>2822.333333</v>
      </c>
      <c r="J1848" s="2">
        <v>1.37</v>
      </c>
      <c r="K1848" s="2">
        <v>7.04</v>
      </c>
      <c r="L1848" s="2">
        <v>10.09</v>
      </c>
      <c r="M1848" s="2">
        <v>15.29</v>
      </c>
      <c r="N1848" s="2">
        <v>3.2878658330000001</v>
      </c>
      <c r="O1848" s="2">
        <v>3.232201044</v>
      </c>
      <c r="P1848" s="2">
        <v>3.0110276009999999</v>
      </c>
      <c r="Q1848" s="2">
        <v>3.0288207699999998</v>
      </c>
      <c r="R1848" s="2">
        <v>2.8397344759999998</v>
      </c>
      <c r="S1848" s="2">
        <v>2.8538423439999998</v>
      </c>
      <c r="T1848" s="2">
        <v>1.0010970589999999</v>
      </c>
      <c r="U1848" s="2">
        <v>1.0145635200000001</v>
      </c>
      <c r="V1848" s="2">
        <v>3.6686828650000001</v>
      </c>
      <c r="W1848" s="2">
        <v>0.14135520800000001</v>
      </c>
      <c r="X1848">
        <f t="shared" si="84"/>
        <v>0</v>
      </c>
      <c r="Y1848">
        <f t="shared" si="85"/>
        <v>1</v>
      </c>
      <c r="Z1848">
        <f t="shared" si="86"/>
        <v>1</v>
      </c>
    </row>
    <row r="1849" spans="1:26" ht="15.75" customHeight="1" x14ac:dyDescent="0.2">
      <c r="A1849" s="2" t="s">
        <v>23</v>
      </c>
      <c r="B1849" s="2" t="s">
        <v>35</v>
      </c>
      <c r="C1849" s="2" t="s">
        <v>26</v>
      </c>
      <c r="D1849" s="2" t="s">
        <v>26</v>
      </c>
      <c r="E1849" s="2">
        <v>110</v>
      </c>
      <c r="F1849" s="2">
        <v>136.66666670000001</v>
      </c>
      <c r="G1849" s="2">
        <v>394.33333329999999</v>
      </c>
      <c r="H1849" s="2">
        <v>1170</v>
      </c>
      <c r="I1849" s="2">
        <v>2610</v>
      </c>
      <c r="J1849" s="2">
        <v>1.22</v>
      </c>
      <c r="K1849" s="2">
        <v>3.96</v>
      </c>
      <c r="L1849" s="2">
        <v>9.49</v>
      </c>
      <c r="M1849" s="2">
        <v>14.78</v>
      </c>
      <c r="N1849" s="2">
        <v>0.75615444600000004</v>
      </c>
      <c r="O1849" s="2">
        <v>0.59618002400000003</v>
      </c>
      <c r="P1849" s="2">
        <v>1.6183926900000001</v>
      </c>
      <c r="Q1849" s="2">
        <v>1.6297329039999999</v>
      </c>
      <c r="R1849" s="2">
        <v>0.23628394599999999</v>
      </c>
      <c r="S1849" s="2">
        <v>0.222176079</v>
      </c>
      <c r="T1849" s="2">
        <v>1.601051153</v>
      </c>
      <c r="U1849" s="2">
        <v>1.614517615</v>
      </c>
      <c r="V1849" s="2">
        <v>0.59266444299999999</v>
      </c>
      <c r="W1849" s="2">
        <v>0.20229798700000001</v>
      </c>
      <c r="X1849">
        <f t="shared" si="84"/>
        <v>0</v>
      </c>
      <c r="Y1849">
        <f t="shared" si="85"/>
        <v>1</v>
      </c>
      <c r="Z1849">
        <f t="shared" si="86"/>
        <v>0</v>
      </c>
    </row>
    <row r="1850" spans="1:26" ht="15.75" customHeight="1" x14ac:dyDescent="0.2">
      <c r="A1850" s="2" t="s">
        <v>23</v>
      </c>
      <c r="B1850" s="2" t="s">
        <v>35</v>
      </c>
      <c r="C1850" s="2" t="s">
        <v>30</v>
      </c>
      <c r="D1850" s="2" t="s">
        <v>31</v>
      </c>
      <c r="E1850" s="2">
        <v>162</v>
      </c>
      <c r="F1850" s="2">
        <v>145.66666670000001</v>
      </c>
      <c r="G1850" s="2">
        <v>645.33333330000005</v>
      </c>
      <c r="H1850" s="2">
        <v>1292</v>
      </c>
      <c r="I1850" s="2">
        <v>2787.333333</v>
      </c>
      <c r="J1850" s="2">
        <v>1.32</v>
      </c>
      <c r="K1850" s="2">
        <v>6.11</v>
      </c>
      <c r="L1850" s="2">
        <v>10.119999999999999</v>
      </c>
      <c r="M1850" s="2">
        <v>15.21</v>
      </c>
      <c r="N1850" s="2">
        <v>3.4104203310000001</v>
      </c>
      <c r="O1850" s="2">
        <v>3.2871842340000001</v>
      </c>
      <c r="P1850" s="2">
        <v>2.1463162480000002</v>
      </c>
      <c r="Q1850" s="2">
        <v>2.1649980850000001</v>
      </c>
      <c r="R1850" s="2">
        <v>1.9139977560000001</v>
      </c>
      <c r="S1850" s="2">
        <v>1.9281056240000001</v>
      </c>
      <c r="T1850" s="2">
        <v>0.97122913200000005</v>
      </c>
      <c r="U1850" s="2">
        <v>0.98469559299999998</v>
      </c>
      <c r="V1850" s="2">
        <v>2.7429461449999999</v>
      </c>
      <c r="W1850" s="2">
        <v>0.18404900299999999</v>
      </c>
      <c r="X1850">
        <f t="shared" si="84"/>
        <v>0</v>
      </c>
      <c r="Y1850">
        <f t="shared" si="85"/>
        <v>1</v>
      </c>
      <c r="Z1850">
        <f t="shared" si="86"/>
        <v>1</v>
      </c>
    </row>
    <row r="1851" spans="1:26" ht="15.75" customHeight="1" x14ac:dyDescent="0.2">
      <c r="A1851" s="2" t="s">
        <v>23</v>
      </c>
      <c r="B1851" s="2" t="s">
        <v>35</v>
      </c>
      <c r="C1851" s="2" t="s">
        <v>27</v>
      </c>
      <c r="D1851" s="2" t="s">
        <v>27</v>
      </c>
      <c r="E1851" s="2">
        <v>181</v>
      </c>
      <c r="F1851" s="2">
        <v>115.66666669999999</v>
      </c>
      <c r="G1851" s="2">
        <v>361</v>
      </c>
      <c r="H1851" s="2">
        <v>2005.666667</v>
      </c>
      <c r="I1851" s="2">
        <v>2624</v>
      </c>
      <c r="J1851" s="2">
        <v>0.96</v>
      </c>
      <c r="K1851" s="2">
        <v>3.64</v>
      </c>
      <c r="L1851" s="2">
        <v>13.03</v>
      </c>
      <c r="M1851" s="2">
        <v>14.82</v>
      </c>
      <c r="N1851" s="2">
        <v>0.41247355400000002</v>
      </c>
      <c r="O1851" s="2">
        <v>0.52945148900000005</v>
      </c>
      <c r="P1851" s="2">
        <v>2.015144228</v>
      </c>
      <c r="Q1851" s="2">
        <v>1.9983279819999999</v>
      </c>
      <c r="R1851" s="2">
        <v>0.55682860099999998</v>
      </c>
      <c r="S1851" s="2">
        <v>0.54272073300000001</v>
      </c>
      <c r="T1851" s="2">
        <v>1.9366848400000001</v>
      </c>
      <c r="U1851" s="2">
        <v>1.9232183780000001</v>
      </c>
      <c r="V1851" s="2">
        <v>0.27211978799999997</v>
      </c>
      <c r="W1851" s="2">
        <v>0.13432366000000001</v>
      </c>
      <c r="X1851">
        <f t="shared" si="84"/>
        <v>0</v>
      </c>
      <c r="Y1851">
        <f t="shared" si="85"/>
        <v>1</v>
      </c>
      <c r="Z1851">
        <f t="shared" si="86"/>
        <v>0</v>
      </c>
    </row>
    <row r="1852" spans="1:26" ht="15.75" customHeight="1" x14ac:dyDescent="0.2">
      <c r="A1852" s="2" t="s">
        <v>23</v>
      </c>
      <c r="B1852" s="2" t="s">
        <v>35</v>
      </c>
      <c r="C1852" s="2" t="s">
        <v>30</v>
      </c>
      <c r="D1852" s="2" t="s">
        <v>31</v>
      </c>
      <c r="E1852" s="2">
        <v>104</v>
      </c>
      <c r="F1852" s="2">
        <v>142.33333329999999</v>
      </c>
      <c r="G1852" s="2">
        <v>644.33333330000005</v>
      </c>
      <c r="H1852" s="2">
        <v>1402.666667</v>
      </c>
      <c r="I1852" s="2">
        <v>2666.333333</v>
      </c>
      <c r="J1852" s="2">
        <v>1.29</v>
      </c>
      <c r="K1852" s="2">
        <v>6.1</v>
      </c>
      <c r="L1852" s="2">
        <v>10.65</v>
      </c>
      <c r="M1852" s="2">
        <v>14.92</v>
      </c>
      <c r="N1852" s="2">
        <v>3.0112509150000002</v>
      </c>
      <c r="O1852" s="2">
        <v>2.893706903</v>
      </c>
      <c r="P1852" s="2">
        <v>1.9562498370000001</v>
      </c>
      <c r="Q1852" s="2">
        <v>1.9730473079999999</v>
      </c>
      <c r="R1852" s="2">
        <v>1.9062532619999999</v>
      </c>
      <c r="S1852" s="2">
        <v>1.9203611300000001</v>
      </c>
      <c r="T1852" s="2">
        <v>0.43944501899999999</v>
      </c>
      <c r="U1852" s="2">
        <v>0.45291147999999998</v>
      </c>
      <c r="V1852" s="2">
        <v>2.7352016510000001</v>
      </c>
      <c r="W1852" s="2">
        <v>0.12651309099999999</v>
      </c>
      <c r="X1852">
        <f t="shared" si="84"/>
        <v>0</v>
      </c>
      <c r="Y1852">
        <f t="shared" si="85"/>
        <v>1</v>
      </c>
      <c r="Z1852">
        <f t="shared" si="86"/>
        <v>1</v>
      </c>
    </row>
    <row r="1853" spans="1:26" ht="15.75" customHeight="1" x14ac:dyDescent="0.2">
      <c r="A1853" s="2" t="s">
        <v>23</v>
      </c>
      <c r="B1853" s="2" t="s">
        <v>35</v>
      </c>
      <c r="C1853" s="2" t="s">
        <v>26</v>
      </c>
      <c r="D1853" s="2" t="s">
        <v>26</v>
      </c>
      <c r="E1853" s="2">
        <v>140</v>
      </c>
      <c r="F1853" s="2">
        <v>141</v>
      </c>
      <c r="G1853" s="2">
        <v>407.66666670000001</v>
      </c>
      <c r="H1853" s="2">
        <v>1109.666667</v>
      </c>
      <c r="I1853" s="2">
        <v>2470.333333</v>
      </c>
      <c r="J1853" s="2">
        <v>1.27</v>
      </c>
      <c r="K1853" s="2">
        <v>4.09</v>
      </c>
      <c r="L1853" s="2">
        <v>9.16</v>
      </c>
      <c r="M1853" s="2">
        <v>14.42</v>
      </c>
      <c r="N1853" s="2">
        <v>0.42462504000000001</v>
      </c>
      <c r="O1853" s="2">
        <v>0.26743046199999998</v>
      </c>
      <c r="P1853" s="2">
        <v>1.9341856500000001</v>
      </c>
      <c r="Q1853" s="2">
        <v>1.9468800900000001</v>
      </c>
      <c r="R1853" s="2">
        <v>0.110593256</v>
      </c>
      <c r="S1853" s="2">
        <v>9.6485389000000005E-2</v>
      </c>
      <c r="T1853" s="2">
        <v>1.9310213000000001</v>
      </c>
      <c r="U1853" s="2">
        <v>1.944487761</v>
      </c>
      <c r="V1853" s="2">
        <v>0.71835513299999998</v>
      </c>
      <c r="W1853" s="2">
        <v>0.21591101700000001</v>
      </c>
      <c r="X1853">
        <f t="shared" si="84"/>
        <v>0</v>
      </c>
      <c r="Y1853">
        <f t="shared" si="85"/>
        <v>1</v>
      </c>
      <c r="Z1853">
        <f t="shared" si="86"/>
        <v>0</v>
      </c>
    </row>
    <row r="1854" spans="1:26" ht="15.75" customHeight="1" x14ac:dyDescent="0.2">
      <c r="A1854" s="2" t="s">
        <v>23</v>
      </c>
      <c r="B1854" s="2" t="s">
        <v>35</v>
      </c>
      <c r="C1854" s="2" t="s">
        <v>26</v>
      </c>
      <c r="D1854" s="2" t="s">
        <v>26</v>
      </c>
      <c r="E1854" s="2">
        <v>130</v>
      </c>
      <c r="F1854" s="2">
        <v>141</v>
      </c>
      <c r="G1854" s="2">
        <v>388.33333329999999</v>
      </c>
      <c r="H1854" s="2">
        <v>988.33333330000005</v>
      </c>
      <c r="I1854" s="2">
        <v>2674</v>
      </c>
      <c r="J1854" s="2">
        <v>1.27</v>
      </c>
      <c r="K1854" s="2">
        <v>3.9</v>
      </c>
      <c r="L1854" s="2">
        <v>8.4600000000000009</v>
      </c>
      <c r="M1854" s="2">
        <v>14.94</v>
      </c>
      <c r="N1854" s="2">
        <v>0.31346874600000002</v>
      </c>
      <c r="O1854" s="2">
        <v>0.46088197199999997</v>
      </c>
      <c r="P1854" s="2">
        <v>2.651767064</v>
      </c>
      <c r="Q1854" s="2">
        <v>2.663635593</v>
      </c>
      <c r="R1854" s="2">
        <v>0.29331041000000002</v>
      </c>
      <c r="S1854" s="2">
        <v>0.279202542</v>
      </c>
      <c r="T1854" s="2">
        <v>2.635495696</v>
      </c>
      <c r="U1854" s="2">
        <v>2.6489621579999998</v>
      </c>
      <c r="V1854" s="2">
        <v>0.53563797899999999</v>
      </c>
      <c r="W1854" s="2">
        <v>0.185002419</v>
      </c>
      <c r="X1854">
        <f t="shared" si="84"/>
        <v>0</v>
      </c>
      <c r="Y1854">
        <f t="shared" si="85"/>
        <v>1</v>
      </c>
      <c r="Z1854">
        <f t="shared" si="86"/>
        <v>0</v>
      </c>
    </row>
    <row r="1855" spans="1:26" ht="15.75" customHeight="1" x14ac:dyDescent="0.2">
      <c r="A1855" s="2" t="s">
        <v>23</v>
      </c>
      <c r="B1855" s="2" t="s">
        <v>35</v>
      </c>
      <c r="C1855" s="2" t="s">
        <v>26</v>
      </c>
      <c r="D1855" s="2" t="s">
        <v>26</v>
      </c>
      <c r="E1855" s="2">
        <v>132</v>
      </c>
      <c r="F1855" s="2">
        <v>150.66666670000001</v>
      </c>
      <c r="G1855" s="2">
        <v>417.66666670000001</v>
      </c>
      <c r="H1855" s="2">
        <v>887.66666669999995</v>
      </c>
      <c r="I1855" s="2">
        <v>2651</v>
      </c>
      <c r="J1855" s="2">
        <v>1.38</v>
      </c>
      <c r="K1855" s="2">
        <v>4.18</v>
      </c>
      <c r="L1855" s="2">
        <v>7.83</v>
      </c>
      <c r="M1855" s="2">
        <v>14.88</v>
      </c>
      <c r="N1855" s="2">
        <v>0.92315860999999999</v>
      </c>
      <c r="O1855" s="2">
        <v>1.0827119409999999</v>
      </c>
      <c r="P1855" s="2">
        <v>3.2655881010000001</v>
      </c>
      <c r="Q1855" s="2">
        <v>3.2790105060000001</v>
      </c>
      <c r="R1855" s="2">
        <v>1.7250341999999998E-2</v>
      </c>
      <c r="S1855" s="2">
        <v>3.1424740000000001E-3</v>
      </c>
      <c r="T1855" s="2">
        <v>3.2655425380000001</v>
      </c>
      <c r="U1855" s="2">
        <v>3.2790089999999998</v>
      </c>
      <c r="V1855" s="2">
        <v>0.81169804700000003</v>
      </c>
      <c r="W1855" s="2">
        <v>0.222270309</v>
      </c>
      <c r="X1855">
        <f t="shared" si="84"/>
        <v>0</v>
      </c>
      <c r="Y1855">
        <f t="shared" si="85"/>
        <v>1</v>
      </c>
      <c r="Z1855">
        <f t="shared" si="86"/>
        <v>0</v>
      </c>
    </row>
    <row r="1856" spans="1:26" ht="15.75" customHeight="1" x14ac:dyDescent="0.2">
      <c r="A1856" s="2" t="s">
        <v>23</v>
      </c>
      <c r="B1856" s="2" t="s">
        <v>35</v>
      </c>
      <c r="C1856" s="2" t="s">
        <v>25</v>
      </c>
      <c r="D1856" s="2" t="s">
        <v>25</v>
      </c>
      <c r="E1856" s="2">
        <v>181</v>
      </c>
      <c r="F1856" s="2">
        <v>138.33333329999999</v>
      </c>
      <c r="G1856" s="2">
        <v>655.66666669999995</v>
      </c>
      <c r="H1856" s="2">
        <v>1432</v>
      </c>
      <c r="I1856" s="2">
        <v>2542.333333</v>
      </c>
      <c r="J1856" s="2">
        <v>1.24</v>
      </c>
      <c r="K1856" s="2">
        <v>6.19</v>
      </c>
      <c r="L1856" s="2">
        <v>10.79</v>
      </c>
      <c r="M1856" s="2">
        <v>14.61</v>
      </c>
      <c r="N1856" s="2">
        <v>0.75301334799999997</v>
      </c>
      <c r="O1856" s="2">
        <v>0.84362367599999999</v>
      </c>
      <c r="P1856" s="2">
        <v>2.0167679719999998</v>
      </c>
      <c r="Q1856" s="2">
        <v>2.0327770190000001</v>
      </c>
      <c r="R1856" s="2">
        <v>1.9936774450000001</v>
      </c>
      <c r="S1856" s="2">
        <v>2.0077853129999998</v>
      </c>
      <c r="T1856" s="2">
        <v>0.30430790499999999</v>
      </c>
      <c r="U1856" s="2">
        <v>0.31777436599999997</v>
      </c>
      <c r="V1856" s="2">
        <v>2.8226258340000001</v>
      </c>
      <c r="W1856" s="2">
        <v>0.16511688299999999</v>
      </c>
      <c r="X1856">
        <f t="shared" si="84"/>
        <v>0</v>
      </c>
      <c r="Y1856">
        <f t="shared" si="85"/>
        <v>1</v>
      </c>
      <c r="Z1856">
        <f t="shared" si="86"/>
        <v>0</v>
      </c>
    </row>
    <row r="1857" spans="1:26" ht="15.75" customHeight="1" x14ac:dyDescent="0.2">
      <c r="A1857" s="2" t="s">
        <v>23</v>
      </c>
      <c r="B1857" s="2" t="s">
        <v>35</v>
      </c>
      <c r="C1857" s="2" t="s">
        <v>25</v>
      </c>
      <c r="D1857" s="2" t="s">
        <v>25</v>
      </c>
      <c r="E1857" s="2">
        <v>193</v>
      </c>
      <c r="F1857" s="2">
        <v>141.33333329999999</v>
      </c>
      <c r="G1857" s="2">
        <v>639.66666669999995</v>
      </c>
      <c r="H1857" s="2">
        <v>1445.333333</v>
      </c>
      <c r="I1857" s="2">
        <v>2534.333333</v>
      </c>
      <c r="J1857" s="2">
        <v>1.27</v>
      </c>
      <c r="K1857" s="2">
        <v>6.07</v>
      </c>
      <c r="L1857" s="2">
        <v>10.85</v>
      </c>
      <c r="M1857" s="2">
        <v>14.59</v>
      </c>
      <c r="N1857" s="2">
        <v>0.63311051799999996</v>
      </c>
      <c r="O1857" s="2">
        <v>0.71367507200000002</v>
      </c>
      <c r="P1857" s="2">
        <v>1.8858397149999999</v>
      </c>
      <c r="Q1857" s="2">
        <v>1.9016041720000001</v>
      </c>
      <c r="R1857" s="2">
        <v>1.870033514</v>
      </c>
      <c r="S1857" s="2">
        <v>1.8841413810000001</v>
      </c>
      <c r="T1857" s="2">
        <v>0.24365157200000001</v>
      </c>
      <c r="U1857" s="2">
        <v>0.257118034</v>
      </c>
      <c r="V1857" s="2">
        <v>2.698981903</v>
      </c>
      <c r="W1857" s="2">
        <v>0.201868257</v>
      </c>
      <c r="X1857">
        <f t="shared" si="84"/>
        <v>0</v>
      </c>
      <c r="Y1857">
        <f t="shared" si="85"/>
        <v>1</v>
      </c>
      <c r="Z1857">
        <f t="shared" si="86"/>
        <v>0</v>
      </c>
    </row>
    <row r="1858" spans="1:26" ht="15.75" customHeight="1" x14ac:dyDescent="0.2">
      <c r="A1858" s="2" t="s">
        <v>23</v>
      </c>
      <c r="B1858" s="2" t="s">
        <v>35</v>
      </c>
      <c r="C1858" s="2" t="s">
        <v>25</v>
      </c>
      <c r="D1858" s="2" t="s">
        <v>25</v>
      </c>
      <c r="E1858" s="2">
        <v>140</v>
      </c>
      <c r="F1858" s="2">
        <v>144</v>
      </c>
      <c r="G1858" s="2">
        <v>579.33333330000005</v>
      </c>
      <c r="H1858" s="2">
        <v>1571.666667</v>
      </c>
      <c r="I1858" s="2">
        <v>2384.333333</v>
      </c>
      <c r="J1858" s="2">
        <v>1.3</v>
      </c>
      <c r="K1858" s="2">
        <v>5.59</v>
      </c>
      <c r="L1858" s="2">
        <v>11.4</v>
      </c>
      <c r="M1858" s="2">
        <v>14.18</v>
      </c>
      <c r="N1858" s="2">
        <v>0.150258207</v>
      </c>
      <c r="O1858" s="2">
        <v>2.8462246E-2</v>
      </c>
      <c r="P1858" s="2">
        <v>1.423570958</v>
      </c>
      <c r="Q1858" s="2">
        <v>1.4345186569999999</v>
      </c>
      <c r="R1858" s="2">
        <v>1.3897774839999999</v>
      </c>
      <c r="S1858" s="2">
        <v>1.4038853520000001</v>
      </c>
      <c r="T1858" s="2">
        <v>0.30833880299999999</v>
      </c>
      <c r="U1858" s="2">
        <v>0.29487234099999998</v>
      </c>
      <c r="V1858" s="2">
        <v>2.2187258729999999</v>
      </c>
      <c r="W1858" s="2">
        <v>0.25180421600000003</v>
      </c>
      <c r="X1858">
        <f t="shared" si="84"/>
        <v>0</v>
      </c>
      <c r="Y1858">
        <f t="shared" si="85"/>
        <v>1</v>
      </c>
      <c r="Z1858">
        <f t="shared" si="86"/>
        <v>0</v>
      </c>
    </row>
    <row r="1859" spans="1:26" ht="15.75" customHeight="1" x14ac:dyDescent="0.2">
      <c r="A1859" s="2" t="s">
        <v>23</v>
      </c>
      <c r="B1859" s="2" t="s">
        <v>35</v>
      </c>
      <c r="C1859" s="2" t="s">
        <v>28</v>
      </c>
      <c r="D1859" s="2" t="s">
        <v>29</v>
      </c>
      <c r="E1859" s="2">
        <v>107</v>
      </c>
      <c r="F1859" s="2">
        <v>150</v>
      </c>
      <c r="G1859" s="2">
        <v>484</v>
      </c>
      <c r="H1859" s="2">
        <v>1141.333333</v>
      </c>
      <c r="I1859" s="2">
        <v>2449.666667</v>
      </c>
      <c r="J1859" s="2">
        <v>1.38</v>
      </c>
      <c r="K1859" s="2">
        <v>4.78</v>
      </c>
      <c r="L1859" s="2">
        <v>9.34</v>
      </c>
      <c r="M1859" s="2">
        <v>14.36</v>
      </c>
      <c r="N1859" s="2">
        <v>0.95060519200000004</v>
      </c>
      <c r="O1859" s="2">
        <v>0.86553221499999999</v>
      </c>
      <c r="P1859" s="2">
        <v>1.8503393939999999</v>
      </c>
      <c r="Q1859" s="2">
        <v>1.8675852820000001</v>
      </c>
      <c r="R1859" s="2">
        <v>0.58258567100000003</v>
      </c>
      <c r="S1859" s="2">
        <v>0.59669353800000002</v>
      </c>
      <c r="T1859" s="2">
        <v>1.756231707</v>
      </c>
      <c r="U1859" s="2">
        <v>1.769698169</v>
      </c>
      <c r="V1859" s="2">
        <v>1.4115340599999999</v>
      </c>
      <c r="W1859" s="2">
        <v>0.16279238100000001</v>
      </c>
      <c r="X1859">
        <f t="shared" ref="X1859:X1922" si="87">IF(B1859="normal",1,0)</f>
        <v>0</v>
      </c>
      <c r="Y1859">
        <f t="shared" ref="Y1859:Y1922" si="88">IF(A1859="lecture",1,0)</f>
        <v>1</v>
      </c>
      <c r="Z1859">
        <f t="shared" ref="Z1859:Z1922" si="89">IF(ISNUMBER(FIND("~",D1859)),1,0)</f>
        <v>1</v>
      </c>
    </row>
    <row r="1860" spans="1:26" ht="15.75" customHeight="1" x14ac:dyDescent="0.2">
      <c r="A1860" s="2" t="s">
        <v>23</v>
      </c>
      <c r="B1860" s="2" t="s">
        <v>35</v>
      </c>
      <c r="C1860" s="2" t="s">
        <v>30</v>
      </c>
      <c r="D1860" s="2" t="s">
        <v>31</v>
      </c>
      <c r="E1860" s="2">
        <v>158</v>
      </c>
      <c r="F1860" s="2">
        <v>135.33333329999999</v>
      </c>
      <c r="G1860" s="2">
        <v>810.66666669999995</v>
      </c>
      <c r="H1860" s="2">
        <v>1128.666667</v>
      </c>
      <c r="I1860" s="2">
        <v>2702.666667</v>
      </c>
      <c r="J1860" s="2">
        <v>1.2</v>
      </c>
      <c r="K1860" s="2">
        <v>7.31</v>
      </c>
      <c r="L1860" s="2">
        <v>9.27</v>
      </c>
      <c r="M1860" s="2">
        <v>15.01</v>
      </c>
      <c r="N1860" s="2">
        <v>4.8489689819999997</v>
      </c>
      <c r="O1860" s="2">
        <v>4.7296306140000004</v>
      </c>
      <c r="P1860" s="2">
        <v>3.6128071880000001</v>
      </c>
      <c r="Q1860" s="2">
        <v>3.6317891040000001</v>
      </c>
      <c r="R1860" s="2">
        <v>3.117552173</v>
      </c>
      <c r="S1860" s="2">
        <v>3.1316600409999999</v>
      </c>
      <c r="T1860" s="2">
        <v>1.8257174549999999</v>
      </c>
      <c r="U1860" s="2">
        <v>1.8391839169999999</v>
      </c>
      <c r="V1860" s="2">
        <v>3.9465005620000002</v>
      </c>
      <c r="W1860" s="2">
        <v>0.17017736</v>
      </c>
      <c r="X1860">
        <f t="shared" si="87"/>
        <v>0</v>
      </c>
      <c r="Y1860">
        <f t="shared" si="88"/>
        <v>1</v>
      </c>
      <c r="Z1860">
        <f t="shared" si="89"/>
        <v>1</v>
      </c>
    </row>
    <row r="1861" spans="1:26" ht="15.75" customHeight="1" x14ac:dyDescent="0.2">
      <c r="A1861" s="2" t="s">
        <v>23</v>
      </c>
      <c r="B1861" s="2" t="s">
        <v>35</v>
      </c>
      <c r="C1861" s="2" t="s">
        <v>32</v>
      </c>
      <c r="D1861" s="2" t="s">
        <v>33</v>
      </c>
      <c r="E1861" s="2">
        <v>118</v>
      </c>
      <c r="F1861" s="2">
        <v>148.33333329999999</v>
      </c>
      <c r="G1861" s="2">
        <v>616</v>
      </c>
      <c r="H1861" s="2">
        <v>978</v>
      </c>
      <c r="I1861" s="2">
        <v>2816</v>
      </c>
      <c r="J1861" s="2">
        <v>1.36</v>
      </c>
      <c r="K1861" s="2">
        <v>5.88</v>
      </c>
      <c r="L1861" s="2">
        <v>8.39</v>
      </c>
      <c r="M1861" s="2">
        <v>15.28</v>
      </c>
      <c r="N1861" s="2">
        <v>2.9980402000000002</v>
      </c>
      <c r="O1861" s="2">
        <v>2.9933653179999999</v>
      </c>
      <c r="P1861" s="2">
        <v>3.180744963</v>
      </c>
      <c r="Q1861" s="2">
        <v>3.199642688</v>
      </c>
      <c r="R1861" s="2">
        <v>1.6843272920000001</v>
      </c>
      <c r="S1861" s="2">
        <v>1.698435159</v>
      </c>
      <c r="T1861" s="2">
        <v>2.6981808869999999</v>
      </c>
      <c r="U1861" s="2">
        <v>2.7116473480000001</v>
      </c>
      <c r="V1861" s="2">
        <v>2.5132756810000001</v>
      </c>
      <c r="W1861" s="2">
        <v>0.18010008999999999</v>
      </c>
      <c r="X1861">
        <f t="shared" si="87"/>
        <v>0</v>
      </c>
      <c r="Y1861">
        <f t="shared" si="88"/>
        <v>1</v>
      </c>
      <c r="Z1861">
        <f t="shared" si="89"/>
        <v>1</v>
      </c>
    </row>
    <row r="1862" spans="1:26" ht="15.75" customHeight="1" x14ac:dyDescent="0.2">
      <c r="A1862" s="2" t="s">
        <v>23</v>
      </c>
      <c r="B1862" s="2" t="s">
        <v>35</v>
      </c>
      <c r="C1862" s="2" t="s">
        <v>26</v>
      </c>
      <c r="D1862" s="2" t="s">
        <v>26</v>
      </c>
      <c r="E1862" s="2">
        <v>134</v>
      </c>
      <c r="F1862" s="2">
        <v>141.66666670000001</v>
      </c>
      <c r="G1862" s="2">
        <v>384.66666670000001</v>
      </c>
      <c r="H1862" s="2">
        <v>1085</v>
      </c>
      <c r="I1862" s="2">
        <v>2677</v>
      </c>
      <c r="J1862" s="2">
        <v>1.28</v>
      </c>
      <c r="K1862" s="2">
        <v>3.87</v>
      </c>
      <c r="L1862" s="2">
        <v>9.02</v>
      </c>
      <c r="M1862" s="2">
        <v>14.95</v>
      </c>
      <c r="N1862" s="2">
        <v>0.33097436899999999</v>
      </c>
      <c r="O1862" s="2">
        <v>0.20481196800000001</v>
      </c>
      <c r="P1862" s="2">
        <v>2.0955687520000001</v>
      </c>
      <c r="Q1862" s="2">
        <v>2.1067197960000001</v>
      </c>
      <c r="R1862" s="2">
        <v>0.32830359399999998</v>
      </c>
      <c r="S1862" s="2">
        <v>0.31419572699999998</v>
      </c>
      <c r="T1862" s="2">
        <v>2.0696920400000001</v>
      </c>
      <c r="U1862" s="2">
        <v>2.0831585019999999</v>
      </c>
      <c r="V1862" s="2">
        <v>0.50064479500000003</v>
      </c>
      <c r="W1862" s="2">
        <v>0.156929973</v>
      </c>
      <c r="X1862">
        <f t="shared" si="87"/>
        <v>0</v>
      </c>
      <c r="Y1862">
        <f t="shared" si="88"/>
        <v>1</v>
      </c>
      <c r="Z1862">
        <f t="shared" si="89"/>
        <v>0</v>
      </c>
    </row>
    <row r="1863" spans="1:26" ht="15.75" customHeight="1" x14ac:dyDescent="0.2">
      <c r="A1863" s="2" t="s">
        <v>23</v>
      </c>
      <c r="B1863" s="2" t="s">
        <v>35</v>
      </c>
      <c r="C1863" s="2" t="s">
        <v>32</v>
      </c>
      <c r="D1863" s="2" t="s">
        <v>33</v>
      </c>
      <c r="E1863" s="2">
        <v>120</v>
      </c>
      <c r="F1863" s="2">
        <v>139</v>
      </c>
      <c r="G1863" s="2">
        <v>642</v>
      </c>
      <c r="H1863" s="2">
        <v>1000.666667</v>
      </c>
      <c r="I1863" s="2">
        <v>2697.666667</v>
      </c>
      <c r="J1863" s="2">
        <v>1.25</v>
      </c>
      <c r="K1863" s="2">
        <v>6.08</v>
      </c>
      <c r="L1863" s="2">
        <v>8.5299999999999994</v>
      </c>
      <c r="M1863" s="2">
        <v>15</v>
      </c>
      <c r="N1863" s="2">
        <v>2.8787972040000001</v>
      </c>
      <c r="O1863" s="2">
        <v>2.8856089800000002</v>
      </c>
      <c r="P1863" s="2">
        <v>3.1820043789999999</v>
      </c>
      <c r="Q1863" s="2">
        <v>3.20121696</v>
      </c>
      <c r="R1863" s="2">
        <v>1.8881596279999999</v>
      </c>
      <c r="S1863" s="2">
        <v>1.9022674959999999</v>
      </c>
      <c r="T1863" s="2">
        <v>2.5612506879999999</v>
      </c>
      <c r="U1863" s="2">
        <v>2.5747171500000001</v>
      </c>
      <c r="V1863" s="2">
        <v>2.7171080170000002</v>
      </c>
      <c r="W1863" s="2">
        <v>0.13406593999999999</v>
      </c>
      <c r="X1863">
        <f t="shared" si="87"/>
        <v>0</v>
      </c>
      <c r="Y1863">
        <f t="shared" si="88"/>
        <v>1</v>
      </c>
      <c r="Z1863">
        <f t="shared" si="89"/>
        <v>1</v>
      </c>
    </row>
    <row r="1864" spans="1:26" ht="15.75" customHeight="1" x14ac:dyDescent="0.2">
      <c r="A1864" s="2" t="s">
        <v>23</v>
      </c>
      <c r="B1864" s="2" t="s">
        <v>35</v>
      </c>
      <c r="C1864" s="2" t="s">
        <v>28</v>
      </c>
      <c r="D1864" s="2" t="s">
        <v>29</v>
      </c>
      <c r="E1864" s="2">
        <v>100</v>
      </c>
      <c r="F1864" s="2">
        <v>151.33333329999999</v>
      </c>
      <c r="G1864" s="2">
        <v>708.66666669999995</v>
      </c>
      <c r="H1864" s="2">
        <v>1134</v>
      </c>
      <c r="I1864" s="2">
        <v>2931</v>
      </c>
      <c r="J1864" s="2">
        <v>1.39</v>
      </c>
      <c r="K1864" s="2">
        <v>6.59</v>
      </c>
      <c r="L1864" s="2">
        <v>9.3000000000000007</v>
      </c>
      <c r="M1864" s="2">
        <v>15.54</v>
      </c>
      <c r="N1864" s="2">
        <v>2.6100176959999999</v>
      </c>
      <c r="O1864" s="2">
        <v>2.5879267010000002</v>
      </c>
      <c r="P1864" s="2">
        <v>2.9919615739999998</v>
      </c>
      <c r="Q1864" s="2">
        <v>3.0113297910000001</v>
      </c>
      <c r="R1864" s="2">
        <v>2.3926582719999998</v>
      </c>
      <c r="S1864" s="2">
        <v>2.4067661390000001</v>
      </c>
      <c r="T1864" s="2">
        <v>1.796390953</v>
      </c>
      <c r="U1864" s="2">
        <v>1.809857415</v>
      </c>
      <c r="V1864" s="2">
        <v>3.221606661</v>
      </c>
      <c r="W1864" s="2">
        <v>0.106099153</v>
      </c>
      <c r="X1864">
        <f t="shared" si="87"/>
        <v>0</v>
      </c>
      <c r="Y1864">
        <f t="shared" si="88"/>
        <v>1</v>
      </c>
      <c r="Z1864">
        <f t="shared" si="89"/>
        <v>1</v>
      </c>
    </row>
    <row r="1865" spans="1:26" ht="15.75" customHeight="1" x14ac:dyDescent="0.2">
      <c r="A1865" s="2" t="s">
        <v>23</v>
      </c>
      <c r="B1865" s="2" t="s">
        <v>35</v>
      </c>
      <c r="C1865" s="2" t="s">
        <v>32</v>
      </c>
      <c r="D1865" s="2" t="s">
        <v>33</v>
      </c>
      <c r="E1865" s="2">
        <v>110</v>
      </c>
      <c r="F1865" s="2">
        <v>153.66666670000001</v>
      </c>
      <c r="G1865" s="2">
        <v>602.33333330000005</v>
      </c>
      <c r="H1865" s="2">
        <v>1008.666667</v>
      </c>
      <c r="I1865" s="2">
        <v>2926.666667</v>
      </c>
      <c r="J1865" s="2">
        <v>1.42</v>
      </c>
      <c r="K1865" s="2">
        <v>5.77</v>
      </c>
      <c r="L1865" s="2">
        <v>8.58</v>
      </c>
      <c r="M1865" s="2">
        <v>15.53</v>
      </c>
      <c r="N1865" s="2">
        <v>2.8100137749999998</v>
      </c>
      <c r="O1865" s="2">
        <v>2.8001041760000001</v>
      </c>
      <c r="P1865" s="2">
        <v>2.9664069940000002</v>
      </c>
      <c r="Q1865" s="2">
        <v>2.9853139280000001</v>
      </c>
      <c r="R1865" s="2">
        <v>1.5755260120000001</v>
      </c>
      <c r="S1865" s="2">
        <v>1.5896338800000001</v>
      </c>
      <c r="T1865" s="2">
        <v>2.5134216199999999</v>
      </c>
      <c r="U1865" s="2">
        <v>2.5268880810000001</v>
      </c>
      <c r="V1865" s="2">
        <v>2.4044744009999999</v>
      </c>
      <c r="W1865" s="2">
        <v>0.180995564</v>
      </c>
      <c r="X1865">
        <f t="shared" si="87"/>
        <v>0</v>
      </c>
      <c r="Y1865">
        <f t="shared" si="88"/>
        <v>1</v>
      </c>
      <c r="Z1865">
        <f t="shared" si="89"/>
        <v>1</v>
      </c>
    </row>
    <row r="1866" spans="1:26" ht="15.75" customHeight="1" x14ac:dyDescent="0.2">
      <c r="A1866" s="2" t="s">
        <v>23</v>
      </c>
      <c r="B1866" s="2" t="s">
        <v>35</v>
      </c>
      <c r="C1866" s="2" t="s">
        <v>25</v>
      </c>
      <c r="D1866" s="2" t="s">
        <v>25</v>
      </c>
      <c r="E1866" s="2">
        <v>116</v>
      </c>
      <c r="F1866" s="2">
        <v>146.33333329999999</v>
      </c>
      <c r="G1866" s="2">
        <v>573.66666669999995</v>
      </c>
      <c r="H1866" s="2">
        <v>1569.666667</v>
      </c>
      <c r="I1866" s="2">
        <v>2589.666667</v>
      </c>
      <c r="J1866" s="2">
        <v>1.33</v>
      </c>
      <c r="K1866" s="2">
        <v>5.54</v>
      </c>
      <c r="L1866" s="2">
        <v>11.39</v>
      </c>
      <c r="M1866" s="2">
        <v>14.73</v>
      </c>
      <c r="N1866" s="2">
        <v>0.19609410099999999</v>
      </c>
      <c r="O1866" s="2">
        <v>4.6278698E-2</v>
      </c>
      <c r="P1866" s="2">
        <v>1.3765627970000001</v>
      </c>
      <c r="Q1866" s="2">
        <v>1.3874926409999999</v>
      </c>
      <c r="R1866" s="2">
        <v>1.343495565</v>
      </c>
      <c r="S1866" s="2">
        <v>1.3576034320000001</v>
      </c>
      <c r="T1866" s="2">
        <v>0.29990798899999999</v>
      </c>
      <c r="U1866" s="2">
        <v>0.28644152699999997</v>
      </c>
      <c r="V1866" s="2">
        <v>2.1724439539999998</v>
      </c>
      <c r="W1866" s="2">
        <v>0.24708951700000001</v>
      </c>
      <c r="X1866">
        <f t="shared" si="87"/>
        <v>0</v>
      </c>
      <c r="Y1866">
        <f t="shared" si="88"/>
        <v>1</v>
      </c>
      <c r="Z1866">
        <f t="shared" si="89"/>
        <v>0</v>
      </c>
    </row>
    <row r="1867" spans="1:26" ht="15.75" customHeight="1" x14ac:dyDescent="0.2">
      <c r="A1867" s="2" t="s">
        <v>23</v>
      </c>
      <c r="B1867" s="2" t="s">
        <v>35</v>
      </c>
      <c r="C1867" s="2" t="s">
        <v>27</v>
      </c>
      <c r="D1867" s="2" t="s">
        <v>27</v>
      </c>
      <c r="E1867" s="2">
        <v>110</v>
      </c>
      <c r="F1867" s="2">
        <v>156.33333329999999</v>
      </c>
      <c r="G1867" s="2">
        <v>397</v>
      </c>
      <c r="H1867" s="2">
        <v>1908.666667</v>
      </c>
      <c r="I1867" s="2">
        <v>2568.333333</v>
      </c>
      <c r="J1867" s="2">
        <v>1.45</v>
      </c>
      <c r="K1867" s="2">
        <v>3.99</v>
      </c>
      <c r="L1867" s="2">
        <v>12.7</v>
      </c>
      <c r="M1867" s="2">
        <v>14.68</v>
      </c>
      <c r="N1867" s="2">
        <v>7.4580419999999994E-2</v>
      </c>
      <c r="O1867" s="2">
        <v>5.6258712000000002E-2</v>
      </c>
      <c r="P1867" s="2">
        <v>1.6182674669999999</v>
      </c>
      <c r="Q1867" s="2">
        <v>1.603122908</v>
      </c>
      <c r="R1867" s="2">
        <v>0.211032045</v>
      </c>
      <c r="S1867" s="2">
        <v>0.19692417700000001</v>
      </c>
      <c r="T1867" s="2">
        <v>1.604448525</v>
      </c>
      <c r="U1867" s="2">
        <v>1.590982063</v>
      </c>
      <c r="V1867" s="2">
        <v>0.61791634399999995</v>
      </c>
      <c r="W1867" s="2">
        <v>0.182413464</v>
      </c>
      <c r="X1867">
        <f t="shared" si="87"/>
        <v>0</v>
      </c>
      <c r="Y1867">
        <f t="shared" si="88"/>
        <v>1</v>
      </c>
      <c r="Z1867">
        <f t="shared" si="89"/>
        <v>0</v>
      </c>
    </row>
    <row r="1868" spans="1:26" ht="15.75" customHeight="1" x14ac:dyDescent="0.2">
      <c r="A1868" s="2" t="s">
        <v>23</v>
      </c>
      <c r="B1868" s="2" t="s">
        <v>35</v>
      </c>
      <c r="C1868" s="2" t="s">
        <v>30</v>
      </c>
      <c r="D1868" s="2" t="s">
        <v>31</v>
      </c>
      <c r="E1868" s="2">
        <v>100</v>
      </c>
      <c r="F1868" s="2">
        <v>144.66666670000001</v>
      </c>
      <c r="G1868" s="2">
        <v>631.33333330000005</v>
      </c>
      <c r="H1868" s="2">
        <v>1322</v>
      </c>
      <c r="I1868" s="2">
        <v>2722.333333</v>
      </c>
      <c r="J1868" s="2">
        <v>1.31</v>
      </c>
      <c r="K1868" s="2">
        <v>6</v>
      </c>
      <c r="L1868" s="2">
        <v>10.27</v>
      </c>
      <c r="M1868" s="2">
        <v>15.06</v>
      </c>
      <c r="N1868" s="2">
        <v>3.227093966</v>
      </c>
      <c r="O1868" s="2">
        <v>3.1039954239999998</v>
      </c>
      <c r="P1868" s="2">
        <v>1.984019736</v>
      </c>
      <c r="Q1868" s="2">
        <v>2.0024547359999998</v>
      </c>
      <c r="R1868" s="2">
        <v>1.805030919</v>
      </c>
      <c r="S1868" s="2">
        <v>1.819138787</v>
      </c>
      <c r="T1868" s="2">
        <v>0.82352759099999995</v>
      </c>
      <c r="U1868" s="2">
        <v>0.83699405199999999</v>
      </c>
      <c r="V1868" s="2">
        <v>2.6339793079999998</v>
      </c>
      <c r="W1868" s="2">
        <v>0.191716213</v>
      </c>
      <c r="X1868">
        <f t="shared" si="87"/>
        <v>0</v>
      </c>
      <c r="Y1868">
        <f t="shared" si="88"/>
        <v>1</v>
      </c>
      <c r="Z1868">
        <f t="shared" si="89"/>
        <v>1</v>
      </c>
    </row>
    <row r="1869" spans="1:26" ht="15.75" customHeight="1" x14ac:dyDescent="0.2">
      <c r="A1869" s="2" t="s">
        <v>23</v>
      </c>
      <c r="B1869" s="2" t="s">
        <v>35</v>
      </c>
      <c r="C1869" s="2" t="s">
        <v>25</v>
      </c>
      <c r="D1869" s="2" t="s">
        <v>25</v>
      </c>
      <c r="E1869" s="2">
        <v>109</v>
      </c>
      <c r="F1869" s="2">
        <v>140.66666670000001</v>
      </c>
      <c r="G1869" s="2">
        <v>601.33333330000005</v>
      </c>
      <c r="H1869" s="2">
        <v>1692</v>
      </c>
      <c r="I1869" s="2">
        <v>2602</v>
      </c>
      <c r="J1869" s="2">
        <v>1.27</v>
      </c>
      <c r="K1869" s="2">
        <v>5.76</v>
      </c>
      <c r="L1869" s="2">
        <v>11.89</v>
      </c>
      <c r="M1869" s="2">
        <v>14.76</v>
      </c>
      <c r="N1869" s="2">
        <v>0.50301676900000003</v>
      </c>
      <c r="O1869" s="2">
        <v>0.54945054299999996</v>
      </c>
      <c r="P1869" s="2">
        <v>1.7592272170000001</v>
      </c>
      <c r="Q1869" s="2">
        <v>1.765780516</v>
      </c>
      <c r="R1869" s="2">
        <v>1.567519356</v>
      </c>
      <c r="S1869" s="2">
        <v>1.581627224</v>
      </c>
      <c r="T1869" s="2">
        <v>0.79860094299999995</v>
      </c>
      <c r="U1869" s="2">
        <v>0.78513448200000002</v>
      </c>
      <c r="V1869" s="2">
        <v>2.3964677449999998</v>
      </c>
      <c r="W1869" s="2">
        <v>0.20289863699999999</v>
      </c>
      <c r="X1869">
        <f t="shared" si="87"/>
        <v>0</v>
      </c>
      <c r="Y1869">
        <f t="shared" si="88"/>
        <v>1</v>
      </c>
      <c r="Z1869">
        <f t="shared" si="89"/>
        <v>0</v>
      </c>
    </row>
    <row r="1870" spans="1:26" ht="15.75" customHeight="1" x14ac:dyDescent="0.2">
      <c r="A1870" s="2" t="s">
        <v>23</v>
      </c>
      <c r="B1870" s="2" t="s">
        <v>35</v>
      </c>
      <c r="C1870" s="2" t="s">
        <v>30</v>
      </c>
      <c r="D1870" s="2" t="s">
        <v>31</v>
      </c>
      <c r="E1870" s="2">
        <v>174</v>
      </c>
      <c r="F1870" s="2">
        <v>141.33333329999999</v>
      </c>
      <c r="G1870" s="2">
        <v>662.33333330000005</v>
      </c>
      <c r="H1870" s="2">
        <v>1305</v>
      </c>
      <c r="I1870" s="2">
        <v>2734.666667</v>
      </c>
      <c r="J1870" s="2">
        <v>1.27</v>
      </c>
      <c r="K1870" s="2">
        <v>6.24</v>
      </c>
      <c r="L1870" s="2">
        <v>10.19</v>
      </c>
      <c r="M1870" s="2">
        <v>15.09</v>
      </c>
      <c r="N1870" s="2">
        <v>3.446009004</v>
      </c>
      <c r="O1870" s="2">
        <v>3.3247067050000001</v>
      </c>
      <c r="P1870" s="2">
        <v>2.2368409069999999</v>
      </c>
      <c r="Q1870" s="2">
        <v>2.2552066439999998</v>
      </c>
      <c r="R1870" s="2">
        <v>2.0447504410000001</v>
      </c>
      <c r="S1870" s="2">
        <v>2.058858308</v>
      </c>
      <c r="T1870" s="2">
        <v>0.90689187900000001</v>
      </c>
      <c r="U1870" s="2">
        <v>0.92035834000000005</v>
      </c>
      <c r="V1870" s="2">
        <v>2.8736988299999999</v>
      </c>
      <c r="W1870" s="2">
        <v>0.17758817800000001</v>
      </c>
      <c r="X1870">
        <f t="shared" si="87"/>
        <v>0</v>
      </c>
      <c r="Y1870">
        <f t="shared" si="88"/>
        <v>1</v>
      </c>
      <c r="Z1870">
        <f t="shared" si="89"/>
        <v>1</v>
      </c>
    </row>
    <row r="1871" spans="1:26" ht="15.75" customHeight="1" x14ac:dyDescent="0.2">
      <c r="A1871" s="2" t="s">
        <v>23</v>
      </c>
      <c r="B1871" s="2" t="s">
        <v>35</v>
      </c>
      <c r="C1871" s="2" t="s">
        <v>25</v>
      </c>
      <c r="D1871" s="2" t="s">
        <v>25</v>
      </c>
      <c r="E1871" s="2">
        <v>157</v>
      </c>
      <c r="F1871" s="2">
        <v>115</v>
      </c>
      <c r="G1871" s="2">
        <v>670.33333330000005</v>
      </c>
      <c r="H1871" s="2">
        <v>1351</v>
      </c>
      <c r="I1871" s="2">
        <v>2264</v>
      </c>
      <c r="J1871" s="2">
        <v>0.96</v>
      </c>
      <c r="K1871" s="2">
        <v>6.3</v>
      </c>
      <c r="L1871" s="2">
        <v>10.41</v>
      </c>
      <c r="M1871" s="2">
        <v>13.84</v>
      </c>
      <c r="N1871" s="2">
        <v>0.35384168999999999</v>
      </c>
      <c r="O1871" s="2">
        <v>0.47698993299999998</v>
      </c>
      <c r="P1871" s="2">
        <v>2.0470013429999998</v>
      </c>
      <c r="Q1871" s="2">
        <v>1.9604339660000001</v>
      </c>
      <c r="R1871" s="2">
        <v>1.980332472</v>
      </c>
      <c r="S1871" s="2">
        <v>1.919474914</v>
      </c>
      <c r="T1871" s="2">
        <v>0.51816773299999996</v>
      </c>
      <c r="U1871" s="2">
        <v>0.39864443999999999</v>
      </c>
      <c r="V1871" s="2">
        <v>2.8541342279999999</v>
      </c>
      <c r="W1871" s="2">
        <v>7.5600027E-2</v>
      </c>
      <c r="X1871">
        <f t="shared" si="87"/>
        <v>0</v>
      </c>
      <c r="Y1871">
        <f t="shared" si="88"/>
        <v>1</v>
      </c>
      <c r="Z1871">
        <f t="shared" si="89"/>
        <v>0</v>
      </c>
    </row>
    <row r="1872" spans="1:26" ht="15.75" customHeight="1" x14ac:dyDescent="0.2">
      <c r="A1872" s="2" t="s">
        <v>23</v>
      </c>
      <c r="B1872" s="2" t="s">
        <v>35</v>
      </c>
      <c r="C1872" s="2" t="s">
        <v>26</v>
      </c>
      <c r="D1872" s="2" t="s">
        <v>26</v>
      </c>
      <c r="E1872" s="2">
        <v>177</v>
      </c>
      <c r="F1872" s="2">
        <v>118.66666669999999</v>
      </c>
      <c r="G1872" s="2">
        <v>547</v>
      </c>
      <c r="H1872" s="2">
        <v>1507.666667</v>
      </c>
      <c r="I1872" s="2">
        <v>3011</v>
      </c>
      <c r="J1872" s="2">
        <v>1</v>
      </c>
      <c r="K1872" s="2">
        <v>5.32</v>
      </c>
      <c r="L1872" s="2">
        <v>11.13</v>
      </c>
      <c r="M1872" s="2">
        <v>15.71</v>
      </c>
      <c r="N1872" s="2">
        <v>3.34270757</v>
      </c>
      <c r="O1872" s="2">
        <v>2.8245938709999998</v>
      </c>
      <c r="P1872" s="2">
        <v>1.017153108</v>
      </c>
      <c r="Q1872" s="2">
        <v>0.98929853800000001</v>
      </c>
      <c r="R1872" s="2">
        <v>0.99752549199999996</v>
      </c>
      <c r="S1872" s="2">
        <v>0.93666793400000004</v>
      </c>
      <c r="T1872" s="2">
        <v>0.198855064</v>
      </c>
      <c r="U1872" s="2">
        <v>0.318378357</v>
      </c>
      <c r="V1872" s="2">
        <v>1.8713272480000001</v>
      </c>
      <c r="W1872" s="2">
        <v>6.3476560000000001E-2</v>
      </c>
      <c r="X1872">
        <f t="shared" si="87"/>
        <v>0</v>
      </c>
      <c r="Y1872">
        <f t="shared" si="88"/>
        <v>1</v>
      </c>
      <c r="Z1872">
        <f t="shared" si="89"/>
        <v>0</v>
      </c>
    </row>
    <row r="1873" spans="1:26" ht="15.75" customHeight="1" x14ac:dyDescent="0.2">
      <c r="A1873" s="2" t="s">
        <v>23</v>
      </c>
      <c r="B1873" s="2" t="s">
        <v>35</v>
      </c>
      <c r="C1873" s="2" t="s">
        <v>27</v>
      </c>
      <c r="D1873" s="2" t="s">
        <v>27</v>
      </c>
      <c r="E1873" s="2">
        <v>131</v>
      </c>
      <c r="F1873" s="2">
        <v>111.66666669999999</v>
      </c>
      <c r="G1873" s="2">
        <v>353.66666670000001</v>
      </c>
      <c r="H1873" s="2">
        <v>1823.333333</v>
      </c>
      <c r="I1873" s="2">
        <v>2396.333333</v>
      </c>
      <c r="J1873" s="2">
        <v>0.92</v>
      </c>
      <c r="K1873" s="2">
        <v>3.57</v>
      </c>
      <c r="L1873" s="2">
        <v>12.39</v>
      </c>
      <c r="M1873" s="2">
        <v>14.22</v>
      </c>
      <c r="N1873" s="2">
        <v>0.40359619600000002</v>
      </c>
      <c r="O1873" s="2">
        <v>0.59787928199999996</v>
      </c>
      <c r="P1873" s="2">
        <v>1.646035328</v>
      </c>
      <c r="Q1873" s="2">
        <v>1.780158672</v>
      </c>
      <c r="R1873" s="2">
        <v>0.75395175699999994</v>
      </c>
      <c r="S1873" s="2">
        <v>0.81480931599999995</v>
      </c>
      <c r="T1873" s="2">
        <v>1.4632118940000001</v>
      </c>
      <c r="U1873" s="2">
        <v>1.582735188</v>
      </c>
      <c r="V1873" s="2">
        <v>0.119849999</v>
      </c>
      <c r="W1873" s="2">
        <v>4.0724147000000002E-2</v>
      </c>
      <c r="X1873">
        <f t="shared" si="87"/>
        <v>0</v>
      </c>
      <c r="Y1873">
        <f t="shared" si="88"/>
        <v>1</v>
      </c>
      <c r="Z1873">
        <f t="shared" si="89"/>
        <v>0</v>
      </c>
    </row>
    <row r="1874" spans="1:26" ht="15.75" customHeight="1" x14ac:dyDescent="0.2">
      <c r="A1874" s="2" t="s">
        <v>23</v>
      </c>
      <c r="B1874" s="2" t="s">
        <v>35</v>
      </c>
      <c r="C1874" s="2" t="s">
        <v>28</v>
      </c>
      <c r="D1874" s="2" t="s">
        <v>29</v>
      </c>
      <c r="E1874" s="2">
        <v>120</v>
      </c>
      <c r="F1874" s="2">
        <v>106</v>
      </c>
      <c r="G1874" s="2">
        <v>527.66666669999995</v>
      </c>
      <c r="H1874" s="2">
        <v>1622.333333</v>
      </c>
      <c r="I1874" s="2">
        <v>2294</v>
      </c>
      <c r="J1874" s="2">
        <v>0.85</v>
      </c>
      <c r="K1874" s="2">
        <v>5.16</v>
      </c>
      <c r="L1874" s="2">
        <v>11.61</v>
      </c>
      <c r="M1874" s="2">
        <v>13.93</v>
      </c>
      <c r="N1874" s="2">
        <v>3.7772439910000002</v>
      </c>
      <c r="O1874" s="2">
        <v>3.2628917560000001</v>
      </c>
      <c r="P1874" s="2">
        <v>1.079041793</v>
      </c>
      <c r="Q1874" s="2">
        <v>1.1154456420000001</v>
      </c>
      <c r="R1874" s="2">
        <v>0.83462848599999995</v>
      </c>
      <c r="S1874" s="2">
        <v>0.77377092700000005</v>
      </c>
      <c r="T1874" s="2">
        <v>0.68390531700000001</v>
      </c>
      <c r="U1874" s="2">
        <v>0.80342860999999999</v>
      </c>
      <c r="V1874" s="2">
        <v>1.7084302419999999</v>
      </c>
      <c r="W1874" s="2">
        <v>3.8721357999999997E-2</v>
      </c>
      <c r="X1874">
        <f t="shared" si="87"/>
        <v>0</v>
      </c>
      <c r="Y1874">
        <f t="shared" si="88"/>
        <v>1</v>
      </c>
      <c r="Z1874">
        <f t="shared" si="89"/>
        <v>1</v>
      </c>
    </row>
    <row r="1875" spans="1:26" ht="15.75" customHeight="1" x14ac:dyDescent="0.2">
      <c r="A1875" s="2" t="s">
        <v>23</v>
      </c>
      <c r="B1875" s="2" t="s">
        <v>35</v>
      </c>
      <c r="C1875" s="2" t="s">
        <v>30</v>
      </c>
      <c r="D1875" s="2" t="s">
        <v>31</v>
      </c>
      <c r="E1875" s="2">
        <v>142</v>
      </c>
      <c r="F1875" s="2">
        <v>118</v>
      </c>
      <c r="G1875" s="2">
        <v>574</v>
      </c>
      <c r="H1875" s="2">
        <v>1333.666667</v>
      </c>
      <c r="I1875" s="2">
        <v>2155</v>
      </c>
      <c r="J1875" s="2">
        <v>0.99</v>
      </c>
      <c r="K1875" s="2">
        <v>5.54</v>
      </c>
      <c r="L1875" s="2">
        <v>10.33</v>
      </c>
      <c r="M1875" s="2">
        <v>13.51</v>
      </c>
      <c r="N1875" s="2">
        <v>2.550343088</v>
      </c>
      <c r="O1875" s="2">
        <v>2.3167266299999998</v>
      </c>
      <c r="P1875" s="2">
        <v>1.361076199</v>
      </c>
      <c r="Q1875" s="2">
        <v>1.256220168</v>
      </c>
      <c r="R1875" s="2">
        <v>1.220859935</v>
      </c>
      <c r="S1875" s="2">
        <v>1.160002376</v>
      </c>
      <c r="T1875" s="2">
        <v>0.60168882199999996</v>
      </c>
      <c r="U1875" s="2">
        <v>0.48216552899999998</v>
      </c>
      <c r="V1875" s="2">
        <v>2.0946616910000002</v>
      </c>
      <c r="W1875" s="2">
        <v>4.4945416000000002E-2</v>
      </c>
      <c r="X1875">
        <f t="shared" si="87"/>
        <v>0</v>
      </c>
      <c r="Y1875">
        <f t="shared" si="88"/>
        <v>1</v>
      </c>
      <c r="Z1875">
        <f t="shared" si="89"/>
        <v>1</v>
      </c>
    </row>
    <row r="1876" spans="1:26" ht="15.75" customHeight="1" x14ac:dyDescent="0.2">
      <c r="A1876" s="2" t="s">
        <v>23</v>
      </c>
      <c r="B1876" s="2" t="s">
        <v>35</v>
      </c>
      <c r="C1876" s="2" t="s">
        <v>26</v>
      </c>
      <c r="D1876" s="2" t="s">
        <v>26</v>
      </c>
      <c r="E1876" s="2">
        <v>170</v>
      </c>
      <c r="F1876" s="2">
        <v>128</v>
      </c>
      <c r="G1876" s="2">
        <v>477</v>
      </c>
      <c r="H1876" s="2">
        <v>1625.666667</v>
      </c>
      <c r="I1876" s="2">
        <v>3036</v>
      </c>
      <c r="J1876" s="2">
        <v>1.1100000000000001</v>
      </c>
      <c r="K1876" s="2">
        <v>4.72</v>
      </c>
      <c r="L1876" s="2">
        <v>11.63</v>
      </c>
      <c r="M1876" s="2">
        <v>15.76</v>
      </c>
      <c r="N1876" s="2">
        <v>3.7306301660000001</v>
      </c>
      <c r="O1876" s="2">
        <v>3.2287278910000001</v>
      </c>
      <c r="P1876" s="2">
        <v>0.80184525600000001</v>
      </c>
      <c r="Q1876" s="2">
        <v>0.88292485499999995</v>
      </c>
      <c r="R1876" s="2">
        <v>0.395463707</v>
      </c>
      <c r="S1876" s="2">
        <v>0.33460614799999999</v>
      </c>
      <c r="T1876" s="2">
        <v>0.69754159100000002</v>
      </c>
      <c r="U1876" s="2">
        <v>0.81706488399999999</v>
      </c>
      <c r="V1876" s="2">
        <v>1.269265463</v>
      </c>
      <c r="W1876" s="2">
        <v>8.2648324999999995E-2</v>
      </c>
      <c r="X1876">
        <f t="shared" si="87"/>
        <v>0</v>
      </c>
      <c r="Y1876">
        <f t="shared" si="88"/>
        <v>1</v>
      </c>
      <c r="Z1876">
        <f t="shared" si="89"/>
        <v>0</v>
      </c>
    </row>
    <row r="1877" spans="1:26" ht="15.75" customHeight="1" x14ac:dyDescent="0.2">
      <c r="A1877" s="2" t="s">
        <v>23</v>
      </c>
      <c r="B1877" s="2" t="s">
        <v>35</v>
      </c>
      <c r="C1877" s="2" t="s">
        <v>28</v>
      </c>
      <c r="D1877" s="2" t="s">
        <v>29</v>
      </c>
      <c r="E1877" s="2">
        <v>161</v>
      </c>
      <c r="F1877" s="2">
        <v>148</v>
      </c>
      <c r="G1877" s="2">
        <v>536.66666669999995</v>
      </c>
      <c r="H1877" s="2">
        <v>1411</v>
      </c>
      <c r="I1877" s="2">
        <v>2218.666667</v>
      </c>
      <c r="J1877" s="2">
        <v>1.35</v>
      </c>
      <c r="K1877" s="2">
        <v>5.23</v>
      </c>
      <c r="L1877" s="2">
        <v>10.69</v>
      </c>
      <c r="M1877" s="2">
        <v>13.7</v>
      </c>
      <c r="N1877" s="2">
        <v>2.9010008479999998</v>
      </c>
      <c r="O1877" s="2">
        <v>2.3826251900000002</v>
      </c>
      <c r="P1877" s="2">
        <v>0.94077516500000002</v>
      </c>
      <c r="Q1877" s="2">
        <v>0.85781808199999998</v>
      </c>
      <c r="R1877" s="2">
        <v>0.91077370599999996</v>
      </c>
      <c r="S1877" s="2">
        <v>0.84991614699999996</v>
      </c>
      <c r="T1877" s="2">
        <v>0.23568871</v>
      </c>
      <c r="U1877" s="2">
        <v>0.11616541700000001</v>
      </c>
      <c r="V1877" s="2">
        <v>1.7845754620000001</v>
      </c>
      <c r="W1877" s="2">
        <v>8.0884415000000001E-2</v>
      </c>
      <c r="X1877">
        <f t="shared" si="87"/>
        <v>0</v>
      </c>
      <c r="Y1877">
        <f t="shared" si="88"/>
        <v>1</v>
      </c>
      <c r="Z1877">
        <f t="shared" si="89"/>
        <v>1</v>
      </c>
    </row>
    <row r="1878" spans="1:26" ht="15.75" customHeight="1" x14ac:dyDescent="0.2">
      <c r="A1878" s="2" t="s">
        <v>23</v>
      </c>
      <c r="B1878" s="2" t="s">
        <v>35</v>
      </c>
      <c r="C1878" s="2" t="s">
        <v>32</v>
      </c>
      <c r="D1878" s="2" t="s">
        <v>33</v>
      </c>
      <c r="E1878" s="2">
        <v>160</v>
      </c>
      <c r="F1878" s="2">
        <v>130.33333329999999</v>
      </c>
      <c r="G1878" s="2">
        <v>593</v>
      </c>
      <c r="H1878" s="2">
        <v>1175.666667</v>
      </c>
      <c r="I1878" s="2">
        <v>2233.333333</v>
      </c>
      <c r="J1878" s="2">
        <v>1.1399999999999999</v>
      </c>
      <c r="K1878" s="2">
        <v>5.7</v>
      </c>
      <c r="L1878" s="2">
        <v>9.52</v>
      </c>
      <c r="M1878" s="2">
        <v>13.75</v>
      </c>
      <c r="N1878" s="2">
        <v>0.96255642699999999</v>
      </c>
      <c r="O1878" s="2">
        <v>0.95301212800000001</v>
      </c>
      <c r="P1878" s="2">
        <v>1.966422578</v>
      </c>
      <c r="Q1878" s="2">
        <v>1.838865237</v>
      </c>
      <c r="R1878" s="2">
        <v>1.375189475</v>
      </c>
      <c r="S1878" s="2">
        <v>1.314331916</v>
      </c>
      <c r="T1878" s="2">
        <v>1.405585879</v>
      </c>
      <c r="U1878" s="2">
        <v>1.286062585</v>
      </c>
      <c r="V1878" s="2">
        <v>2.2489912300000001</v>
      </c>
      <c r="W1878" s="2">
        <v>5.2291319000000003E-2</v>
      </c>
      <c r="X1878">
        <f t="shared" si="87"/>
        <v>0</v>
      </c>
      <c r="Y1878">
        <f t="shared" si="88"/>
        <v>1</v>
      </c>
      <c r="Z1878">
        <f t="shared" si="89"/>
        <v>1</v>
      </c>
    </row>
    <row r="1879" spans="1:26" ht="15.75" customHeight="1" x14ac:dyDescent="0.2">
      <c r="A1879" s="2" t="s">
        <v>23</v>
      </c>
      <c r="B1879" s="2" t="s">
        <v>35</v>
      </c>
      <c r="C1879" s="2" t="s">
        <v>32</v>
      </c>
      <c r="D1879" s="2" t="s">
        <v>33</v>
      </c>
      <c r="E1879" s="2">
        <v>168</v>
      </c>
      <c r="F1879" s="2">
        <v>117.33333330000001</v>
      </c>
      <c r="G1879" s="2">
        <v>633.66666669999995</v>
      </c>
      <c r="H1879" s="2">
        <v>1313.333333</v>
      </c>
      <c r="I1879" s="2">
        <v>2226.333333</v>
      </c>
      <c r="J1879" s="2">
        <v>0.98</v>
      </c>
      <c r="K1879" s="2">
        <v>6.02</v>
      </c>
      <c r="L1879" s="2">
        <v>10.23</v>
      </c>
      <c r="M1879" s="2">
        <v>13.73</v>
      </c>
      <c r="N1879" s="2">
        <v>0.23413430700000001</v>
      </c>
      <c r="O1879" s="2">
        <v>0.30615652799999998</v>
      </c>
      <c r="P1879" s="2">
        <v>1.836847522</v>
      </c>
      <c r="Q1879" s="2">
        <v>1.737185891</v>
      </c>
      <c r="R1879" s="2">
        <v>1.697909924</v>
      </c>
      <c r="S1879" s="2">
        <v>1.637052366</v>
      </c>
      <c r="T1879" s="2">
        <v>0.70079291499999996</v>
      </c>
      <c r="U1879" s="2">
        <v>0.58126962100000001</v>
      </c>
      <c r="V1879" s="2">
        <v>2.5717116799999999</v>
      </c>
      <c r="W1879" s="2">
        <v>6.3476389999999994E-2</v>
      </c>
      <c r="X1879">
        <f t="shared" si="87"/>
        <v>0</v>
      </c>
      <c r="Y1879">
        <f t="shared" si="88"/>
        <v>1</v>
      </c>
      <c r="Z1879">
        <f t="shared" si="89"/>
        <v>1</v>
      </c>
    </row>
    <row r="1880" spans="1:26" ht="15.75" customHeight="1" x14ac:dyDescent="0.2">
      <c r="A1880" s="2" t="s">
        <v>23</v>
      </c>
      <c r="B1880" s="2" t="s">
        <v>35</v>
      </c>
      <c r="C1880" s="2" t="s">
        <v>25</v>
      </c>
      <c r="D1880" s="2" t="s">
        <v>25</v>
      </c>
      <c r="E1880" s="2">
        <v>211</v>
      </c>
      <c r="F1880" s="2">
        <v>115</v>
      </c>
      <c r="G1880" s="2">
        <v>630.66666669999995</v>
      </c>
      <c r="H1880" s="2">
        <v>1441.666667</v>
      </c>
      <c r="I1880" s="2">
        <v>2329.666667</v>
      </c>
      <c r="J1880" s="2">
        <v>0.96</v>
      </c>
      <c r="K1880" s="2">
        <v>6</v>
      </c>
      <c r="L1880" s="2">
        <v>10.83</v>
      </c>
      <c r="M1880" s="2">
        <v>14.03</v>
      </c>
      <c r="N1880" s="2">
        <v>0.38461357400000001</v>
      </c>
      <c r="O1880" s="2">
        <v>0.40309582100000002</v>
      </c>
      <c r="P1880" s="2">
        <v>1.6771505710000001</v>
      </c>
      <c r="Q1880" s="2">
        <v>1.613775199</v>
      </c>
      <c r="R1880" s="2">
        <v>1.6744488200000001</v>
      </c>
      <c r="S1880" s="2">
        <v>1.6135912619999999</v>
      </c>
      <c r="T1880" s="2">
        <v>9.5158741000000005E-2</v>
      </c>
      <c r="U1880" s="2">
        <v>2.4364552000000001E-2</v>
      </c>
      <c r="V1880" s="2">
        <v>2.548250576</v>
      </c>
      <c r="W1880" s="2">
        <v>6.5504332999999998E-2</v>
      </c>
      <c r="X1880">
        <f t="shared" si="87"/>
        <v>0</v>
      </c>
      <c r="Y1880">
        <f t="shared" si="88"/>
        <v>1</v>
      </c>
      <c r="Z1880">
        <f t="shared" si="89"/>
        <v>0</v>
      </c>
    </row>
    <row r="1881" spans="1:26" ht="15.75" customHeight="1" x14ac:dyDescent="0.2">
      <c r="A1881" s="2" t="s">
        <v>23</v>
      </c>
      <c r="B1881" s="2" t="s">
        <v>35</v>
      </c>
      <c r="C1881" s="2" t="s">
        <v>32</v>
      </c>
      <c r="D1881" s="2" t="s">
        <v>33</v>
      </c>
      <c r="E1881" s="2">
        <v>142</v>
      </c>
      <c r="F1881" s="2">
        <v>115.33333330000001</v>
      </c>
      <c r="G1881" s="2">
        <v>664</v>
      </c>
      <c r="H1881" s="2">
        <v>1368.333333</v>
      </c>
      <c r="I1881" s="2">
        <v>2173</v>
      </c>
      <c r="J1881" s="2">
        <v>0.96</v>
      </c>
      <c r="K1881" s="2">
        <v>6.25</v>
      </c>
      <c r="L1881" s="2">
        <v>10.49</v>
      </c>
      <c r="M1881" s="2">
        <v>13.57</v>
      </c>
      <c r="N1881" s="2">
        <v>0.306061162</v>
      </c>
      <c r="O1881" s="2">
        <v>0.42622092499999997</v>
      </c>
      <c r="P1881" s="2">
        <v>1.9805909230000001</v>
      </c>
      <c r="Q1881" s="2">
        <v>1.8977496140000001</v>
      </c>
      <c r="R1881" s="2">
        <v>1.9321143140000001</v>
      </c>
      <c r="S1881" s="2">
        <v>1.871256756</v>
      </c>
      <c r="T1881" s="2">
        <v>0.43551656799999999</v>
      </c>
      <c r="U1881" s="2">
        <v>0.31599327500000002</v>
      </c>
      <c r="V1881" s="2">
        <v>2.8059160699999999</v>
      </c>
      <c r="W1881" s="2">
        <v>6.3009682999999997E-2</v>
      </c>
      <c r="X1881">
        <f t="shared" si="87"/>
        <v>0</v>
      </c>
      <c r="Y1881">
        <f t="shared" si="88"/>
        <v>1</v>
      </c>
      <c r="Z1881">
        <f t="shared" si="89"/>
        <v>1</v>
      </c>
    </row>
    <row r="1882" spans="1:26" ht="15.75" customHeight="1" x14ac:dyDescent="0.2">
      <c r="A1882" s="2" t="s">
        <v>23</v>
      </c>
      <c r="B1882" s="2" t="s">
        <v>35</v>
      </c>
      <c r="C1882" s="2" t="s">
        <v>32</v>
      </c>
      <c r="D1882" s="2" t="s">
        <v>33</v>
      </c>
      <c r="E1882" s="2">
        <v>200</v>
      </c>
      <c r="F1882" s="2">
        <v>127</v>
      </c>
      <c r="G1882" s="2">
        <v>617</v>
      </c>
      <c r="H1882" s="2">
        <v>1068.333333</v>
      </c>
      <c r="I1882" s="2">
        <v>1997.333333</v>
      </c>
      <c r="J1882" s="2">
        <v>1.1000000000000001</v>
      </c>
      <c r="K1882" s="2">
        <v>5.89</v>
      </c>
      <c r="L1882" s="2">
        <v>8.93</v>
      </c>
      <c r="M1882" s="2">
        <v>13</v>
      </c>
      <c r="N1882" s="2">
        <v>1.523739559</v>
      </c>
      <c r="O1882" s="2">
        <v>1.5390275849999999</v>
      </c>
      <c r="P1882" s="2">
        <v>2.5403299760000002</v>
      </c>
      <c r="Q1882" s="2">
        <v>2.408852301</v>
      </c>
      <c r="R1882" s="2">
        <v>1.566879226</v>
      </c>
      <c r="S1882" s="2">
        <v>1.506021667</v>
      </c>
      <c r="T1882" s="2">
        <v>1.9995414170000001</v>
      </c>
      <c r="U1882" s="2">
        <v>1.8800181229999999</v>
      </c>
      <c r="V1882" s="2">
        <v>2.4406809819999999</v>
      </c>
      <c r="W1882" s="2">
        <v>7.4018787000000003E-2</v>
      </c>
      <c r="X1882">
        <f t="shared" si="87"/>
        <v>0</v>
      </c>
      <c r="Y1882">
        <f t="shared" si="88"/>
        <v>1</v>
      </c>
      <c r="Z1882">
        <f t="shared" si="89"/>
        <v>1</v>
      </c>
    </row>
    <row r="1883" spans="1:26" ht="15.75" customHeight="1" x14ac:dyDescent="0.2">
      <c r="A1883" s="2" t="s">
        <v>23</v>
      </c>
      <c r="B1883" s="2" t="s">
        <v>35</v>
      </c>
      <c r="C1883" s="2" t="s">
        <v>25</v>
      </c>
      <c r="D1883" s="2" t="s">
        <v>25</v>
      </c>
      <c r="E1883" s="2">
        <v>118</v>
      </c>
      <c r="F1883" s="2">
        <v>123.66666669999999</v>
      </c>
      <c r="G1883" s="2">
        <v>595.33333330000005</v>
      </c>
      <c r="H1883" s="2">
        <v>1354.666667</v>
      </c>
      <c r="I1883" s="2">
        <v>2369.333333</v>
      </c>
      <c r="J1883" s="2">
        <v>1.06</v>
      </c>
      <c r="K1883" s="2">
        <v>5.72</v>
      </c>
      <c r="L1883" s="2">
        <v>10.43</v>
      </c>
      <c r="M1883" s="2">
        <v>14.14</v>
      </c>
      <c r="N1883" s="2">
        <v>0.236079596</v>
      </c>
      <c r="O1883" s="2">
        <v>0.119244451</v>
      </c>
      <c r="P1883" s="2">
        <v>1.481149386</v>
      </c>
      <c r="Q1883" s="2">
        <v>1.3865260580000001</v>
      </c>
      <c r="R1883" s="2">
        <v>1.3939839970000001</v>
      </c>
      <c r="S1883" s="2">
        <v>1.3331264389999999</v>
      </c>
      <c r="T1883" s="2">
        <v>0.50061174500000005</v>
      </c>
      <c r="U1883" s="2">
        <v>0.38108845200000002</v>
      </c>
      <c r="V1883" s="2">
        <v>2.2677857530000001</v>
      </c>
      <c r="W1883" s="2">
        <v>8.0236088999999997E-2</v>
      </c>
      <c r="X1883">
        <f t="shared" si="87"/>
        <v>0</v>
      </c>
      <c r="Y1883">
        <f t="shared" si="88"/>
        <v>1</v>
      </c>
      <c r="Z1883">
        <f t="shared" si="89"/>
        <v>0</v>
      </c>
    </row>
    <row r="1884" spans="1:26" ht="15.75" customHeight="1" x14ac:dyDescent="0.2">
      <c r="A1884" s="2" t="s">
        <v>23</v>
      </c>
      <c r="B1884" s="2" t="s">
        <v>35</v>
      </c>
      <c r="C1884" s="2" t="s">
        <v>25</v>
      </c>
      <c r="D1884" s="2" t="s">
        <v>25</v>
      </c>
      <c r="E1884" s="2">
        <v>152</v>
      </c>
      <c r="F1884" s="2">
        <v>118</v>
      </c>
      <c r="G1884" s="2">
        <v>672</v>
      </c>
      <c r="H1884" s="2">
        <v>1376.666667</v>
      </c>
      <c r="I1884" s="2">
        <v>2269.666667</v>
      </c>
      <c r="J1884" s="2">
        <v>0.99</v>
      </c>
      <c r="K1884" s="2">
        <v>6.32</v>
      </c>
      <c r="L1884" s="2">
        <v>10.53</v>
      </c>
      <c r="M1884" s="2">
        <v>13.86</v>
      </c>
      <c r="N1884" s="2">
        <v>0.37299299299999999</v>
      </c>
      <c r="O1884" s="2">
        <v>0.49069048399999998</v>
      </c>
      <c r="P1884" s="2">
        <v>2.0319608769999999</v>
      </c>
      <c r="Q1884" s="2">
        <v>1.9518184569999999</v>
      </c>
      <c r="R1884" s="2">
        <v>1.992982893</v>
      </c>
      <c r="S1884" s="2">
        <v>1.932125334</v>
      </c>
      <c r="T1884" s="2">
        <v>0.396086094</v>
      </c>
      <c r="U1884" s="2">
        <v>0.27656280100000002</v>
      </c>
      <c r="V1884" s="2">
        <v>2.8667846479999999</v>
      </c>
      <c r="W1884" s="2">
        <v>9.7057676999999995E-2</v>
      </c>
      <c r="X1884">
        <f t="shared" si="87"/>
        <v>0</v>
      </c>
      <c r="Y1884">
        <f t="shared" si="88"/>
        <v>1</v>
      </c>
      <c r="Z1884">
        <f t="shared" si="89"/>
        <v>0</v>
      </c>
    </row>
    <row r="1885" spans="1:26" ht="15.75" customHeight="1" x14ac:dyDescent="0.2">
      <c r="A1885" s="2" t="s">
        <v>23</v>
      </c>
      <c r="B1885" s="2" t="s">
        <v>35</v>
      </c>
      <c r="C1885" s="2" t="s">
        <v>27</v>
      </c>
      <c r="D1885" s="2" t="s">
        <v>27</v>
      </c>
      <c r="E1885" s="2">
        <v>149</v>
      </c>
      <c r="F1885" s="2">
        <v>139</v>
      </c>
      <c r="G1885" s="2">
        <v>387.66666670000001</v>
      </c>
      <c r="H1885" s="2">
        <v>1809.333333</v>
      </c>
      <c r="I1885" s="2">
        <v>2381</v>
      </c>
      <c r="J1885" s="2">
        <v>1.25</v>
      </c>
      <c r="K1885" s="2">
        <v>3.9</v>
      </c>
      <c r="L1885" s="2">
        <v>12.34</v>
      </c>
      <c r="M1885" s="2">
        <v>14.18</v>
      </c>
      <c r="N1885" s="2">
        <v>7.0707350000000002E-2</v>
      </c>
      <c r="O1885" s="2">
        <v>0.28864451600000002</v>
      </c>
      <c r="P1885" s="2">
        <v>1.474223039</v>
      </c>
      <c r="Q1885" s="2">
        <v>1.6063933180000001</v>
      </c>
      <c r="R1885" s="2">
        <v>0.42502850199999997</v>
      </c>
      <c r="S1885" s="2">
        <v>0.48588606099999998</v>
      </c>
      <c r="T1885" s="2">
        <v>1.411624717</v>
      </c>
      <c r="U1885" s="2">
        <v>1.5311480099999999</v>
      </c>
      <c r="V1885" s="2">
        <v>0.44877325299999998</v>
      </c>
      <c r="W1885" s="2">
        <v>4.4818546000000001E-2</v>
      </c>
      <c r="X1885">
        <f t="shared" si="87"/>
        <v>0</v>
      </c>
      <c r="Y1885">
        <f t="shared" si="88"/>
        <v>1</v>
      </c>
      <c r="Z1885">
        <f t="shared" si="89"/>
        <v>0</v>
      </c>
    </row>
    <row r="1886" spans="1:26" ht="15.75" customHeight="1" x14ac:dyDescent="0.2">
      <c r="A1886" s="2" t="s">
        <v>23</v>
      </c>
      <c r="B1886" s="2" t="s">
        <v>35</v>
      </c>
      <c r="C1886" s="2" t="s">
        <v>30</v>
      </c>
      <c r="D1886" s="2" t="s">
        <v>31</v>
      </c>
      <c r="E1886" s="2">
        <v>168</v>
      </c>
      <c r="F1886" s="2">
        <v>128</v>
      </c>
      <c r="G1886" s="2">
        <v>596</v>
      </c>
      <c r="H1886" s="2">
        <v>1239.333333</v>
      </c>
      <c r="I1886" s="2">
        <v>2180</v>
      </c>
      <c r="J1886" s="2">
        <v>1.1100000000000001</v>
      </c>
      <c r="K1886" s="2">
        <v>5.72</v>
      </c>
      <c r="L1886" s="2">
        <v>9.86</v>
      </c>
      <c r="M1886" s="2">
        <v>13.59</v>
      </c>
      <c r="N1886" s="2">
        <v>3.034236645</v>
      </c>
      <c r="O1886" s="2">
        <v>2.801207829</v>
      </c>
      <c r="P1886" s="2">
        <v>1.762831533</v>
      </c>
      <c r="Q1886" s="2">
        <v>1.6428513440000001</v>
      </c>
      <c r="R1886" s="2">
        <v>1.3993475580000001</v>
      </c>
      <c r="S1886" s="2">
        <v>1.33849</v>
      </c>
      <c r="T1886" s="2">
        <v>1.072101406</v>
      </c>
      <c r="U1886" s="2">
        <v>0.95257811299999995</v>
      </c>
      <c r="V1886" s="2">
        <v>2.2731493139999999</v>
      </c>
      <c r="W1886" s="2">
        <v>7.5881362999999993E-2</v>
      </c>
      <c r="X1886">
        <f t="shared" si="87"/>
        <v>0</v>
      </c>
      <c r="Y1886">
        <f t="shared" si="88"/>
        <v>1</v>
      </c>
      <c r="Z1886">
        <f t="shared" si="89"/>
        <v>1</v>
      </c>
    </row>
    <row r="1887" spans="1:26" ht="15.75" customHeight="1" x14ac:dyDescent="0.2">
      <c r="A1887" s="2" t="s">
        <v>23</v>
      </c>
      <c r="B1887" s="2" t="s">
        <v>35</v>
      </c>
      <c r="C1887" s="2" t="s">
        <v>28</v>
      </c>
      <c r="D1887" s="2" t="s">
        <v>29</v>
      </c>
      <c r="E1887" s="2">
        <v>189</v>
      </c>
      <c r="F1887" s="2">
        <v>125</v>
      </c>
      <c r="G1887" s="2">
        <v>522</v>
      </c>
      <c r="H1887" s="2">
        <v>1397</v>
      </c>
      <c r="I1887" s="2">
        <v>2297.333333</v>
      </c>
      <c r="J1887" s="2">
        <v>1.08</v>
      </c>
      <c r="K1887" s="2">
        <v>5.1100000000000003</v>
      </c>
      <c r="L1887" s="2">
        <v>10.63</v>
      </c>
      <c r="M1887" s="2">
        <v>13.94</v>
      </c>
      <c r="N1887" s="2">
        <v>2.8057006759999998</v>
      </c>
      <c r="O1887" s="2">
        <v>2.2885075459999999</v>
      </c>
      <c r="P1887" s="2">
        <v>0.84193040699999999</v>
      </c>
      <c r="Q1887" s="2">
        <v>0.74782257600000002</v>
      </c>
      <c r="R1887" s="2">
        <v>0.78640189199999999</v>
      </c>
      <c r="S1887" s="2">
        <v>0.72554433399999996</v>
      </c>
      <c r="T1887" s="2">
        <v>0.30069731199999999</v>
      </c>
      <c r="U1887" s="2">
        <v>0.18117401899999999</v>
      </c>
      <c r="V1887" s="2">
        <v>1.660203648</v>
      </c>
      <c r="W1887" s="2">
        <v>5.6137413999999997E-2</v>
      </c>
      <c r="X1887">
        <f t="shared" si="87"/>
        <v>0</v>
      </c>
      <c r="Y1887">
        <f t="shared" si="88"/>
        <v>1</v>
      </c>
      <c r="Z1887">
        <f t="shared" si="89"/>
        <v>1</v>
      </c>
    </row>
    <row r="1888" spans="1:26" ht="15.75" customHeight="1" x14ac:dyDescent="0.2">
      <c r="A1888" s="2" t="s">
        <v>23</v>
      </c>
      <c r="B1888" s="2" t="s">
        <v>35</v>
      </c>
      <c r="C1888" s="2" t="s">
        <v>28</v>
      </c>
      <c r="D1888" s="2" t="s">
        <v>29</v>
      </c>
      <c r="E1888" s="2">
        <v>174</v>
      </c>
      <c r="F1888" s="2">
        <v>119.66666669999999</v>
      </c>
      <c r="G1888" s="2">
        <v>489.66666670000001</v>
      </c>
      <c r="H1888" s="2">
        <v>1656</v>
      </c>
      <c r="I1888" s="2">
        <v>2243.666667</v>
      </c>
      <c r="J1888" s="2">
        <v>1.01</v>
      </c>
      <c r="K1888" s="2">
        <v>4.83</v>
      </c>
      <c r="L1888" s="2">
        <v>11.75</v>
      </c>
      <c r="M1888" s="2">
        <v>13.78</v>
      </c>
      <c r="N1888" s="2">
        <v>3.86330515</v>
      </c>
      <c r="O1888" s="2">
        <v>3.3578312349999999</v>
      </c>
      <c r="P1888" s="2">
        <v>0.96446247699999998</v>
      </c>
      <c r="Q1888" s="2">
        <v>1.0404830350000001</v>
      </c>
      <c r="R1888" s="2">
        <v>0.50695801699999998</v>
      </c>
      <c r="S1888" s="2">
        <v>0.446100459</v>
      </c>
      <c r="T1888" s="2">
        <v>0.82047634800000002</v>
      </c>
      <c r="U1888" s="2">
        <v>0.939999641</v>
      </c>
      <c r="V1888" s="2">
        <v>1.3807597730000001</v>
      </c>
      <c r="W1888" s="2">
        <v>7.0636207000000006E-2</v>
      </c>
      <c r="X1888">
        <f t="shared" si="87"/>
        <v>0</v>
      </c>
      <c r="Y1888">
        <f t="shared" si="88"/>
        <v>1</v>
      </c>
      <c r="Z1888">
        <f t="shared" si="89"/>
        <v>1</v>
      </c>
    </row>
    <row r="1889" spans="1:26" ht="15.75" customHeight="1" x14ac:dyDescent="0.2">
      <c r="A1889" s="2" t="s">
        <v>23</v>
      </c>
      <c r="B1889" s="2" t="s">
        <v>35</v>
      </c>
      <c r="C1889" s="2" t="s">
        <v>32</v>
      </c>
      <c r="D1889" s="2" t="s">
        <v>33</v>
      </c>
      <c r="E1889" s="2">
        <v>140</v>
      </c>
      <c r="F1889" s="2">
        <v>124.66666669999999</v>
      </c>
      <c r="G1889" s="2">
        <v>669.33333330000005</v>
      </c>
      <c r="H1889" s="2">
        <v>1279</v>
      </c>
      <c r="I1889" s="2">
        <v>2134.333333</v>
      </c>
      <c r="J1889" s="2">
        <v>1.07</v>
      </c>
      <c r="K1889" s="2">
        <v>6.29</v>
      </c>
      <c r="L1889" s="2">
        <v>10.06</v>
      </c>
      <c r="M1889" s="2">
        <v>13.45</v>
      </c>
      <c r="N1889" s="2">
        <v>0.52286060199999995</v>
      </c>
      <c r="O1889" s="2">
        <v>0.62023288399999998</v>
      </c>
      <c r="P1889" s="2">
        <v>2.156443237</v>
      </c>
      <c r="Q1889" s="2">
        <v>2.0542458479999999</v>
      </c>
      <c r="R1889" s="2">
        <v>1.9727345220000001</v>
      </c>
      <c r="S1889" s="2">
        <v>1.9118769630000001</v>
      </c>
      <c r="T1889" s="2">
        <v>0.87095690999999997</v>
      </c>
      <c r="U1889" s="2">
        <v>0.751433617</v>
      </c>
      <c r="V1889" s="2">
        <v>2.8465362779999999</v>
      </c>
      <c r="W1889" s="2">
        <v>6.3353823000000004E-2</v>
      </c>
      <c r="X1889">
        <f t="shared" si="87"/>
        <v>0</v>
      </c>
      <c r="Y1889">
        <f t="shared" si="88"/>
        <v>1</v>
      </c>
      <c r="Z1889">
        <f t="shared" si="89"/>
        <v>1</v>
      </c>
    </row>
    <row r="1890" spans="1:26" ht="15.75" customHeight="1" x14ac:dyDescent="0.2">
      <c r="A1890" s="2" t="s">
        <v>23</v>
      </c>
      <c r="B1890" s="2" t="s">
        <v>35</v>
      </c>
      <c r="C1890" s="2" t="s">
        <v>26</v>
      </c>
      <c r="D1890" s="2" t="s">
        <v>26</v>
      </c>
      <c r="E1890" s="2">
        <v>159</v>
      </c>
      <c r="F1890" s="2">
        <v>110</v>
      </c>
      <c r="G1890" s="2">
        <v>414.33333329999999</v>
      </c>
      <c r="H1890" s="2">
        <v>911</v>
      </c>
      <c r="I1890" s="2">
        <v>2579.666667</v>
      </c>
      <c r="J1890" s="2">
        <v>0.89</v>
      </c>
      <c r="K1890" s="2">
        <v>4.1500000000000004</v>
      </c>
      <c r="L1890" s="2">
        <v>7.98</v>
      </c>
      <c r="M1890" s="2">
        <v>14.7</v>
      </c>
      <c r="N1890" s="2">
        <v>0.283997263</v>
      </c>
      <c r="O1890" s="2">
        <v>0.60693967100000001</v>
      </c>
      <c r="P1890" s="2">
        <v>2.9555507940000001</v>
      </c>
      <c r="Q1890" s="2">
        <v>2.8406180230000002</v>
      </c>
      <c r="R1890" s="2">
        <v>0.17364110899999999</v>
      </c>
      <c r="S1890" s="2">
        <v>0.23449866799999999</v>
      </c>
      <c r="T1890" s="2">
        <v>2.950445604</v>
      </c>
      <c r="U1890" s="2">
        <v>2.8309223110000001</v>
      </c>
      <c r="V1890" s="2">
        <v>0.70016064600000005</v>
      </c>
      <c r="W1890" s="2">
        <v>4.1584595000000002E-2</v>
      </c>
      <c r="X1890">
        <f t="shared" si="87"/>
        <v>0</v>
      </c>
      <c r="Y1890">
        <f t="shared" si="88"/>
        <v>1</v>
      </c>
      <c r="Z1890">
        <f t="shared" si="89"/>
        <v>0</v>
      </c>
    </row>
    <row r="1891" spans="1:26" ht="15.75" customHeight="1" x14ac:dyDescent="0.2">
      <c r="A1891" s="2" t="s">
        <v>23</v>
      </c>
      <c r="B1891" s="2" t="s">
        <v>35</v>
      </c>
      <c r="C1891" s="2" t="s">
        <v>25</v>
      </c>
      <c r="D1891" s="2" t="s">
        <v>25</v>
      </c>
      <c r="E1891" s="2">
        <v>177</v>
      </c>
      <c r="F1891" s="2">
        <v>109.33333330000001</v>
      </c>
      <c r="G1891" s="2">
        <v>617.33333330000005</v>
      </c>
      <c r="H1891" s="2">
        <v>1288.333333</v>
      </c>
      <c r="I1891" s="2">
        <v>2300.666667</v>
      </c>
      <c r="J1891" s="2">
        <v>0.89</v>
      </c>
      <c r="K1891" s="2">
        <v>5.89</v>
      </c>
      <c r="L1891" s="2">
        <v>10.1</v>
      </c>
      <c r="M1891" s="2">
        <v>13.95</v>
      </c>
      <c r="N1891" s="2">
        <v>0.35231698900000002</v>
      </c>
      <c r="O1891" s="2">
        <v>0.368052302</v>
      </c>
      <c r="P1891" s="2">
        <v>1.7728290390000001</v>
      </c>
      <c r="Q1891" s="2">
        <v>1.6651792910000001</v>
      </c>
      <c r="R1891" s="2">
        <v>1.5695164479999999</v>
      </c>
      <c r="S1891" s="2">
        <v>1.5086588889999999</v>
      </c>
      <c r="T1891" s="2">
        <v>0.82434272200000003</v>
      </c>
      <c r="U1891" s="2">
        <v>0.70481942799999997</v>
      </c>
      <c r="V1891" s="2">
        <v>2.443318203</v>
      </c>
      <c r="W1891" s="2">
        <v>6.6645510000000005E-2</v>
      </c>
      <c r="X1891">
        <f t="shared" si="87"/>
        <v>0</v>
      </c>
      <c r="Y1891">
        <f t="shared" si="88"/>
        <v>1</v>
      </c>
      <c r="Z1891">
        <f t="shared" si="89"/>
        <v>0</v>
      </c>
    </row>
    <row r="1892" spans="1:26" ht="15.75" customHeight="1" x14ac:dyDescent="0.2">
      <c r="A1892" s="2" t="s">
        <v>23</v>
      </c>
      <c r="B1892" s="2" t="s">
        <v>35</v>
      </c>
      <c r="C1892" s="2" t="s">
        <v>30</v>
      </c>
      <c r="D1892" s="2" t="s">
        <v>31</v>
      </c>
      <c r="E1892" s="2">
        <v>171</v>
      </c>
      <c r="F1892" s="2">
        <v>104.66666669999999</v>
      </c>
      <c r="G1892" s="2">
        <v>818</v>
      </c>
      <c r="H1892" s="2">
        <v>1477.333333</v>
      </c>
      <c r="I1892" s="2">
        <v>2211.333333</v>
      </c>
      <c r="J1892" s="2">
        <v>0.83</v>
      </c>
      <c r="K1892" s="2">
        <v>7.36</v>
      </c>
      <c r="L1892" s="2">
        <v>10.99</v>
      </c>
      <c r="M1892" s="2">
        <v>13.68</v>
      </c>
      <c r="N1892" s="2">
        <v>3.6512399289999999</v>
      </c>
      <c r="O1892" s="2">
        <v>3.448858703</v>
      </c>
      <c r="P1892" s="2">
        <v>3.0429508379999999</v>
      </c>
      <c r="Q1892" s="2">
        <v>2.9871089710000001</v>
      </c>
      <c r="R1892" s="2">
        <v>3.0422537589999998</v>
      </c>
      <c r="S1892" s="2">
        <v>2.9813962009999999</v>
      </c>
      <c r="T1892" s="2">
        <v>6.5129625999999996E-2</v>
      </c>
      <c r="U1892" s="2">
        <v>0.184652919</v>
      </c>
      <c r="V1892" s="2">
        <v>3.916055515</v>
      </c>
      <c r="W1892" s="2">
        <v>7.8312370000000006E-2</v>
      </c>
      <c r="X1892">
        <f t="shared" si="87"/>
        <v>0</v>
      </c>
      <c r="Y1892">
        <f t="shared" si="88"/>
        <v>1</v>
      </c>
      <c r="Z1892">
        <f t="shared" si="89"/>
        <v>1</v>
      </c>
    </row>
    <row r="1893" spans="1:26" ht="15.75" customHeight="1" x14ac:dyDescent="0.2">
      <c r="A1893" s="2" t="s">
        <v>23</v>
      </c>
      <c r="B1893" s="2" t="s">
        <v>35</v>
      </c>
      <c r="C1893" s="2" t="s">
        <v>27</v>
      </c>
      <c r="D1893" s="2" t="s">
        <v>27</v>
      </c>
      <c r="E1893" s="2">
        <v>134</v>
      </c>
      <c r="F1893" s="2">
        <v>104</v>
      </c>
      <c r="G1893" s="2">
        <v>368.33333329999999</v>
      </c>
      <c r="H1893" s="2">
        <v>1839.333333</v>
      </c>
      <c r="I1893" s="2">
        <v>2616</v>
      </c>
      <c r="J1893" s="2">
        <v>0.82</v>
      </c>
      <c r="K1893" s="2">
        <v>3.71</v>
      </c>
      <c r="L1893" s="2">
        <v>12.45</v>
      </c>
      <c r="M1893" s="2">
        <v>14.8</v>
      </c>
      <c r="N1893" s="2">
        <v>0.28198967200000002</v>
      </c>
      <c r="O1893" s="2">
        <v>0.502731225</v>
      </c>
      <c r="P1893" s="2">
        <v>1.639744211</v>
      </c>
      <c r="Q1893" s="2">
        <v>1.773375999</v>
      </c>
      <c r="R1893" s="2">
        <v>0.610885122</v>
      </c>
      <c r="S1893" s="2">
        <v>0.67174268100000001</v>
      </c>
      <c r="T1893" s="2">
        <v>1.521703139</v>
      </c>
      <c r="U1893" s="2">
        <v>1.6412264320000001</v>
      </c>
      <c r="V1893" s="2">
        <v>0.26291663300000001</v>
      </c>
      <c r="W1893" s="2">
        <v>4.4671737000000003E-2</v>
      </c>
      <c r="X1893">
        <f t="shared" si="87"/>
        <v>0</v>
      </c>
      <c r="Y1893">
        <f t="shared" si="88"/>
        <v>1</v>
      </c>
      <c r="Z1893">
        <f t="shared" si="89"/>
        <v>0</v>
      </c>
    </row>
    <row r="1894" spans="1:26" ht="15.75" customHeight="1" x14ac:dyDescent="0.2">
      <c r="A1894" s="2" t="s">
        <v>23</v>
      </c>
      <c r="B1894" s="2" t="s">
        <v>35</v>
      </c>
      <c r="C1894" s="2" t="s">
        <v>30</v>
      </c>
      <c r="D1894" s="2" t="s">
        <v>31</v>
      </c>
      <c r="E1894" s="2">
        <v>176</v>
      </c>
      <c r="F1894" s="2">
        <v>135.33333329999999</v>
      </c>
      <c r="G1894" s="2">
        <v>598</v>
      </c>
      <c r="H1894" s="2">
        <v>1183.666667</v>
      </c>
      <c r="I1894" s="2">
        <v>2210</v>
      </c>
      <c r="J1894" s="2">
        <v>1.2</v>
      </c>
      <c r="K1894" s="2">
        <v>5.74</v>
      </c>
      <c r="L1894" s="2">
        <v>9.56</v>
      </c>
      <c r="M1894" s="2">
        <v>13.68</v>
      </c>
      <c r="N1894" s="2">
        <v>3.2845024629999999</v>
      </c>
      <c r="O1894" s="2">
        <v>3.052599683</v>
      </c>
      <c r="P1894" s="2">
        <v>1.964948734</v>
      </c>
      <c r="Q1894" s="2">
        <v>1.838730167</v>
      </c>
      <c r="R1894" s="2">
        <v>1.415421467</v>
      </c>
      <c r="S1894" s="2">
        <v>1.354563908</v>
      </c>
      <c r="T1894" s="2">
        <v>1.3629400570000001</v>
      </c>
      <c r="U1894" s="2">
        <v>1.2434167629999999</v>
      </c>
      <c r="V1894" s="2">
        <v>2.2892232219999999</v>
      </c>
      <c r="W1894" s="2">
        <v>5.8170107999999998E-2</v>
      </c>
      <c r="X1894">
        <f t="shared" si="87"/>
        <v>0</v>
      </c>
      <c r="Y1894">
        <f t="shared" si="88"/>
        <v>1</v>
      </c>
      <c r="Z1894">
        <f t="shared" si="89"/>
        <v>1</v>
      </c>
    </row>
    <row r="1895" spans="1:26" ht="15.75" customHeight="1" x14ac:dyDescent="0.2">
      <c r="A1895" s="2" t="s">
        <v>23</v>
      </c>
      <c r="B1895" s="2" t="s">
        <v>35</v>
      </c>
      <c r="C1895" s="2" t="s">
        <v>27</v>
      </c>
      <c r="D1895" s="2" t="s">
        <v>27</v>
      </c>
      <c r="E1895" s="2">
        <v>122</v>
      </c>
      <c r="F1895" s="2">
        <v>116.33333330000001</v>
      </c>
      <c r="G1895" s="2">
        <v>391.66666670000001</v>
      </c>
      <c r="H1895" s="2">
        <v>1775.333333</v>
      </c>
      <c r="I1895" s="2">
        <v>2460</v>
      </c>
      <c r="J1895" s="2">
        <v>0.97</v>
      </c>
      <c r="K1895" s="2">
        <v>3.94</v>
      </c>
      <c r="L1895" s="2">
        <v>12.21</v>
      </c>
      <c r="M1895" s="2">
        <v>14.39</v>
      </c>
      <c r="N1895" s="2">
        <v>0.123264503</v>
      </c>
      <c r="O1895" s="2">
        <v>0.19079058500000001</v>
      </c>
      <c r="P1895" s="2">
        <v>1.3417418109999999</v>
      </c>
      <c r="Q1895" s="2">
        <v>1.473930043</v>
      </c>
      <c r="R1895" s="2">
        <v>0.38695694200000003</v>
      </c>
      <c r="S1895" s="2">
        <v>0.4478145</v>
      </c>
      <c r="T1895" s="2">
        <v>1.2847316499999999</v>
      </c>
      <c r="U1895" s="2">
        <v>1.404254943</v>
      </c>
      <c r="V1895" s="2">
        <v>0.48684481400000001</v>
      </c>
      <c r="W1895" s="2">
        <v>7.5762645000000003E-2</v>
      </c>
      <c r="X1895">
        <f t="shared" si="87"/>
        <v>0</v>
      </c>
      <c r="Y1895">
        <f t="shared" si="88"/>
        <v>1</v>
      </c>
      <c r="Z1895">
        <f t="shared" si="89"/>
        <v>0</v>
      </c>
    </row>
    <row r="1896" spans="1:26" ht="15.75" customHeight="1" x14ac:dyDescent="0.2">
      <c r="A1896" s="2" t="s">
        <v>23</v>
      </c>
      <c r="B1896" s="2" t="s">
        <v>35</v>
      </c>
      <c r="C1896" s="2" t="s">
        <v>26</v>
      </c>
      <c r="D1896" s="2" t="s">
        <v>26</v>
      </c>
      <c r="E1896" s="2">
        <v>123</v>
      </c>
      <c r="F1896" s="2">
        <v>121</v>
      </c>
      <c r="G1896" s="2">
        <v>437.66666670000001</v>
      </c>
      <c r="H1896" s="2">
        <v>859.66666669999995</v>
      </c>
      <c r="I1896" s="2">
        <v>2448.333333</v>
      </c>
      <c r="J1896" s="2">
        <v>1.03</v>
      </c>
      <c r="K1896" s="2">
        <v>4.3600000000000003</v>
      </c>
      <c r="L1896" s="2">
        <v>7.64</v>
      </c>
      <c r="M1896" s="2">
        <v>14.36</v>
      </c>
      <c r="N1896" s="2">
        <v>0.26887048099999999</v>
      </c>
      <c r="O1896" s="2">
        <v>0.78683788600000004</v>
      </c>
      <c r="P1896" s="2">
        <v>3.2839234080000002</v>
      </c>
      <c r="Q1896" s="2">
        <v>3.1641926690000002</v>
      </c>
      <c r="R1896" s="2">
        <v>4.1735817000000001E-2</v>
      </c>
      <c r="S1896" s="2">
        <v>1.9121741000000001E-2</v>
      </c>
      <c r="T1896" s="2">
        <v>3.2836581840000001</v>
      </c>
      <c r="U1896" s="2">
        <v>3.1641348900000001</v>
      </c>
      <c r="V1896" s="2">
        <v>0.91553757300000005</v>
      </c>
      <c r="W1896" s="2">
        <v>3.4462722000000001E-2</v>
      </c>
      <c r="X1896">
        <f t="shared" si="87"/>
        <v>0</v>
      </c>
      <c r="Y1896">
        <f t="shared" si="88"/>
        <v>1</v>
      </c>
      <c r="Z1896">
        <f t="shared" si="89"/>
        <v>0</v>
      </c>
    </row>
    <row r="1897" spans="1:26" ht="15.75" customHeight="1" x14ac:dyDescent="0.2">
      <c r="A1897" s="2" t="s">
        <v>23</v>
      </c>
      <c r="B1897" s="2" t="s">
        <v>35</v>
      </c>
      <c r="C1897" s="2" t="s">
        <v>27</v>
      </c>
      <c r="D1897" s="2" t="s">
        <v>27</v>
      </c>
      <c r="E1897" s="2">
        <v>165</v>
      </c>
      <c r="F1897" s="2">
        <v>109.66666669999999</v>
      </c>
      <c r="G1897" s="2">
        <v>371.33333329999999</v>
      </c>
      <c r="H1897" s="2">
        <v>1850</v>
      </c>
      <c r="I1897" s="2">
        <v>2418.666667</v>
      </c>
      <c r="J1897" s="2">
        <v>0.89</v>
      </c>
      <c r="K1897" s="2">
        <v>3.74</v>
      </c>
      <c r="L1897" s="2">
        <v>12.49</v>
      </c>
      <c r="M1897" s="2">
        <v>14.28</v>
      </c>
      <c r="N1897" s="2">
        <v>0.27590133999999999</v>
      </c>
      <c r="O1897" s="2">
        <v>0.50467852400000002</v>
      </c>
      <c r="P1897" s="2">
        <v>1.6653725720000001</v>
      </c>
      <c r="Q1897" s="2">
        <v>1.7986907750000001</v>
      </c>
      <c r="R1897" s="2">
        <v>0.58184325000000003</v>
      </c>
      <c r="S1897" s="2">
        <v>0.64270080900000004</v>
      </c>
      <c r="T1897" s="2">
        <v>1.5604243769999999</v>
      </c>
      <c r="U1897" s="2">
        <v>1.6799476710000001</v>
      </c>
      <c r="V1897" s="2">
        <v>0.29195850600000001</v>
      </c>
      <c r="W1897" s="2">
        <v>3.1055434999999999E-2</v>
      </c>
      <c r="X1897">
        <f t="shared" si="87"/>
        <v>0</v>
      </c>
      <c r="Y1897">
        <f t="shared" si="88"/>
        <v>1</v>
      </c>
      <c r="Z1897">
        <f t="shared" si="89"/>
        <v>0</v>
      </c>
    </row>
    <row r="1898" spans="1:26" ht="15.75" customHeight="1" x14ac:dyDescent="0.2">
      <c r="A1898" s="2" t="s">
        <v>23</v>
      </c>
      <c r="B1898" s="2" t="s">
        <v>35</v>
      </c>
      <c r="C1898" s="2" t="s">
        <v>30</v>
      </c>
      <c r="D1898" s="2" t="s">
        <v>31</v>
      </c>
      <c r="E1898" s="2">
        <v>142</v>
      </c>
      <c r="F1898" s="2">
        <v>126.33333330000001</v>
      </c>
      <c r="G1898" s="2">
        <v>610.66666669999995</v>
      </c>
      <c r="H1898" s="2">
        <v>1185</v>
      </c>
      <c r="I1898" s="2">
        <v>2113</v>
      </c>
      <c r="J1898" s="2">
        <v>1.0900000000000001</v>
      </c>
      <c r="K1898" s="2">
        <v>5.84</v>
      </c>
      <c r="L1898" s="2">
        <v>9.57</v>
      </c>
      <c r="M1898" s="2">
        <v>13.38</v>
      </c>
      <c r="N1898" s="2">
        <v>3.334276349</v>
      </c>
      <c r="O1898" s="2">
        <v>3.1016642800000001</v>
      </c>
      <c r="P1898" s="2">
        <v>2.0343406590000002</v>
      </c>
      <c r="Q1898" s="2">
        <v>1.90992695</v>
      </c>
      <c r="R1898" s="2">
        <v>1.5166420700000001</v>
      </c>
      <c r="S1898" s="2">
        <v>1.4557845110000001</v>
      </c>
      <c r="T1898" s="2">
        <v>1.355853513</v>
      </c>
      <c r="U1898" s="2">
        <v>1.2363302190000001</v>
      </c>
      <c r="V1898" s="2">
        <v>2.3904438259999998</v>
      </c>
      <c r="W1898" s="2">
        <v>3.9622395999999997E-2</v>
      </c>
      <c r="X1898">
        <f t="shared" si="87"/>
        <v>0</v>
      </c>
      <c r="Y1898">
        <f t="shared" si="88"/>
        <v>1</v>
      </c>
      <c r="Z1898">
        <f t="shared" si="89"/>
        <v>1</v>
      </c>
    </row>
    <row r="1899" spans="1:26" ht="15.75" customHeight="1" x14ac:dyDescent="0.2">
      <c r="A1899" s="2" t="s">
        <v>23</v>
      </c>
      <c r="B1899" s="2" t="s">
        <v>35</v>
      </c>
      <c r="C1899" s="2" t="s">
        <v>27</v>
      </c>
      <c r="D1899" s="2" t="s">
        <v>27</v>
      </c>
      <c r="E1899" s="2">
        <v>109</v>
      </c>
      <c r="F1899" s="2">
        <v>104.33333330000001</v>
      </c>
      <c r="G1899" s="2">
        <v>435.33333329999999</v>
      </c>
      <c r="H1899" s="2">
        <v>1722.666667</v>
      </c>
      <c r="I1899" s="2">
        <v>2488.333333</v>
      </c>
      <c r="J1899" s="2">
        <v>0.83</v>
      </c>
      <c r="K1899" s="2">
        <v>4.34</v>
      </c>
      <c r="L1899" s="2">
        <v>12.01</v>
      </c>
      <c r="M1899" s="2">
        <v>14.47</v>
      </c>
      <c r="N1899" s="2">
        <v>0.49320267899999998</v>
      </c>
      <c r="O1899" s="2">
        <v>0.26630787099999997</v>
      </c>
      <c r="P1899" s="2">
        <v>1.0837378</v>
      </c>
      <c r="Q1899" s="2">
        <v>1.203749832</v>
      </c>
      <c r="R1899" s="2">
        <v>2.0386946999999999E-2</v>
      </c>
      <c r="S1899" s="2">
        <v>4.0470612000000003E-2</v>
      </c>
      <c r="T1899" s="2">
        <v>1.0835460260000001</v>
      </c>
      <c r="U1899" s="2">
        <v>1.20306932</v>
      </c>
      <c r="V1899" s="2">
        <v>0.894188702</v>
      </c>
      <c r="W1899" s="2">
        <v>4.6829163E-2</v>
      </c>
      <c r="X1899">
        <f t="shared" si="87"/>
        <v>0</v>
      </c>
      <c r="Y1899">
        <f t="shared" si="88"/>
        <v>1</v>
      </c>
      <c r="Z1899">
        <f t="shared" si="89"/>
        <v>0</v>
      </c>
    </row>
    <row r="1900" spans="1:26" ht="15.75" customHeight="1" x14ac:dyDescent="0.2">
      <c r="A1900" s="2" t="s">
        <v>23</v>
      </c>
      <c r="B1900" s="2" t="s">
        <v>35</v>
      </c>
      <c r="C1900" s="2" t="s">
        <v>26</v>
      </c>
      <c r="D1900" s="2" t="s">
        <v>26</v>
      </c>
      <c r="E1900" s="2">
        <v>200</v>
      </c>
      <c r="F1900" s="2">
        <v>108.66666669999999</v>
      </c>
      <c r="G1900" s="2">
        <v>437</v>
      </c>
      <c r="H1900" s="2">
        <v>939.66666669999995</v>
      </c>
      <c r="I1900" s="2">
        <v>2677.666667</v>
      </c>
      <c r="J1900" s="2">
        <v>0.88</v>
      </c>
      <c r="K1900" s="2">
        <v>4.3600000000000003</v>
      </c>
      <c r="L1900" s="2">
        <v>8.16</v>
      </c>
      <c r="M1900" s="2">
        <v>14.95</v>
      </c>
      <c r="N1900" s="2">
        <v>0.260397555</v>
      </c>
      <c r="O1900" s="2">
        <v>0.331073917</v>
      </c>
      <c r="P1900" s="2">
        <v>2.7697289930000002</v>
      </c>
      <c r="Q1900" s="2">
        <v>2.6500963639999999</v>
      </c>
      <c r="R1900" s="2">
        <v>3.5640380999999999E-2</v>
      </c>
      <c r="S1900" s="2">
        <v>2.5217177E-2</v>
      </c>
      <c r="T1900" s="2">
        <v>2.7694996770000002</v>
      </c>
      <c r="U1900" s="2">
        <v>2.6499763829999998</v>
      </c>
      <c r="V1900" s="2">
        <v>0.90944213699999998</v>
      </c>
      <c r="W1900" s="2">
        <v>5.3219675000000001E-2</v>
      </c>
      <c r="X1900">
        <f t="shared" si="87"/>
        <v>0</v>
      </c>
      <c r="Y1900">
        <f t="shared" si="88"/>
        <v>1</v>
      </c>
      <c r="Z1900">
        <f t="shared" si="89"/>
        <v>0</v>
      </c>
    </row>
    <row r="1901" spans="1:26" ht="15.75" customHeight="1" x14ac:dyDescent="0.2">
      <c r="A1901" s="2" t="s">
        <v>23</v>
      </c>
      <c r="B1901" s="2" t="s">
        <v>35</v>
      </c>
      <c r="C1901" s="2" t="s">
        <v>30</v>
      </c>
      <c r="D1901" s="2" t="s">
        <v>31</v>
      </c>
      <c r="E1901" s="2">
        <v>160</v>
      </c>
      <c r="F1901" s="2">
        <v>125</v>
      </c>
      <c r="G1901" s="2">
        <v>611.66666669999995</v>
      </c>
      <c r="H1901" s="2">
        <v>1132</v>
      </c>
      <c r="I1901" s="2">
        <v>2146.333333</v>
      </c>
      <c r="J1901" s="2">
        <v>1.08</v>
      </c>
      <c r="K1901" s="2">
        <v>5.85</v>
      </c>
      <c r="L1901" s="2">
        <v>9.2899999999999991</v>
      </c>
      <c r="M1901" s="2">
        <v>13.48</v>
      </c>
      <c r="N1901" s="2">
        <v>3.5790923669999999</v>
      </c>
      <c r="O1901" s="2">
        <v>3.3476969630000002</v>
      </c>
      <c r="P1901" s="2">
        <v>2.2408399970000001</v>
      </c>
      <c r="Q1901" s="2">
        <v>2.1121584250000001</v>
      </c>
      <c r="R1901" s="2">
        <v>1.5245907030000001</v>
      </c>
      <c r="S1901" s="2">
        <v>1.4637331440000001</v>
      </c>
      <c r="T1901" s="2">
        <v>1.642250615</v>
      </c>
      <c r="U1901" s="2">
        <v>1.5227273219999999</v>
      </c>
      <c r="V1901" s="2">
        <v>2.398392458</v>
      </c>
      <c r="W1901" s="2">
        <v>4.8599206999999998E-2</v>
      </c>
      <c r="X1901">
        <f t="shared" si="87"/>
        <v>0</v>
      </c>
      <c r="Y1901">
        <f t="shared" si="88"/>
        <v>1</v>
      </c>
      <c r="Z1901">
        <f t="shared" si="89"/>
        <v>1</v>
      </c>
    </row>
    <row r="1902" spans="1:26" ht="15.75" customHeight="1" x14ac:dyDescent="0.2">
      <c r="A1902" s="2" t="s">
        <v>23</v>
      </c>
      <c r="B1902" s="2" t="s">
        <v>35</v>
      </c>
      <c r="C1902" s="2" t="s">
        <v>32</v>
      </c>
      <c r="D1902" s="2" t="s">
        <v>33</v>
      </c>
      <c r="E1902" s="2">
        <v>125</v>
      </c>
      <c r="F1902" s="2">
        <v>113.66666669999999</v>
      </c>
      <c r="G1902" s="2">
        <v>586</v>
      </c>
      <c r="H1902" s="2">
        <v>1329.666667</v>
      </c>
      <c r="I1902" s="2">
        <v>2225.333333</v>
      </c>
      <c r="J1902" s="2">
        <v>0.94</v>
      </c>
      <c r="K1902" s="2">
        <v>5.64</v>
      </c>
      <c r="L1902" s="2">
        <v>10.31</v>
      </c>
      <c r="M1902" s="2">
        <v>13.72</v>
      </c>
      <c r="N1902" s="2">
        <v>0.34208323400000001</v>
      </c>
      <c r="O1902" s="2">
        <v>0.24655321699999999</v>
      </c>
      <c r="P1902" s="2">
        <v>1.4575507110000001</v>
      </c>
      <c r="Q1902" s="2">
        <v>1.3540609779999999</v>
      </c>
      <c r="R1902" s="2">
        <v>1.3185992120000001</v>
      </c>
      <c r="S1902" s="2">
        <v>1.2577416530000001</v>
      </c>
      <c r="T1902" s="2">
        <v>0.62108791200000002</v>
      </c>
      <c r="U1902" s="2">
        <v>0.50156461799999996</v>
      </c>
      <c r="V1902" s="2">
        <v>2.1924009679999998</v>
      </c>
      <c r="W1902" s="2">
        <v>6.9868727000000005E-2</v>
      </c>
      <c r="X1902">
        <f t="shared" si="87"/>
        <v>0</v>
      </c>
      <c r="Y1902">
        <f t="shared" si="88"/>
        <v>1</v>
      </c>
      <c r="Z1902">
        <f t="shared" si="89"/>
        <v>1</v>
      </c>
    </row>
    <row r="1903" spans="1:26" ht="15.75" customHeight="1" x14ac:dyDescent="0.2">
      <c r="A1903" s="2" t="s">
        <v>23</v>
      </c>
      <c r="B1903" s="2" t="s">
        <v>35</v>
      </c>
      <c r="C1903" s="2" t="s">
        <v>28</v>
      </c>
      <c r="D1903" s="2" t="s">
        <v>29</v>
      </c>
      <c r="E1903" s="2">
        <v>158</v>
      </c>
      <c r="F1903" s="2">
        <v>116.66666669999999</v>
      </c>
      <c r="G1903" s="2">
        <v>534.33333330000005</v>
      </c>
      <c r="H1903" s="2">
        <v>1619.333333</v>
      </c>
      <c r="I1903" s="2">
        <v>2251</v>
      </c>
      <c r="J1903" s="2">
        <v>0.98</v>
      </c>
      <c r="K1903" s="2">
        <v>5.21</v>
      </c>
      <c r="L1903" s="2">
        <v>11.6</v>
      </c>
      <c r="M1903" s="2">
        <v>13.8</v>
      </c>
      <c r="N1903" s="2">
        <v>3.7765856520000001</v>
      </c>
      <c r="O1903" s="2">
        <v>3.2611967540000002</v>
      </c>
      <c r="P1903" s="2">
        <v>1.1158377829999999</v>
      </c>
      <c r="Q1903" s="2">
        <v>1.1468091359999999</v>
      </c>
      <c r="R1903" s="2">
        <v>0.89108511599999995</v>
      </c>
      <c r="S1903" s="2">
        <v>0.83022755699999995</v>
      </c>
      <c r="T1903" s="2">
        <v>0.67161095500000001</v>
      </c>
      <c r="U1903" s="2">
        <v>0.79113424799999998</v>
      </c>
      <c r="V1903" s="2">
        <v>1.7648868719999999</v>
      </c>
      <c r="W1903" s="2">
        <v>7.2929557000000006E-2</v>
      </c>
      <c r="X1903">
        <f t="shared" si="87"/>
        <v>0</v>
      </c>
      <c r="Y1903">
        <f t="shared" si="88"/>
        <v>1</v>
      </c>
      <c r="Z1903">
        <f t="shared" si="89"/>
        <v>1</v>
      </c>
    </row>
    <row r="1904" spans="1:26" ht="15.75" customHeight="1" x14ac:dyDescent="0.2">
      <c r="A1904" s="2" t="s">
        <v>23</v>
      </c>
      <c r="B1904" s="2" t="s">
        <v>35</v>
      </c>
      <c r="C1904" s="2" t="s">
        <v>28</v>
      </c>
      <c r="D1904" s="2" t="s">
        <v>29</v>
      </c>
      <c r="E1904" s="2">
        <v>170</v>
      </c>
      <c r="F1904" s="2">
        <v>124.33333330000001</v>
      </c>
      <c r="G1904" s="2">
        <v>445.33333329999999</v>
      </c>
      <c r="H1904" s="2">
        <v>1443.333333</v>
      </c>
      <c r="I1904" s="2">
        <v>2300.666667</v>
      </c>
      <c r="J1904" s="2">
        <v>1.07</v>
      </c>
      <c r="K1904" s="2">
        <v>4.43</v>
      </c>
      <c r="L1904" s="2">
        <v>10.84</v>
      </c>
      <c r="M1904" s="2">
        <v>13.95</v>
      </c>
      <c r="N1904" s="2">
        <v>2.9338994760000001</v>
      </c>
      <c r="O1904" s="2">
        <v>2.4455232769999999</v>
      </c>
      <c r="P1904" s="2">
        <v>0.14186299399999999</v>
      </c>
      <c r="Q1904" s="2">
        <v>5.9944320000000002E-2</v>
      </c>
      <c r="R1904" s="2">
        <v>0.11159047900000001</v>
      </c>
      <c r="S1904" s="2">
        <v>5.0732920000000001E-2</v>
      </c>
      <c r="T1904" s="2">
        <v>8.7593802999999998E-2</v>
      </c>
      <c r="U1904" s="2">
        <v>3.1929490999999997E-2</v>
      </c>
      <c r="V1904" s="2">
        <v>0.98539223399999998</v>
      </c>
      <c r="W1904" s="2">
        <v>7.5571204000000003E-2</v>
      </c>
      <c r="X1904">
        <f t="shared" si="87"/>
        <v>0</v>
      </c>
      <c r="Y1904">
        <f t="shared" si="88"/>
        <v>1</v>
      </c>
      <c r="Z1904">
        <f t="shared" si="89"/>
        <v>1</v>
      </c>
    </row>
    <row r="1905" spans="1:26" ht="15.75" customHeight="1" x14ac:dyDescent="0.2">
      <c r="A1905" s="2" t="s">
        <v>23</v>
      </c>
      <c r="B1905" s="2" t="s">
        <v>35</v>
      </c>
      <c r="C1905" s="2" t="s">
        <v>26</v>
      </c>
      <c r="D1905" s="2" t="s">
        <v>26</v>
      </c>
      <c r="E1905" s="2">
        <v>228</v>
      </c>
      <c r="F1905" s="2">
        <v>131.33333329999999</v>
      </c>
      <c r="G1905" s="2">
        <v>402.66666670000001</v>
      </c>
      <c r="H1905" s="2">
        <v>761.33333330000005</v>
      </c>
      <c r="I1905" s="2">
        <v>2264.333333</v>
      </c>
      <c r="J1905" s="2">
        <v>1.1499999999999999</v>
      </c>
      <c r="K1905" s="2">
        <v>4.04</v>
      </c>
      <c r="L1905" s="2">
        <v>6.97</v>
      </c>
      <c r="M1905" s="2">
        <v>13.84</v>
      </c>
      <c r="N1905" s="2">
        <v>1.011419879</v>
      </c>
      <c r="O1905" s="2">
        <v>1.529218083</v>
      </c>
      <c r="P1905" s="2">
        <v>3.967161264</v>
      </c>
      <c r="Q1905" s="2">
        <v>3.8529044300000002</v>
      </c>
      <c r="R1905" s="2">
        <v>0.28292484499999998</v>
      </c>
      <c r="S1905" s="2">
        <v>0.34378240300000001</v>
      </c>
      <c r="T1905" s="2">
        <v>3.9570597699999999</v>
      </c>
      <c r="U1905" s="2">
        <v>3.837536477</v>
      </c>
      <c r="V1905" s="2">
        <v>0.59087691099999995</v>
      </c>
      <c r="W1905" s="2">
        <v>8.1578468000000001E-2</v>
      </c>
      <c r="X1905">
        <f t="shared" si="87"/>
        <v>0</v>
      </c>
      <c r="Y1905">
        <f t="shared" si="88"/>
        <v>1</v>
      </c>
      <c r="Z1905">
        <f t="shared" si="89"/>
        <v>0</v>
      </c>
    </row>
    <row r="1906" spans="1:26" ht="15.75" customHeight="1" x14ac:dyDescent="0.2">
      <c r="A1906" s="2" t="s">
        <v>23</v>
      </c>
      <c r="B1906" s="2" t="s">
        <v>35</v>
      </c>
      <c r="C1906" s="2" t="s">
        <v>25</v>
      </c>
      <c r="D1906" s="2" t="s">
        <v>25</v>
      </c>
      <c r="E1906" s="2">
        <v>109</v>
      </c>
      <c r="F1906" s="2">
        <v>102.33333330000001</v>
      </c>
      <c r="G1906" s="2">
        <v>573</v>
      </c>
      <c r="H1906" s="2">
        <v>1374.666667</v>
      </c>
      <c r="I1906" s="2">
        <v>2417</v>
      </c>
      <c r="J1906" s="2">
        <v>0.8</v>
      </c>
      <c r="K1906" s="2">
        <v>5.53</v>
      </c>
      <c r="L1906" s="2">
        <v>10.52</v>
      </c>
      <c r="M1906" s="2">
        <v>14.27</v>
      </c>
      <c r="N1906" s="2">
        <v>0.42231533799999998</v>
      </c>
      <c r="O1906" s="2">
        <v>0.29933990799999999</v>
      </c>
      <c r="P1906" s="2">
        <v>1.2786837049999999</v>
      </c>
      <c r="Q1906" s="2">
        <v>1.186793964</v>
      </c>
      <c r="R1906" s="2">
        <v>1.2126731930000001</v>
      </c>
      <c r="S1906" s="2">
        <v>1.1518156349999999</v>
      </c>
      <c r="T1906" s="2">
        <v>0.405531435</v>
      </c>
      <c r="U1906" s="2">
        <v>0.28600814099999999</v>
      </c>
      <c r="V1906" s="2">
        <v>2.0864749489999999</v>
      </c>
      <c r="W1906" s="2">
        <v>4.1694855000000003E-2</v>
      </c>
      <c r="X1906">
        <f t="shared" si="87"/>
        <v>0</v>
      </c>
      <c r="Y1906">
        <f t="shared" si="88"/>
        <v>1</v>
      </c>
      <c r="Z1906">
        <f t="shared" si="89"/>
        <v>0</v>
      </c>
    </row>
    <row r="1907" spans="1:26" ht="15.75" customHeight="1" x14ac:dyDescent="0.2">
      <c r="A1907" s="2" t="s">
        <v>23</v>
      </c>
      <c r="B1907" s="2" t="s">
        <v>35</v>
      </c>
      <c r="C1907" s="2" t="s">
        <v>30</v>
      </c>
      <c r="D1907" s="2" t="s">
        <v>31</v>
      </c>
      <c r="E1907" s="2">
        <v>129</v>
      </c>
      <c r="F1907" s="2">
        <v>108.66666669999999</v>
      </c>
      <c r="G1907" s="2">
        <v>708.66666669999995</v>
      </c>
      <c r="H1907" s="2">
        <v>1428</v>
      </c>
      <c r="I1907" s="2">
        <v>2238.666667</v>
      </c>
      <c r="J1907" s="2">
        <v>0.88</v>
      </c>
      <c r="K1907" s="2">
        <v>6.59</v>
      </c>
      <c r="L1907" s="2">
        <v>10.77</v>
      </c>
      <c r="M1907" s="2">
        <v>13.76</v>
      </c>
      <c r="N1907" s="2">
        <v>3.0516402669999998</v>
      </c>
      <c r="O1907" s="2">
        <v>2.8328861179999998</v>
      </c>
      <c r="P1907" s="2">
        <v>2.272756373</v>
      </c>
      <c r="Q1907" s="2">
        <v>2.2067632050000001</v>
      </c>
      <c r="R1907" s="2">
        <v>2.2672944460000002</v>
      </c>
      <c r="S1907" s="2">
        <v>2.2064368879999998</v>
      </c>
      <c r="T1907" s="2">
        <v>0.15747198100000001</v>
      </c>
      <c r="U1907" s="2">
        <v>3.7948687000000002E-2</v>
      </c>
      <c r="V1907" s="2">
        <v>3.1410962019999999</v>
      </c>
      <c r="W1907" s="2">
        <v>5.7894911E-2</v>
      </c>
      <c r="X1907">
        <f t="shared" si="87"/>
        <v>0</v>
      </c>
      <c r="Y1907">
        <f t="shared" si="88"/>
        <v>1</v>
      </c>
      <c r="Z1907">
        <f t="shared" si="89"/>
        <v>1</v>
      </c>
    </row>
    <row r="1908" spans="1:26" ht="15.75" customHeight="1" x14ac:dyDescent="0.2">
      <c r="A1908" s="2" t="s">
        <v>23</v>
      </c>
      <c r="B1908" s="2" t="s">
        <v>35</v>
      </c>
      <c r="C1908" s="2" t="s">
        <v>28</v>
      </c>
      <c r="D1908" s="2" t="s">
        <v>29</v>
      </c>
      <c r="E1908" s="2">
        <v>170</v>
      </c>
      <c r="F1908" s="2">
        <v>120.66666669999999</v>
      </c>
      <c r="G1908" s="2">
        <v>446</v>
      </c>
      <c r="H1908" s="2">
        <v>1323.666667</v>
      </c>
      <c r="I1908" s="2">
        <v>2242.333333</v>
      </c>
      <c r="J1908" s="2">
        <v>1.02</v>
      </c>
      <c r="K1908" s="2">
        <v>4.4400000000000004</v>
      </c>
      <c r="L1908" s="2">
        <v>10.28</v>
      </c>
      <c r="M1908" s="2">
        <v>13.78</v>
      </c>
      <c r="N1908" s="2">
        <v>2.3712562940000002</v>
      </c>
      <c r="O1908" s="2">
        <v>1.883760425</v>
      </c>
      <c r="P1908" s="2">
        <v>0.66083117300000005</v>
      </c>
      <c r="Q1908" s="2">
        <v>0.53378105799999997</v>
      </c>
      <c r="R1908" s="2">
        <v>0.117643758</v>
      </c>
      <c r="S1908" s="2">
        <v>5.6786200000000002E-2</v>
      </c>
      <c r="T1908" s="2">
        <v>0.65027516200000002</v>
      </c>
      <c r="U1908" s="2">
        <v>0.53075186799999996</v>
      </c>
      <c r="V1908" s="2">
        <v>0.99144551400000003</v>
      </c>
      <c r="W1908" s="2">
        <v>3.2917983999999997E-2</v>
      </c>
      <c r="X1908">
        <f t="shared" si="87"/>
        <v>0</v>
      </c>
      <c r="Y1908">
        <f t="shared" si="88"/>
        <v>1</v>
      </c>
      <c r="Z1908">
        <f t="shared" si="89"/>
        <v>1</v>
      </c>
    </row>
    <row r="1909" spans="1:26" ht="15.75" customHeight="1" x14ac:dyDescent="0.2">
      <c r="A1909" s="2" t="s">
        <v>23</v>
      </c>
      <c r="B1909" s="2" t="s">
        <v>35</v>
      </c>
      <c r="C1909" s="2" t="s">
        <v>28</v>
      </c>
      <c r="D1909" s="2" t="s">
        <v>29</v>
      </c>
      <c r="E1909" s="2">
        <v>125</v>
      </c>
      <c r="F1909" s="2">
        <v>114</v>
      </c>
      <c r="G1909" s="2">
        <v>495.66666670000001</v>
      </c>
      <c r="H1909" s="2">
        <v>1618.333333</v>
      </c>
      <c r="I1909" s="2">
        <v>2507.666667</v>
      </c>
      <c r="J1909" s="2">
        <v>0.94</v>
      </c>
      <c r="K1909" s="2">
        <v>4.88</v>
      </c>
      <c r="L1909" s="2">
        <v>11.6</v>
      </c>
      <c r="M1909" s="2">
        <v>14.52</v>
      </c>
      <c r="N1909" s="2">
        <v>3.717310866</v>
      </c>
      <c r="O1909" s="2">
        <v>3.20970939</v>
      </c>
      <c r="P1909" s="2">
        <v>0.87089705399999995</v>
      </c>
      <c r="Q1909" s="2">
        <v>0.93162919899999996</v>
      </c>
      <c r="R1909" s="2">
        <v>0.55936965500000002</v>
      </c>
      <c r="S1909" s="2">
        <v>0.49851209600000002</v>
      </c>
      <c r="T1909" s="2">
        <v>0.66750825300000005</v>
      </c>
      <c r="U1909" s="2">
        <v>0.78703154600000003</v>
      </c>
      <c r="V1909" s="2">
        <v>1.4331714099999999</v>
      </c>
      <c r="W1909" s="2">
        <v>3.3960709999999998E-2</v>
      </c>
      <c r="X1909">
        <f t="shared" si="87"/>
        <v>0</v>
      </c>
      <c r="Y1909">
        <f t="shared" si="88"/>
        <v>1</v>
      </c>
      <c r="Z1909">
        <f t="shared" si="89"/>
        <v>1</v>
      </c>
    </row>
    <row r="1910" spans="1:26" ht="15.75" customHeight="1" x14ac:dyDescent="0.2">
      <c r="A1910" s="2" t="s">
        <v>23</v>
      </c>
      <c r="B1910" s="2" t="s">
        <v>35</v>
      </c>
      <c r="C1910" s="2" t="s">
        <v>32</v>
      </c>
      <c r="D1910" s="2" t="s">
        <v>33</v>
      </c>
      <c r="E1910" s="2">
        <v>132</v>
      </c>
      <c r="F1910" s="2">
        <v>152</v>
      </c>
      <c r="G1910" s="2">
        <v>700</v>
      </c>
      <c r="H1910" s="2">
        <v>1671.333333</v>
      </c>
      <c r="I1910" s="2">
        <v>2312.666667</v>
      </c>
      <c r="J1910" s="2">
        <v>1.4</v>
      </c>
      <c r="K1910" s="2">
        <v>6.53</v>
      </c>
      <c r="L1910" s="2">
        <v>11.81</v>
      </c>
      <c r="M1910" s="2">
        <v>13.98</v>
      </c>
      <c r="N1910" s="2">
        <v>1.4752562119999999</v>
      </c>
      <c r="O1910" s="2">
        <v>1.513307773</v>
      </c>
      <c r="P1910" s="2">
        <v>2.37307019</v>
      </c>
      <c r="Q1910" s="2">
        <v>2.3647613989999998</v>
      </c>
      <c r="R1910" s="2">
        <v>2.2031396669999999</v>
      </c>
      <c r="S1910" s="2">
        <v>2.1422821089999999</v>
      </c>
      <c r="T1910" s="2">
        <v>0.88183770100000003</v>
      </c>
      <c r="U1910" s="2">
        <v>1.0013609939999999</v>
      </c>
      <c r="V1910" s="2">
        <v>3.0769414230000001</v>
      </c>
      <c r="W1910" s="2">
        <v>4.9155974999999998E-2</v>
      </c>
      <c r="X1910">
        <f t="shared" si="87"/>
        <v>0</v>
      </c>
      <c r="Y1910">
        <f t="shared" si="88"/>
        <v>1</v>
      </c>
      <c r="Z1910">
        <f t="shared" si="89"/>
        <v>1</v>
      </c>
    </row>
    <row r="1911" spans="1:26" ht="15.75" customHeight="1" x14ac:dyDescent="0.2">
      <c r="A1911" s="2" t="s">
        <v>23</v>
      </c>
      <c r="B1911" s="2" t="s">
        <v>35</v>
      </c>
      <c r="C1911" s="2" t="s">
        <v>25</v>
      </c>
      <c r="D1911" s="2" t="s">
        <v>25</v>
      </c>
      <c r="E1911" s="2">
        <v>140</v>
      </c>
      <c r="F1911" s="2">
        <v>118</v>
      </c>
      <c r="G1911" s="2">
        <v>601</v>
      </c>
      <c r="H1911" s="2">
        <v>1414</v>
      </c>
      <c r="I1911" s="2">
        <v>2411</v>
      </c>
      <c r="J1911" s="2">
        <v>0.99</v>
      </c>
      <c r="K1911" s="2">
        <v>5.76</v>
      </c>
      <c r="L1911" s="2">
        <v>10.71</v>
      </c>
      <c r="M1911" s="2">
        <v>14.26</v>
      </c>
      <c r="N1911" s="2">
        <v>0.31783318700000002</v>
      </c>
      <c r="O1911" s="2">
        <v>0.24910143700000001</v>
      </c>
      <c r="P1911" s="2">
        <v>1.456477147</v>
      </c>
      <c r="Q1911" s="2">
        <v>1.382418417</v>
      </c>
      <c r="R1911" s="2">
        <v>1.439485256</v>
      </c>
      <c r="S1911" s="2">
        <v>1.3786276980000001</v>
      </c>
      <c r="T1911" s="2">
        <v>0.22182848399999999</v>
      </c>
      <c r="U1911" s="2">
        <v>0.102305191</v>
      </c>
      <c r="V1911" s="2">
        <v>2.313287012</v>
      </c>
      <c r="W1911" s="2">
        <v>6.1609162000000002E-2</v>
      </c>
      <c r="X1911">
        <f t="shared" si="87"/>
        <v>0</v>
      </c>
      <c r="Y1911">
        <f t="shared" si="88"/>
        <v>1</v>
      </c>
      <c r="Z1911">
        <f t="shared" si="89"/>
        <v>0</v>
      </c>
    </row>
    <row r="1912" spans="1:26" ht="15.75" customHeight="1" x14ac:dyDescent="0.2">
      <c r="A1912" s="2" t="s">
        <v>23</v>
      </c>
      <c r="B1912" s="2" t="s">
        <v>35</v>
      </c>
      <c r="C1912" s="2" t="s">
        <v>27</v>
      </c>
      <c r="D1912" s="2" t="s">
        <v>27</v>
      </c>
      <c r="E1912" s="2">
        <v>136</v>
      </c>
      <c r="F1912" s="2">
        <v>124</v>
      </c>
      <c r="G1912" s="2">
        <v>397.66666670000001</v>
      </c>
      <c r="H1912" s="2">
        <v>1800</v>
      </c>
      <c r="I1912" s="2">
        <v>2406.666667</v>
      </c>
      <c r="J1912" s="2">
        <v>1.07</v>
      </c>
      <c r="K1912" s="2">
        <v>3.99</v>
      </c>
      <c r="L1912" s="2">
        <v>12.3</v>
      </c>
      <c r="M1912" s="2">
        <v>14.25</v>
      </c>
      <c r="N1912" s="2">
        <v>3.6353082000000002E-2</v>
      </c>
      <c r="O1912" s="2">
        <v>0.197398669</v>
      </c>
      <c r="P1912" s="2">
        <v>1.4160311640000001</v>
      </c>
      <c r="Q1912" s="2">
        <v>1.5467652620000001</v>
      </c>
      <c r="R1912" s="2">
        <v>0.33009182100000001</v>
      </c>
      <c r="S1912" s="2">
        <v>0.39094937899999999</v>
      </c>
      <c r="T1912" s="2">
        <v>1.377019843</v>
      </c>
      <c r="U1912" s="2">
        <v>1.4965431360000001</v>
      </c>
      <c r="V1912" s="2">
        <v>0.54370993499999998</v>
      </c>
      <c r="W1912" s="2">
        <v>7.2886811999999995E-2</v>
      </c>
      <c r="X1912">
        <f t="shared" si="87"/>
        <v>0</v>
      </c>
      <c r="Y1912">
        <f t="shared" si="88"/>
        <v>1</v>
      </c>
      <c r="Z1912">
        <f t="shared" si="89"/>
        <v>0</v>
      </c>
    </row>
    <row r="1913" spans="1:26" ht="15.75" customHeight="1" x14ac:dyDescent="0.2">
      <c r="A1913" s="2" t="s">
        <v>23</v>
      </c>
      <c r="B1913" s="2" t="s">
        <v>35</v>
      </c>
      <c r="C1913" s="2" t="s">
        <v>32</v>
      </c>
      <c r="D1913" s="2" t="s">
        <v>33</v>
      </c>
      <c r="E1913" s="2">
        <v>117</v>
      </c>
      <c r="F1913" s="2">
        <v>104</v>
      </c>
      <c r="G1913" s="2">
        <v>789</v>
      </c>
      <c r="H1913" s="2">
        <v>1660.333333</v>
      </c>
      <c r="I1913" s="2">
        <v>2381.666667</v>
      </c>
      <c r="J1913" s="2">
        <v>0.82</v>
      </c>
      <c r="K1913" s="2">
        <v>7.16</v>
      </c>
      <c r="L1913" s="2">
        <v>11.77</v>
      </c>
      <c r="M1913" s="2">
        <v>14.18</v>
      </c>
      <c r="N1913" s="2">
        <v>1.7895289599999999</v>
      </c>
      <c r="O1913" s="2">
        <v>1.8638081479999999</v>
      </c>
      <c r="P1913" s="2">
        <v>2.9636146409999999</v>
      </c>
      <c r="Q1913" s="2">
        <v>2.9419875549999999</v>
      </c>
      <c r="R1913" s="2">
        <v>2.8427073570000001</v>
      </c>
      <c r="S1913" s="2">
        <v>2.7818497990000002</v>
      </c>
      <c r="T1913" s="2">
        <v>0.83787028900000005</v>
      </c>
      <c r="U1913" s="2">
        <v>0.95739358299999999</v>
      </c>
      <c r="V1913" s="2">
        <v>3.7165091129999999</v>
      </c>
      <c r="W1913" s="2">
        <v>3.4685531999999998E-2</v>
      </c>
      <c r="X1913">
        <f t="shared" si="87"/>
        <v>0</v>
      </c>
      <c r="Y1913">
        <f t="shared" si="88"/>
        <v>1</v>
      </c>
      <c r="Z1913">
        <f t="shared" si="89"/>
        <v>1</v>
      </c>
    </row>
    <row r="1914" spans="1:26" ht="15.75" customHeight="1" x14ac:dyDescent="0.2">
      <c r="A1914" s="2" t="s">
        <v>23</v>
      </c>
      <c r="B1914" s="2" t="s">
        <v>35</v>
      </c>
      <c r="C1914" s="2" t="s">
        <v>28</v>
      </c>
      <c r="D1914" s="2" t="s">
        <v>29</v>
      </c>
      <c r="E1914" s="2">
        <v>162</v>
      </c>
      <c r="F1914" s="2">
        <v>125.33333330000001</v>
      </c>
      <c r="G1914" s="2">
        <v>480</v>
      </c>
      <c r="H1914" s="2">
        <v>1348</v>
      </c>
      <c r="I1914" s="2">
        <v>2035</v>
      </c>
      <c r="J1914" s="2">
        <v>1.08</v>
      </c>
      <c r="K1914" s="2">
        <v>4.74</v>
      </c>
      <c r="L1914" s="2">
        <v>10.39</v>
      </c>
      <c r="M1914" s="2">
        <v>13.13</v>
      </c>
      <c r="N1914" s="2">
        <v>2.5094838560000001</v>
      </c>
      <c r="O1914" s="2">
        <v>2.0022442599999999</v>
      </c>
      <c r="P1914" s="2">
        <v>0.67947307499999998</v>
      </c>
      <c r="Q1914" s="2">
        <v>0.54863976199999998</v>
      </c>
      <c r="R1914" s="2">
        <v>0.42197487</v>
      </c>
      <c r="S1914" s="2">
        <v>0.36111731200000002</v>
      </c>
      <c r="T1914" s="2">
        <v>0.53256067100000004</v>
      </c>
      <c r="U1914" s="2">
        <v>0.41303737800000001</v>
      </c>
      <c r="V1914" s="2">
        <v>1.2957766260000001</v>
      </c>
      <c r="W1914" s="2">
        <v>4.2246718000000003E-2</v>
      </c>
      <c r="X1914">
        <f t="shared" si="87"/>
        <v>0</v>
      </c>
      <c r="Y1914">
        <f t="shared" si="88"/>
        <v>1</v>
      </c>
      <c r="Z1914">
        <f t="shared" si="89"/>
        <v>1</v>
      </c>
    </row>
    <row r="1915" spans="1:26" ht="15.75" customHeight="1" x14ac:dyDescent="0.2">
      <c r="A1915" s="2" t="s">
        <v>23</v>
      </c>
      <c r="B1915" s="2" t="s">
        <v>35</v>
      </c>
      <c r="C1915" s="2" t="s">
        <v>27</v>
      </c>
      <c r="D1915" s="2" t="s">
        <v>27</v>
      </c>
      <c r="E1915" s="2">
        <v>169</v>
      </c>
      <c r="F1915" s="2">
        <v>132.33333329999999</v>
      </c>
      <c r="G1915" s="2">
        <v>387.33333329999999</v>
      </c>
      <c r="H1915" s="2">
        <v>1840.666667</v>
      </c>
      <c r="I1915" s="2">
        <v>2482.666667</v>
      </c>
      <c r="J1915" s="2">
        <v>1.17</v>
      </c>
      <c r="K1915" s="2">
        <v>3.89</v>
      </c>
      <c r="L1915" s="2">
        <v>12.45</v>
      </c>
      <c r="M1915" s="2">
        <v>14.45</v>
      </c>
      <c r="N1915" s="2">
        <v>0.143117841</v>
      </c>
      <c r="O1915" s="2">
        <v>0.375809275</v>
      </c>
      <c r="P1915" s="2">
        <v>1.5854753049999999</v>
      </c>
      <c r="Q1915" s="2">
        <v>1.717194943</v>
      </c>
      <c r="R1915" s="2">
        <v>0.42820698899999998</v>
      </c>
      <c r="S1915" s="2">
        <v>0.48906454799999999</v>
      </c>
      <c r="T1915" s="2">
        <v>1.5265551799999999</v>
      </c>
      <c r="U1915" s="2">
        <v>1.646078473</v>
      </c>
      <c r="V1915" s="2">
        <v>0.44559476599999998</v>
      </c>
      <c r="W1915" s="2">
        <v>5.9265301999999999E-2</v>
      </c>
      <c r="X1915">
        <f t="shared" si="87"/>
        <v>0</v>
      </c>
      <c r="Y1915">
        <f t="shared" si="88"/>
        <v>1</v>
      </c>
      <c r="Z1915">
        <f t="shared" si="89"/>
        <v>0</v>
      </c>
    </row>
    <row r="1916" spans="1:26" ht="15.75" customHeight="1" x14ac:dyDescent="0.2">
      <c r="A1916" s="2" t="s">
        <v>23</v>
      </c>
      <c r="B1916" s="2" t="s">
        <v>35</v>
      </c>
      <c r="C1916" s="2" t="s">
        <v>26</v>
      </c>
      <c r="D1916" s="2" t="s">
        <v>26</v>
      </c>
      <c r="E1916" s="2">
        <v>151</v>
      </c>
      <c r="F1916" s="2">
        <v>122.66666669999999</v>
      </c>
      <c r="G1916" s="2">
        <v>447</v>
      </c>
      <c r="H1916" s="2">
        <v>698.33333330000005</v>
      </c>
      <c r="I1916" s="2">
        <v>2343.666667</v>
      </c>
      <c r="J1916" s="2">
        <v>1.05</v>
      </c>
      <c r="K1916" s="2">
        <v>4.45</v>
      </c>
      <c r="L1916" s="2">
        <v>6.51</v>
      </c>
      <c r="M1916" s="2">
        <v>14.07</v>
      </c>
      <c r="N1916" s="2">
        <v>1.3934328300000001</v>
      </c>
      <c r="O1916" s="2">
        <v>1.8911132100000001</v>
      </c>
      <c r="P1916" s="2">
        <v>4.4164951349999999</v>
      </c>
      <c r="Q1916" s="2">
        <v>4.2956584910000002</v>
      </c>
      <c r="R1916" s="2">
        <v>0.12671739000000001</v>
      </c>
      <c r="S1916" s="2">
        <v>6.5859831999999993E-2</v>
      </c>
      <c r="T1916" s="2">
        <v>4.4146768830000003</v>
      </c>
      <c r="U1916" s="2">
        <v>4.2951535889999999</v>
      </c>
      <c r="V1916" s="2">
        <v>1.000519146</v>
      </c>
      <c r="W1916" s="2">
        <v>7.3700203000000006E-2</v>
      </c>
      <c r="X1916">
        <f t="shared" si="87"/>
        <v>0</v>
      </c>
      <c r="Y1916">
        <f t="shared" si="88"/>
        <v>1</v>
      </c>
      <c r="Z1916">
        <f t="shared" si="89"/>
        <v>0</v>
      </c>
    </row>
    <row r="1917" spans="1:26" ht="15.75" customHeight="1" x14ac:dyDescent="0.2">
      <c r="A1917" s="2" t="s">
        <v>23</v>
      </c>
      <c r="B1917" s="2" t="s">
        <v>35</v>
      </c>
      <c r="C1917" s="2" t="s">
        <v>27</v>
      </c>
      <c r="D1917" s="2" t="s">
        <v>27</v>
      </c>
      <c r="E1917" s="2">
        <v>158</v>
      </c>
      <c r="F1917" s="2">
        <v>115.33333330000001</v>
      </c>
      <c r="G1917" s="2">
        <v>406.33333329999999</v>
      </c>
      <c r="H1917" s="2">
        <v>1790</v>
      </c>
      <c r="I1917" s="2">
        <v>2433</v>
      </c>
      <c r="J1917" s="2">
        <v>0.96</v>
      </c>
      <c r="K1917" s="2">
        <v>4.07</v>
      </c>
      <c r="L1917" s="2">
        <v>12.27</v>
      </c>
      <c r="M1917" s="2">
        <v>14.32</v>
      </c>
      <c r="N1917" s="2">
        <v>0.124063777</v>
      </c>
      <c r="O1917" s="2">
        <v>0.123909585</v>
      </c>
      <c r="P1917" s="2">
        <v>1.3625964559999999</v>
      </c>
      <c r="Q1917" s="2">
        <v>1.4916981419999999</v>
      </c>
      <c r="R1917" s="2">
        <v>0.24846241099999999</v>
      </c>
      <c r="S1917" s="2">
        <v>0.30931997</v>
      </c>
      <c r="T1917" s="2">
        <v>1.3397520409999999</v>
      </c>
      <c r="U1917" s="2">
        <v>1.4592753350000001</v>
      </c>
      <c r="V1917" s="2">
        <v>0.62533934400000002</v>
      </c>
      <c r="W1917" s="2">
        <v>5.8303345999999999E-2</v>
      </c>
      <c r="X1917">
        <f t="shared" si="87"/>
        <v>0</v>
      </c>
      <c r="Y1917">
        <f t="shared" si="88"/>
        <v>1</v>
      </c>
      <c r="Z1917">
        <f t="shared" si="89"/>
        <v>0</v>
      </c>
    </row>
    <row r="1918" spans="1:26" ht="15.75" customHeight="1" x14ac:dyDescent="0.2">
      <c r="A1918" s="2" t="s">
        <v>23</v>
      </c>
      <c r="B1918" s="2" t="s">
        <v>35</v>
      </c>
      <c r="C1918" s="2" t="s">
        <v>27</v>
      </c>
      <c r="D1918" s="2" t="s">
        <v>27</v>
      </c>
      <c r="E1918" s="2">
        <v>134</v>
      </c>
      <c r="F1918" s="2">
        <v>117</v>
      </c>
      <c r="G1918" s="2">
        <v>472.33333329999999</v>
      </c>
      <c r="H1918" s="2">
        <v>1761</v>
      </c>
      <c r="I1918" s="2">
        <v>2398</v>
      </c>
      <c r="J1918" s="2">
        <v>0.98</v>
      </c>
      <c r="K1918" s="2">
        <v>4.68</v>
      </c>
      <c r="L1918" s="2">
        <v>12.16</v>
      </c>
      <c r="M1918" s="2">
        <v>14.22</v>
      </c>
      <c r="N1918" s="2">
        <v>0.72970573599999999</v>
      </c>
      <c r="O1918" s="2">
        <v>0.56049745200000001</v>
      </c>
      <c r="P1918" s="2">
        <v>1.2804756509999999</v>
      </c>
      <c r="Q1918" s="2">
        <v>1.381544704</v>
      </c>
      <c r="R1918" s="2">
        <v>0.35409413299999998</v>
      </c>
      <c r="S1918" s="2">
        <v>0.293236575</v>
      </c>
      <c r="T1918" s="2">
        <v>1.23054266</v>
      </c>
      <c r="U1918" s="2">
        <v>1.350065954</v>
      </c>
      <c r="V1918" s="2">
        <v>1.227895889</v>
      </c>
      <c r="W1918" s="2">
        <v>6.7286866000000001E-2</v>
      </c>
      <c r="X1918">
        <f t="shared" si="87"/>
        <v>0</v>
      </c>
      <c r="Y1918">
        <f t="shared" si="88"/>
        <v>1</v>
      </c>
      <c r="Z1918">
        <f t="shared" si="89"/>
        <v>0</v>
      </c>
    </row>
    <row r="1919" spans="1:26" ht="15.75" customHeight="1" x14ac:dyDescent="0.2">
      <c r="A1919" s="2" t="s">
        <v>23</v>
      </c>
      <c r="B1919" s="2" t="s">
        <v>35</v>
      </c>
      <c r="C1919" s="2" t="s">
        <v>32</v>
      </c>
      <c r="D1919" s="2" t="s">
        <v>33</v>
      </c>
      <c r="E1919" s="2">
        <v>158</v>
      </c>
      <c r="F1919" s="2">
        <v>170</v>
      </c>
      <c r="G1919" s="2">
        <v>657.66666669999995</v>
      </c>
      <c r="H1919" s="2">
        <v>1088.333333</v>
      </c>
      <c r="I1919" s="2">
        <v>2249.666667</v>
      </c>
      <c r="J1919" s="2">
        <v>1.61</v>
      </c>
      <c r="K1919" s="2">
        <v>6.21</v>
      </c>
      <c r="L1919" s="2">
        <v>9.0399999999999991</v>
      </c>
      <c r="M1919" s="2">
        <v>13.8</v>
      </c>
      <c r="N1919" s="2">
        <v>1.431486714</v>
      </c>
      <c r="O1919" s="2">
        <v>1.473055376</v>
      </c>
      <c r="P1919" s="2">
        <v>2.6653393570000001</v>
      </c>
      <c r="Q1919" s="2">
        <v>2.5381063789999998</v>
      </c>
      <c r="R1919" s="2">
        <v>1.883662833</v>
      </c>
      <c r="S1919" s="2">
        <v>1.8228052749999999</v>
      </c>
      <c r="T1919" s="2">
        <v>1.885695686</v>
      </c>
      <c r="U1919" s="2">
        <v>1.766172393</v>
      </c>
      <c r="V1919" s="2">
        <v>2.757464589</v>
      </c>
      <c r="W1919" s="2">
        <v>0.120238685</v>
      </c>
      <c r="X1919">
        <f t="shared" si="87"/>
        <v>0</v>
      </c>
      <c r="Y1919">
        <f t="shared" si="88"/>
        <v>1</v>
      </c>
      <c r="Z1919">
        <f t="shared" si="89"/>
        <v>1</v>
      </c>
    </row>
    <row r="1920" spans="1:26" ht="15.75" customHeight="1" x14ac:dyDescent="0.2">
      <c r="A1920" s="2" t="s">
        <v>23</v>
      </c>
      <c r="B1920" s="2" t="s">
        <v>35</v>
      </c>
      <c r="C1920" s="2" t="s">
        <v>28</v>
      </c>
      <c r="D1920" s="2" t="s">
        <v>29</v>
      </c>
      <c r="E1920" s="2">
        <v>200</v>
      </c>
      <c r="F1920" s="2">
        <v>116.66666669999999</v>
      </c>
      <c r="G1920" s="2">
        <v>539.66666669999995</v>
      </c>
      <c r="H1920" s="2">
        <v>1518.333333</v>
      </c>
      <c r="I1920" s="2">
        <v>2075.333333</v>
      </c>
      <c r="J1920" s="2">
        <v>0.98</v>
      </c>
      <c r="K1920" s="2">
        <v>5.26</v>
      </c>
      <c r="L1920" s="2">
        <v>11.17</v>
      </c>
      <c r="M1920" s="2">
        <v>13.26</v>
      </c>
      <c r="N1920" s="2">
        <v>3.3717524970000001</v>
      </c>
      <c r="O1920" s="2">
        <v>2.8543584169999998</v>
      </c>
      <c r="P1920" s="2">
        <v>0.967648336</v>
      </c>
      <c r="Q1920" s="2">
        <v>0.94818112899999996</v>
      </c>
      <c r="R1920" s="2">
        <v>0.93603359699999999</v>
      </c>
      <c r="S1920" s="2">
        <v>0.87517603899999996</v>
      </c>
      <c r="T1920" s="2">
        <v>0.24532510599999999</v>
      </c>
      <c r="U1920" s="2">
        <v>0.36484840000000002</v>
      </c>
      <c r="V1920" s="2">
        <v>1.809835353</v>
      </c>
      <c r="W1920" s="2">
        <v>5.4798744000000003E-2</v>
      </c>
      <c r="X1920">
        <f t="shared" si="87"/>
        <v>0</v>
      </c>
      <c r="Y1920">
        <f t="shared" si="88"/>
        <v>1</v>
      </c>
      <c r="Z1920">
        <f t="shared" si="89"/>
        <v>1</v>
      </c>
    </row>
    <row r="1921" spans="1:26" ht="15.75" customHeight="1" x14ac:dyDescent="0.2">
      <c r="A1921" s="2" t="s">
        <v>23</v>
      </c>
      <c r="B1921" s="2" t="s">
        <v>35</v>
      </c>
      <c r="C1921" s="2" t="s">
        <v>26</v>
      </c>
      <c r="D1921" s="2" t="s">
        <v>26</v>
      </c>
      <c r="E1921" s="2">
        <v>138</v>
      </c>
      <c r="F1921" s="2">
        <v>107.33333330000001</v>
      </c>
      <c r="G1921" s="2">
        <v>389.66666670000001</v>
      </c>
      <c r="H1921" s="2">
        <v>868</v>
      </c>
      <c r="I1921" s="2">
        <v>2377.666667</v>
      </c>
      <c r="J1921" s="2">
        <v>0.86</v>
      </c>
      <c r="K1921" s="2">
        <v>3.92</v>
      </c>
      <c r="L1921" s="2">
        <v>7.7</v>
      </c>
      <c r="M1921" s="2">
        <v>14.17</v>
      </c>
      <c r="N1921" s="2">
        <v>0.54801449599999996</v>
      </c>
      <c r="O1921" s="2">
        <v>0.968187888</v>
      </c>
      <c r="P1921" s="2">
        <v>3.2541660440000002</v>
      </c>
      <c r="Q1921" s="2">
        <v>3.1440705539999998</v>
      </c>
      <c r="R1921" s="2">
        <v>0.40597651899999998</v>
      </c>
      <c r="S1921" s="2">
        <v>0.46683407799999999</v>
      </c>
      <c r="T1921" s="2">
        <v>3.2287427439999998</v>
      </c>
      <c r="U1921" s="2">
        <v>3.109219451</v>
      </c>
      <c r="V1921" s="2">
        <v>0.467825237</v>
      </c>
      <c r="W1921" s="2">
        <v>5.5287949000000003E-2</v>
      </c>
      <c r="X1921">
        <f t="shared" si="87"/>
        <v>0</v>
      </c>
      <c r="Y1921">
        <f t="shared" si="88"/>
        <v>1</v>
      </c>
      <c r="Z1921">
        <f t="shared" si="89"/>
        <v>0</v>
      </c>
    </row>
    <row r="1922" spans="1:26" ht="15.75" customHeight="1" x14ac:dyDescent="0.2">
      <c r="A1922" s="2" t="s">
        <v>23</v>
      </c>
      <c r="B1922" s="2" t="s">
        <v>35</v>
      </c>
      <c r="C1922" s="2" t="s">
        <v>30</v>
      </c>
      <c r="D1922" s="2" t="s">
        <v>31</v>
      </c>
      <c r="E1922" s="2">
        <v>172</v>
      </c>
      <c r="F1922" s="2">
        <v>115.33333330000001</v>
      </c>
      <c r="G1922" s="2">
        <v>585.33333330000005</v>
      </c>
      <c r="H1922" s="2">
        <v>1281</v>
      </c>
      <c r="I1922" s="2">
        <v>2129.333333</v>
      </c>
      <c r="J1922" s="2">
        <v>0.96</v>
      </c>
      <c r="K1922" s="2">
        <v>5.64</v>
      </c>
      <c r="L1922" s="2">
        <v>10.07</v>
      </c>
      <c r="M1922" s="2">
        <v>13.43</v>
      </c>
      <c r="N1922" s="2">
        <v>2.8126119100000002</v>
      </c>
      <c r="O1922" s="2">
        <v>2.5792943269999999</v>
      </c>
      <c r="P1922" s="2">
        <v>1.570256103</v>
      </c>
      <c r="Q1922" s="2">
        <v>1.455352913</v>
      </c>
      <c r="R1922" s="2">
        <v>1.313193429</v>
      </c>
      <c r="S1922" s="2">
        <v>1.2523358710000001</v>
      </c>
      <c r="T1922" s="2">
        <v>0.86094555399999995</v>
      </c>
      <c r="U1922" s="2">
        <v>0.74142226099999997</v>
      </c>
      <c r="V1922" s="2">
        <v>2.1869951849999998</v>
      </c>
      <c r="W1922" s="2">
        <v>5.5947318000000003E-2</v>
      </c>
      <c r="X1922">
        <f t="shared" si="87"/>
        <v>0</v>
      </c>
      <c r="Y1922">
        <f t="shared" si="88"/>
        <v>1</v>
      </c>
      <c r="Z1922">
        <f t="shared" si="89"/>
        <v>1</v>
      </c>
    </row>
    <row r="1923" spans="1:26" ht="15.75" customHeight="1" x14ac:dyDescent="0.2">
      <c r="A1923" s="2" t="s">
        <v>23</v>
      </c>
      <c r="B1923" s="2" t="s">
        <v>35</v>
      </c>
      <c r="C1923" s="2" t="s">
        <v>27</v>
      </c>
      <c r="D1923" s="2" t="s">
        <v>27</v>
      </c>
      <c r="E1923" s="2">
        <v>110</v>
      </c>
      <c r="F1923" s="2">
        <v>125</v>
      </c>
      <c r="G1923" s="2">
        <v>381</v>
      </c>
      <c r="H1923" s="2">
        <v>1788.333333</v>
      </c>
      <c r="I1923" s="2">
        <v>2451.666667</v>
      </c>
      <c r="J1923" s="2">
        <v>1.08</v>
      </c>
      <c r="K1923" s="2">
        <v>3.83</v>
      </c>
      <c r="L1923" s="2">
        <v>12.26</v>
      </c>
      <c r="M1923" s="2">
        <v>14.37</v>
      </c>
      <c r="N1923" s="2">
        <v>0.15127819100000001</v>
      </c>
      <c r="O1923" s="2">
        <v>0.30319191600000001</v>
      </c>
      <c r="P1923" s="2">
        <v>1.4202730990000001</v>
      </c>
      <c r="Q1923" s="2">
        <v>1.5535216780000001</v>
      </c>
      <c r="R1923" s="2">
        <v>0.488770223</v>
      </c>
      <c r="S1923" s="2">
        <v>0.54962778099999998</v>
      </c>
      <c r="T1923" s="2">
        <v>1.333521408</v>
      </c>
      <c r="U1923" s="2">
        <v>1.4530447019999999</v>
      </c>
      <c r="V1923" s="2">
        <v>0.38503153299999998</v>
      </c>
      <c r="W1923" s="2">
        <v>4.9012442000000003E-2</v>
      </c>
      <c r="X1923">
        <f t="shared" ref="X1923:X1986" si="90">IF(B1923="normal",1,0)</f>
        <v>0</v>
      </c>
      <c r="Y1923">
        <f t="shared" ref="Y1923:Y1986" si="91">IF(A1923="lecture",1,0)</f>
        <v>1</v>
      </c>
      <c r="Z1923">
        <f t="shared" ref="Z1923:Z1986" si="92">IF(ISNUMBER(FIND("~",D1923)),1,0)</f>
        <v>0</v>
      </c>
    </row>
    <row r="1924" spans="1:26" ht="15.75" customHeight="1" x14ac:dyDescent="0.2">
      <c r="A1924" s="2" t="s">
        <v>23</v>
      </c>
      <c r="B1924" s="2" t="s">
        <v>35</v>
      </c>
      <c r="C1924" s="2" t="s">
        <v>30</v>
      </c>
      <c r="D1924" s="2" t="s">
        <v>31</v>
      </c>
      <c r="E1924" s="2">
        <v>161</v>
      </c>
      <c r="F1924" s="2">
        <v>119.33333330000001</v>
      </c>
      <c r="G1924" s="2">
        <v>619</v>
      </c>
      <c r="H1924" s="2">
        <v>1225.666667</v>
      </c>
      <c r="I1924" s="2">
        <v>2172.333333</v>
      </c>
      <c r="J1924" s="2">
        <v>1.01</v>
      </c>
      <c r="K1924" s="2">
        <v>5.9</v>
      </c>
      <c r="L1924" s="2">
        <v>9.7799999999999994</v>
      </c>
      <c r="M1924" s="2">
        <v>13.56</v>
      </c>
      <c r="N1924" s="2">
        <v>3.1995765</v>
      </c>
      <c r="O1924" s="2">
        <v>2.9660758380000001</v>
      </c>
      <c r="P1924" s="2">
        <v>1.9520159850000001</v>
      </c>
      <c r="Q1924" s="2">
        <v>1.8337372700000001</v>
      </c>
      <c r="R1924" s="2">
        <v>1.58269233</v>
      </c>
      <c r="S1924" s="2">
        <v>1.521834771</v>
      </c>
      <c r="T1924" s="2">
        <v>1.1425635199999999</v>
      </c>
      <c r="U1924" s="2">
        <v>1.023040226</v>
      </c>
      <c r="V1924" s="2">
        <v>2.4564940850000001</v>
      </c>
      <c r="W1924" s="2">
        <v>4.9275740999999998E-2</v>
      </c>
      <c r="X1924">
        <f t="shared" si="90"/>
        <v>0</v>
      </c>
      <c r="Y1924">
        <f t="shared" si="91"/>
        <v>1</v>
      </c>
      <c r="Z1924">
        <f t="shared" si="92"/>
        <v>1</v>
      </c>
    </row>
    <row r="1925" spans="1:26" ht="15.75" customHeight="1" x14ac:dyDescent="0.2">
      <c r="A1925" s="2" t="s">
        <v>23</v>
      </c>
      <c r="B1925" s="2" t="s">
        <v>35</v>
      </c>
      <c r="C1925" s="2" t="s">
        <v>26</v>
      </c>
      <c r="D1925" s="2" t="s">
        <v>26</v>
      </c>
      <c r="E1925" s="2">
        <v>119</v>
      </c>
      <c r="F1925" s="2">
        <v>107.66666669999999</v>
      </c>
      <c r="G1925" s="2">
        <v>394</v>
      </c>
      <c r="H1925" s="2">
        <v>750</v>
      </c>
      <c r="I1925" s="2">
        <v>2326.666667</v>
      </c>
      <c r="J1925" s="2">
        <v>0.87</v>
      </c>
      <c r="K1925" s="2">
        <v>3.96</v>
      </c>
      <c r="L1925" s="2">
        <v>6.89</v>
      </c>
      <c r="M1925" s="2">
        <v>14.02</v>
      </c>
      <c r="N1925" s="2">
        <v>1.118135584</v>
      </c>
      <c r="O1925" s="2">
        <v>1.634564248</v>
      </c>
      <c r="P1925" s="2">
        <v>4.0542592820000003</v>
      </c>
      <c r="Q1925" s="2">
        <v>3.9413430539999998</v>
      </c>
      <c r="R1925" s="2">
        <v>0.36480828199999998</v>
      </c>
      <c r="S1925" s="2">
        <v>0.42566584099999999</v>
      </c>
      <c r="T1925" s="2">
        <v>4.0378129280000001</v>
      </c>
      <c r="U1925" s="2">
        <v>3.9182896349999998</v>
      </c>
      <c r="V1925" s="2">
        <v>0.50899347299999997</v>
      </c>
      <c r="W1925" s="2">
        <v>4.3841942000000002E-2</v>
      </c>
      <c r="X1925">
        <f t="shared" si="90"/>
        <v>0</v>
      </c>
      <c r="Y1925">
        <f t="shared" si="91"/>
        <v>1</v>
      </c>
      <c r="Z1925">
        <f t="shared" si="92"/>
        <v>0</v>
      </c>
    </row>
    <row r="1926" spans="1:26" ht="15.75" customHeight="1" x14ac:dyDescent="0.2">
      <c r="A1926" s="2" t="s">
        <v>23</v>
      </c>
      <c r="B1926" s="2" t="s">
        <v>35</v>
      </c>
      <c r="C1926" s="2" t="s">
        <v>26</v>
      </c>
      <c r="D1926" s="2" t="s">
        <v>26</v>
      </c>
      <c r="E1926" s="2">
        <v>175</v>
      </c>
      <c r="F1926" s="2">
        <v>145.66666670000001</v>
      </c>
      <c r="G1926" s="2">
        <v>444.66666670000001</v>
      </c>
      <c r="H1926" s="2">
        <v>795.33333330000005</v>
      </c>
      <c r="I1926" s="2">
        <v>2506.333333</v>
      </c>
      <c r="J1926" s="2">
        <v>1.32</v>
      </c>
      <c r="K1926" s="2">
        <v>4.43</v>
      </c>
      <c r="L1926" s="2">
        <v>7.21</v>
      </c>
      <c r="M1926" s="2">
        <v>14.51</v>
      </c>
      <c r="N1926" s="2">
        <v>0.69732350899999995</v>
      </c>
      <c r="O1926" s="2">
        <v>1.2006515250000001</v>
      </c>
      <c r="P1926" s="2">
        <v>3.720283325</v>
      </c>
      <c r="Q1926" s="2">
        <v>3.5995401469999999</v>
      </c>
      <c r="R1926" s="2">
        <v>0.105533843</v>
      </c>
      <c r="S1926" s="2">
        <v>4.4676283999999997E-2</v>
      </c>
      <c r="T1926" s="2">
        <v>3.7187861760000001</v>
      </c>
      <c r="U1926" s="2">
        <v>3.5992628830000002</v>
      </c>
      <c r="V1926" s="2">
        <v>0.97933559800000003</v>
      </c>
      <c r="W1926" s="2">
        <v>9.5259351000000006E-2</v>
      </c>
      <c r="X1926">
        <f t="shared" si="90"/>
        <v>0</v>
      </c>
      <c r="Y1926">
        <f t="shared" si="91"/>
        <v>1</v>
      </c>
      <c r="Z1926">
        <f t="shared" si="92"/>
        <v>0</v>
      </c>
    </row>
    <row r="1927" spans="1:26" ht="15.75" customHeight="1" x14ac:dyDescent="0.2">
      <c r="A1927" s="2" t="s">
        <v>23</v>
      </c>
      <c r="B1927" s="2" t="s">
        <v>35</v>
      </c>
      <c r="C1927" s="2" t="s">
        <v>26</v>
      </c>
      <c r="D1927" s="2" t="s">
        <v>26</v>
      </c>
      <c r="E1927" s="2">
        <v>110</v>
      </c>
      <c r="F1927" s="2">
        <v>117.66666669999999</v>
      </c>
      <c r="G1927" s="2">
        <v>476.33333329999999</v>
      </c>
      <c r="H1927" s="2">
        <v>573.33333330000005</v>
      </c>
      <c r="I1927" s="2">
        <v>2584.333333</v>
      </c>
      <c r="J1927" s="2">
        <v>0.99</v>
      </c>
      <c r="K1927" s="2">
        <v>4.71</v>
      </c>
      <c r="L1927" s="2">
        <v>5.54</v>
      </c>
      <c r="M1927" s="2">
        <v>14.72</v>
      </c>
      <c r="N1927" s="2">
        <v>2.386026319</v>
      </c>
      <c r="O1927" s="2">
        <v>2.8643930480000002</v>
      </c>
      <c r="P1927" s="2">
        <v>5.4040877930000004</v>
      </c>
      <c r="Q1927" s="2">
        <v>5.2807452789999996</v>
      </c>
      <c r="R1927" s="2">
        <v>0.38956347099999999</v>
      </c>
      <c r="S1927" s="2">
        <v>0.32870591199999999</v>
      </c>
      <c r="T1927" s="2">
        <v>5.3900283099999999</v>
      </c>
      <c r="U1927" s="2">
        <v>5.2705050160000004</v>
      </c>
      <c r="V1927" s="2">
        <v>1.263365227</v>
      </c>
      <c r="W1927" s="2">
        <v>4.7954271999999999E-2</v>
      </c>
      <c r="X1927">
        <f t="shared" si="90"/>
        <v>0</v>
      </c>
      <c r="Y1927">
        <f t="shared" si="91"/>
        <v>1</v>
      </c>
      <c r="Z1927">
        <f t="shared" si="92"/>
        <v>0</v>
      </c>
    </row>
    <row r="1928" spans="1:26" ht="15.75" customHeight="1" x14ac:dyDescent="0.2">
      <c r="A1928" s="2" t="s">
        <v>23</v>
      </c>
      <c r="B1928" s="2" t="s">
        <v>35</v>
      </c>
      <c r="C1928" s="2" t="s">
        <v>25</v>
      </c>
      <c r="D1928" s="2" t="s">
        <v>25</v>
      </c>
      <c r="E1928" s="2">
        <v>168</v>
      </c>
      <c r="F1928" s="2">
        <v>112.66666669999999</v>
      </c>
      <c r="G1928" s="2">
        <v>645</v>
      </c>
      <c r="H1928" s="2">
        <v>1271</v>
      </c>
      <c r="I1928" s="2">
        <v>2298</v>
      </c>
      <c r="J1928" s="2">
        <v>0.93</v>
      </c>
      <c r="K1928" s="2">
        <v>6.11</v>
      </c>
      <c r="L1928" s="2">
        <v>10.02</v>
      </c>
      <c r="M1928" s="2">
        <v>13.94</v>
      </c>
      <c r="N1928" s="2">
        <v>0.461639939</v>
      </c>
      <c r="O1928" s="2">
        <v>0.52918001199999998</v>
      </c>
      <c r="P1928" s="2">
        <v>2.0050278650000002</v>
      </c>
      <c r="Q1928" s="2">
        <v>1.898139856</v>
      </c>
      <c r="R1928" s="2">
        <v>1.786053093</v>
      </c>
      <c r="S1928" s="2">
        <v>1.7251955349999999</v>
      </c>
      <c r="T1928" s="2">
        <v>0.91112627499999999</v>
      </c>
      <c r="U1928" s="2">
        <v>0.79160298200000001</v>
      </c>
      <c r="V1928" s="2">
        <v>2.6598548489999998</v>
      </c>
      <c r="W1928" s="2">
        <v>6.418066E-2</v>
      </c>
      <c r="X1928">
        <f t="shared" si="90"/>
        <v>0</v>
      </c>
      <c r="Y1928">
        <f t="shared" si="91"/>
        <v>1</v>
      </c>
      <c r="Z1928">
        <f t="shared" si="92"/>
        <v>0</v>
      </c>
    </row>
    <row r="1929" spans="1:26" ht="15.75" customHeight="1" x14ac:dyDescent="0.2">
      <c r="A1929" s="2" t="s">
        <v>23</v>
      </c>
      <c r="B1929" s="2" t="s">
        <v>35</v>
      </c>
      <c r="C1929" s="2" t="s">
        <v>25</v>
      </c>
      <c r="D1929" s="2" t="s">
        <v>25</v>
      </c>
      <c r="E1929" s="2">
        <v>145</v>
      </c>
      <c r="F1929" s="2">
        <v>107.33333330000001</v>
      </c>
      <c r="G1929" s="2">
        <v>583.66666669999995</v>
      </c>
      <c r="H1929" s="2">
        <v>1297.333333</v>
      </c>
      <c r="I1929" s="2">
        <v>2401.333333</v>
      </c>
      <c r="J1929" s="2">
        <v>0.86</v>
      </c>
      <c r="K1929" s="2">
        <v>5.62</v>
      </c>
      <c r="L1929" s="2">
        <v>10.15</v>
      </c>
      <c r="M1929" s="2">
        <v>14.23</v>
      </c>
      <c r="N1929" s="2">
        <v>0.447148349</v>
      </c>
      <c r="O1929" s="2">
        <v>0.37941740499999999</v>
      </c>
      <c r="P1929" s="2">
        <v>1.5155796210000001</v>
      </c>
      <c r="Q1929" s="2">
        <v>1.403713</v>
      </c>
      <c r="R1929" s="2">
        <v>1.2996665759999999</v>
      </c>
      <c r="S1929" s="2">
        <v>1.238809018</v>
      </c>
      <c r="T1929" s="2">
        <v>0.77964631600000001</v>
      </c>
      <c r="U1929" s="2">
        <v>0.66012302300000003</v>
      </c>
      <c r="V1929" s="2">
        <v>2.1734683320000001</v>
      </c>
      <c r="W1929" s="2">
        <v>3.7826140000000001E-2</v>
      </c>
      <c r="X1929">
        <f t="shared" si="90"/>
        <v>0</v>
      </c>
      <c r="Y1929">
        <f t="shared" si="91"/>
        <v>1</v>
      </c>
      <c r="Z1929">
        <f t="shared" si="92"/>
        <v>0</v>
      </c>
    </row>
    <row r="1930" spans="1:26" ht="15.75" customHeight="1" x14ac:dyDescent="0.2">
      <c r="A1930" s="2" t="s">
        <v>23</v>
      </c>
      <c r="B1930" s="2" t="s">
        <v>35</v>
      </c>
      <c r="C1930" s="2" t="s">
        <v>25</v>
      </c>
      <c r="D1930" s="2" t="s">
        <v>25</v>
      </c>
      <c r="E1930" s="2">
        <v>157</v>
      </c>
      <c r="F1930" s="2">
        <v>135.66666670000001</v>
      </c>
      <c r="G1930" s="2">
        <v>670.33333330000005</v>
      </c>
      <c r="H1930" s="2">
        <v>1426</v>
      </c>
      <c r="I1930" s="2">
        <v>2435</v>
      </c>
      <c r="J1930" s="2">
        <v>1.21</v>
      </c>
      <c r="K1930" s="2">
        <v>6.3</v>
      </c>
      <c r="L1930" s="2">
        <v>10.76</v>
      </c>
      <c r="M1930" s="2">
        <v>14.32</v>
      </c>
      <c r="N1930" s="2">
        <v>0.46891549700000001</v>
      </c>
      <c r="O1930" s="2">
        <v>0.55802226099999996</v>
      </c>
      <c r="P1930" s="2">
        <v>1.9873307019999999</v>
      </c>
      <c r="Q1930" s="2">
        <v>1.920052938</v>
      </c>
      <c r="R1930" s="2">
        <v>1.980332472</v>
      </c>
      <c r="S1930" s="2">
        <v>1.919474914</v>
      </c>
      <c r="T1930" s="2">
        <v>0.16663318399999999</v>
      </c>
      <c r="U1930" s="2">
        <v>4.7109891000000001E-2</v>
      </c>
      <c r="V1930" s="2">
        <v>2.8541342279999999</v>
      </c>
      <c r="W1930" s="2">
        <v>0.116048445</v>
      </c>
      <c r="X1930">
        <f t="shared" si="90"/>
        <v>0</v>
      </c>
      <c r="Y1930">
        <f t="shared" si="91"/>
        <v>1</v>
      </c>
      <c r="Z1930">
        <f t="shared" si="92"/>
        <v>0</v>
      </c>
    </row>
    <row r="1931" spans="1:26" ht="15.75" customHeight="1" x14ac:dyDescent="0.2">
      <c r="A1931" s="2" t="s">
        <v>23</v>
      </c>
      <c r="B1931" s="2" t="s">
        <v>35</v>
      </c>
      <c r="C1931" s="2" t="s">
        <v>28</v>
      </c>
      <c r="D1931" s="2" t="s">
        <v>29</v>
      </c>
      <c r="E1931" s="2">
        <v>146</v>
      </c>
      <c r="F1931" s="2">
        <v>136.33333329999999</v>
      </c>
      <c r="G1931" s="2">
        <v>469.66666670000001</v>
      </c>
      <c r="H1931" s="2">
        <v>1474.666667</v>
      </c>
      <c r="I1931" s="2">
        <v>2198.333333</v>
      </c>
      <c r="J1931" s="2">
        <v>1.21</v>
      </c>
      <c r="K1931" s="2">
        <v>4.6500000000000004</v>
      </c>
      <c r="L1931" s="2">
        <v>10.98</v>
      </c>
      <c r="M1931" s="2">
        <v>13.64</v>
      </c>
      <c r="N1931" s="2">
        <v>3.083255785</v>
      </c>
      <c r="O1931" s="2">
        <v>2.5826015299999998</v>
      </c>
      <c r="P1931" s="2">
        <v>0.334648524</v>
      </c>
      <c r="Q1931" s="2">
        <v>0.32015347700000002</v>
      </c>
      <c r="R1931" s="2">
        <v>0.33038302600000002</v>
      </c>
      <c r="S1931" s="2">
        <v>0.26952546799999999</v>
      </c>
      <c r="T1931" s="2">
        <v>5.3260592000000002E-2</v>
      </c>
      <c r="U1931" s="2">
        <v>0.172783885</v>
      </c>
      <c r="V1931" s="2">
        <v>1.204184782</v>
      </c>
      <c r="W1931" s="2">
        <v>6.8447727E-2</v>
      </c>
      <c r="X1931">
        <f t="shared" si="90"/>
        <v>0</v>
      </c>
      <c r="Y1931">
        <f t="shared" si="91"/>
        <v>1</v>
      </c>
      <c r="Z1931">
        <f t="shared" si="92"/>
        <v>1</v>
      </c>
    </row>
    <row r="1932" spans="1:26" ht="15.75" customHeight="1" x14ac:dyDescent="0.2">
      <c r="A1932" s="2" t="s">
        <v>23</v>
      </c>
      <c r="B1932" s="2" t="s">
        <v>35</v>
      </c>
      <c r="C1932" s="2" t="s">
        <v>30</v>
      </c>
      <c r="D1932" s="2" t="s">
        <v>31</v>
      </c>
      <c r="E1932" s="2">
        <v>150</v>
      </c>
      <c r="F1932" s="2">
        <v>130</v>
      </c>
      <c r="G1932" s="2">
        <v>755</v>
      </c>
      <c r="H1932" s="2">
        <v>1357.666667</v>
      </c>
      <c r="I1932" s="2">
        <v>2223.333333</v>
      </c>
      <c r="J1932" s="2">
        <v>1.1399999999999999</v>
      </c>
      <c r="K1932" s="2">
        <v>6.93</v>
      </c>
      <c r="L1932" s="2">
        <v>10.44</v>
      </c>
      <c r="M1932" s="2">
        <v>13.72</v>
      </c>
      <c r="N1932" s="2">
        <v>3.510326251</v>
      </c>
      <c r="O1932" s="2">
        <v>3.2888729470000002</v>
      </c>
      <c r="P1932" s="2">
        <v>2.6483542240000002</v>
      </c>
      <c r="Q1932" s="2">
        <v>2.5687861829999998</v>
      </c>
      <c r="R1932" s="2">
        <v>2.603327707</v>
      </c>
      <c r="S1932" s="2">
        <v>2.542470148</v>
      </c>
      <c r="T1932" s="2">
        <v>0.48627661900000002</v>
      </c>
      <c r="U1932" s="2">
        <v>0.36675332500000002</v>
      </c>
      <c r="V1932" s="2">
        <v>3.4771294620000002</v>
      </c>
      <c r="W1932" s="2">
        <v>9.6212426000000004E-2</v>
      </c>
      <c r="X1932">
        <f t="shared" si="90"/>
        <v>0</v>
      </c>
      <c r="Y1932">
        <f t="shared" si="91"/>
        <v>1</v>
      </c>
      <c r="Z1932">
        <f t="shared" si="92"/>
        <v>1</v>
      </c>
    </row>
    <row r="1933" spans="1:26" ht="15.75" customHeight="1" x14ac:dyDescent="0.2">
      <c r="A1933" s="2" t="s">
        <v>23</v>
      </c>
      <c r="B1933" s="2" t="s">
        <v>35</v>
      </c>
      <c r="C1933" s="2" t="s">
        <v>32</v>
      </c>
      <c r="D1933" s="2" t="s">
        <v>33</v>
      </c>
      <c r="E1933" s="2">
        <v>179</v>
      </c>
      <c r="F1933" s="2">
        <v>127.33333330000001</v>
      </c>
      <c r="G1933" s="2">
        <v>583.66666669999995</v>
      </c>
      <c r="H1933" s="2">
        <v>1016</v>
      </c>
      <c r="I1933" s="2">
        <v>1897</v>
      </c>
      <c r="J1933" s="2">
        <v>1.1100000000000001</v>
      </c>
      <c r="K1933" s="2">
        <v>5.62</v>
      </c>
      <c r="L1933" s="2">
        <v>8.6199999999999992</v>
      </c>
      <c r="M1933" s="2">
        <v>12.66</v>
      </c>
      <c r="N1933" s="2">
        <v>1.8570297339999999</v>
      </c>
      <c r="O1933" s="2">
        <v>1.8545792800000001</v>
      </c>
      <c r="P1933" s="2">
        <v>2.6458789070000002</v>
      </c>
      <c r="Q1933" s="2">
        <v>2.5118817849999999</v>
      </c>
      <c r="R1933" s="2">
        <v>1.2996665759999999</v>
      </c>
      <c r="S1933" s="2">
        <v>1.238809018</v>
      </c>
      <c r="T1933" s="2">
        <v>2.3046782810000002</v>
      </c>
      <c r="U1933" s="2">
        <v>2.1851549879999999</v>
      </c>
      <c r="V1933" s="2">
        <v>2.1734683320000001</v>
      </c>
      <c r="W1933" s="2">
        <v>6.1503230999999998E-2</v>
      </c>
      <c r="X1933">
        <f t="shared" si="90"/>
        <v>0</v>
      </c>
      <c r="Y1933">
        <f t="shared" si="91"/>
        <v>1</v>
      </c>
      <c r="Z1933">
        <f t="shared" si="92"/>
        <v>1</v>
      </c>
    </row>
    <row r="1934" spans="1:26" ht="15.75" customHeight="1" x14ac:dyDescent="0.2">
      <c r="A1934" s="2" t="s">
        <v>23</v>
      </c>
      <c r="B1934" s="2" t="s">
        <v>35</v>
      </c>
      <c r="C1934" s="2" t="s">
        <v>26</v>
      </c>
      <c r="D1934" s="2" t="s">
        <v>26</v>
      </c>
      <c r="E1934" s="2">
        <v>146</v>
      </c>
      <c r="F1934" s="2">
        <v>124.33333330000001</v>
      </c>
      <c r="G1934" s="2">
        <v>472</v>
      </c>
      <c r="H1934" s="2">
        <v>841.66666669999995</v>
      </c>
      <c r="I1934" s="2">
        <v>2518</v>
      </c>
      <c r="J1934" s="2">
        <v>1.07</v>
      </c>
      <c r="K1934" s="2">
        <v>4.67</v>
      </c>
      <c r="L1934" s="2">
        <v>7.52</v>
      </c>
      <c r="M1934" s="2">
        <v>14.55</v>
      </c>
      <c r="N1934" s="2">
        <v>0.456355809</v>
      </c>
      <c r="O1934" s="2">
        <v>0.87940844900000004</v>
      </c>
      <c r="P1934" s="2">
        <v>3.4214559640000002</v>
      </c>
      <c r="Q1934" s="2">
        <v>3.296671549</v>
      </c>
      <c r="R1934" s="2">
        <v>0.35113308900000001</v>
      </c>
      <c r="S1934" s="2">
        <v>0.29027553</v>
      </c>
      <c r="T1934" s="2">
        <v>3.4033904380000002</v>
      </c>
      <c r="U1934" s="2">
        <v>3.2838671439999998</v>
      </c>
      <c r="V1934" s="2">
        <v>1.2249348440000001</v>
      </c>
      <c r="W1934" s="2">
        <v>6.0929912000000003E-2</v>
      </c>
      <c r="X1934">
        <f t="shared" si="90"/>
        <v>0</v>
      </c>
      <c r="Y1934">
        <f t="shared" si="91"/>
        <v>1</v>
      </c>
      <c r="Z1934">
        <f t="shared" si="92"/>
        <v>0</v>
      </c>
    </row>
    <row r="1935" spans="1:26" ht="15.75" customHeight="1" x14ac:dyDescent="0.2">
      <c r="A1935" s="2" t="s">
        <v>23</v>
      </c>
      <c r="B1935" s="2" t="s">
        <v>35</v>
      </c>
      <c r="C1935" s="2" t="s">
        <v>32</v>
      </c>
      <c r="D1935" s="2" t="s">
        <v>33</v>
      </c>
      <c r="E1935" s="2">
        <v>135</v>
      </c>
      <c r="F1935" s="2">
        <v>175.66666670000001</v>
      </c>
      <c r="G1935" s="2">
        <v>743.66666669999995</v>
      </c>
      <c r="H1935" s="2">
        <v>1598.333333</v>
      </c>
      <c r="I1935" s="2">
        <v>2210.666667</v>
      </c>
      <c r="J1935" s="2">
        <v>1.68</v>
      </c>
      <c r="K1935" s="2">
        <v>6.84</v>
      </c>
      <c r="L1935" s="2">
        <v>11.51</v>
      </c>
      <c r="M1935" s="2">
        <v>13.68</v>
      </c>
      <c r="N1935" s="2">
        <v>1.3877750179999999</v>
      </c>
      <c r="O1935" s="2">
        <v>1.4583335390000001</v>
      </c>
      <c r="P1935" s="2">
        <v>2.5891437559999999</v>
      </c>
      <c r="Q1935" s="2">
        <v>2.560175868</v>
      </c>
      <c r="R1935" s="2">
        <v>2.5221965690000001</v>
      </c>
      <c r="S1935" s="2">
        <v>2.4613390100000001</v>
      </c>
      <c r="T1935" s="2">
        <v>0.58496996499999998</v>
      </c>
      <c r="U1935" s="2">
        <v>0.70449325799999996</v>
      </c>
      <c r="V1935" s="2">
        <v>3.3959983249999999</v>
      </c>
      <c r="W1935" s="2">
        <v>9.9792349000000002E-2</v>
      </c>
      <c r="X1935">
        <f t="shared" si="90"/>
        <v>0</v>
      </c>
      <c r="Y1935">
        <f t="shared" si="91"/>
        <v>1</v>
      </c>
      <c r="Z1935">
        <f t="shared" si="92"/>
        <v>1</v>
      </c>
    </row>
    <row r="1936" spans="1:26" ht="15.75" customHeight="1" x14ac:dyDescent="0.2">
      <c r="A1936" s="2" t="s">
        <v>23</v>
      </c>
      <c r="B1936" s="2" t="s">
        <v>35</v>
      </c>
      <c r="C1936" s="2" t="s">
        <v>28</v>
      </c>
      <c r="D1936" s="2" t="s">
        <v>29</v>
      </c>
      <c r="E1936" s="2">
        <v>135</v>
      </c>
      <c r="F1936" s="2">
        <v>125.33333330000001</v>
      </c>
      <c r="G1936" s="2">
        <v>498.33333329999999</v>
      </c>
      <c r="H1936" s="2">
        <v>1403.333333</v>
      </c>
      <c r="I1936" s="2">
        <v>2104.333333</v>
      </c>
      <c r="J1936" s="2">
        <v>1.08</v>
      </c>
      <c r="K1936" s="2">
        <v>4.9000000000000004</v>
      </c>
      <c r="L1936" s="2">
        <v>10.66</v>
      </c>
      <c r="M1936" s="2">
        <v>13.35</v>
      </c>
      <c r="N1936" s="2">
        <v>2.7920419769999998</v>
      </c>
      <c r="O1936" s="2">
        <v>2.27979821</v>
      </c>
      <c r="P1936" s="2">
        <v>0.64262156999999998</v>
      </c>
      <c r="Q1936" s="2">
        <v>0.54333079500000003</v>
      </c>
      <c r="R1936" s="2">
        <v>0.58258159399999998</v>
      </c>
      <c r="S1936" s="2">
        <v>0.52172403599999995</v>
      </c>
      <c r="T1936" s="2">
        <v>0.27122162300000002</v>
      </c>
      <c r="U1936" s="2">
        <v>0.15169832899999999</v>
      </c>
      <c r="V1936" s="2">
        <v>1.4563833500000001</v>
      </c>
      <c r="W1936" s="2">
        <v>3.6419024000000001E-2</v>
      </c>
      <c r="X1936">
        <f t="shared" si="90"/>
        <v>0</v>
      </c>
      <c r="Y1936">
        <f t="shared" si="91"/>
        <v>1</v>
      </c>
      <c r="Z1936">
        <f t="shared" si="92"/>
        <v>1</v>
      </c>
    </row>
    <row r="1937" spans="1:26" ht="15.75" customHeight="1" x14ac:dyDescent="0.2">
      <c r="A1937" s="2" t="s">
        <v>23</v>
      </c>
      <c r="B1937" s="2" t="s">
        <v>35</v>
      </c>
      <c r="C1937" s="2" t="s">
        <v>32</v>
      </c>
      <c r="D1937" s="2" t="s">
        <v>33</v>
      </c>
      <c r="E1937" s="2">
        <v>135</v>
      </c>
      <c r="F1937" s="2">
        <v>116</v>
      </c>
      <c r="G1937" s="2">
        <v>653.33333330000005</v>
      </c>
      <c r="H1937" s="2">
        <v>1086</v>
      </c>
      <c r="I1937" s="2">
        <v>2222.333333</v>
      </c>
      <c r="J1937" s="2">
        <v>0.97</v>
      </c>
      <c r="K1937" s="2">
        <v>6.17</v>
      </c>
      <c r="L1937" s="2">
        <v>9.0299999999999994</v>
      </c>
      <c r="M1937" s="2">
        <v>13.72</v>
      </c>
      <c r="N1937" s="2">
        <v>1.4389848089999999</v>
      </c>
      <c r="O1937" s="2">
        <v>1.4777302889999999</v>
      </c>
      <c r="P1937" s="2">
        <v>2.6513613330000001</v>
      </c>
      <c r="Q1937" s="2">
        <v>2.5236009720000001</v>
      </c>
      <c r="R1937" s="2">
        <v>1.85037651</v>
      </c>
      <c r="S1937" s="2">
        <v>1.789518951</v>
      </c>
      <c r="T1937" s="2">
        <v>1.8989006530000001</v>
      </c>
      <c r="U1937" s="2">
        <v>1.77937736</v>
      </c>
      <c r="V1937" s="2">
        <v>2.7241782649999999</v>
      </c>
      <c r="W1937" s="2">
        <v>4.3583454000000001E-2</v>
      </c>
      <c r="X1937">
        <f t="shared" si="90"/>
        <v>0</v>
      </c>
      <c r="Y1937">
        <f t="shared" si="91"/>
        <v>1</v>
      </c>
      <c r="Z1937">
        <f t="shared" si="92"/>
        <v>1</v>
      </c>
    </row>
    <row r="1938" spans="1:26" ht="15.75" customHeight="1" x14ac:dyDescent="0.2">
      <c r="A1938" s="2" t="s">
        <v>23</v>
      </c>
      <c r="B1938" s="2" t="s">
        <v>35</v>
      </c>
      <c r="C1938" s="2" t="s">
        <v>25</v>
      </c>
      <c r="D1938" s="2" t="s">
        <v>25</v>
      </c>
      <c r="E1938" s="2">
        <v>205</v>
      </c>
      <c r="F1938" s="2">
        <v>114.66666669999999</v>
      </c>
      <c r="G1938" s="2">
        <v>575.33333330000005</v>
      </c>
      <c r="H1938" s="2">
        <v>1386.666667</v>
      </c>
      <c r="I1938" s="2">
        <v>2385.333333</v>
      </c>
      <c r="J1938" s="2">
        <v>0.95</v>
      </c>
      <c r="K1938" s="2">
        <v>5.55</v>
      </c>
      <c r="L1938" s="2">
        <v>10.58</v>
      </c>
      <c r="M1938" s="2">
        <v>14.19</v>
      </c>
      <c r="N1938" s="2">
        <v>0.41725042499999998</v>
      </c>
      <c r="O1938" s="2">
        <v>0.29712041</v>
      </c>
      <c r="P1938" s="2">
        <v>1.2802606809999999</v>
      </c>
      <c r="Q1938" s="2">
        <v>1.1931882739999999</v>
      </c>
      <c r="R1938" s="2">
        <v>1.231765545</v>
      </c>
      <c r="S1938" s="2">
        <v>1.170907986</v>
      </c>
      <c r="T1938" s="2">
        <v>0.34902872899999998</v>
      </c>
      <c r="U1938" s="2">
        <v>0.22950543600000001</v>
      </c>
      <c r="V1938" s="2">
        <v>2.1055673000000001</v>
      </c>
      <c r="W1938" s="2">
        <v>6.2681827999999995E-2</v>
      </c>
      <c r="X1938">
        <f t="shared" si="90"/>
        <v>0</v>
      </c>
      <c r="Y1938">
        <f t="shared" si="91"/>
        <v>1</v>
      </c>
      <c r="Z1938">
        <f t="shared" si="92"/>
        <v>0</v>
      </c>
    </row>
    <row r="1939" spans="1:26" ht="15.75" customHeight="1" x14ac:dyDescent="0.2">
      <c r="A1939" s="2" t="s">
        <v>23</v>
      </c>
      <c r="B1939" s="2" t="s">
        <v>35</v>
      </c>
      <c r="C1939" s="2" t="s">
        <v>27</v>
      </c>
      <c r="D1939" s="2" t="s">
        <v>27</v>
      </c>
      <c r="E1939" s="2">
        <v>139</v>
      </c>
      <c r="F1939" s="2">
        <v>115.66666669999999</v>
      </c>
      <c r="G1939" s="2">
        <v>392.66666670000001</v>
      </c>
      <c r="H1939" s="2">
        <v>1892.333333</v>
      </c>
      <c r="I1939" s="2">
        <v>2495.666667</v>
      </c>
      <c r="J1939" s="2">
        <v>0.96</v>
      </c>
      <c r="K1939" s="2">
        <v>3.94</v>
      </c>
      <c r="L1939" s="2">
        <v>12.64</v>
      </c>
      <c r="M1939" s="2">
        <v>14.49</v>
      </c>
      <c r="N1939" s="2">
        <v>0.30910114700000002</v>
      </c>
      <c r="O1939" s="2">
        <v>0.51785273099999996</v>
      </c>
      <c r="P1939" s="2">
        <v>1.753102481</v>
      </c>
      <c r="Q1939" s="2">
        <v>1.8832271380000001</v>
      </c>
      <c r="R1939" s="2">
        <v>0.37745928000000001</v>
      </c>
      <c r="S1939" s="2">
        <v>0.43831683799999999</v>
      </c>
      <c r="T1939" s="2">
        <v>1.711985047</v>
      </c>
      <c r="U1939" s="2">
        <v>1.8315083409999999</v>
      </c>
      <c r="V1939" s="2">
        <v>0.49634247599999998</v>
      </c>
      <c r="W1939" s="2">
        <v>3.5665901E-2</v>
      </c>
      <c r="X1939">
        <f t="shared" si="90"/>
        <v>0</v>
      </c>
      <c r="Y1939">
        <f t="shared" si="91"/>
        <v>1</v>
      </c>
      <c r="Z1939">
        <f t="shared" si="92"/>
        <v>0</v>
      </c>
    </row>
    <row r="1940" spans="1:26" ht="15.75" customHeight="1" x14ac:dyDescent="0.2">
      <c r="A1940" s="2" t="s">
        <v>23</v>
      </c>
      <c r="B1940" s="2" t="s">
        <v>35</v>
      </c>
      <c r="C1940" s="2" t="s">
        <v>30</v>
      </c>
      <c r="D1940" s="2" t="s">
        <v>31</v>
      </c>
      <c r="E1940" s="2">
        <v>153</v>
      </c>
      <c r="F1940" s="2">
        <v>123.33333330000001</v>
      </c>
      <c r="G1940" s="2">
        <v>720.66666669999995</v>
      </c>
      <c r="H1940" s="2">
        <v>1579.333333</v>
      </c>
      <c r="I1940" s="2">
        <v>2527</v>
      </c>
      <c r="J1940" s="2">
        <v>1.06</v>
      </c>
      <c r="K1940" s="2">
        <v>6.68</v>
      </c>
      <c r="L1940" s="2">
        <v>11.43</v>
      </c>
      <c r="M1940" s="2">
        <v>14.57</v>
      </c>
      <c r="N1940" s="2">
        <v>2.8551097329999999</v>
      </c>
      <c r="O1940" s="2">
        <v>2.660381487</v>
      </c>
      <c r="P1940" s="2">
        <v>2.4091121439999998</v>
      </c>
      <c r="Q1940" s="2">
        <v>2.3782352219999998</v>
      </c>
      <c r="R1940" s="2">
        <v>2.355439305</v>
      </c>
      <c r="S1940" s="2">
        <v>2.294581746</v>
      </c>
      <c r="T1940" s="2">
        <v>0.50569457399999995</v>
      </c>
      <c r="U1940" s="2">
        <v>0.62521786700000004</v>
      </c>
      <c r="V1940" s="2">
        <v>3.2292410610000002</v>
      </c>
      <c r="W1940" s="2">
        <v>6.1845733E-2</v>
      </c>
      <c r="X1940">
        <f t="shared" si="90"/>
        <v>0</v>
      </c>
      <c r="Y1940">
        <f t="shared" si="91"/>
        <v>1</v>
      </c>
      <c r="Z1940">
        <f t="shared" si="92"/>
        <v>1</v>
      </c>
    </row>
    <row r="1941" spans="1:26" ht="15.75" customHeight="1" x14ac:dyDescent="0.2">
      <c r="A1941" s="2" t="s">
        <v>23</v>
      </c>
      <c r="B1941" s="2" t="s">
        <v>35</v>
      </c>
      <c r="C1941" s="2" t="s">
        <v>25</v>
      </c>
      <c r="D1941" s="2" t="s">
        <v>25</v>
      </c>
      <c r="E1941" s="2">
        <v>165</v>
      </c>
      <c r="F1941" s="2">
        <v>127.66666669999999</v>
      </c>
      <c r="G1941" s="2">
        <v>671</v>
      </c>
      <c r="H1941" s="2">
        <v>1343</v>
      </c>
      <c r="I1941" s="2">
        <v>2385</v>
      </c>
      <c r="J1941" s="2">
        <v>1.1100000000000001</v>
      </c>
      <c r="K1941" s="2">
        <v>6.31</v>
      </c>
      <c r="L1941" s="2">
        <v>10.37</v>
      </c>
      <c r="M1941" s="2">
        <v>14.19</v>
      </c>
      <c r="N1941" s="2">
        <v>0.36527419999999999</v>
      </c>
      <c r="O1941" s="2">
        <v>0.48801600000000001</v>
      </c>
      <c r="P1941" s="2">
        <v>2.0619415430000001</v>
      </c>
      <c r="Q1941" s="2">
        <v>1.973546263</v>
      </c>
      <c r="R1941" s="2">
        <v>1.9853945639999999</v>
      </c>
      <c r="S1941" s="2">
        <v>1.9245370049999999</v>
      </c>
      <c r="T1941" s="2">
        <v>0.55660700200000002</v>
      </c>
      <c r="U1941" s="2">
        <v>0.43708370899999999</v>
      </c>
      <c r="V1941" s="2">
        <v>2.859196319</v>
      </c>
      <c r="W1941" s="2">
        <v>0.12181388</v>
      </c>
      <c r="X1941">
        <f t="shared" si="90"/>
        <v>0</v>
      </c>
      <c r="Y1941">
        <f t="shared" si="91"/>
        <v>1</v>
      </c>
      <c r="Z1941">
        <f t="shared" si="92"/>
        <v>0</v>
      </c>
    </row>
    <row r="1942" spans="1:26" ht="15.75" customHeight="1" x14ac:dyDescent="0.2">
      <c r="A1942" s="2" t="s">
        <v>23</v>
      </c>
      <c r="B1942" s="2" t="s">
        <v>35</v>
      </c>
      <c r="C1942" s="2" t="s">
        <v>30</v>
      </c>
      <c r="D1942" s="2" t="s">
        <v>31</v>
      </c>
      <c r="E1942" s="2">
        <v>203</v>
      </c>
      <c r="F1942" s="2">
        <v>130.66666670000001</v>
      </c>
      <c r="G1942" s="2">
        <v>648.66666669999995</v>
      </c>
      <c r="H1942" s="2">
        <v>1226.333333</v>
      </c>
      <c r="I1942" s="2">
        <v>2157.666667</v>
      </c>
      <c r="J1942" s="2">
        <v>1.1499999999999999</v>
      </c>
      <c r="K1942" s="2">
        <v>6.14</v>
      </c>
      <c r="L1942" s="2">
        <v>9.7899999999999991</v>
      </c>
      <c r="M1942" s="2">
        <v>13.52</v>
      </c>
      <c r="N1942" s="2">
        <v>3.3423476910000001</v>
      </c>
      <c r="O1942" s="2">
        <v>3.1087092520000001</v>
      </c>
      <c r="P1942" s="2">
        <v>2.1423459349999998</v>
      </c>
      <c r="Q1942" s="2">
        <v>2.0284215570000002</v>
      </c>
      <c r="R1942" s="2">
        <v>1.814406027</v>
      </c>
      <c r="S1942" s="2">
        <v>1.753548468</v>
      </c>
      <c r="T1942" s="2">
        <v>1.13911232</v>
      </c>
      <c r="U1942" s="2">
        <v>1.019589026</v>
      </c>
      <c r="V1942" s="2">
        <v>2.6882077820000001</v>
      </c>
      <c r="W1942" s="2">
        <v>7.0904540000000002E-2</v>
      </c>
      <c r="X1942">
        <f t="shared" si="90"/>
        <v>0</v>
      </c>
      <c r="Y1942">
        <f t="shared" si="91"/>
        <v>1</v>
      </c>
      <c r="Z1942">
        <f t="shared" si="92"/>
        <v>1</v>
      </c>
    </row>
    <row r="1943" spans="1:26" ht="15.75" customHeight="1" x14ac:dyDescent="0.2">
      <c r="A1943" s="2" t="s">
        <v>23</v>
      </c>
      <c r="B1943" s="2" t="s">
        <v>35</v>
      </c>
      <c r="C1943" s="2" t="s">
        <v>25</v>
      </c>
      <c r="D1943" s="2" t="s">
        <v>25</v>
      </c>
      <c r="E1943" s="2">
        <v>91</v>
      </c>
      <c r="F1943" s="2">
        <v>119</v>
      </c>
      <c r="G1943" s="2">
        <v>653.33333330000005</v>
      </c>
      <c r="H1943" s="2">
        <v>1231</v>
      </c>
      <c r="I1943" s="2">
        <v>2711</v>
      </c>
      <c r="J1943" s="2">
        <v>1</v>
      </c>
      <c r="K1943" s="2">
        <v>6.17</v>
      </c>
      <c r="L1943" s="2">
        <v>9.81</v>
      </c>
      <c r="M1943" s="2">
        <v>15.03</v>
      </c>
      <c r="N1943" s="2">
        <v>0.757167908</v>
      </c>
      <c r="O1943" s="2">
        <v>0.70893167000000001</v>
      </c>
      <c r="P1943" s="2">
        <v>2.4021718459999999</v>
      </c>
      <c r="Q1943" s="2">
        <v>2.343558485</v>
      </c>
      <c r="R1943" s="2">
        <v>2.1590332079999999</v>
      </c>
      <c r="S1943" s="2">
        <v>2.1052693699999998</v>
      </c>
      <c r="T1943" s="2">
        <v>1.0530931509999999</v>
      </c>
      <c r="U1943" s="2">
        <v>1.0296151</v>
      </c>
      <c r="V1943" s="2">
        <v>3.1234516480000001</v>
      </c>
      <c r="W1943" s="2">
        <v>7.0446808999999999E-2</v>
      </c>
      <c r="X1943">
        <f t="shared" si="90"/>
        <v>0</v>
      </c>
      <c r="Y1943">
        <f t="shared" si="91"/>
        <v>1</v>
      </c>
      <c r="Z1943">
        <f t="shared" si="92"/>
        <v>0</v>
      </c>
    </row>
    <row r="1944" spans="1:26" ht="15.75" customHeight="1" x14ac:dyDescent="0.2">
      <c r="A1944" s="2" t="s">
        <v>23</v>
      </c>
      <c r="B1944" s="2" t="s">
        <v>35</v>
      </c>
      <c r="C1944" s="2" t="s">
        <v>26</v>
      </c>
      <c r="D1944" s="2" t="s">
        <v>26</v>
      </c>
      <c r="E1944" s="2">
        <v>81</v>
      </c>
      <c r="F1944" s="2">
        <v>92</v>
      </c>
      <c r="G1944" s="2">
        <v>332</v>
      </c>
      <c r="H1944" s="2">
        <v>822.33333330000005</v>
      </c>
      <c r="I1944" s="2">
        <v>2694.666667</v>
      </c>
      <c r="J1944" s="2">
        <v>0.67</v>
      </c>
      <c r="K1944" s="2">
        <v>3.35</v>
      </c>
      <c r="L1944" s="2">
        <v>7.39</v>
      </c>
      <c r="M1944" s="2">
        <v>14.99</v>
      </c>
      <c r="N1944" s="2">
        <v>0.14105825799999999</v>
      </c>
      <c r="O1944" s="2">
        <v>0.33314416299999999</v>
      </c>
      <c r="P1944" s="2">
        <v>3.5339919910000002</v>
      </c>
      <c r="Q1944" s="2">
        <v>3.5214323520000002</v>
      </c>
      <c r="R1944" s="2">
        <v>0.659993842</v>
      </c>
      <c r="S1944" s="2">
        <v>0.71375768100000003</v>
      </c>
      <c r="T1944" s="2">
        <v>3.4718161699999999</v>
      </c>
      <c r="U1944" s="2">
        <v>3.4483381190000002</v>
      </c>
      <c r="V1944" s="2">
        <v>0.30442459799999999</v>
      </c>
      <c r="W1944" s="2">
        <v>6.6809443999999996E-2</v>
      </c>
      <c r="X1944">
        <f t="shared" si="90"/>
        <v>0</v>
      </c>
      <c r="Y1944">
        <f t="shared" si="91"/>
        <v>1</v>
      </c>
      <c r="Z1944">
        <f t="shared" si="92"/>
        <v>0</v>
      </c>
    </row>
    <row r="1945" spans="1:26" ht="15.75" customHeight="1" x14ac:dyDescent="0.2">
      <c r="A1945" s="2" t="s">
        <v>23</v>
      </c>
      <c r="B1945" s="2" t="s">
        <v>35</v>
      </c>
      <c r="C1945" s="2" t="s">
        <v>27</v>
      </c>
      <c r="D1945" s="2" t="s">
        <v>27</v>
      </c>
      <c r="E1945" s="2">
        <v>134</v>
      </c>
      <c r="F1945" s="2">
        <v>91</v>
      </c>
      <c r="G1945" s="2">
        <v>296.33333329999999</v>
      </c>
      <c r="H1945" s="2">
        <v>1941.333333</v>
      </c>
      <c r="I1945" s="2">
        <v>2328.666667</v>
      </c>
      <c r="J1945" s="2">
        <v>0.66</v>
      </c>
      <c r="K1945" s="2">
        <v>2.99</v>
      </c>
      <c r="L1945" s="2">
        <v>12.81</v>
      </c>
      <c r="M1945" s="2">
        <v>14.03</v>
      </c>
      <c r="N1945" s="2">
        <v>0.43858337600000002</v>
      </c>
      <c r="O1945" s="2">
        <v>0.55647143799999998</v>
      </c>
      <c r="P1945" s="2">
        <v>2.1975300619999998</v>
      </c>
      <c r="Q1945" s="2">
        <v>2.2436256349999999</v>
      </c>
      <c r="R1945" s="2">
        <v>1.0224016419999999</v>
      </c>
      <c r="S1945" s="2">
        <v>1.0761654810000001</v>
      </c>
      <c r="T1945" s="2">
        <v>1.9452077670000001</v>
      </c>
      <c r="U1945" s="2">
        <v>1.968685818</v>
      </c>
      <c r="V1945" s="2">
        <v>-5.7983201999999998E-2</v>
      </c>
      <c r="W1945" s="2">
        <v>5.5145010000000001E-2</v>
      </c>
      <c r="X1945">
        <f t="shared" si="90"/>
        <v>0</v>
      </c>
      <c r="Y1945">
        <f t="shared" si="91"/>
        <v>1</v>
      </c>
      <c r="Z1945">
        <f t="shared" si="92"/>
        <v>0</v>
      </c>
    </row>
    <row r="1946" spans="1:26" ht="15.75" customHeight="1" x14ac:dyDescent="0.2">
      <c r="A1946" s="2" t="s">
        <v>23</v>
      </c>
      <c r="B1946" s="2" t="s">
        <v>35</v>
      </c>
      <c r="C1946" s="2" t="s">
        <v>28</v>
      </c>
      <c r="D1946" s="2" t="s">
        <v>29</v>
      </c>
      <c r="E1946" s="2">
        <v>143</v>
      </c>
      <c r="F1946" s="2">
        <v>156</v>
      </c>
      <c r="G1946" s="2">
        <v>363.66666670000001</v>
      </c>
      <c r="H1946" s="2">
        <v>1787</v>
      </c>
      <c r="I1946" s="2">
        <v>2627</v>
      </c>
      <c r="J1946" s="2">
        <v>1.45</v>
      </c>
      <c r="K1946" s="2">
        <v>3.67</v>
      </c>
      <c r="L1946" s="2">
        <v>12.26</v>
      </c>
      <c r="M1946" s="2">
        <v>14.82</v>
      </c>
      <c r="N1946" s="2">
        <v>4.9278428769999998</v>
      </c>
      <c r="O1946" s="2">
        <v>4.6853521239999996</v>
      </c>
      <c r="P1946" s="2">
        <v>1.4332133359999999</v>
      </c>
      <c r="Q1946" s="2">
        <v>1.469762988</v>
      </c>
      <c r="R1946" s="2">
        <v>0.34755372299999998</v>
      </c>
      <c r="S1946" s="2">
        <v>0.40131756200000002</v>
      </c>
      <c r="T1946" s="2">
        <v>1.39043406</v>
      </c>
      <c r="U1946" s="2">
        <v>1.4139121109999999</v>
      </c>
      <c r="V1946" s="2">
        <v>0.61686471700000001</v>
      </c>
      <c r="W1946" s="2">
        <v>4.7397792000000001E-2</v>
      </c>
      <c r="X1946">
        <f t="shared" si="90"/>
        <v>0</v>
      </c>
      <c r="Y1946">
        <f t="shared" si="91"/>
        <v>1</v>
      </c>
      <c r="Z1946">
        <f t="shared" si="92"/>
        <v>1</v>
      </c>
    </row>
    <row r="1947" spans="1:26" ht="15.75" customHeight="1" x14ac:dyDescent="0.2">
      <c r="A1947" s="2" t="s">
        <v>23</v>
      </c>
      <c r="B1947" s="2" t="s">
        <v>35</v>
      </c>
      <c r="C1947" s="2" t="s">
        <v>30</v>
      </c>
      <c r="D1947" s="2" t="s">
        <v>31</v>
      </c>
      <c r="E1947" s="2">
        <v>101</v>
      </c>
      <c r="F1947" s="2">
        <v>97.666666669999998</v>
      </c>
      <c r="G1947" s="2">
        <v>520.33333330000005</v>
      </c>
      <c r="H1947" s="2">
        <v>1465.333333</v>
      </c>
      <c r="I1947" s="2">
        <v>2249.666667</v>
      </c>
      <c r="J1947" s="2">
        <v>0.74</v>
      </c>
      <c r="K1947" s="2">
        <v>5.09</v>
      </c>
      <c r="L1947" s="2">
        <v>10.94</v>
      </c>
      <c r="M1947" s="2">
        <v>13.8</v>
      </c>
      <c r="N1947" s="2">
        <v>2.4635880280000002</v>
      </c>
      <c r="O1947" s="2">
        <v>2.3437157790000001</v>
      </c>
      <c r="P1947" s="2">
        <v>1.0833268709999999</v>
      </c>
      <c r="Q1947" s="2">
        <v>1.031634414</v>
      </c>
      <c r="R1947" s="2">
        <v>1.080832362</v>
      </c>
      <c r="S1947" s="2">
        <v>1.0270685230000001</v>
      </c>
      <c r="T1947" s="2">
        <v>7.3474589000000007E-2</v>
      </c>
      <c r="U1947" s="2">
        <v>9.6952638999999993E-2</v>
      </c>
      <c r="V1947" s="2">
        <v>2.0452508009999999</v>
      </c>
      <c r="W1947" s="2">
        <v>4.0723890999999998E-2</v>
      </c>
      <c r="X1947">
        <f t="shared" si="90"/>
        <v>0</v>
      </c>
      <c r="Y1947">
        <f t="shared" si="91"/>
        <v>1</v>
      </c>
      <c r="Z1947">
        <f t="shared" si="92"/>
        <v>1</v>
      </c>
    </row>
    <row r="1948" spans="1:26" ht="15.75" customHeight="1" x14ac:dyDescent="0.2">
      <c r="A1948" s="2" t="s">
        <v>23</v>
      </c>
      <c r="B1948" s="2" t="s">
        <v>35</v>
      </c>
      <c r="C1948" s="2" t="s">
        <v>26</v>
      </c>
      <c r="D1948" s="2" t="s">
        <v>26</v>
      </c>
      <c r="E1948" s="2">
        <v>128</v>
      </c>
      <c r="F1948" s="2">
        <v>98.333333330000002</v>
      </c>
      <c r="G1948" s="2">
        <v>358</v>
      </c>
      <c r="H1948" s="2">
        <v>666</v>
      </c>
      <c r="I1948" s="2">
        <v>2555.333333</v>
      </c>
      <c r="J1948" s="2">
        <v>0.75</v>
      </c>
      <c r="K1948" s="2">
        <v>3.61</v>
      </c>
      <c r="L1948" s="2">
        <v>6.27</v>
      </c>
      <c r="M1948" s="2">
        <v>14.64</v>
      </c>
      <c r="N1948" s="2">
        <v>1.0702440740000001</v>
      </c>
      <c r="O1948" s="2">
        <v>1.3015846980000001</v>
      </c>
      <c r="P1948" s="2">
        <v>4.6137835770000004</v>
      </c>
      <c r="Q1948" s="2">
        <v>4.5954258619999999</v>
      </c>
      <c r="R1948" s="2">
        <v>0.40283693799999998</v>
      </c>
      <c r="S1948" s="2">
        <v>0.45660077700000001</v>
      </c>
      <c r="T1948" s="2">
        <v>4.5961637590000004</v>
      </c>
      <c r="U1948" s="2">
        <v>4.5726857079999998</v>
      </c>
      <c r="V1948" s="2">
        <v>0.56158150100000004</v>
      </c>
      <c r="W1948" s="2">
        <v>8.8323688999999997E-2</v>
      </c>
      <c r="X1948">
        <f t="shared" si="90"/>
        <v>0</v>
      </c>
      <c r="Y1948">
        <f t="shared" si="91"/>
        <v>1</v>
      </c>
      <c r="Z1948">
        <f t="shared" si="92"/>
        <v>0</v>
      </c>
    </row>
    <row r="1949" spans="1:26" ht="15.75" customHeight="1" x14ac:dyDescent="0.2">
      <c r="A1949" s="2" t="s">
        <v>23</v>
      </c>
      <c r="B1949" s="2" t="s">
        <v>35</v>
      </c>
      <c r="C1949" s="2" t="s">
        <v>28</v>
      </c>
      <c r="D1949" s="2" t="s">
        <v>29</v>
      </c>
      <c r="E1949" s="2">
        <v>101</v>
      </c>
      <c r="F1949" s="2">
        <v>93</v>
      </c>
      <c r="G1949" s="2">
        <v>343</v>
      </c>
      <c r="H1949" s="2">
        <v>1267.666667</v>
      </c>
      <c r="I1949" s="2">
        <v>2470.666667</v>
      </c>
      <c r="J1949" s="2">
        <v>0.68</v>
      </c>
      <c r="K1949" s="2">
        <v>3.46</v>
      </c>
      <c r="L1949" s="2">
        <v>10</v>
      </c>
      <c r="M1949" s="2">
        <v>14.42</v>
      </c>
      <c r="N1949" s="2">
        <v>2.6679395540000002</v>
      </c>
      <c r="O1949" s="2">
        <v>2.4349339689999998</v>
      </c>
      <c r="P1949" s="2">
        <v>1.0261723599999999</v>
      </c>
      <c r="Q1949" s="2">
        <v>1.036821687</v>
      </c>
      <c r="R1949" s="2">
        <v>0.55048806800000005</v>
      </c>
      <c r="S1949" s="2">
        <v>0.60425190699999998</v>
      </c>
      <c r="T1949" s="2">
        <v>0.866021131</v>
      </c>
      <c r="U1949" s="2">
        <v>0.84254308099999997</v>
      </c>
      <c r="V1949" s="2">
        <v>0.41393037199999999</v>
      </c>
      <c r="W1949" s="2">
        <v>5.4947380999999997E-2</v>
      </c>
      <c r="X1949">
        <f t="shared" si="90"/>
        <v>0</v>
      </c>
      <c r="Y1949">
        <f t="shared" si="91"/>
        <v>1</v>
      </c>
      <c r="Z1949">
        <f t="shared" si="92"/>
        <v>1</v>
      </c>
    </row>
    <row r="1950" spans="1:26" ht="15.75" customHeight="1" x14ac:dyDescent="0.2">
      <c r="A1950" s="2" t="s">
        <v>23</v>
      </c>
      <c r="B1950" s="2" t="s">
        <v>35</v>
      </c>
      <c r="C1950" s="2" t="s">
        <v>32</v>
      </c>
      <c r="D1950" s="2" t="s">
        <v>33</v>
      </c>
      <c r="E1950" s="2">
        <v>112</v>
      </c>
      <c r="F1950" s="2">
        <v>103.33333330000001</v>
      </c>
      <c r="G1950" s="2">
        <v>555</v>
      </c>
      <c r="H1950" s="2">
        <v>1373.333333</v>
      </c>
      <c r="I1950" s="2">
        <v>2709</v>
      </c>
      <c r="J1950" s="2">
        <v>0.81</v>
      </c>
      <c r="K1950" s="2">
        <v>5.39</v>
      </c>
      <c r="L1950" s="2">
        <v>10.52</v>
      </c>
      <c r="M1950" s="2">
        <v>15.03</v>
      </c>
      <c r="N1950" s="2">
        <v>0.70140043200000002</v>
      </c>
      <c r="O1950" s="2">
        <v>0.57759942799999997</v>
      </c>
      <c r="P1950" s="2">
        <v>1.4167515829999999</v>
      </c>
      <c r="Q1950" s="2">
        <v>1.3588875469999999</v>
      </c>
      <c r="R1950" s="2">
        <v>1.3728552759999999</v>
      </c>
      <c r="S1950" s="2">
        <v>1.319091437</v>
      </c>
      <c r="T1950" s="2">
        <v>0.34993347699999999</v>
      </c>
      <c r="U1950" s="2">
        <v>0.32645542599999999</v>
      </c>
      <c r="V1950" s="2">
        <v>2.3372737159999999</v>
      </c>
      <c r="W1950" s="2">
        <v>5.4877154999999997E-2</v>
      </c>
      <c r="X1950">
        <f t="shared" si="90"/>
        <v>0</v>
      </c>
      <c r="Y1950">
        <f t="shared" si="91"/>
        <v>1</v>
      </c>
      <c r="Z1950">
        <f t="shared" si="92"/>
        <v>1</v>
      </c>
    </row>
    <row r="1951" spans="1:26" ht="15.75" customHeight="1" x14ac:dyDescent="0.2">
      <c r="A1951" s="2" t="s">
        <v>23</v>
      </c>
      <c r="B1951" s="2" t="s">
        <v>35</v>
      </c>
      <c r="C1951" s="2" t="s">
        <v>32</v>
      </c>
      <c r="D1951" s="2" t="s">
        <v>33</v>
      </c>
      <c r="E1951" s="2">
        <v>116</v>
      </c>
      <c r="F1951" s="2">
        <v>88.666666669999998</v>
      </c>
      <c r="G1951" s="2">
        <v>493.66666670000001</v>
      </c>
      <c r="H1951" s="2">
        <v>885.33333330000005</v>
      </c>
      <c r="I1951" s="2">
        <v>2436.333333</v>
      </c>
      <c r="J1951" s="2">
        <v>0.63</v>
      </c>
      <c r="K1951" s="2">
        <v>4.8600000000000003</v>
      </c>
      <c r="L1951" s="2">
        <v>7.81</v>
      </c>
      <c r="M1951" s="2">
        <v>14.33</v>
      </c>
      <c r="N1951" s="2">
        <v>3.0117922830000001</v>
      </c>
      <c r="O1951" s="2">
        <v>2.8947820329999998</v>
      </c>
      <c r="P1951" s="2">
        <v>3.1698988699999999</v>
      </c>
      <c r="Q1951" s="2">
        <v>3.1331855769999999</v>
      </c>
      <c r="R1951" s="2">
        <v>0.85058428799999997</v>
      </c>
      <c r="S1951" s="2">
        <v>0.79682045000000001</v>
      </c>
      <c r="T1951" s="2">
        <v>3.0536478539999998</v>
      </c>
      <c r="U1951" s="2">
        <v>3.0301698030000002</v>
      </c>
      <c r="V1951" s="2">
        <v>1.8150027280000001</v>
      </c>
      <c r="W1951" s="2">
        <v>4.4952595999999997E-2</v>
      </c>
      <c r="X1951">
        <f t="shared" si="90"/>
        <v>0</v>
      </c>
      <c r="Y1951">
        <f t="shared" si="91"/>
        <v>1</v>
      </c>
      <c r="Z1951">
        <f t="shared" si="92"/>
        <v>1</v>
      </c>
    </row>
    <row r="1952" spans="1:26" ht="15.75" customHeight="1" x14ac:dyDescent="0.2">
      <c r="A1952" s="2" t="s">
        <v>23</v>
      </c>
      <c r="B1952" s="2" t="s">
        <v>35</v>
      </c>
      <c r="C1952" s="2" t="s">
        <v>25</v>
      </c>
      <c r="D1952" s="2" t="s">
        <v>25</v>
      </c>
      <c r="E1952" s="2">
        <v>179</v>
      </c>
      <c r="F1952" s="2">
        <v>90.333333330000002</v>
      </c>
      <c r="G1952" s="2">
        <v>657.33333330000005</v>
      </c>
      <c r="H1952" s="2">
        <v>1428.333333</v>
      </c>
      <c r="I1952" s="2">
        <v>2386.333333</v>
      </c>
      <c r="J1952" s="2">
        <v>0.65</v>
      </c>
      <c r="K1952" s="2">
        <v>6.2</v>
      </c>
      <c r="L1952" s="2">
        <v>10.77</v>
      </c>
      <c r="M1952" s="2">
        <v>14.19</v>
      </c>
      <c r="N1952" s="2">
        <v>0.23774577699999999</v>
      </c>
      <c r="O1952" s="2">
        <v>0.36997754100000002</v>
      </c>
      <c r="P1952" s="2">
        <v>2.1917815310000002</v>
      </c>
      <c r="Q1952" s="2">
        <v>2.1371644619999999</v>
      </c>
      <c r="R1952" s="2">
        <v>2.1897629589999998</v>
      </c>
      <c r="S1952" s="2">
        <v>2.1359991200000001</v>
      </c>
      <c r="T1952" s="2">
        <v>9.4045015999999995E-2</v>
      </c>
      <c r="U1952" s="2">
        <v>7.0566965999999995E-2</v>
      </c>
      <c r="V1952" s="2">
        <v>3.154181398</v>
      </c>
      <c r="W1952" s="2">
        <v>6.4778353999999996E-2</v>
      </c>
      <c r="X1952">
        <f t="shared" si="90"/>
        <v>0</v>
      </c>
      <c r="Y1952">
        <f t="shared" si="91"/>
        <v>1</v>
      </c>
      <c r="Z1952">
        <f t="shared" si="92"/>
        <v>0</v>
      </c>
    </row>
    <row r="1953" spans="1:26" ht="15.75" customHeight="1" x14ac:dyDescent="0.2">
      <c r="A1953" s="2" t="s">
        <v>23</v>
      </c>
      <c r="B1953" s="2" t="s">
        <v>35</v>
      </c>
      <c r="C1953" s="2" t="s">
        <v>32</v>
      </c>
      <c r="D1953" s="2" t="s">
        <v>33</v>
      </c>
      <c r="E1953" s="2">
        <v>135</v>
      </c>
      <c r="F1953" s="2">
        <v>88</v>
      </c>
      <c r="G1953" s="2">
        <v>559.33333330000005</v>
      </c>
      <c r="H1953" s="2">
        <v>757.33333330000005</v>
      </c>
      <c r="I1953" s="2">
        <v>2428.666667</v>
      </c>
      <c r="J1953" s="2">
        <v>0.62</v>
      </c>
      <c r="K1953" s="2">
        <v>5.42</v>
      </c>
      <c r="L1953" s="2">
        <v>6.94</v>
      </c>
      <c r="M1953" s="2">
        <v>14.31</v>
      </c>
      <c r="N1953" s="2">
        <v>3.6830042700000001</v>
      </c>
      <c r="O1953" s="2">
        <v>3.5888893300000002</v>
      </c>
      <c r="P1953" s="2">
        <v>4.1688367729999998</v>
      </c>
      <c r="Q1953" s="2">
        <v>4.1287917619999996</v>
      </c>
      <c r="R1953" s="2">
        <v>1.4087930660000001</v>
      </c>
      <c r="S1953" s="2">
        <v>1.3550292269999999</v>
      </c>
      <c r="T1953" s="2">
        <v>3.9235828189999999</v>
      </c>
      <c r="U1953" s="2">
        <v>3.9001047689999999</v>
      </c>
      <c r="V1953" s="2">
        <v>2.373211505</v>
      </c>
      <c r="W1953" s="2">
        <v>5.1811512999999997E-2</v>
      </c>
      <c r="X1953">
        <f t="shared" si="90"/>
        <v>0</v>
      </c>
      <c r="Y1953">
        <f t="shared" si="91"/>
        <v>1</v>
      </c>
      <c r="Z1953">
        <f t="shared" si="92"/>
        <v>1</v>
      </c>
    </row>
    <row r="1954" spans="1:26" ht="15.75" customHeight="1" x14ac:dyDescent="0.2">
      <c r="A1954" s="2" t="s">
        <v>23</v>
      </c>
      <c r="B1954" s="2" t="s">
        <v>35</v>
      </c>
      <c r="C1954" s="2" t="s">
        <v>32</v>
      </c>
      <c r="D1954" s="2" t="s">
        <v>33</v>
      </c>
      <c r="E1954" s="2">
        <v>124</v>
      </c>
      <c r="F1954" s="2">
        <v>74</v>
      </c>
      <c r="G1954" s="2">
        <v>562.66666669999995</v>
      </c>
      <c r="H1954" s="2">
        <v>1293.666667</v>
      </c>
      <c r="I1954" s="2">
        <v>2570.666667</v>
      </c>
      <c r="J1954" s="2">
        <v>0.45</v>
      </c>
      <c r="K1954" s="2">
        <v>5.45</v>
      </c>
      <c r="L1954" s="2">
        <v>10.130000000000001</v>
      </c>
      <c r="M1954" s="2">
        <v>14.68</v>
      </c>
      <c r="N1954" s="2">
        <v>0.77070992400000005</v>
      </c>
      <c r="O1954" s="2">
        <v>0.62726249700000003</v>
      </c>
      <c r="P1954" s="2">
        <v>1.6139073530000001</v>
      </c>
      <c r="Q1954" s="2">
        <v>1.5553568040000001</v>
      </c>
      <c r="R1954" s="2">
        <v>1.4363535039999999</v>
      </c>
      <c r="S1954" s="2">
        <v>1.3825896660000001</v>
      </c>
      <c r="T1954" s="2">
        <v>0.73592496500000004</v>
      </c>
      <c r="U1954" s="2">
        <v>0.71244691500000001</v>
      </c>
      <c r="V1954" s="2">
        <v>2.4007719440000002</v>
      </c>
      <c r="W1954" s="2">
        <v>4.706142E-2</v>
      </c>
      <c r="X1954">
        <f t="shared" si="90"/>
        <v>0</v>
      </c>
      <c r="Y1954">
        <f t="shared" si="91"/>
        <v>1</v>
      </c>
      <c r="Z1954">
        <f t="shared" si="92"/>
        <v>1</v>
      </c>
    </row>
    <row r="1955" spans="1:26" ht="15.75" customHeight="1" x14ac:dyDescent="0.2">
      <c r="A1955" s="2" t="s">
        <v>23</v>
      </c>
      <c r="B1955" s="2" t="s">
        <v>35</v>
      </c>
      <c r="C1955" s="2" t="s">
        <v>25</v>
      </c>
      <c r="D1955" s="2" t="s">
        <v>25</v>
      </c>
      <c r="E1955" s="2">
        <v>105</v>
      </c>
      <c r="F1955" s="2">
        <v>126</v>
      </c>
      <c r="G1955" s="2">
        <v>624.66666669999995</v>
      </c>
      <c r="H1955" s="2">
        <v>1374.333333</v>
      </c>
      <c r="I1955" s="2">
        <v>2389.333333</v>
      </c>
      <c r="J1955" s="2">
        <v>1.0900000000000001</v>
      </c>
      <c r="K1955" s="2">
        <v>5.95</v>
      </c>
      <c r="L1955" s="2">
        <v>10.52</v>
      </c>
      <c r="M1955" s="2">
        <v>14.2</v>
      </c>
      <c r="N1955" s="2">
        <v>0.143533613</v>
      </c>
      <c r="O1955" s="2">
        <v>3.3511343999999998E-2</v>
      </c>
      <c r="P1955" s="2">
        <v>1.96655538</v>
      </c>
      <c r="Q1955" s="2">
        <v>1.9095540310000001</v>
      </c>
      <c r="R1955" s="2">
        <v>1.9360199250000001</v>
      </c>
      <c r="S1955" s="2">
        <v>1.8822560859999999</v>
      </c>
      <c r="T1955" s="2">
        <v>0.34520561100000002</v>
      </c>
      <c r="U1955" s="2">
        <v>0.32172756000000002</v>
      </c>
      <c r="V1955" s="2">
        <v>2.9004383649999999</v>
      </c>
      <c r="W1955" s="2">
        <v>5.8609676999999999E-2</v>
      </c>
      <c r="X1955">
        <f t="shared" si="90"/>
        <v>0</v>
      </c>
      <c r="Y1955">
        <f t="shared" si="91"/>
        <v>1</v>
      </c>
      <c r="Z1955">
        <f t="shared" si="92"/>
        <v>0</v>
      </c>
    </row>
    <row r="1956" spans="1:26" ht="15.75" customHeight="1" x14ac:dyDescent="0.2">
      <c r="A1956" s="2" t="s">
        <v>23</v>
      </c>
      <c r="B1956" s="2" t="s">
        <v>35</v>
      </c>
      <c r="C1956" s="2" t="s">
        <v>25</v>
      </c>
      <c r="D1956" s="2" t="s">
        <v>25</v>
      </c>
      <c r="E1956" s="2">
        <v>94</v>
      </c>
      <c r="F1956" s="2">
        <v>87.666666669999998</v>
      </c>
      <c r="G1956" s="2">
        <v>678</v>
      </c>
      <c r="H1956" s="2">
        <v>1373</v>
      </c>
      <c r="I1956" s="2">
        <v>2509.333333</v>
      </c>
      <c r="J1956" s="2">
        <v>0.62</v>
      </c>
      <c r="K1956" s="2">
        <v>6.36</v>
      </c>
      <c r="L1956" s="2">
        <v>10.51</v>
      </c>
      <c r="M1956" s="2">
        <v>14.52</v>
      </c>
      <c r="N1956" s="2">
        <v>0.279140004</v>
      </c>
      <c r="O1956" s="2">
        <v>0.397906804</v>
      </c>
      <c r="P1956" s="2">
        <v>2.3732250549999998</v>
      </c>
      <c r="Q1956" s="2">
        <v>2.316627006</v>
      </c>
      <c r="R1956" s="2">
        <v>2.347048751</v>
      </c>
      <c r="S1956" s="2">
        <v>2.2932849119999998</v>
      </c>
      <c r="T1956" s="2">
        <v>0.35151006200000001</v>
      </c>
      <c r="U1956" s="2">
        <v>0.32803201199999998</v>
      </c>
      <c r="V1956" s="2">
        <v>3.3114671900000001</v>
      </c>
      <c r="W1956" s="2">
        <v>0.10707937100000001</v>
      </c>
      <c r="X1956">
        <f t="shared" si="90"/>
        <v>0</v>
      </c>
      <c r="Y1956">
        <f t="shared" si="91"/>
        <v>1</v>
      </c>
      <c r="Z1956">
        <f t="shared" si="92"/>
        <v>0</v>
      </c>
    </row>
    <row r="1957" spans="1:26" ht="15.75" customHeight="1" x14ac:dyDescent="0.2">
      <c r="A1957" s="2" t="s">
        <v>23</v>
      </c>
      <c r="B1957" s="2" t="s">
        <v>35</v>
      </c>
      <c r="C1957" s="2" t="s">
        <v>27</v>
      </c>
      <c r="D1957" s="2" t="s">
        <v>27</v>
      </c>
      <c r="E1957" s="2">
        <v>129</v>
      </c>
      <c r="F1957" s="2">
        <v>96</v>
      </c>
      <c r="G1957" s="2">
        <v>310.66666670000001</v>
      </c>
      <c r="H1957" s="2">
        <v>1946</v>
      </c>
      <c r="I1957" s="2">
        <v>2371</v>
      </c>
      <c r="J1957" s="2">
        <v>0.72</v>
      </c>
      <c r="K1957" s="2">
        <v>3.14</v>
      </c>
      <c r="L1957" s="2">
        <v>12.83</v>
      </c>
      <c r="M1957" s="2">
        <v>14.15</v>
      </c>
      <c r="N1957" s="2">
        <v>0.297271589</v>
      </c>
      <c r="O1957" s="2">
        <v>0.41944601599999998</v>
      </c>
      <c r="P1957" s="2">
        <v>2.1477918819999999</v>
      </c>
      <c r="Q1957" s="2">
        <v>2.1915007860000002</v>
      </c>
      <c r="R1957" s="2">
        <v>0.87539280399999997</v>
      </c>
      <c r="S1957" s="2">
        <v>0.929156643</v>
      </c>
      <c r="T1957" s="2">
        <v>1.9612999280000001</v>
      </c>
      <c r="U1957" s="2">
        <v>1.984777979</v>
      </c>
      <c r="V1957" s="2">
        <v>8.9025635000000006E-2</v>
      </c>
      <c r="W1957" s="2">
        <v>4.9402649999999999E-2</v>
      </c>
      <c r="X1957">
        <f t="shared" si="90"/>
        <v>0</v>
      </c>
      <c r="Y1957">
        <f t="shared" si="91"/>
        <v>1</v>
      </c>
      <c r="Z1957">
        <f t="shared" si="92"/>
        <v>0</v>
      </c>
    </row>
    <row r="1958" spans="1:26" ht="15.75" customHeight="1" x14ac:dyDescent="0.2">
      <c r="A1958" s="2" t="s">
        <v>23</v>
      </c>
      <c r="B1958" s="2" t="s">
        <v>35</v>
      </c>
      <c r="C1958" s="2" t="s">
        <v>30</v>
      </c>
      <c r="D1958" s="2" t="s">
        <v>31</v>
      </c>
      <c r="E1958" s="2">
        <v>96</v>
      </c>
      <c r="F1958" s="2">
        <v>108</v>
      </c>
      <c r="G1958" s="2">
        <v>557.66666669999995</v>
      </c>
      <c r="H1958" s="2">
        <v>1184</v>
      </c>
      <c r="I1958" s="2">
        <v>2676.666667</v>
      </c>
      <c r="J1958" s="2">
        <v>0.87</v>
      </c>
      <c r="K1958" s="2">
        <v>5.41</v>
      </c>
      <c r="L1958" s="2">
        <v>9.57</v>
      </c>
      <c r="M1958" s="2">
        <v>14.95</v>
      </c>
      <c r="N1958" s="2">
        <v>3.7518939950000001</v>
      </c>
      <c r="O1958" s="2">
        <v>3.6410758159999999</v>
      </c>
      <c r="P1958" s="2">
        <v>1.9063259079999999</v>
      </c>
      <c r="Q1958" s="2">
        <v>1.851084057</v>
      </c>
      <c r="R1958" s="2">
        <v>1.394985479</v>
      </c>
      <c r="S1958" s="2">
        <v>1.3412216400000001</v>
      </c>
      <c r="T1958" s="2">
        <v>1.299266708</v>
      </c>
      <c r="U1958" s="2">
        <v>1.275788658</v>
      </c>
      <c r="V1958" s="2">
        <v>2.359403919</v>
      </c>
      <c r="W1958" s="2">
        <v>8.9182820999999995E-2</v>
      </c>
      <c r="X1958">
        <f t="shared" si="90"/>
        <v>0</v>
      </c>
      <c r="Y1958">
        <f t="shared" si="91"/>
        <v>1</v>
      </c>
      <c r="Z1958">
        <f t="shared" si="92"/>
        <v>1</v>
      </c>
    </row>
    <row r="1959" spans="1:26" ht="15.75" customHeight="1" x14ac:dyDescent="0.2">
      <c r="A1959" s="2" t="s">
        <v>23</v>
      </c>
      <c r="B1959" s="2" t="s">
        <v>35</v>
      </c>
      <c r="C1959" s="2" t="s">
        <v>28</v>
      </c>
      <c r="D1959" s="2" t="s">
        <v>29</v>
      </c>
      <c r="E1959" s="2">
        <v>156</v>
      </c>
      <c r="F1959" s="2">
        <v>118.33333330000001</v>
      </c>
      <c r="G1959" s="2">
        <v>543.33333330000005</v>
      </c>
      <c r="H1959" s="2">
        <v>2067.666667</v>
      </c>
      <c r="I1959" s="2">
        <v>2835.666667</v>
      </c>
      <c r="J1959" s="2">
        <v>1</v>
      </c>
      <c r="K1959" s="2">
        <v>5.29</v>
      </c>
      <c r="L1959" s="2">
        <v>13.23</v>
      </c>
      <c r="M1959" s="2">
        <v>15.32</v>
      </c>
      <c r="N1959" s="2">
        <v>6.1725683440000001</v>
      </c>
      <c r="O1959" s="2">
        <v>5.8989133069999999</v>
      </c>
      <c r="P1959" s="2">
        <v>2.6893845270000001</v>
      </c>
      <c r="Q1959" s="2">
        <v>2.6851924810000001</v>
      </c>
      <c r="R1959" s="2">
        <v>1.275481278</v>
      </c>
      <c r="S1959" s="2">
        <v>1.2217174390000001</v>
      </c>
      <c r="T1959" s="2">
        <v>2.3676859260000001</v>
      </c>
      <c r="U1959" s="2">
        <v>2.3911639760000001</v>
      </c>
      <c r="V1959" s="2">
        <v>2.2398997170000001</v>
      </c>
      <c r="W1959" s="2">
        <v>5.6088489999999998E-2</v>
      </c>
      <c r="X1959">
        <f t="shared" si="90"/>
        <v>0</v>
      </c>
      <c r="Y1959">
        <f t="shared" si="91"/>
        <v>1</v>
      </c>
      <c r="Z1959">
        <f t="shared" si="92"/>
        <v>1</v>
      </c>
    </row>
    <row r="1960" spans="1:26" ht="15.75" customHeight="1" x14ac:dyDescent="0.2">
      <c r="A1960" s="2" t="s">
        <v>23</v>
      </c>
      <c r="B1960" s="2" t="s">
        <v>35</v>
      </c>
      <c r="C1960" s="2" t="s">
        <v>28</v>
      </c>
      <c r="D1960" s="2" t="s">
        <v>29</v>
      </c>
      <c r="E1960" s="2">
        <v>98</v>
      </c>
      <c r="F1960" s="2">
        <v>91.333333330000002</v>
      </c>
      <c r="G1960" s="2">
        <v>310.66666670000001</v>
      </c>
      <c r="H1960" s="2">
        <v>1104.666667</v>
      </c>
      <c r="I1960" s="2">
        <v>2663.666667</v>
      </c>
      <c r="J1960" s="2">
        <v>0.66</v>
      </c>
      <c r="K1960" s="2">
        <v>3.14</v>
      </c>
      <c r="L1960" s="2">
        <v>9.1300000000000008</v>
      </c>
      <c r="M1960" s="2">
        <v>14.92</v>
      </c>
      <c r="N1960" s="2">
        <v>1.8341605969999999</v>
      </c>
      <c r="O1960" s="2">
        <v>1.6402107619999999</v>
      </c>
      <c r="P1960" s="2">
        <v>1.9405847279999999</v>
      </c>
      <c r="Q1960" s="2">
        <v>1.944766174</v>
      </c>
      <c r="R1960" s="2">
        <v>0.87539280399999997</v>
      </c>
      <c r="S1960" s="2">
        <v>0.929156643</v>
      </c>
      <c r="T1960" s="2">
        <v>1.7319227829999999</v>
      </c>
      <c r="U1960" s="2">
        <v>1.708444732</v>
      </c>
      <c r="V1960" s="2">
        <v>8.9025635000000006E-2</v>
      </c>
      <c r="W1960" s="2">
        <v>9.5294185000000003E-2</v>
      </c>
      <c r="X1960">
        <f t="shared" si="90"/>
        <v>0</v>
      </c>
      <c r="Y1960">
        <f t="shared" si="91"/>
        <v>1</v>
      </c>
      <c r="Z1960">
        <f t="shared" si="92"/>
        <v>1</v>
      </c>
    </row>
    <row r="1961" spans="1:26" ht="15.75" customHeight="1" x14ac:dyDescent="0.2">
      <c r="A1961" s="2" t="s">
        <v>23</v>
      </c>
      <c r="B1961" s="2" t="s">
        <v>35</v>
      </c>
      <c r="C1961" s="2" t="s">
        <v>32</v>
      </c>
      <c r="D1961" s="2" t="s">
        <v>33</v>
      </c>
      <c r="E1961" s="2">
        <v>122</v>
      </c>
      <c r="F1961" s="2">
        <v>96.333333330000002</v>
      </c>
      <c r="G1961" s="2">
        <v>479</v>
      </c>
      <c r="H1961" s="2">
        <v>754.33333330000005</v>
      </c>
      <c r="I1961" s="2">
        <v>2446.666667</v>
      </c>
      <c r="J1961" s="2">
        <v>0.73</v>
      </c>
      <c r="K1961" s="2">
        <v>4.74</v>
      </c>
      <c r="L1961" s="2">
        <v>6.92</v>
      </c>
      <c r="M1961" s="2">
        <v>14.36</v>
      </c>
      <c r="N1961" s="2">
        <v>3.886356363</v>
      </c>
      <c r="O1961" s="2">
        <v>3.7746047539999998</v>
      </c>
      <c r="P1961" s="2">
        <v>4.0104457599999996</v>
      </c>
      <c r="Q1961" s="2">
        <v>3.9779722899999999</v>
      </c>
      <c r="R1961" s="2">
        <v>0.72180176100000004</v>
      </c>
      <c r="S1961" s="2">
        <v>0.66803792200000001</v>
      </c>
      <c r="T1961" s="2">
        <v>3.9449559449999998</v>
      </c>
      <c r="U1961" s="2">
        <v>3.9214778940000001</v>
      </c>
      <c r="V1961" s="2">
        <v>1.686220201</v>
      </c>
      <c r="W1961" s="2">
        <v>7.7568902999999995E-2</v>
      </c>
      <c r="X1961">
        <f t="shared" si="90"/>
        <v>0</v>
      </c>
      <c r="Y1961">
        <f t="shared" si="91"/>
        <v>1</v>
      </c>
      <c r="Z1961">
        <f t="shared" si="92"/>
        <v>1</v>
      </c>
    </row>
    <row r="1962" spans="1:26" ht="15.75" customHeight="1" x14ac:dyDescent="0.2">
      <c r="A1962" s="2" t="s">
        <v>23</v>
      </c>
      <c r="B1962" s="2" t="s">
        <v>35</v>
      </c>
      <c r="C1962" s="2" t="s">
        <v>26</v>
      </c>
      <c r="D1962" s="2" t="s">
        <v>26</v>
      </c>
      <c r="E1962" s="2">
        <v>137</v>
      </c>
      <c r="F1962" s="2">
        <v>104.33333330000001</v>
      </c>
      <c r="G1962" s="2">
        <v>329</v>
      </c>
      <c r="H1962" s="2">
        <v>813.33333330000005</v>
      </c>
      <c r="I1962" s="2">
        <v>2675.666667</v>
      </c>
      <c r="J1962" s="2">
        <v>0.83</v>
      </c>
      <c r="K1962" s="2">
        <v>3.32</v>
      </c>
      <c r="L1962" s="2">
        <v>7.33</v>
      </c>
      <c r="M1962" s="2">
        <v>14.94</v>
      </c>
      <c r="N1962" s="2">
        <v>0.156708281</v>
      </c>
      <c r="O1962" s="2">
        <v>0.39281209499999997</v>
      </c>
      <c r="P1962" s="2">
        <v>3.5998599050000002</v>
      </c>
      <c r="Q1962" s="2">
        <v>3.5875800799999999</v>
      </c>
      <c r="R1962" s="2">
        <v>0.690041715</v>
      </c>
      <c r="S1962" s="2">
        <v>0.74380555400000004</v>
      </c>
      <c r="T1962" s="2">
        <v>3.5331054000000002</v>
      </c>
      <c r="U1962" s="2">
        <v>3.5096273490000001</v>
      </c>
      <c r="V1962" s="2">
        <v>0.27437672499999999</v>
      </c>
      <c r="W1962" s="2">
        <v>8.6749510000000002E-2</v>
      </c>
      <c r="X1962">
        <f t="shared" si="90"/>
        <v>0</v>
      </c>
      <c r="Y1962">
        <f t="shared" si="91"/>
        <v>1</v>
      </c>
      <c r="Z1962">
        <f t="shared" si="92"/>
        <v>0</v>
      </c>
    </row>
    <row r="1963" spans="1:26" ht="15.75" customHeight="1" x14ac:dyDescent="0.2">
      <c r="A1963" s="2" t="s">
        <v>23</v>
      </c>
      <c r="B1963" s="2" t="s">
        <v>35</v>
      </c>
      <c r="C1963" s="2" t="s">
        <v>25</v>
      </c>
      <c r="D1963" s="2" t="s">
        <v>25</v>
      </c>
      <c r="E1963" s="2">
        <v>181</v>
      </c>
      <c r="F1963" s="2">
        <v>86.666666669999998</v>
      </c>
      <c r="G1963" s="2">
        <v>605.33333330000005</v>
      </c>
      <c r="H1963" s="2">
        <v>1324</v>
      </c>
      <c r="I1963" s="2">
        <v>2328.666667</v>
      </c>
      <c r="J1963" s="2">
        <v>0.61</v>
      </c>
      <c r="K1963" s="2">
        <v>5.8</v>
      </c>
      <c r="L1963" s="2">
        <v>10.28</v>
      </c>
      <c r="M1963" s="2">
        <v>14.03</v>
      </c>
      <c r="N1963" s="2">
        <v>0.40702332600000002</v>
      </c>
      <c r="O1963" s="2">
        <v>0.26916492400000003</v>
      </c>
      <c r="P1963" s="2">
        <v>1.8768740079999999</v>
      </c>
      <c r="Q1963" s="2">
        <v>1.818473491</v>
      </c>
      <c r="R1963" s="2">
        <v>1.7828014000000001</v>
      </c>
      <c r="S1963" s="2">
        <v>1.7290375609999999</v>
      </c>
      <c r="T1963" s="2">
        <v>0.58674970100000001</v>
      </c>
      <c r="U1963" s="2">
        <v>0.56327165000000001</v>
      </c>
      <c r="V1963" s="2">
        <v>2.747219839</v>
      </c>
      <c r="W1963" s="2">
        <v>7.9494287999999996E-2</v>
      </c>
      <c r="X1963">
        <f t="shared" si="90"/>
        <v>0</v>
      </c>
      <c r="Y1963">
        <f t="shared" si="91"/>
        <v>1</v>
      </c>
      <c r="Z1963">
        <f t="shared" si="92"/>
        <v>0</v>
      </c>
    </row>
    <row r="1964" spans="1:26" ht="15.75" customHeight="1" x14ac:dyDescent="0.2">
      <c r="A1964" s="2" t="s">
        <v>23</v>
      </c>
      <c r="B1964" s="2" t="s">
        <v>35</v>
      </c>
      <c r="C1964" s="2" t="s">
        <v>30</v>
      </c>
      <c r="D1964" s="2" t="s">
        <v>31</v>
      </c>
      <c r="E1964" s="2">
        <v>140</v>
      </c>
      <c r="F1964" s="2">
        <v>103.66666669999999</v>
      </c>
      <c r="G1964" s="2">
        <v>536.66666669999995</v>
      </c>
      <c r="H1964" s="2">
        <v>1119</v>
      </c>
      <c r="I1964" s="2">
        <v>2251.333333</v>
      </c>
      <c r="J1964" s="2">
        <v>0.82</v>
      </c>
      <c r="K1964" s="2">
        <v>5.23</v>
      </c>
      <c r="L1964" s="2">
        <v>9.2100000000000009</v>
      </c>
      <c r="M1964" s="2">
        <v>13.8</v>
      </c>
      <c r="N1964" s="2">
        <v>3.9728443439999999</v>
      </c>
      <c r="O1964" s="2">
        <v>3.8674518710000001</v>
      </c>
      <c r="P1964" s="2">
        <v>2.0534012989999999</v>
      </c>
      <c r="Q1964" s="2">
        <v>2.0027979920000001</v>
      </c>
      <c r="R1964" s="2">
        <v>1.219430405</v>
      </c>
      <c r="S1964" s="2">
        <v>1.1656665660000001</v>
      </c>
      <c r="T1964" s="2">
        <v>1.6521036229999999</v>
      </c>
      <c r="U1964" s="2">
        <v>1.628625572</v>
      </c>
      <c r="V1964" s="2">
        <v>2.1838488439999999</v>
      </c>
      <c r="W1964" s="2">
        <v>9.1091549999999993E-2</v>
      </c>
      <c r="X1964">
        <f t="shared" si="90"/>
        <v>0</v>
      </c>
      <c r="Y1964">
        <f t="shared" si="91"/>
        <v>1</v>
      </c>
      <c r="Z1964">
        <f t="shared" si="92"/>
        <v>1</v>
      </c>
    </row>
    <row r="1965" spans="1:26" ht="15.75" customHeight="1" x14ac:dyDescent="0.2">
      <c r="A1965" s="2" t="s">
        <v>23</v>
      </c>
      <c r="B1965" s="2" t="s">
        <v>35</v>
      </c>
      <c r="C1965" s="2" t="s">
        <v>27</v>
      </c>
      <c r="D1965" s="2" t="s">
        <v>27</v>
      </c>
      <c r="E1965" s="2">
        <v>126</v>
      </c>
      <c r="F1965" s="2">
        <v>96.333333330000002</v>
      </c>
      <c r="G1965" s="2">
        <v>329.33333329999999</v>
      </c>
      <c r="H1965" s="2">
        <v>1913</v>
      </c>
      <c r="I1965" s="2">
        <v>2514</v>
      </c>
      <c r="J1965" s="2">
        <v>0.73</v>
      </c>
      <c r="K1965" s="2">
        <v>3.33</v>
      </c>
      <c r="L1965" s="2">
        <v>12.71</v>
      </c>
      <c r="M1965" s="2">
        <v>14.53</v>
      </c>
      <c r="N1965" s="2">
        <v>0.106333993</v>
      </c>
      <c r="O1965" s="2">
        <v>0.20843393199999999</v>
      </c>
      <c r="P1965" s="2">
        <v>1.970217374</v>
      </c>
      <c r="Q1965" s="2">
        <v>2.0114049810000001</v>
      </c>
      <c r="R1965" s="2">
        <v>0.68669917400000002</v>
      </c>
      <c r="S1965" s="2">
        <v>0.74046301299999995</v>
      </c>
      <c r="T1965" s="2">
        <v>1.846672885</v>
      </c>
      <c r="U1965" s="2">
        <v>1.8701509359999999</v>
      </c>
      <c r="V1965" s="2">
        <v>0.27771926600000002</v>
      </c>
      <c r="W1965" s="2">
        <v>0.117187785</v>
      </c>
      <c r="X1965">
        <f t="shared" si="90"/>
        <v>0</v>
      </c>
      <c r="Y1965">
        <f t="shared" si="91"/>
        <v>1</v>
      </c>
      <c r="Z1965">
        <f t="shared" si="92"/>
        <v>0</v>
      </c>
    </row>
    <row r="1966" spans="1:26" ht="15.75" customHeight="1" x14ac:dyDescent="0.2">
      <c r="A1966" s="2" t="s">
        <v>23</v>
      </c>
      <c r="B1966" s="2" t="s">
        <v>35</v>
      </c>
      <c r="C1966" s="2" t="s">
        <v>30</v>
      </c>
      <c r="D1966" s="2" t="s">
        <v>31</v>
      </c>
      <c r="E1966" s="2">
        <v>117</v>
      </c>
      <c r="F1966" s="2">
        <v>94.666666669999998</v>
      </c>
      <c r="G1966" s="2">
        <v>561</v>
      </c>
      <c r="H1966" s="2">
        <v>1099</v>
      </c>
      <c r="I1966" s="2">
        <v>2474.333333</v>
      </c>
      <c r="J1966" s="2">
        <v>0.71</v>
      </c>
      <c r="K1966" s="2">
        <v>5.44</v>
      </c>
      <c r="L1966" s="2">
        <v>9.1</v>
      </c>
      <c r="M1966" s="2">
        <v>14.43</v>
      </c>
      <c r="N1966" s="2">
        <v>4.1666612269999996</v>
      </c>
      <c r="O1966" s="2">
        <v>4.059136895</v>
      </c>
      <c r="P1966" s="2">
        <v>2.265905396</v>
      </c>
      <c r="Q1966" s="2">
        <v>2.2140429660000001</v>
      </c>
      <c r="R1966" s="2">
        <v>1.4225823950000001</v>
      </c>
      <c r="S1966" s="2">
        <v>1.3688185559999999</v>
      </c>
      <c r="T1966" s="2">
        <v>1.763685513</v>
      </c>
      <c r="U1966" s="2">
        <v>1.740207463</v>
      </c>
      <c r="V1966" s="2">
        <v>2.3870008349999998</v>
      </c>
      <c r="W1966" s="2">
        <v>8.6715025000000001E-2</v>
      </c>
      <c r="X1966">
        <f t="shared" si="90"/>
        <v>0</v>
      </c>
      <c r="Y1966">
        <f t="shared" si="91"/>
        <v>1</v>
      </c>
      <c r="Z1966">
        <f t="shared" si="92"/>
        <v>1</v>
      </c>
    </row>
    <row r="1967" spans="1:26" ht="15.75" customHeight="1" x14ac:dyDescent="0.2">
      <c r="A1967" s="2" t="s">
        <v>23</v>
      </c>
      <c r="B1967" s="2" t="s">
        <v>35</v>
      </c>
      <c r="C1967" s="2" t="s">
        <v>27</v>
      </c>
      <c r="D1967" s="2" t="s">
        <v>27</v>
      </c>
      <c r="E1967" s="2">
        <v>125</v>
      </c>
      <c r="F1967" s="2">
        <v>83.333333330000002</v>
      </c>
      <c r="G1967" s="2">
        <v>338.33333329999999</v>
      </c>
      <c r="H1967" s="2">
        <v>1882</v>
      </c>
      <c r="I1967" s="2">
        <v>2643</v>
      </c>
      <c r="J1967" s="2">
        <v>0.56000000000000005</v>
      </c>
      <c r="K1967" s="2">
        <v>3.42</v>
      </c>
      <c r="L1967" s="2">
        <v>12.6</v>
      </c>
      <c r="M1967" s="2">
        <v>14.86</v>
      </c>
      <c r="N1967" s="2">
        <v>0.148936238</v>
      </c>
      <c r="O1967" s="2">
        <v>0.14463643200000001</v>
      </c>
      <c r="P1967" s="2">
        <v>1.8368591839999999</v>
      </c>
      <c r="Q1967" s="2">
        <v>1.8770295370000001</v>
      </c>
      <c r="R1967" s="2">
        <v>0.59681704499999999</v>
      </c>
      <c r="S1967" s="2">
        <v>0.65058088400000003</v>
      </c>
      <c r="T1967" s="2">
        <v>1.7371992039999999</v>
      </c>
      <c r="U1967" s="2">
        <v>1.7606772550000001</v>
      </c>
      <c r="V1967" s="2">
        <v>0.36760139400000003</v>
      </c>
      <c r="W1967" s="2">
        <v>8.8369181000000005E-2</v>
      </c>
      <c r="X1967">
        <f t="shared" si="90"/>
        <v>0</v>
      </c>
      <c r="Y1967">
        <f t="shared" si="91"/>
        <v>1</v>
      </c>
      <c r="Z1967">
        <f t="shared" si="92"/>
        <v>0</v>
      </c>
    </row>
    <row r="1968" spans="1:26" ht="15.75" customHeight="1" x14ac:dyDescent="0.2">
      <c r="A1968" s="2" t="s">
        <v>23</v>
      </c>
      <c r="B1968" s="2" t="s">
        <v>35</v>
      </c>
      <c r="C1968" s="2" t="s">
        <v>26</v>
      </c>
      <c r="D1968" s="2" t="s">
        <v>26</v>
      </c>
      <c r="E1968" s="2">
        <v>117</v>
      </c>
      <c r="F1968" s="2">
        <v>97</v>
      </c>
      <c r="G1968" s="2">
        <v>341.33333329999999</v>
      </c>
      <c r="H1968" s="2">
        <v>991</v>
      </c>
      <c r="I1968" s="2">
        <v>2446.333333</v>
      </c>
      <c r="J1968" s="2">
        <v>0.73</v>
      </c>
      <c r="K1968" s="2">
        <v>3.45</v>
      </c>
      <c r="L1968" s="2">
        <v>8.4700000000000006</v>
      </c>
      <c r="M1968" s="2">
        <v>14.35</v>
      </c>
      <c r="N1968" s="2">
        <v>1.1420391320000001</v>
      </c>
      <c r="O1968" s="2">
        <v>0.92208864800000001</v>
      </c>
      <c r="P1968" s="2">
        <v>2.4586387059999999</v>
      </c>
      <c r="Q1968" s="2">
        <v>2.44887312</v>
      </c>
      <c r="R1968" s="2">
        <v>0.56701256200000005</v>
      </c>
      <c r="S1968" s="2">
        <v>0.62077640099999998</v>
      </c>
      <c r="T1968" s="2">
        <v>2.3923630669999998</v>
      </c>
      <c r="U1968" s="2">
        <v>2.3688850160000001</v>
      </c>
      <c r="V1968" s="2">
        <v>0.39740587799999999</v>
      </c>
      <c r="W1968" s="2">
        <v>4.8705682E-2</v>
      </c>
      <c r="X1968">
        <f t="shared" si="90"/>
        <v>0</v>
      </c>
      <c r="Y1968">
        <f t="shared" si="91"/>
        <v>1</v>
      </c>
      <c r="Z1968">
        <f t="shared" si="92"/>
        <v>0</v>
      </c>
    </row>
    <row r="1969" spans="1:26" ht="15.75" customHeight="1" x14ac:dyDescent="0.2">
      <c r="A1969" s="2" t="s">
        <v>23</v>
      </c>
      <c r="B1969" s="2" t="s">
        <v>35</v>
      </c>
      <c r="C1969" s="2" t="s">
        <v>27</v>
      </c>
      <c r="D1969" s="2" t="s">
        <v>27</v>
      </c>
      <c r="E1969" s="2">
        <v>113</v>
      </c>
      <c r="F1969" s="2">
        <v>125</v>
      </c>
      <c r="G1969" s="2">
        <v>328.33333329999999</v>
      </c>
      <c r="H1969" s="2">
        <v>1944.666667</v>
      </c>
      <c r="I1969" s="2">
        <v>2541.666667</v>
      </c>
      <c r="J1969" s="2">
        <v>1.08</v>
      </c>
      <c r="K1969" s="2">
        <v>3.32</v>
      </c>
      <c r="L1969" s="2">
        <v>12.82</v>
      </c>
      <c r="M1969" s="2">
        <v>14.61</v>
      </c>
      <c r="N1969" s="2">
        <v>0.12989567199999999</v>
      </c>
      <c r="O1969" s="2">
        <v>0.25536843100000001</v>
      </c>
      <c r="P1969" s="2">
        <v>2.0770486359999998</v>
      </c>
      <c r="Q1969" s="2">
        <v>2.1176330710000002</v>
      </c>
      <c r="R1969" s="2">
        <v>0.69672971900000003</v>
      </c>
      <c r="S1969" s="2">
        <v>0.75049355799999995</v>
      </c>
      <c r="T1969" s="2">
        <v>1.956706093</v>
      </c>
      <c r="U1969" s="2">
        <v>1.9801841440000001</v>
      </c>
      <c r="V1969" s="2">
        <v>0.26768871999999999</v>
      </c>
      <c r="W1969" s="2">
        <v>4.8926523999999999E-2</v>
      </c>
      <c r="X1969">
        <f t="shared" si="90"/>
        <v>0</v>
      </c>
      <c r="Y1969">
        <f t="shared" si="91"/>
        <v>1</v>
      </c>
      <c r="Z1969">
        <f t="shared" si="92"/>
        <v>0</v>
      </c>
    </row>
    <row r="1970" spans="1:26" ht="15.75" customHeight="1" x14ac:dyDescent="0.2">
      <c r="A1970" s="2" t="s">
        <v>23</v>
      </c>
      <c r="B1970" s="2" t="s">
        <v>35</v>
      </c>
      <c r="C1970" s="2" t="s">
        <v>30</v>
      </c>
      <c r="D1970" s="2" t="s">
        <v>31</v>
      </c>
      <c r="E1970" s="2">
        <v>153</v>
      </c>
      <c r="F1970" s="2">
        <v>125.66666669999999</v>
      </c>
      <c r="G1970" s="2">
        <v>563</v>
      </c>
      <c r="H1970" s="2">
        <v>1131.666667</v>
      </c>
      <c r="I1970" s="2">
        <v>2198.666667</v>
      </c>
      <c r="J1970" s="2">
        <v>1.0900000000000001</v>
      </c>
      <c r="K1970" s="2">
        <v>5.45</v>
      </c>
      <c r="L1970" s="2">
        <v>9.2799999999999994</v>
      </c>
      <c r="M1970" s="2">
        <v>13.64</v>
      </c>
      <c r="N1970" s="2">
        <v>4.0169522740000003</v>
      </c>
      <c r="O1970" s="2">
        <v>3.9078135660000002</v>
      </c>
      <c r="P1970" s="2">
        <v>2.1387669219999998</v>
      </c>
      <c r="Q1970" s="2">
        <v>2.0853606280000001</v>
      </c>
      <c r="R1970" s="2">
        <v>1.4391055429999999</v>
      </c>
      <c r="S1970" s="2">
        <v>1.385341704</v>
      </c>
      <c r="T1970" s="2">
        <v>1.5821817789999999</v>
      </c>
      <c r="U1970" s="2">
        <v>1.558703728</v>
      </c>
      <c r="V1970" s="2">
        <v>2.4035239829999999</v>
      </c>
      <c r="W1970" s="2">
        <v>6.2700908E-2</v>
      </c>
      <c r="X1970">
        <f t="shared" si="90"/>
        <v>0</v>
      </c>
      <c r="Y1970">
        <f t="shared" si="91"/>
        <v>1</v>
      </c>
      <c r="Z1970">
        <f t="shared" si="92"/>
        <v>1</v>
      </c>
    </row>
    <row r="1971" spans="1:26" ht="15.75" customHeight="1" x14ac:dyDescent="0.2">
      <c r="A1971" s="2" t="s">
        <v>23</v>
      </c>
      <c r="B1971" s="2" t="s">
        <v>35</v>
      </c>
      <c r="C1971" s="2" t="s">
        <v>27</v>
      </c>
      <c r="D1971" s="2" t="s">
        <v>27</v>
      </c>
      <c r="E1971" s="2">
        <v>262</v>
      </c>
      <c r="F1971" s="2">
        <v>107.33333330000001</v>
      </c>
      <c r="G1971" s="2">
        <v>367.33333329999999</v>
      </c>
      <c r="H1971" s="2">
        <v>1930.666667</v>
      </c>
      <c r="I1971" s="2">
        <v>2649</v>
      </c>
      <c r="J1971" s="2">
        <v>0.86</v>
      </c>
      <c r="K1971" s="2">
        <v>3.7</v>
      </c>
      <c r="L1971" s="2">
        <v>12.77</v>
      </c>
      <c r="M1971" s="2">
        <v>14.88</v>
      </c>
      <c r="N1971" s="2">
        <v>0.27683476200000001</v>
      </c>
      <c r="O1971" s="2">
        <v>0.18863225</v>
      </c>
      <c r="P1971" s="2">
        <v>1.933606205</v>
      </c>
      <c r="Q1971" s="2">
        <v>1.9660673420000001</v>
      </c>
      <c r="R1971" s="2">
        <v>0.31192568599999998</v>
      </c>
      <c r="S1971" s="2">
        <v>0.36568952500000002</v>
      </c>
      <c r="T1971" s="2">
        <v>1.908280725</v>
      </c>
      <c r="U1971" s="2">
        <v>1.931758775</v>
      </c>
      <c r="V1971" s="2">
        <v>0.65249275399999995</v>
      </c>
      <c r="W1971" s="2">
        <v>6.1891662E-2</v>
      </c>
      <c r="X1971">
        <f t="shared" si="90"/>
        <v>0</v>
      </c>
      <c r="Y1971">
        <f t="shared" si="91"/>
        <v>1</v>
      </c>
      <c r="Z1971">
        <f t="shared" si="92"/>
        <v>0</v>
      </c>
    </row>
    <row r="1972" spans="1:26" ht="15.75" customHeight="1" x14ac:dyDescent="0.2">
      <c r="A1972" s="2" t="s">
        <v>23</v>
      </c>
      <c r="B1972" s="2" t="s">
        <v>35</v>
      </c>
      <c r="C1972" s="2" t="s">
        <v>26</v>
      </c>
      <c r="D1972" s="2" t="s">
        <v>26</v>
      </c>
      <c r="E1972" s="2">
        <v>113</v>
      </c>
      <c r="F1972" s="2">
        <v>87</v>
      </c>
      <c r="G1972" s="2">
        <v>337.33333329999999</v>
      </c>
      <c r="H1972" s="2">
        <v>929</v>
      </c>
      <c r="I1972" s="2">
        <v>3222</v>
      </c>
      <c r="J1972" s="2">
        <v>0.61</v>
      </c>
      <c r="K1972" s="2">
        <v>3.41</v>
      </c>
      <c r="L1972" s="2">
        <v>8.09</v>
      </c>
      <c r="M1972" s="2">
        <v>16.14</v>
      </c>
      <c r="N1972" s="2">
        <v>0.76294004900000001</v>
      </c>
      <c r="O1972" s="2">
        <v>0.56848232799999998</v>
      </c>
      <c r="P1972" s="2">
        <v>2.840081353</v>
      </c>
      <c r="Q1972" s="2">
        <v>2.8292169010000001</v>
      </c>
      <c r="R1972" s="2">
        <v>0.60676917100000005</v>
      </c>
      <c r="S1972" s="2">
        <v>0.66053300999999998</v>
      </c>
      <c r="T1972" s="2">
        <v>2.7745077519999999</v>
      </c>
      <c r="U1972" s="2">
        <v>2.7510297010000002</v>
      </c>
      <c r="V1972" s="2">
        <v>0.35764926899999999</v>
      </c>
      <c r="W1972" s="2">
        <v>6.8094546000000006E-2</v>
      </c>
      <c r="X1972">
        <f t="shared" si="90"/>
        <v>0</v>
      </c>
      <c r="Y1972">
        <f t="shared" si="91"/>
        <v>1</v>
      </c>
      <c r="Z1972">
        <f t="shared" si="92"/>
        <v>0</v>
      </c>
    </row>
    <row r="1973" spans="1:26" ht="15.75" customHeight="1" x14ac:dyDescent="0.2">
      <c r="A1973" s="2" t="s">
        <v>23</v>
      </c>
      <c r="B1973" s="2" t="s">
        <v>35</v>
      </c>
      <c r="C1973" s="2" t="s">
        <v>30</v>
      </c>
      <c r="D1973" s="2" t="s">
        <v>31</v>
      </c>
      <c r="E1973" s="2">
        <v>107</v>
      </c>
      <c r="F1973" s="2">
        <v>94.666666669999998</v>
      </c>
      <c r="G1973" s="2">
        <v>535.66666669999995</v>
      </c>
      <c r="H1973" s="2">
        <v>1040</v>
      </c>
      <c r="I1973" s="2">
        <v>2308.666667</v>
      </c>
      <c r="J1973" s="2">
        <v>0.71</v>
      </c>
      <c r="K1973" s="2">
        <v>5.22</v>
      </c>
      <c r="L1973" s="2">
        <v>8.76</v>
      </c>
      <c r="M1973" s="2">
        <v>13.97</v>
      </c>
      <c r="N1973" s="2">
        <v>4.3743683710000001</v>
      </c>
      <c r="O1973" s="2">
        <v>4.2723878409999996</v>
      </c>
      <c r="P1973" s="2">
        <v>2.425469133</v>
      </c>
      <c r="Q1973" s="2">
        <v>2.3785389220000002</v>
      </c>
      <c r="R1973" s="2">
        <v>1.2109969460000001</v>
      </c>
      <c r="S1973" s="2">
        <v>1.1572331069999999</v>
      </c>
      <c r="T1973" s="2">
        <v>2.1015201430000001</v>
      </c>
      <c r="U1973" s="2">
        <v>2.0780420930000001</v>
      </c>
      <c r="V1973" s="2">
        <v>2.175415385</v>
      </c>
      <c r="W1973" s="2">
        <v>5.7838592000000001E-2</v>
      </c>
      <c r="X1973">
        <f t="shared" si="90"/>
        <v>0</v>
      </c>
      <c r="Y1973">
        <f t="shared" si="91"/>
        <v>1</v>
      </c>
      <c r="Z1973">
        <f t="shared" si="92"/>
        <v>1</v>
      </c>
    </row>
    <row r="1974" spans="1:26" ht="15.75" customHeight="1" x14ac:dyDescent="0.2">
      <c r="A1974" s="2" t="s">
        <v>23</v>
      </c>
      <c r="B1974" s="2" t="s">
        <v>35</v>
      </c>
      <c r="C1974" s="2" t="s">
        <v>32</v>
      </c>
      <c r="D1974" s="2" t="s">
        <v>33</v>
      </c>
      <c r="E1974" s="2">
        <v>107</v>
      </c>
      <c r="F1974" s="2">
        <v>87.666666669999998</v>
      </c>
      <c r="G1974" s="2">
        <v>577.33333330000005</v>
      </c>
      <c r="H1974" s="2">
        <v>1037</v>
      </c>
      <c r="I1974" s="2">
        <v>2490</v>
      </c>
      <c r="J1974" s="2">
        <v>0.62</v>
      </c>
      <c r="K1974" s="2">
        <v>5.57</v>
      </c>
      <c r="L1974" s="2">
        <v>8.75</v>
      </c>
      <c r="M1974" s="2">
        <v>14.47</v>
      </c>
      <c r="N1974" s="2">
        <v>1.889914461</v>
      </c>
      <c r="O1974" s="2">
        <v>1.7871110400000001</v>
      </c>
      <c r="P1974" s="2">
        <v>2.6294271290000002</v>
      </c>
      <c r="Q1974" s="2">
        <v>2.578843075</v>
      </c>
      <c r="R1974" s="2">
        <v>1.5567591670000001</v>
      </c>
      <c r="S1974" s="2">
        <v>1.502995329</v>
      </c>
      <c r="T1974" s="2">
        <v>2.1190535439999998</v>
      </c>
      <c r="U1974" s="2">
        <v>2.0955754930000001</v>
      </c>
      <c r="V1974" s="2">
        <v>2.5211776069999998</v>
      </c>
      <c r="W1974" s="2">
        <v>7.2262597999999997E-2</v>
      </c>
      <c r="X1974">
        <f t="shared" si="90"/>
        <v>0</v>
      </c>
      <c r="Y1974">
        <f t="shared" si="91"/>
        <v>1</v>
      </c>
      <c r="Z1974">
        <f t="shared" si="92"/>
        <v>1</v>
      </c>
    </row>
    <row r="1975" spans="1:26" ht="15.75" customHeight="1" x14ac:dyDescent="0.2">
      <c r="A1975" s="2" t="s">
        <v>23</v>
      </c>
      <c r="B1975" s="2" t="s">
        <v>35</v>
      </c>
      <c r="C1975" s="2" t="s">
        <v>28</v>
      </c>
      <c r="D1975" s="2" t="s">
        <v>29</v>
      </c>
      <c r="E1975" s="2">
        <v>109</v>
      </c>
      <c r="F1975" s="2">
        <v>99.333333330000002</v>
      </c>
      <c r="G1975" s="2">
        <v>479.66666670000001</v>
      </c>
      <c r="H1975" s="2">
        <v>1690.333333</v>
      </c>
      <c r="I1975" s="2">
        <v>2542.333333</v>
      </c>
      <c r="J1975" s="2">
        <v>0.76</v>
      </c>
      <c r="K1975" s="2">
        <v>4.74</v>
      </c>
      <c r="L1975" s="2">
        <v>11.88</v>
      </c>
      <c r="M1975" s="2">
        <v>14.61</v>
      </c>
      <c r="N1975" s="2">
        <v>4.7243691529999996</v>
      </c>
      <c r="O1975" s="2">
        <v>4.4532644489999997</v>
      </c>
      <c r="P1975" s="2">
        <v>1.2522026589999999</v>
      </c>
      <c r="Q1975" s="2">
        <v>1.2413933939999999</v>
      </c>
      <c r="R1975" s="2">
        <v>0.72768910399999998</v>
      </c>
      <c r="S1975" s="2">
        <v>0.67392526500000005</v>
      </c>
      <c r="T1975" s="2">
        <v>1.0190584220000001</v>
      </c>
      <c r="U1975" s="2">
        <v>1.0425364720000001</v>
      </c>
      <c r="V1975" s="2">
        <v>1.692107544</v>
      </c>
      <c r="W1975" s="2">
        <v>6.9962592000000004E-2</v>
      </c>
      <c r="X1975">
        <f t="shared" si="90"/>
        <v>0</v>
      </c>
      <c r="Y1975">
        <f t="shared" si="91"/>
        <v>1</v>
      </c>
      <c r="Z1975">
        <f t="shared" si="92"/>
        <v>1</v>
      </c>
    </row>
    <row r="1976" spans="1:26" ht="15.75" customHeight="1" x14ac:dyDescent="0.2">
      <c r="A1976" s="2" t="s">
        <v>23</v>
      </c>
      <c r="B1976" s="2" t="s">
        <v>35</v>
      </c>
      <c r="C1976" s="2" t="s">
        <v>28</v>
      </c>
      <c r="D1976" s="2" t="s">
        <v>29</v>
      </c>
      <c r="E1976" s="2">
        <v>133</v>
      </c>
      <c r="F1976" s="2">
        <v>95</v>
      </c>
      <c r="G1976" s="2">
        <v>535.33333330000005</v>
      </c>
      <c r="H1976" s="2">
        <v>1548</v>
      </c>
      <c r="I1976" s="2">
        <v>2725.666667</v>
      </c>
      <c r="J1976" s="2">
        <v>0.71</v>
      </c>
      <c r="K1976" s="2">
        <v>5.22</v>
      </c>
      <c r="L1976" s="2">
        <v>11.3</v>
      </c>
      <c r="M1976" s="2">
        <v>15.07</v>
      </c>
      <c r="N1976" s="2">
        <v>4.334164715</v>
      </c>
      <c r="O1976" s="2">
        <v>4.0529817259999996</v>
      </c>
      <c r="P1976" s="2">
        <v>1.2841032999999999</v>
      </c>
      <c r="Q1976" s="2">
        <v>1.242125197</v>
      </c>
      <c r="R1976" s="2">
        <v>1.2081842899999999</v>
      </c>
      <c r="S1976" s="2">
        <v>1.1544204520000001</v>
      </c>
      <c r="T1976" s="2">
        <v>0.43498506399999998</v>
      </c>
      <c r="U1976" s="2">
        <v>0.458463114</v>
      </c>
      <c r="V1976" s="2">
        <v>2.1726027299999999</v>
      </c>
      <c r="W1976" s="2">
        <v>6.8198501999999994E-2</v>
      </c>
      <c r="X1976">
        <f t="shared" si="90"/>
        <v>0</v>
      </c>
      <c r="Y1976">
        <f t="shared" si="91"/>
        <v>1</v>
      </c>
      <c r="Z1976">
        <f t="shared" si="92"/>
        <v>1</v>
      </c>
    </row>
    <row r="1977" spans="1:26" ht="15.75" customHeight="1" x14ac:dyDescent="0.2">
      <c r="A1977" s="2" t="s">
        <v>23</v>
      </c>
      <c r="B1977" s="2" t="s">
        <v>35</v>
      </c>
      <c r="C1977" s="2" t="s">
        <v>26</v>
      </c>
      <c r="D1977" s="2" t="s">
        <v>26</v>
      </c>
      <c r="E1977" s="2">
        <v>123</v>
      </c>
      <c r="F1977" s="2">
        <v>93.666666669999998</v>
      </c>
      <c r="G1977" s="2">
        <v>360</v>
      </c>
      <c r="H1977" s="2">
        <v>712</v>
      </c>
      <c r="I1977" s="2">
        <v>2816.333333</v>
      </c>
      <c r="J1977" s="2">
        <v>0.69</v>
      </c>
      <c r="K1977" s="2">
        <v>3.63</v>
      </c>
      <c r="L1977" s="2">
        <v>6.61</v>
      </c>
      <c r="M1977" s="2">
        <v>15.28</v>
      </c>
      <c r="N1977" s="2">
        <v>0.73328044400000003</v>
      </c>
      <c r="O1977" s="2">
        <v>0.95686674999999999</v>
      </c>
      <c r="P1977" s="2">
        <v>4.2689137519999996</v>
      </c>
      <c r="Q1977" s="2">
        <v>4.2507222010000003</v>
      </c>
      <c r="R1977" s="2">
        <v>0.38329437799999999</v>
      </c>
      <c r="S1977" s="2">
        <v>0.43705821700000003</v>
      </c>
      <c r="T1977" s="2">
        <v>4.2516714410000001</v>
      </c>
      <c r="U1977" s="2">
        <v>4.2281933900000004</v>
      </c>
      <c r="V1977" s="2">
        <v>0.581124062</v>
      </c>
      <c r="W1977" s="2">
        <v>6.3400709999999999E-2</v>
      </c>
      <c r="X1977">
        <f t="shared" si="90"/>
        <v>0</v>
      </c>
      <c r="Y1977">
        <f t="shared" si="91"/>
        <v>1</v>
      </c>
      <c r="Z1977">
        <f t="shared" si="92"/>
        <v>0</v>
      </c>
    </row>
    <row r="1978" spans="1:26" ht="15.75" customHeight="1" x14ac:dyDescent="0.2">
      <c r="A1978" s="2" t="s">
        <v>23</v>
      </c>
      <c r="B1978" s="2" t="s">
        <v>35</v>
      </c>
      <c r="C1978" s="2" t="s">
        <v>25</v>
      </c>
      <c r="D1978" s="2" t="s">
        <v>25</v>
      </c>
      <c r="E1978" s="2">
        <v>121</v>
      </c>
      <c r="F1978" s="2">
        <v>88.666666669999998</v>
      </c>
      <c r="G1978" s="2">
        <v>598.66666669999995</v>
      </c>
      <c r="H1978" s="2">
        <v>1431</v>
      </c>
      <c r="I1978" s="2">
        <v>2463.666667</v>
      </c>
      <c r="J1978" s="2">
        <v>0.63</v>
      </c>
      <c r="K1978" s="2">
        <v>5.74</v>
      </c>
      <c r="L1978" s="2">
        <v>10.78</v>
      </c>
      <c r="M1978" s="2">
        <v>14.4</v>
      </c>
      <c r="N1978" s="2">
        <v>0.40706050700000002</v>
      </c>
      <c r="O1978" s="2">
        <v>0.36736311399999999</v>
      </c>
      <c r="P1978" s="2">
        <v>1.7313663210000001</v>
      </c>
      <c r="Q1978" s="2">
        <v>1.6766830740000001</v>
      </c>
      <c r="R1978" s="2">
        <v>1.7294305510000001</v>
      </c>
      <c r="S1978" s="2">
        <v>1.6756667119999999</v>
      </c>
      <c r="T1978" s="2">
        <v>8.1849289000000006E-2</v>
      </c>
      <c r="U1978" s="2">
        <v>5.8371237999999999E-2</v>
      </c>
      <c r="V1978" s="2">
        <v>2.6938489900000002</v>
      </c>
      <c r="W1978" s="2">
        <v>3.9537627999999998E-2</v>
      </c>
      <c r="X1978">
        <f t="shared" si="90"/>
        <v>0</v>
      </c>
      <c r="Y1978">
        <f t="shared" si="91"/>
        <v>1</v>
      </c>
      <c r="Z1978">
        <f t="shared" si="92"/>
        <v>0</v>
      </c>
    </row>
    <row r="1979" spans="1:26" ht="15.75" customHeight="1" x14ac:dyDescent="0.2">
      <c r="A1979" s="2" t="s">
        <v>23</v>
      </c>
      <c r="B1979" s="2" t="s">
        <v>35</v>
      </c>
      <c r="C1979" s="2" t="s">
        <v>30</v>
      </c>
      <c r="D1979" s="2" t="s">
        <v>31</v>
      </c>
      <c r="E1979" s="2">
        <v>136</v>
      </c>
      <c r="F1979" s="2">
        <v>122</v>
      </c>
      <c r="G1979" s="2">
        <v>500</v>
      </c>
      <c r="H1979" s="2">
        <v>1409</v>
      </c>
      <c r="I1979" s="2">
        <v>2476.333333</v>
      </c>
      <c r="J1979" s="2">
        <v>1.04</v>
      </c>
      <c r="K1979" s="2">
        <v>4.92</v>
      </c>
      <c r="L1979" s="2">
        <v>10.68</v>
      </c>
      <c r="M1979" s="2">
        <v>14.44</v>
      </c>
      <c r="N1979" s="2">
        <v>2.5516918990000002</v>
      </c>
      <c r="O1979" s="2">
        <v>2.4372166499999999</v>
      </c>
      <c r="P1979" s="2">
        <v>0.92403097599999995</v>
      </c>
      <c r="Q1979" s="2">
        <v>0.86676993000000002</v>
      </c>
      <c r="R1979" s="2">
        <v>0.90572019999999998</v>
      </c>
      <c r="S1979" s="2">
        <v>0.85195636100000005</v>
      </c>
      <c r="T1979" s="2">
        <v>0.18304142600000001</v>
      </c>
      <c r="U1979" s="2">
        <v>0.15956337500000001</v>
      </c>
      <c r="V1979" s="2">
        <v>1.87013864</v>
      </c>
      <c r="W1979" s="2">
        <v>0.13562601099999999</v>
      </c>
      <c r="X1979">
        <f t="shared" si="90"/>
        <v>0</v>
      </c>
      <c r="Y1979">
        <f t="shared" si="91"/>
        <v>1</v>
      </c>
      <c r="Z1979">
        <f t="shared" si="92"/>
        <v>1</v>
      </c>
    </row>
    <row r="1980" spans="1:26" ht="15.75" customHeight="1" x14ac:dyDescent="0.2">
      <c r="A1980" s="2" t="s">
        <v>23</v>
      </c>
      <c r="B1980" s="2" t="s">
        <v>35</v>
      </c>
      <c r="C1980" s="2" t="s">
        <v>28</v>
      </c>
      <c r="D1980" s="2" t="s">
        <v>29</v>
      </c>
      <c r="E1980" s="2">
        <v>118</v>
      </c>
      <c r="F1980" s="2">
        <v>104.33333330000001</v>
      </c>
      <c r="G1980" s="2">
        <v>326.66666670000001</v>
      </c>
      <c r="H1980" s="2">
        <v>1359</v>
      </c>
      <c r="I1980" s="2">
        <v>2541.333333</v>
      </c>
      <c r="J1980" s="2">
        <v>0.83</v>
      </c>
      <c r="K1980" s="2">
        <v>3.3</v>
      </c>
      <c r="L1980" s="2">
        <v>10.45</v>
      </c>
      <c r="M1980" s="2">
        <v>14.61</v>
      </c>
      <c r="N1980" s="2">
        <v>3.121095323</v>
      </c>
      <c r="O1980" s="2">
        <v>2.8963297240000001</v>
      </c>
      <c r="P1980" s="2">
        <v>0.82690350999999995</v>
      </c>
      <c r="Q1980" s="2">
        <v>0.86272844400000004</v>
      </c>
      <c r="R1980" s="2">
        <v>0.71346679199999996</v>
      </c>
      <c r="S1980" s="2">
        <v>0.76723063000000002</v>
      </c>
      <c r="T1980" s="2">
        <v>0.41801262099999997</v>
      </c>
      <c r="U1980" s="2">
        <v>0.39453456999999997</v>
      </c>
      <c r="V1980" s="2">
        <v>0.25095164800000003</v>
      </c>
      <c r="W1980" s="2">
        <v>3.6930715000000003E-2</v>
      </c>
      <c r="X1980">
        <f t="shared" si="90"/>
        <v>0</v>
      </c>
      <c r="Y1980">
        <f t="shared" si="91"/>
        <v>1</v>
      </c>
      <c r="Z1980">
        <f t="shared" si="92"/>
        <v>1</v>
      </c>
    </row>
    <row r="1981" spans="1:26" ht="15.75" customHeight="1" x14ac:dyDescent="0.2">
      <c r="A1981" s="2" t="s">
        <v>23</v>
      </c>
      <c r="B1981" s="2" t="s">
        <v>35</v>
      </c>
      <c r="C1981" s="2" t="s">
        <v>28</v>
      </c>
      <c r="D1981" s="2" t="s">
        <v>29</v>
      </c>
      <c r="E1981" s="2">
        <v>104</v>
      </c>
      <c r="F1981" s="2">
        <v>109.33333330000001</v>
      </c>
      <c r="G1981" s="2">
        <v>320</v>
      </c>
      <c r="H1981" s="2">
        <v>1997.666667</v>
      </c>
      <c r="I1981" s="2">
        <v>2507.333333</v>
      </c>
      <c r="J1981" s="2">
        <v>0.89</v>
      </c>
      <c r="K1981" s="2">
        <v>3.23</v>
      </c>
      <c r="L1981" s="2">
        <v>13</v>
      </c>
      <c r="M1981" s="2">
        <v>14.52</v>
      </c>
      <c r="N1981" s="2">
        <v>5.67622348</v>
      </c>
      <c r="O1981" s="2">
        <v>5.4466701479999999</v>
      </c>
      <c r="P1981" s="2">
        <v>2.2750576709999999</v>
      </c>
      <c r="Q1981" s="2">
        <v>2.3159476410000002</v>
      </c>
      <c r="R1981" s="2">
        <v>0.78065977399999997</v>
      </c>
      <c r="S1981" s="2">
        <v>0.83442361300000001</v>
      </c>
      <c r="T1981" s="2">
        <v>2.1369271680000002</v>
      </c>
      <c r="U1981" s="2">
        <v>2.1604052189999998</v>
      </c>
      <c r="V1981" s="2">
        <v>0.18375866599999999</v>
      </c>
      <c r="W1981" s="2">
        <v>5.1104649000000002E-2</v>
      </c>
      <c r="X1981">
        <f t="shared" si="90"/>
        <v>0</v>
      </c>
      <c r="Y1981">
        <f t="shared" si="91"/>
        <v>1</v>
      </c>
      <c r="Z1981">
        <f t="shared" si="92"/>
        <v>1</v>
      </c>
    </row>
    <row r="1982" spans="1:26" ht="15.75" customHeight="1" x14ac:dyDescent="0.2">
      <c r="A1982" s="2" t="s">
        <v>23</v>
      </c>
      <c r="B1982" s="2" t="s">
        <v>35</v>
      </c>
      <c r="C1982" s="2" t="s">
        <v>32</v>
      </c>
      <c r="D1982" s="2" t="s">
        <v>33</v>
      </c>
      <c r="E1982" s="2">
        <v>146</v>
      </c>
      <c r="F1982" s="2">
        <v>91</v>
      </c>
      <c r="G1982" s="2">
        <v>583.66666669999995</v>
      </c>
      <c r="H1982" s="2">
        <v>892</v>
      </c>
      <c r="I1982" s="2">
        <v>2517</v>
      </c>
      <c r="J1982" s="2">
        <v>0.66</v>
      </c>
      <c r="K1982" s="2">
        <v>5.62</v>
      </c>
      <c r="L1982" s="2">
        <v>7.86</v>
      </c>
      <c r="M1982" s="2">
        <v>14.54</v>
      </c>
      <c r="N1982" s="2">
        <v>2.7490740360000001</v>
      </c>
      <c r="O1982" s="2">
        <v>2.6568077209999998</v>
      </c>
      <c r="P1982" s="2">
        <v>3.4131631250000001</v>
      </c>
      <c r="Q1982" s="2">
        <v>3.3673171370000001</v>
      </c>
      <c r="R1982" s="2">
        <v>1.6083232750000001</v>
      </c>
      <c r="S1982" s="2">
        <v>1.5545594359999999</v>
      </c>
      <c r="T1982" s="2">
        <v>3.010478161</v>
      </c>
      <c r="U1982" s="2">
        <v>2.9870001099999999</v>
      </c>
      <c r="V1982" s="2">
        <v>2.5727417149999998</v>
      </c>
      <c r="W1982" s="2">
        <v>7.1402043999999998E-2</v>
      </c>
      <c r="X1982">
        <f t="shared" si="90"/>
        <v>0</v>
      </c>
      <c r="Y1982">
        <f t="shared" si="91"/>
        <v>1</v>
      </c>
      <c r="Z1982">
        <f t="shared" si="92"/>
        <v>1</v>
      </c>
    </row>
    <row r="1983" spans="1:26" ht="15.75" customHeight="1" x14ac:dyDescent="0.2">
      <c r="A1983" s="2" t="s">
        <v>23</v>
      </c>
      <c r="B1983" s="2" t="s">
        <v>35</v>
      </c>
      <c r="C1983" s="2" t="s">
        <v>25</v>
      </c>
      <c r="D1983" s="2" t="s">
        <v>25</v>
      </c>
      <c r="E1983" s="2">
        <v>105</v>
      </c>
      <c r="F1983" s="2">
        <v>92.666666669999998</v>
      </c>
      <c r="G1983" s="2">
        <v>665.33333330000005</v>
      </c>
      <c r="H1983" s="2">
        <v>1408.333333</v>
      </c>
      <c r="I1983" s="2">
        <v>2369.333333</v>
      </c>
      <c r="J1983" s="2">
        <v>0.68</v>
      </c>
      <c r="K1983" s="2">
        <v>6.26</v>
      </c>
      <c r="L1983" s="2">
        <v>10.68</v>
      </c>
      <c r="M1983" s="2">
        <v>14.14</v>
      </c>
      <c r="N1983" s="2">
        <v>0.21212260299999999</v>
      </c>
      <c r="O1983" s="2">
        <v>0.35578426600000002</v>
      </c>
      <c r="P1983" s="2">
        <v>2.2586238330000001</v>
      </c>
      <c r="Q1983" s="2">
        <v>2.203189734</v>
      </c>
      <c r="R1983" s="2">
        <v>2.2509415380000002</v>
      </c>
      <c r="S1983" s="2">
        <v>2.197177699</v>
      </c>
      <c r="T1983" s="2">
        <v>0.18612848900000001</v>
      </c>
      <c r="U1983" s="2">
        <v>0.16265043800000001</v>
      </c>
      <c r="V1983" s="2">
        <v>3.2153599769999999</v>
      </c>
      <c r="W1983" s="2">
        <v>6.7645786999999999E-2</v>
      </c>
      <c r="X1983">
        <f t="shared" si="90"/>
        <v>0</v>
      </c>
      <c r="Y1983">
        <f t="shared" si="91"/>
        <v>1</v>
      </c>
      <c r="Z1983">
        <f t="shared" si="92"/>
        <v>0</v>
      </c>
    </row>
    <row r="1984" spans="1:26" ht="15.75" customHeight="1" x14ac:dyDescent="0.2">
      <c r="A1984" s="2" t="s">
        <v>23</v>
      </c>
      <c r="B1984" s="2" t="s">
        <v>35</v>
      </c>
      <c r="C1984" s="2" t="s">
        <v>27</v>
      </c>
      <c r="D1984" s="2" t="s">
        <v>27</v>
      </c>
      <c r="E1984" s="2">
        <v>93</v>
      </c>
      <c r="F1984" s="2">
        <v>95.666666669999998</v>
      </c>
      <c r="G1984" s="2">
        <v>324.33333329999999</v>
      </c>
      <c r="H1984" s="2">
        <v>1871.666667</v>
      </c>
      <c r="I1984" s="2">
        <v>2708</v>
      </c>
      <c r="J1984" s="2">
        <v>0.72</v>
      </c>
      <c r="K1984" s="2">
        <v>3.28</v>
      </c>
      <c r="L1984" s="2">
        <v>12.57</v>
      </c>
      <c r="M1984" s="2">
        <v>15.02</v>
      </c>
      <c r="N1984" s="2">
        <v>0.23802622900000001</v>
      </c>
      <c r="O1984" s="2">
        <v>0.28459385700000001</v>
      </c>
      <c r="P1984" s="2">
        <v>1.853145702</v>
      </c>
      <c r="Q1984" s="2">
        <v>1.896489471</v>
      </c>
      <c r="R1984" s="2">
        <v>0.73693972299999999</v>
      </c>
      <c r="S1984" s="2">
        <v>0.79070356200000003</v>
      </c>
      <c r="T1984" s="2">
        <v>1.7003143350000001</v>
      </c>
      <c r="U1984" s="2">
        <v>1.723792386</v>
      </c>
      <c r="V1984" s="2">
        <v>0.227478717</v>
      </c>
      <c r="W1984" s="2">
        <v>6.7756062000000006E-2</v>
      </c>
      <c r="X1984">
        <f t="shared" si="90"/>
        <v>0</v>
      </c>
      <c r="Y1984">
        <f t="shared" si="91"/>
        <v>1</v>
      </c>
      <c r="Z1984">
        <f t="shared" si="92"/>
        <v>0</v>
      </c>
    </row>
    <row r="1985" spans="1:26" ht="15.75" customHeight="1" x14ac:dyDescent="0.2">
      <c r="A1985" s="2" t="s">
        <v>23</v>
      </c>
      <c r="B1985" s="2" t="s">
        <v>35</v>
      </c>
      <c r="C1985" s="2" t="s">
        <v>32</v>
      </c>
      <c r="D1985" s="2" t="s">
        <v>33</v>
      </c>
      <c r="E1985" s="2">
        <v>124</v>
      </c>
      <c r="F1985" s="2">
        <v>79</v>
      </c>
      <c r="G1985" s="2">
        <v>541.66666669999995</v>
      </c>
      <c r="H1985" s="2">
        <v>1010.333333</v>
      </c>
      <c r="I1985" s="2">
        <v>2600.333333</v>
      </c>
      <c r="J1985" s="2">
        <v>0.51</v>
      </c>
      <c r="K1985" s="2">
        <v>5.27</v>
      </c>
      <c r="L1985" s="2">
        <v>8.59</v>
      </c>
      <c r="M1985" s="2">
        <v>14.76</v>
      </c>
      <c r="N1985" s="2">
        <v>2.1355814849999999</v>
      </c>
      <c r="O1985" s="2">
        <v>2.0215599260000001</v>
      </c>
      <c r="P1985" s="2">
        <v>2.6026247339999999</v>
      </c>
      <c r="Q1985" s="2">
        <v>2.5562780890000001</v>
      </c>
      <c r="R1985" s="2">
        <v>1.2614965659999999</v>
      </c>
      <c r="S1985" s="2">
        <v>1.207732727</v>
      </c>
      <c r="T1985" s="2">
        <v>2.2764625889999999</v>
      </c>
      <c r="U1985" s="2">
        <v>2.2529845380000002</v>
      </c>
      <c r="V1985" s="2">
        <v>2.2259150060000001</v>
      </c>
      <c r="W1985" s="2">
        <v>3.8907078999999997E-2</v>
      </c>
      <c r="X1985">
        <f t="shared" si="90"/>
        <v>0</v>
      </c>
      <c r="Y1985">
        <f t="shared" si="91"/>
        <v>1</v>
      </c>
      <c r="Z1985">
        <f t="shared" si="92"/>
        <v>1</v>
      </c>
    </row>
    <row r="1986" spans="1:26" ht="15.75" customHeight="1" x14ac:dyDescent="0.2">
      <c r="A1986" s="2" t="s">
        <v>23</v>
      </c>
      <c r="B1986" s="2" t="s">
        <v>35</v>
      </c>
      <c r="C1986" s="2" t="s">
        <v>28</v>
      </c>
      <c r="D1986" s="2" t="s">
        <v>29</v>
      </c>
      <c r="E1986" s="2">
        <v>106</v>
      </c>
      <c r="F1986" s="2">
        <v>89.333333330000002</v>
      </c>
      <c r="G1986" s="2">
        <v>309.66666670000001</v>
      </c>
      <c r="H1986" s="2">
        <v>1225</v>
      </c>
      <c r="I1986" s="2">
        <v>2557.666667</v>
      </c>
      <c r="J1986" s="2">
        <v>0.64</v>
      </c>
      <c r="K1986" s="2">
        <v>3.13</v>
      </c>
      <c r="L1986" s="2">
        <v>9.7799999999999994</v>
      </c>
      <c r="M1986" s="2">
        <v>14.65</v>
      </c>
      <c r="N1986" s="2">
        <v>2.4749860969999999</v>
      </c>
      <c r="O1986" s="2">
        <v>2.2682841570000001</v>
      </c>
      <c r="P1986" s="2">
        <v>1.399847568</v>
      </c>
      <c r="Q1986" s="2">
        <v>1.416804325</v>
      </c>
      <c r="R1986" s="2">
        <v>0.885588983</v>
      </c>
      <c r="S1986" s="2">
        <v>0.93935282200000003</v>
      </c>
      <c r="T1986" s="2">
        <v>1.0841150150000001</v>
      </c>
      <c r="U1986" s="2">
        <v>1.060636964</v>
      </c>
      <c r="V1986" s="2">
        <v>7.8829457000000006E-2</v>
      </c>
      <c r="W1986" s="2">
        <v>3.6434099999999997E-2</v>
      </c>
      <c r="X1986">
        <f t="shared" si="90"/>
        <v>0</v>
      </c>
      <c r="Y1986">
        <f t="shared" si="91"/>
        <v>1</v>
      </c>
      <c r="Z1986">
        <f t="shared" si="92"/>
        <v>1</v>
      </c>
    </row>
    <row r="1987" spans="1:26" ht="15.75" customHeight="1" x14ac:dyDescent="0.2">
      <c r="A1987" s="2" t="s">
        <v>23</v>
      </c>
      <c r="B1987" s="2" t="s">
        <v>35</v>
      </c>
      <c r="C1987" s="2" t="s">
        <v>27</v>
      </c>
      <c r="D1987" s="2" t="s">
        <v>27</v>
      </c>
      <c r="E1987" s="2">
        <v>100</v>
      </c>
      <c r="F1987" s="2">
        <v>81.666666669999998</v>
      </c>
      <c r="G1987" s="2">
        <v>347.66666670000001</v>
      </c>
      <c r="H1987" s="2">
        <v>1951</v>
      </c>
      <c r="I1987" s="2">
        <v>2439.666667</v>
      </c>
      <c r="J1987" s="2">
        <v>0.54</v>
      </c>
      <c r="K1987" s="2">
        <v>3.51</v>
      </c>
      <c r="L1987" s="2">
        <v>12.84</v>
      </c>
      <c r="M1987" s="2">
        <v>14.34</v>
      </c>
      <c r="N1987" s="2">
        <v>0.124715928</v>
      </c>
      <c r="O1987" s="2">
        <v>0.158328262</v>
      </c>
      <c r="P1987" s="2">
        <v>2.0417696520000002</v>
      </c>
      <c r="Q1987" s="2">
        <v>2.0783163569999998</v>
      </c>
      <c r="R1987" s="2">
        <v>0.50434646800000005</v>
      </c>
      <c r="S1987" s="2">
        <v>0.55811030699999997</v>
      </c>
      <c r="T1987" s="2">
        <v>1.978498914</v>
      </c>
      <c r="U1987" s="2">
        <v>2.0019769649999999</v>
      </c>
      <c r="V1987" s="2">
        <v>0.460071972</v>
      </c>
      <c r="W1987" s="2">
        <v>6.5203986000000005E-2</v>
      </c>
      <c r="X1987">
        <f t="shared" ref="X1987:X2050" si="93">IF(B1987="normal",1,0)</f>
        <v>0</v>
      </c>
      <c r="Y1987">
        <f t="shared" ref="Y1987:Y2050" si="94">IF(A1987="lecture",1,0)</f>
        <v>1</v>
      </c>
      <c r="Z1987">
        <f t="shared" ref="Z1987:Z2050" si="95">IF(ISNUMBER(FIND("~",D1987)),1,0)</f>
        <v>0</v>
      </c>
    </row>
    <row r="1988" spans="1:26" ht="15.75" customHeight="1" x14ac:dyDescent="0.2">
      <c r="A1988" s="2" t="s">
        <v>23</v>
      </c>
      <c r="B1988" s="2" t="s">
        <v>35</v>
      </c>
      <c r="C1988" s="2" t="s">
        <v>26</v>
      </c>
      <c r="D1988" s="2" t="s">
        <v>26</v>
      </c>
      <c r="E1988" s="2">
        <v>95</v>
      </c>
      <c r="F1988" s="2">
        <v>90</v>
      </c>
      <c r="G1988" s="2">
        <v>357</v>
      </c>
      <c r="H1988" s="2">
        <v>733.66666669999995</v>
      </c>
      <c r="I1988" s="2">
        <v>2542.333333</v>
      </c>
      <c r="J1988" s="2">
        <v>0.65</v>
      </c>
      <c r="K1988" s="2">
        <v>3.6</v>
      </c>
      <c r="L1988" s="2">
        <v>6.77</v>
      </c>
      <c r="M1988" s="2">
        <v>14.61</v>
      </c>
      <c r="N1988" s="2">
        <v>0.57245353099999996</v>
      </c>
      <c r="O1988" s="2">
        <v>0.79942654099999999</v>
      </c>
      <c r="P1988" s="2">
        <v>4.1142300699999996</v>
      </c>
      <c r="Q1988" s="2">
        <v>4.0966431160000001</v>
      </c>
      <c r="R1988" s="2">
        <v>0.41262086999999997</v>
      </c>
      <c r="S1988" s="2">
        <v>0.46638470900000001</v>
      </c>
      <c r="T1988" s="2">
        <v>4.0934866660000004</v>
      </c>
      <c r="U1988" s="2">
        <v>4.0700086149999999</v>
      </c>
      <c r="V1988" s="2">
        <v>0.55179756999999996</v>
      </c>
      <c r="W1988" s="2">
        <v>8.6315262000000004E-2</v>
      </c>
      <c r="X1988">
        <f t="shared" si="93"/>
        <v>0</v>
      </c>
      <c r="Y1988">
        <f t="shared" si="94"/>
        <v>1</v>
      </c>
      <c r="Z1988">
        <f t="shared" si="95"/>
        <v>0</v>
      </c>
    </row>
    <row r="1989" spans="1:26" ht="15.75" customHeight="1" x14ac:dyDescent="0.2">
      <c r="A1989" s="2" t="s">
        <v>23</v>
      </c>
      <c r="B1989" s="2" t="s">
        <v>35</v>
      </c>
      <c r="C1989" s="2" t="s">
        <v>27</v>
      </c>
      <c r="D1989" s="2" t="s">
        <v>27</v>
      </c>
      <c r="E1989" s="2">
        <v>115</v>
      </c>
      <c r="F1989" s="2">
        <v>83.333333330000002</v>
      </c>
      <c r="G1989" s="2">
        <v>392.33333329999999</v>
      </c>
      <c r="H1989" s="2">
        <v>1797.666667</v>
      </c>
      <c r="I1989" s="2">
        <v>2533</v>
      </c>
      <c r="J1989" s="2">
        <v>0.56000000000000005</v>
      </c>
      <c r="K1989" s="2">
        <v>3.94</v>
      </c>
      <c r="L1989" s="2">
        <v>12.3</v>
      </c>
      <c r="M1989" s="2">
        <v>14.58</v>
      </c>
      <c r="N1989" s="2">
        <v>0.68827900900000005</v>
      </c>
      <c r="O1989" s="2">
        <v>0.56551876999999995</v>
      </c>
      <c r="P1989" s="2">
        <v>1.4320524160000001</v>
      </c>
      <c r="Q1989" s="2">
        <v>1.4591480480000001</v>
      </c>
      <c r="R1989" s="2">
        <v>7.1967570999999994E-2</v>
      </c>
      <c r="S1989" s="2">
        <v>0.12573140999999999</v>
      </c>
      <c r="T1989" s="2">
        <v>1.4302429130000001</v>
      </c>
      <c r="U1989" s="2">
        <v>1.4537209639999999</v>
      </c>
      <c r="V1989" s="2">
        <v>0.89245086900000004</v>
      </c>
      <c r="W1989" s="2">
        <v>6.1474661999999999E-2</v>
      </c>
      <c r="X1989">
        <f t="shared" si="93"/>
        <v>0</v>
      </c>
      <c r="Y1989">
        <f t="shared" si="94"/>
        <v>1</v>
      </c>
      <c r="Z1989">
        <f t="shared" si="95"/>
        <v>0</v>
      </c>
    </row>
    <row r="1990" spans="1:26" ht="15.75" customHeight="1" x14ac:dyDescent="0.2">
      <c r="A1990" s="2" t="s">
        <v>23</v>
      </c>
      <c r="B1990" s="2" t="s">
        <v>35</v>
      </c>
      <c r="C1990" s="2" t="s">
        <v>27</v>
      </c>
      <c r="D1990" s="2" t="s">
        <v>27</v>
      </c>
      <c r="E1990" s="2">
        <v>96</v>
      </c>
      <c r="F1990" s="2">
        <v>86</v>
      </c>
      <c r="G1990" s="2">
        <v>351.33333329999999</v>
      </c>
      <c r="H1990" s="2">
        <v>1994.333333</v>
      </c>
      <c r="I1990" s="2">
        <v>2553.666667</v>
      </c>
      <c r="J1990" s="2">
        <v>0.6</v>
      </c>
      <c r="K1990" s="2">
        <v>3.55</v>
      </c>
      <c r="L1990" s="2">
        <v>12.99</v>
      </c>
      <c r="M1990" s="2">
        <v>14.64</v>
      </c>
      <c r="N1990" s="2">
        <v>0.26804541599999998</v>
      </c>
      <c r="O1990" s="2">
        <v>0.30385468799999998</v>
      </c>
      <c r="P1990" s="2">
        <v>2.176690513</v>
      </c>
      <c r="Q1990" s="2">
        <v>2.211693135</v>
      </c>
      <c r="R1990" s="2">
        <v>0.46822306499999999</v>
      </c>
      <c r="S1990" s="2">
        <v>0.52198690400000003</v>
      </c>
      <c r="T1990" s="2">
        <v>2.1257348739999999</v>
      </c>
      <c r="U1990" s="2">
        <v>2.149212924</v>
      </c>
      <c r="V1990" s="2">
        <v>0.49619537499999999</v>
      </c>
      <c r="W1990" s="2">
        <v>7.7773791999999994E-2</v>
      </c>
      <c r="X1990">
        <f t="shared" si="93"/>
        <v>0</v>
      </c>
      <c r="Y1990">
        <f t="shared" si="94"/>
        <v>1</v>
      </c>
      <c r="Z1990">
        <f t="shared" si="95"/>
        <v>0</v>
      </c>
    </row>
    <row r="1991" spans="1:26" ht="15.75" customHeight="1" x14ac:dyDescent="0.2">
      <c r="A1991" s="2" t="s">
        <v>23</v>
      </c>
      <c r="B1991" s="2" t="s">
        <v>35</v>
      </c>
      <c r="C1991" s="2" t="s">
        <v>32</v>
      </c>
      <c r="D1991" s="2" t="s">
        <v>33</v>
      </c>
      <c r="E1991" s="2">
        <v>98</v>
      </c>
      <c r="F1991" s="2">
        <v>85.333333330000002</v>
      </c>
      <c r="G1991" s="2">
        <v>599.33333330000005</v>
      </c>
      <c r="H1991" s="2">
        <v>908</v>
      </c>
      <c r="I1991" s="2">
        <v>2526</v>
      </c>
      <c r="J1991" s="2">
        <v>0.59</v>
      </c>
      <c r="K1991" s="2">
        <v>5.75</v>
      </c>
      <c r="L1991" s="2">
        <v>7.96</v>
      </c>
      <c r="M1991" s="2">
        <v>14.57</v>
      </c>
      <c r="N1991" s="2">
        <v>2.6285981430000001</v>
      </c>
      <c r="O1991" s="2">
        <v>2.5410930779999998</v>
      </c>
      <c r="P1991" s="2">
        <v>3.3858709039999999</v>
      </c>
      <c r="Q1991" s="2">
        <v>3.3383368450000002</v>
      </c>
      <c r="R1991" s="2">
        <v>1.734780148</v>
      </c>
      <c r="S1991" s="2">
        <v>1.6810163090000001</v>
      </c>
      <c r="T1991" s="2">
        <v>2.9076897389999998</v>
      </c>
      <c r="U1991" s="2">
        <v>2.8842116880000002</v>
      </c>
      <c r="V1991" s="2">
        <v>2.6991985870000001</v>
      </c>
      <c r="W1991" s="2">
        <v>6.8486862999999995E-2</v>
      </c>
      <c r="X1991">
        <f t="shared" si="93"/>
        <v>0</v>
      </c>
      <c r="Y1991">
        <f t="shared" si="94"/>
        <v>1</v>
      </c>
      <c r="Z1991">
        <f t="shared" si="95"/>
        <v>1</v>
      </c>
    </row>
    <row r="1992" spans="1:26" ht="15.75" customHeight="1" x14ac:dyDescent="0.2">
      <c r="A1992" s="2" t="s">
        <v>23</v>
      </c>
      <c r="B1992" s="2" t="s">
        <v>35</v>
      </c>
      <c r="C1992" s="2" t="s">
        <v>28</v>
      </c>
      <c r="D1992" s="2" t="s">
        <v>29</v>
      </c>
      <c r="E1992" s="2">
        <v>127</v>
      </c>
      <c r="F1992" s="2">
        <v>104.66666669999999</v>
      </c>
      <c r="G1992" s="2">
        <v>375.66666670000001</v>
      </c>
      <c r="H1992" s="2">
        <v>1757</v>
      </c>
      <c r="I1992" s="2">
        <v>2511</v>
      </c>
      <c r="J1992" s="2">
        <v>0.83</v>
      </c>
      <c r="K1992" s="2">
        <v>3.78</v>
      </c>
      <c r="L1992" s="2">
        <v>12.14</v>
      </c>
      <c r="M1992" s="2">
        <v>14.53</v>
      </c>
      <c r="N1992" s="2">
        <v>4.8206192410000002</v>
      </c>
      <c r="O1992" s="2">
        <v>4.5744103459999996</v>
      </c>
      <c r="P1992" s="2">
        <v>1.2980334069999999</v>
      </c>
      <c r="Q1992" s="2">
        <v>1.3316101460000001</v>
      </c>
      <c r="R1992" s="2">
        <v>0.23136888899999999</v>
      </c>
      <c r="S1992" s="2">
        <v>0.285132728</v>
      </c>
      <c r="T1992" s="2">
        <v>1.277246712</v>
      </c>
      <c r="U1992" s="2">
        <v>1.300724762</v>
      </c>
      <c r="V1992" s="2">
        <v>0.73304955000000005</v>
      </c>
      <c r="W1992" s="2">
        <v>6.1213021999999999E-2</v>
      </c>
      <c r="X1992">
        <f t="shared" si="93"/>
        <v>0</v>
      </c>
      <c r="Y1992">
        <f t="shared" si="94"/>
        <v>1</v>
      </c>
      <c r="Z1992">
        <f t="shared" si="95"/>
        <v>1</v>
      </c>
    </row>
    <row r="1993" spans="1:26" ht="15.75" customHeight="1" x14ac:dyDescent="0.2">
      <c r="A1993" s="2" t="s">
        <v>23</v>
      </c>
      <c r="B1993" s="2" t="s">
        <v>35</v>
      </c>
      <c r="C1993" s="2" t="s">
        <v>26</v>
      </c>
      <c r="D1993" s="2" t="s">
        <v>26</v>
      </c>
      <c r="E1993" s="2">
        <v>174</v>
      </c>
      <c r="F1993" s="2">
        <v>93.333333330000002</v>
      </c>
      <c r="G1993" s="2">
        <v>335.33333329999999</v>
      </c>
      <c r="H1993" s="2">
        <v>820</v>
      </c>
      <c r="I1993" s="2">
        <v>2524</v>
      </c>
      <c r="J1993" s="2">
        <v>0.69</v>
      </c>
      <c r="K1993" s="2">
        <v>3.39</v>
      </c>
      <c r="L1993" s="2">
        <v>7.38</v>
      </c>
      <c r="M1993" s="2">
        <v>14.56</v>
      </c>
      <c r="N1993" s="2">
        <v>0.10418614299999999</v>
      </c>
      <c r="O1993" s="2">
        <v>0.31490056700000002</v>
      </c>
      <c r="P1993" s="2">
        <v>3.5435263969999999</v>
      </c>
      <c r="Q1993" s="2">
        <v>3.5303882710000001</v>
      </c>
      <c r="R1993" s="2">
        <v>0.62669943800000005</v>
      </c>
      <c r="S1993" s="2">
        <v>0.68046327600000001</v>
      </c>
      <c r="T1993" s="2">
        <v>3.4876678650000001</v>
      </c>
      <c r="U1993" s="2">
        <v>3.4641898150000001</v>
      </c>
      <c r="V1993" s="2">
        <v>0.33771900199999999</v>
      </c>
      <c r="W1993" s="2">
        <v>8.197923E-2</v>
      </c>
      <c r="X1993">
        <f t="shared" si="93"/>
        <v>0</v>
      </c>
      <c r="Y1993">
        <f t="shared" si="94"/>
        <v>1</v>
      </c>
      <c r="Z1993">
        <f t="shared" si="95"/>
        <v>0</v>
      </c>
    </row>
    <row r="1994" spans="1:26" ht="15.75" customHeight="1" x14ac:dyDescent="0.2">
      <c r="A1994" s="2" t="s">
        <v>23</v>
      </c>
      <c r="B1994" s="2" t="s">
        <v>35</v>
      </c>
      <c r="C1994" s="2" t="s">
        <v>30</v>
      </c>
      <c r="D1994" s="2" t="s">
        <v>31</v>
      </c>
      <c r="E1994" s="2">
        <v>145</v>
      </c>
      <c r="F1994" s="2">
        <v>98</v>
      </c>
      <c r="G1994" s="2">
        <v>553</v>
      </c>
      <c r="H1994" s="2">
        <v>1135.333333</v>
      </c>
      <c r="I1994" s="2">
        <v>2167.333333</v>
      </c>
      <c r="J1994" s="2">
        <v>0.75</v>
      </c>
      <c r="K1994" s="2">
        <v>5.37</v>
      </c>
      <c r="L1994" s="2">
        <v>9.3000000000000007</v>
      </c>
      <c r="M1994" s="2">
        <v>13.55</v>
      </c>
      <c r="N1994" s="2">
        <v>3.9582252449999999</v>
      </c>
      <c r="O1994" s="2">
        <v>3.8500831020000001</v>
      </c>
      <c r="P1994" s="2">
        <v>2.0686578369999999</v>
      </c>
      <c r="Q1994" s="2">
        <v>2.0158391330000001</v>
      </c>
      <c r="R1994" s="2">
        <v>1.3562268019999999</v>
      </c>
      <c r="S1994" s="2">
        <v>1.302462963</v>
      </c>
      <c r="T1994" s="2">
        <v>1.5620480489999999</v>
      </c>
      <c r="U1994" s="2">
        <v>1.538569998</v>
      </c>
      <c r="V1994" s="2">
        <v>2.3206452409999998</v>
      </c>
      <c r="W1994" s="2">
        <v>6.0226455999999998E-2</v>
      </c>
      <c r="X1994">
        <f t="shared" si="93"/>
        <v>0</v>
      </c>
      <c r="Y1994">
        <f t="shared" si="94"/>
        <v>1</v>
      </c>
      <c r="Z1994">
        <f t="shared" si="95"/>
        <v>1</v>
      </c>
    </row>
    <row r="1995" spans="1:26" ht="15.75" customHeight="1" x14ac:dyDescent="0.2">
      <c r="A1995" s="2" t="s">
        <v>23</v>
      </c>
      <c r="B1995" s="2" t="s">
        <v>35</v>
      </c>
      <c r="C1995" s="2" t="s">
        <v>27</v>
      </c>
      <c r="D1995" s="2" t="s">
        <v>27</v>
      </c>
      <c r="E1995" s="2">
        <v>90</v>
      </c>
      <c r="F1995" s="2">
        <v>105.33333330000001</v>
      </c>
      <c r="G1995" s="2">
        <v>330.33333329999999</v>
      </c>
      <c r="H1995" s="2">
        <v>1955.333333</v>
      </c>
      <c r="I1995" s="2">
        <v>2468.333333</v>
      </c>
      <c r="J1995" s="2">
        <v>0.84</v>
      </c>
      <c r="K1995" s="2">
        <v>3.34</v>
      </c>
      <c r="L1995" s="2">
        <v>12.86</v>
      </c>
      <c r="M1995" s="2">
        <v>14.41</v>
      </c>
      <c r="N1995" s="2">
        <v>0.13945291800000001</v>
      </c>
      <c r="O1995" s="2">
        <v>0.261010509</v>
      </c>
      <c r="P1995" s="2">
        <v>2.1050921429999998</v>
      </c>
      <c r="Q1995" s="2">
        <v>2.1450447760000002</v>
      </c>
      <c r="R1995" s="2">
        <v>0.67667738700000002</v>
      </c>
      <c r="S1995" s="2">
        <v>0.73044122600000005</v>
      </c>
      <c r="T1995" s="2">
        <v>1.9933691689999999</v>
      </c>
      <c r="U1995" s="2">
        <v>2.0168472199999998</v>
      </c>
      <c r="V1995" s="2">
        <v>0.28774105300000002</v>
      </c>
      <c r="W1995" s="2">
        <v>4.8896990000000001E-2</v>
      </c>
      <c r="X1995">
        <f t="shared" si="93"/>
        <v>0</v>
      </c>
      <c r="Y1995">
        <f t="shared" si="94"/>
        <v>1</v>
      </c>
      <c r="Z1995">
        <f t="shared" si="95"/>
        <v>0</v>
      </c>
    </row>
    <row r="1996" spans="1:26" ht="15.75" customHeight="1" x14ac:dyDescent="0.2">
      <c r="A1996" s="2" t="s">
        <v>23</v>
      </c>
      <c r="B1996" s="2" t="s">
        <v>35</v>
      </c>
      <c r="C1996" s="2" t="s">
        <v>30</v>
      </c>
      <c r="D1996" s="2" t="s">
        <v>31</v>
      </c>
      <c r="E1996" s="2">
        <v>101</v>
      </c>
      <c r="F1996" s="2">
        <v>88</v>
      </c>
      <c r="G1996" s="2">
        <v>553</v>
      </c>
      <c r="H1996" s="2">
        <v>1081</v>
      </c>
      <c r="I1996" s="2">
        <v>2358.333333</v>
      </c>
      <c r="J1996" s="2">
        <v>0.62</v>
      </c>
      <c r="K1996" s="2">
        <v>5.37</v>
      </c>
      <c r="L1996" s="2">
        <v>9</v>
      </c>
      <c r="M1996" s="2">
        <v>14.11</v>
      </c>
      <c r="N1996" s="2">
        <v>4.2250636269999999</v>
      </c>
      <c r="O1996" s="2">
        <v>4.1192319639999999</v>
      </c>
      <c r="P1996" s="2">
        <v>2.3062814999999999</v>
      </c>
      <c r="Q1996" s="2">
        <v>2.2558710030000002</v>
      </c>
      <c r="R1996" s="2">
        <v>1.3562268019999999</v>
      </c>
      <c r="S1996" s="2">
        <v>1.302462963</v>
      </c>
      <c r="T1996" s="2">
        <v>1.8653640979999999</v>
      </c>
      <c r="U1996" s="2">
        <v>1.8418860480000001</v>
      </c>
      <c r="V1996" s="2">
        <v>2.3206452409999998</v>
      </c>
      <c r="W1996" s="2">
        <v>5.8948856000000001E-2</v>
      </c>
      <c r="X1996">
        <f t="shared" si="93"/>
        <v>0</v>
      </c>
      <c r="Y1996">
        <f t="shared" si="94"/>
        <v>1</v>
      </c>
      <c r="Z1996">
        <f t="shared" si="95"/>
        <v>1</v>
      </c>
    </row>
    <row r="1997" spans="1:26" ht="15.75" customHeight="1" x14ac:dyDescent="0.2">
      <c r="A1997" s="2" t="s">
        <v>23</v>
      </c>
      <c r="B1997" s="2" t="s">
        <v>35</v>
      </c>
      <c r="C1997" s="2" t="s">
        <v>26</v>
      </c>
      <c r="D1997" s="2" t="s">
        <v>26</v>
      </c>
      <c r="E1997" s="2">
        <v>90</v>
      </c>
      <c r="F1997" s="2">
        <v>112.66666669999999</v>
      </c>
      <c r="G1997" s="2">
        <v>347</v>
      </c>
      <c r="H1997" s="2">
        <v>914</v>
      </c>
      <c r="I1997" s="2">
        <v>2488.666667</v>
      </c>
      <c r="J1997" s="2">
        <v>0.93</v>
      </c>
      <c r="K1997" s="2">
        <v>3.5</v>
      </c>
      <c r="L1997" s="2">
        <v>8</v>
      </c>
      <c r="M1997" s="2">
        <v>14.47</v>
      </c>
      <c r="N1997" s="2">
        <v>0.66484416000000002</v>
      </c>
      <c r="O1997" s="2">
        <v>0.44573944500000001</v>
      </c>
      <c r="P1997" s="2">
        <v>2.9145715079999999</v>
      </c>
      <c r="Q1997" s="2">
        <v>2.901442732</v>
      </c>
      <c r="R1997" s="2">
        <v>0.51092669599999996</v>
      </c>
      <c r="S1997" s="2">
        <v>0.56469053499999999</v>
      </c>
      <c r="T1997" s="2">
        <v>2.869439141</v>
      </c>
      <c r="U1997" s="2">
        <v>2.8459610909999999</v>
      </c>
      <c r="V1997" s="2">
        <v>0.453491743</v>
      </c>
      <c r="W1997" s="2">
        <v>8.221821E-2</v>
      </c>
      <c r="X1997">
        <f t="shared" si="93"/>
        <v>0</v>
      </c>
      <c r="Y1997">
        <f t="shared" si="94"/>
        <v>1</v>
      </c>
      <c r="Z1997">
        <f t="shared" si="95"/>
        <v>0</v>
      </c>
    </row>
    <row r="1998" spans="1:26" ht="15.75" customHeight="1" x14ac:dyDescent="0.2">
      <c r="A1998" s="2" t="s">
        <v>23</v>
      </c>
      <c r="B1998" s="2" t="s">
        <v>35</v>
      </c>
      <c r="C1998" s="2" t="s">
        <v>26</v>
      </c>
      <c r="D1998" s="2" t="s">
        <v>26</v>
      </c>
      <c r="E1998" s="2">
        <v>90</v>
      </c>
      <c r="F1998" s="2">
        <v>87</v>
      </c>
      <c r="G1998" s="2">
        <v>338.33333329999999</v>
      </c>
      <c r="H1998" s="2">
        <v>840.33333330000005</v>
      </c>
      <c r="I1998" s="2">
        <v>2747.666667</v>
      </c>
      <c r="J1998" s="2">
        <v>0.61</v>
      </c>
      <c r="K1998" s="2">
        <v>3.42</v>
      </c>
      <c r="L1998" s="2">
        <v>7.52</v>
      </c>
      <c r="M1998" s="2">
        <v>15.12</v>
      </c>
      <c r="N1998" s="2">
        <v>0.19415718100000001</v>
      </c>
      <c r="O1998" s="2">
        <v>0.22600562399999999</v>
      </c>
      <c r="P1998" s="2">
        <v>3.403160578</v>
      </c>
      <c r="Q1998" s="2">
        <v>3.3899550729999999</v>
      </c>
      <c r="R1998" s="2">
        <v>0.59681704499999999</v>
      </c>
      <c r="S1998" s="2">
        <v>0.65058088400000003</v>
      </c>
      <c r="T1998" s="2">
        <v>3.3504195760000002</v>
      </c>
      <c r="U1998" s="2">
        <v>3.3269415250000001</v>
      </c>
      <c r="V1998" s="2">
        <v>0.36760139400000003</v>
      </c>
      <c r="W1998" s="2">
        <v>8.0609106999999999E-2</v>
      </c>
      <c r="X1998">
        <f t="shared" si="93"/>
        <v>0</v>
      </c>
      <c r="Y1998">
        <f t="shared" si="94"/>
        <v>1</v>
      </c>
      <c r="Z1998">
        <f t="shared" si="95"/>
        <v>0</v>
      </c>
    </row>
    <row r="1999" spans="1:26" ht="15.75" customHeight="1" x14ac:dyDescent="0.2">
      <c r="A1999" s="2" t="s">
        <v>23</v>
      </c>
      <c r="B1999" s="2" t="s">
        <v>35</v>
      </c>
      <c r="C1999" s="2" t="s">
        <v>26</v>
      </c>
      <c r="D1999" s="2" t="s">
        <v>26</v>
      </c>
      <c r="E1999" s="2">
        <v>105</v>
      </c>
      <c r="F1999" s="2">
        <v>101.33333330000001</v>
      </c>
      <c r="G1999" s="2">
        <v>350</v>
      </c>
      <c r="H1999" s="2">
        <v>591.33333330000005</v>
      </c>
      <c r="I1999" s="2">
        <v>2777.666667</v>
      </c>
      <c r="J1999" s="2">
        <v>0.79</v>
      </c>
      <c r="K1999" s="2">
        <v>3.53</v>
      </c>
      <c r="L1999" s="2">
        <v>5.68</v>
      </c>
      <c r="M1999" s="2">
        <v>15.19</v>
      </c>
      <c r="N1999" s="2">
        <v>1.6487005960000001</v>
      </c>
      <c r="O1999" s="2">
        <v>1.889806713</v>
      </c>
      <c r="P1999" s="2">
        <v>5.2040947319999997</v>
      </c>
      <c r="Q1999" s="2">
        <v>5.1859893210000001</v>
      </c>
      <c r="R1999" s="2">
        <v>0.48134557900000002</v>
      </c>
      <c r="S1999" s="2">
        <v>0.535109418</v>
      </c>
      <c r="T1999" s="2">
        <v>5.1817862180000001</v>
      </c>
      <c r="U1999" s="2">
        <v>5.1583081670000004</v>
      </c>
      <c r="V1999" s="2">
        <v>0.48307285999999999</v>
      </c>
      <c r="W1999" s="2">
        <v>5.2306208E-2</v>
      </c>
      <c r="X1999">
        <f t="shared" si="93"/>
        <v>0</v>
      </c>
      <c r="Y1999">
        <f t="shared" si="94"/>
        <v>1</v>
      </c>
      <c r="Z1999">
        <f t="shared" si="95"/>
        <v>0</v>
      </c>
    </row>
    <row r="2000" spans="1:26" ht="15.75" customHeight="1" x14ac:dyDescent="0.2">
      <c r="A2000" s="2" t="s">
        <v>23</v>
      </c>
      <c r="B2000" s="2" t="s">
        <v>35</v>
      </c>
      <c r="C2000" s="2" t="s">
        <v>25</v>
      </c>
      <c r="D2000" s="2" t="s">
        <v>25</v>
      </c>
      <c r="E2000" s="2">
        <v>199</v>
      </c>
      <c r="F2000" s="2">
        <v>82.666666669999998</v>
      </c>
      <c r="G2000" s="2">
        <v>629.66666669999995</v>
      </c>
      <c r="H2000" s="2">
        <v>1338.333333</v>
      </c>
      <c r="I2000" s="2">
        <v>2325</v>
      </c>
      <c r="J2000" s="2">
        <v>0.56000000000000005</v>
      </c>
      <c r="K2000" s="2">
        <v>5.99</v>
      </c>
      <c r="L2000" s="2">
        <v>10.35</v>
      </c>
      <c r="M2000" s="2">
        <v>14.02</v>
      </c>
      <c r="N2000" s="2">
        <v>0.23719304099999999</v>
      </c>
      <c r="O2000" s="2">
        <v>0.143758625</v>
      </c>
      <c r="P2000" s="2">
        <v>2.041865552</v>
      </c>
      <c r="Q2000" s="2">
        <v>1.9839288749999999</v>
      </c>
      <c r="R2000" s="2">
        <v>1.975273072</v>
      </c>
      <c r="S2000" s="2">
        <v>1.9215092330000001</v>
      </c>
      <c r="T2000" s="2">
        <v>0.51721487099999996</v>
      </c>
      <c r="U2000" s="2">
        <v>0.49373682099999999</v>
      </c>
      <c r="V2000" s="2">
        <v>2.939691512</v>
      </c>
      <c r="W2000" s="2">
        <v>4.8435763999999999E-2</v>
      </c>
      <c r="X2000">
        <f t="shared" si="93"/>
        <v>0</v>
      </c>
      <c r="Y2000">
        <f t="shared" si="94"/>
        <v>1</v>
      </c>
      <c r="Z2000">
        <f t="shared" si="95"/>
        <v>0</v>
      </c>
    </row>
    <row r="2001" spans="1:26" ht="15.75" customHeight="1" x14ac:dyDescent="0.2">
      <c r="A2001" s="2" t="s">
        <v>23</v>
      </c>
      <c r="B2001" s="2" t="s">
        <v>35</v>
      </c>
      <c r="C2001" s="2" t="s">
        <v>25</v>
      </c>
      <c r="D2001" s="2" t="s">
        <v>25</v>
      </c>
      <c r="E2001" s="2">
        <v>98</v>
      </c>
      <c r="F2001" s="2">
        <v>106.66666669999999</v>
      </c>
      <c r="G2001" s="2">
        <v>612.33333330000005</v>
      </c>
      <c r="H2001" s="2">
        <v>1419.333333</v>
      </c>
      <c r="I2001" s="2">
        <v>2468.666667</v>
      </c>
      <c r="J2001" s="2">
        <v>0.85</v>
      </c>
      <c r="K2001" s="2">
        <v>5.85</v>
      </c>
      <c r="L2001" s="2">
        <v>10.73</v>
      </c>
      <c r="M2001" s="2">
        <v>14.41</v>
      </c>
      <c r="N2001" s="2">
        <v>0.28662758799999999</v>
      </c>
      <c r="O2001" s="2">
        <v>0.26490191800000001</v>
      </c>
      <c r="P2001" s="2">
        <v>1.8435182590000001</v>
      </c>
      <c r="Q2001" s="2">
        <v>1.7882817660000001</v>
      </c>
      <c r="R2001" s="2">
        <v>1.8385430570000001</v>
      </c>
      <c r="S2001" s="2">
        <v>1.7847792179999999</v>
      </c>
      <c r="T2001" s="2">
        <v>0.13534769699999999</v>
      </c>
      <c r="U2001" s="2">
        <v>0.111869646</v>
      </c>
      <c r="V2001" s="2">
        <v>2.8029614970000001</v>
      </c>
      <c r="W2001" s="2">
        <v>4.8414495000000002E-2</v>
      </c>
      <c r="X2001">
        <f t="shared" si="93"/>
        <v>0</v>
      </c>
      <c r="Y2001">
        <f t="shared" si="94"/>
        <v>1</v>
      </c>
      <c r="Z2001">
        <f t="shared" si="95"/>
        <v>0</v>
      </c>
    </row>
    <row r="2002" spans="1:26" ht="15.75" customHeight="1" x14ac:dyDescent="0.2">
      <c r="A2002" s="2" t="s">
        <v>23</v>
      </c>
      <c r="B2002" s="2" t="s">
        <v>35</v>
      </c>
      <c r="C2002" s="2" t="s">
        <v>25</v>
      </c>
      <c r="D2002" s="2" t="s">
        <v>25</v>
      </c>
      <c r="E2002" s="2">
        <v>199</v>
      </c>
      <c r="F2002" s="2">
        <v>89</v>
      </c>
      <c r="G2002" s="2">
        <v>701.33333330000005</v>
      </c>
      <c r="H2002" s="2">
        <v>1422.666667</v>
      </c>
      <c r="I2002" s="2">
        <v>2420</v>
      </c>
      <c r="J2002" s="2">
        <v>0.63</v>
      </c>
      <c r="K2002" s="2">
        <v>6.54</v>
      </c>
      <c r="L2002" s="2">
        <v>10.75</v>
      </c>
      <c r="M2002" s="2">
        <v>14.28</v>
      </c>
      <c r="N2002" s="2">
        <v>0.484199938</v>
      </c>
      <c r="O2002" s="2">
        <v>0.62637877500000005</v>
      </c>
      <c r="P2002" s="2">
        <v>2.5245483169999998</v>
      </c>
      <c r="Q2002" s="2">
        <v>2.4698174480000001</v>
      </c>
      <c r="R2002" s="2">
        <v>2.5216935290000002</v>
      </c>
      <c r="S2002" s="2">
        <v>2.4679296900000001</v>
      </c>
      <c r="T2002" s="2">
        <v>0.120024781</v>
      </c>
      <c r="U2002" s="2">
        <v>9.6546730999999997E-2</v>
      </c>
      <c r="V2002" s="2">
        <v>3.486111969</v>
      </c>
      <c r="W2002" s="2">
        <v>7.9502257000000007E-2</v>
      </c>
      <c r="X2002">
        <f t="shared" si="93"/>
        <v>0</v>
      </c>
      <c r="Y2002">
        <f t="shared" si="94"/>
        <v>1</v>
      </c>
      <c r="Z2002">
        <f t="shared" si="95"/>
        <v>0</v>
      </c>
    </row>
    <row r="2003" spans="1:26" ht="15.75" customHeight="1" x14ac:dyDescent="0.2">
      <c r="A2003" s="2" t="s">
        <v>23</v>
      </c>
      <c r="B2003" s="2" t="s">
        <v>35</v>
      </c>
      <c r="C2003" s="2" t="s">
        <v>28</v>
      </c>
      <c r="D2003" s="2" t="s">
        <v>29</v>
      </c>
      <c r="E2003" s="2">
        <v>110</v>
      </c>
      <c r="F2003" s="2">
        <v>120.33333330000001</v>
      </c>
      <c r="G2003" s="2">
        <v>496.66666670000001</v>
      </c>
      <c r="H2003" s="2">
        <v>2096</v>
      </c>
      <c r="I2003" s="2">
        <v>2586.666667</v>
      </c>
      <c r="J2003" s="2">
        <v>1.02</v>
      </c>
      <c r="K2003" s="2">
        <v>4.8899999999999997</v>
      </c>
      <c r="L2003" s="2">
        <v>13.32</v>
      </c>
      <c r="M2003" s="2">
        <v>14.72</v>
      </c>
      <c r="N2003" s="2">
        <v>6.1563876710000001</v>
      </c>
      <c r="O2003" s="2">
        <v>5.8888182310000001</v>
      </c>
      <c r="P2003" s="2">
        <v>2.6104562790000001</v>
      </c>
      <c r="Q2003" s="2">
        <v>2.6151686500000002</v>
      </c>
      <c r="R2003" s="2">
        <v>0.87673673600000002</v>
      </c>
      <c r="S2003" s="2">
        <v>0.82297289699999998</v>
      </c>
      <c r="T2003" s="2">
        <v>2.4588238410000001</v>
      </c>
      <c r="U2003" s="2">
        <v>2.4823018920000002</v>
      </c>
      <c r="V2003" s="2">
        <v>1.841155176</v>
      </c>
      <c r="W2003" s="2">
        <v>8.3761709000000004E-2</v>
      </c>
      <c r="X2003">
        <f t="shared" si="93"/>
        <v>0</v>
      </c>
      <c r="Y2003">
        <f t="shared" si="94"/>
        <v>1</v>
      </c>
      <c r="Z2003">
        <f t="shared" si="95"/>
        <v>1</v>
      </c>
    </row>
    <row r="2004" spans="1:26" ht="15.75" customHeight="1" x14ac:dyDescent="0.2">
      <c r="A2004" s="2" t="s">
        <v>23</v>
      </c>
      <c r="B2004" s="2" t="s">
        <v>35</v>
      </c>
      <c r="C2004" s="2" t="s">
        <v>30</v>
      </c>
      <c r="D2004" s="2" t="s">
        <v>31</v>
      </c>
      <c r="E2004" s="2">
        <v>81</v>
      </c>
      <c r="F2004" s="2">
        <v>92.666666669999998</v>
      </c>
      <c r="G2004" s="2">
        <v>542.33333330000005</v>
      </c>
      <c r="H2004" s="2">
        <v>1139.666667</v>
      </c>
      <c r="I2004" s="2">
        <v>2149.666667</v>
      </c>
      <c r="J2004" s="2">
        <v>0.68</v>
      </c>
      <c r="K2004" s="2">
        <v>5.28</v>
      </c>
      <c r="L2004" s="2">
        <v>9.33</v>
      </c>
      <c r="M2004" s="2">
        <v>13.49</v>
      </c>
      <c r="N2004" s="2">
        <v>3.8943329609999999</v>
      </c>
      <c r="O2004" s="2">
        <v>3.7873111019999999</v>
      </c>
      <c r="P2004" s="2">
        <v>1.9929719210000001</v>
      </c>
      <c r="Q2004" s="2">
        <v>1.940849823</v>
      </c>
      <c r="R2004" s="2">
        <v>1.267092686</v>
      </c>
      <c r="S2004" s="2">
        <v>1.2133288470000001</v>
      </c>
      <c r="T2004" s="2">
        <v>1.538315053</v>
      </c>
      <c r="U2004" s="2">
        <v>1.514837003</v>
      </c>
      <c r="V2004" s="2">
        <v>2.231511126</v>
      </c>
      <c r="W2004" s="2">
        <v>6.7615660999999994E-2</v>
      </c>
      <c r="X2004">
        <f t="shared" si="93"/>
        <v>0</v>
      </c>
      <c r="Y2004">
        <f t="shared" si="94"/>
        <v>1</v>
      </c>
      <c r="Z2004">
        <f t="shared" si="95"/>
        <v>1</v>
      </c>
    </row>
    <row r="2005" spans="1:26" ht="15.75" customHeight="1" x14ac:dyDescent="0.2">
      <c r="A2005" s="2" t="s">
        <v>23</v>
      </c>
      <c r="B2005" s="2" t="s">
        <v>35</v>
      </c>
      <c r="C2005" s="2" t="s">
        <v>32</v>
      </c>
      <c r="D2005" s="2" t="s">
        <v>33</v>
      </c>
      <c r="E2005" s="2">
        <v>130</v>
      </c>
      <c r="F2005" s="2">
        <v>97.333333330000002</v>
      </c>
      <c r="G2005" s="2">
        <v>538.33333330000005</v>
      </c>
      <c r="H2005" s="2">
        <v>1407.333333</v>
      </c>
      <c r="I2005" s="2">
        <v>2773.333333</v>
      </c>
      <c r="J2005" s="2">
        <v>0.74</v>
      </c>
      <c r="K2005" s="2">
        <v>5.25</v>
      </c>
      <c r="L2005" s="2">
        <v>10.67</v>
      </c>
      <c r="M2005" s="2">
        <v>15.18</v>
      </c>
      <c r="N2005" s="2">
        <v>0.84626258600000004</v>
      </c>
      <c r="O2005" s="2">
        <v>0.73989772499999995</v>
      </c>
      <c r="P2005" s="2">
        <v>1.2481350179999999</v>
      </c>
      <c r="Q2005" s="2">
        <v>1.191508746</v>
      </c>
      <c r="R2005" s="2">
        <v>1.233471167</v>
      </c>
      <c r="S2005" s="2">
        <v>1.1797073280000001</v>
      </c>
      <c r="T2005" s="2">
        <v>0.19076137600000001</v>
      </c>
      <c r="U2005" s="2">
        <v>0.16728332500000001</v>
      </c>
      <c r="V2005" s="2">
        <v>2.197889607</v>
      </c>
      <c r="W2005" s="2">
        <v>6.2135693999999998E-2</v>
      </c>
      <c r="X2005">
        <f t="shared" si="93"/>
        <v>0</v>
      </c>
      <c r="Y2005">
        <f t="shared" si="94"/>
        <v>1</v>
      </c>
      <c r="Z2005">
        <f t="shared" si="95"/>
        <v>1</v>
      </c>
    </row>
    <row r="2006" spans="1:26" ht="15.75" customHeight="1" x14ac:dyDescent="0.2">
      <c r="A2006" s="2" t="s">
        <v>23</v>
      </c>
      <c r="B2006" s="2" t="s">
        <v>35</v>
      </c>
      <c r="C2006" s="2" t="s">
        <v>26</v>
      </c>
      <c r="D2006" s="2" t="s">
        <v>26</v>
      </c>
      <c r="E2006" s="2">
        <v>88</v>
      </c>
      <c r="F2006" s="2">
        <v>86.666666669999998</v>
      </c>
      <c r="G2006" s="2">
        <v>352</v>
      </c>
      <c r="H2006" s="2">
        <v>989</v>
      </c>
      <c r="I2006" s="2">
        <v>2711.666667</v>
      </c>
      <c r="J2006" s="2">
        <v>0.61</v>
      </c>
      <c r="K2006" s="2">
        <v>3.55</v>
      </c>
      <c r="L2006" s="2">
        <v>8.4600000000000009</v>
      </c>
      <c r="M2006" s="2">
        <v>15.03</v>
      </c>
      <c r="N2006" s="2">
        <v>1.131737531</v>
      </c>
      <c r="O2006" s="2">
        <v>0.89432637500000001</v>
      </c>
      <c r="P2006" s="2">
        <v>2.4483599009999999</v>
      </c>
      <c r="Q2006" s="2">
        <v>2.4361130719999999</v>
      </c>
      <c r="R2006" s="2">
        <v>0.46166748400000002</v>
      </c>
      <c r="S2006" s="2">
        <v>0.51543132300000005</v>
      </c>
      <c r="T2006" s="2">
        <v>2.4044395060000001</v>
      </c>
      <c r="U2006" s="2">
        <v>2.380961455</v>
      </c>
      <c r="V2006" s="2">
        <v>0.50275095599999997</v>
      </c>
      <c r="W2006" s="2">
        <v>4.7787384000000002E-2</v>
      </c>
      <c r="X2006">
        <f t="shared" si="93"/>
        <v>0</v>
      </c>
      <c r="Y2006">
        <f t="shared" si="94"/>
        <v>1</v>
      </c>
      <c r="Z2006">
        <f t="shared" si="95"/>
        <v>0</v>
      </c>
    </row>
    <row r="2007" spans="1:26" ht="15.75" customHeight="1" x14ac:dyDescent="0.2">
      <c r="A2007" s="2" t="s">
        <v>23</v>
      </c>
      <c r="B2007" s="2" t="s">
        <v>35</v>
      </c>
      <c r="C2007" s="2" t="s">
        <v>32</v>
      </c>
      <c r="D2007" s="2" t="s">
        <v>33</v>
      </c>
      <c r="E2007" s="2">
        <v>118</v>
      </c>
      <c r="F2007" s="2">
        <v>91</v>
      </c>
      <c r="G2007" s="2">
        <v>554.66666669999995</v>
      </c>
      <c r="H2007" s="2">
        <v>789.66666669999995</v>
      </c>
      <c r="I2007" s="2">
        <v>2363.666667</v>
      </c>
      <c r="J2007" s="2">
        <v>0.66</v>
      </c>
      <c r="K2007" s="2">
        <v>5.38</v>
      </c>
      <c r="L2007" s="2">
        <v>7.17</v>
      </c>
      <c r="M2007" s="2">
        <v>14.13</v>
      </c>
      <c r="N2007" s="2">
        <v>3.4672099009999999</v>
      </c>
      <c r="O2007" s="2">
        <v>3.3707104920000002</v>
      </c>
      <c r="P2007" s="2">
        <v>3.9419463719999999</v>
      </c>
      <c r="Q2007" s="2">
        <v>3.9014743690000002</v>
      </c>
      <c r="R2007" s="2">
        <v>1.3700857</v>
      </c>
      <c r="S2007" s="2">
        <v>1.3163218619999999</v>
      </c>
      <c r="T2007" s="2">
        <v>3.6961880869999999</v>
      </c>
      <c r="U2007" s="2">
        <v>3.6727100359999998</v>
      </c>
      <c r="V2007" s="2">
        <v>2.3345041399999999</v>
      </c>
      <c r="W2007" s="2">
        <v>6.3841691000000006E-2</v>
      </c>
      <c r="X2007">
        <f t="shared" si="93"/>
        <v>0</v>
      </c>
      <c r="Y2007">
        <f t="shared" si="94"/>
        <v>1</v>
      </c>
      <c r="Z2007">
        <f t="shared" si="95"/>
        <v>1</v>
      </c>
    </row>
    <row r="2008" spans="1:26" ht="15.75" customHeight="1" x14ac:dyDescent="0.2">
      <c r="A2008" s="2" t="s">
        <v>23</v>
      </c>
      <c r="B2008" s="2" t="s">
        <v>35</v>
      </c>
      <c r="C2008" s="2" t="s">
        <v>28</v>
      </c>
      <c r="D2008" s="2" t="s">
        <v>29</v>
      </c>
      <c r="E2008" s="2">
        <v>95</v>
      </c>
      <c r="F2008" s="2">
        <v>117.33333330000001</v>
      </c>
      <c r="G2008" s="2">
        <v>333.33333329999999</v>
      </c>
      <c r="H2008" s="2">
        <v>1131</v>
      </c>
      <c r="I2008" s="2">
        <v>2522.666667</v>
      </c>
      <c r="J2008" s="2">
        <v>0.98</v>
      </c>
      <c r="K2008" s="2">
        <v>3.37</v>
      </c>
      <c r="L2008" s="2">
        <v>9.2799999999999994</v>
      </c>
      <c r="M2008" s="2">
        <v>14.56</v>
      </c>
      <c r="N2008" s="2">
        <v>1.951351651</v>
      </c>
      <c r="O2008" s="2">
        <v>1.730000107</v>
      </c>
      <c r="P2008" s="2">
        <v>1.7126259100000001</v>
      </c>
      <c r="Q2008" s="2">
        <v>1.7121911059999999</v>
      </c>
      <c r="R2008" s="2">
        <v>0.64666446600000005</v>
      </c>
      <c r="S2008" s="2">
        <v>0.70042830499999997</v>
      </c>
      <c r="T2008" s="2">
        <v>1.5858475889999999</v>
      </c>
      <c r="U2008" s="2">
        <v>1.562369538</v>
      </c>
      <c r="V2008" s="2">
        <v>0.31775397399999999</v>
      </c>
      <c r="W2008" s="2">
        <v>4.0690436000000003E-2</v>
      </c>
      <c r="X2008">
        <f t="shared" si="93"/>
        <v>0</v>
      </c>
      <c r="Y2008">
        <f t="shared" si="94"/>
        <v>1</v>
      </c>
      <c r="Z2008">
        <f t="shared" si="95"/>
        <v>1</v>
      </c>
    </row>
    <row r="2009" spans="1:26" ht="15.75" customHeight="1" x14ac:dyDescent="0.2">
      <c r="A2009" s="2" t="s">
        <v>23</v>
      </c>
      <c r="B2009" s="2" t="s">
        <v>35</v>
      </c>
      <c r="C2009" s="2" t="s">
        <v>32</v>
      </c>
      <c r="D2009" s="2" t="s">
        <v>33</v>
      </c>
      <c r="E2009" s="2">
        <v>112</v>
      </c>
      <c r="F2009" s="2">
        <v>89</v>
      </c>
      <c r="G2009" s="2">
        <v>593.33333330000005</v>
      </c>
      <c r="H2009" s="2">
        <v>1357.333333</v>
      </c>
      <c r="I2009" s="2">
        <v>2535</v>
      </c>
      <c r="J2009" s="2">
        <v>0.63</v>
      </c>
      <c r="K2009" s="2">
        <v>5.7</v>
      </c>
      <c r="L2009" s="2">
        <v>10.44</v>
      </c>
      <c r="M2009" s="2">
        <v>14.59</v>
      </c>
      <c r="N2009" s="2">
        <v>0.405766338</v>
      </c>
      <c r="O2009" s="2">
        <v>0.26809708900000001</v>
      </c>
      <c r="P2009" s="2">
        <v>1.7394947919999999</v>
      </c>
      <c r="Q2009" s="2">
        <v>1.681645966</v>
      </c>
      <c r="R2009" s="2">
        <v>1.686533208</v>
      </c>
      <c r="S2009" s="2">
        <v>1.6327693700000001</v>
      </c>
      <c r="T2009" s="2">
        <v>0.42596698199999999</v>
      </c>
      <c r="U2009" s="2">
        <v>0.40248893099999999</v>
      </c>
      <c r="V2009" s="2">
        <v>2.6509516479999999</v>
      </c>
      <c r="W2009" s="2">
        <v>5.6425626999999999E-2</v>
      </c>
      <c r="X2009">
        <f t="shared" si="93"/>
        <v>0</v>
      </c>
      <c r="Y2009">
        <f t="shared" si="94"/>
        <v>1</v>
      </c>
      <c r="Z2009">
        <f t="shared" si="95"/>
        <v>1</v>
      </c>
    </row>
    <row r="2010" spans="1:26" ht="15.75" customHeight="1" x14ac:dyDescent="0.2">
      <c r="A2010" s="2" t="s">
        <v>23</v>
      </c>
      <c r="B2010" s="2" t="s">
        <v>35</v>
      </c>
      <c r="C2010" s="2" t="s">
        <v>25</v>
      </c>
      <c r="D2010" s="2" t="s">
        <v>25</v>
      </c>
      <c r="E2010" s="2">
        <v>236</v>
      </c>
      <c r="F2010" s="2">
        <v>85.666666669999998</v>
      </c>
      <c r="G2010" s="2">
        <v>605.33333330000005</v>
      </c>
      <c r="H2010" s="2">
        <v>1475.666667</v>
      </c>
      <c r="I2010" s="2">
        <v>2474.333333</v>
      </c>
      <c r="J2010" s="2">
        <v>0.59</v>
      </c>
      <c r="K2010" s="2">
        <v>5.8</v>
      </c>
      <c r="L2010" s="2">
        <v>10.99</v>
      </c>
      <c r="M2010" s="2">
        <v>14.43</v>
      </c>
      <c r="N2010" s="2">
        <v>0.51065147899999996</v>
      </c>
      <c r="O2010" s="2">
        <v>0.52275077299999995</v>
      </c>
      <c r="P2010" s="2">
        <v>1.786809595</v>
      </c>
      <c r="Q2010" s="2">
        <v>1.734948543</v>
      </c>
      <c r="R2010" s="2">
        <v>1.7828014000000001</v>
      </c>
      <c r="S2010" s="2">
        <v>1.7290375609999999</v>
      </c>
      <c r="T2010" s="2">
        <v>0.119614787</v>
      </c>
      <c r="U2010" s="2">
        <v>0.143092838</v>
      </c>
      <c r="V2010" s="2">
        <v>2.747219839</v>
      </c>
      <c r="W2010" s="2">
        <v>6.0221794000000002E-2</v>
      </c>
      <c r="X2010">
        <f t="shared" si="93"/>
        <v>0</v>
      </c>
      <c r="Y2010">
        <f t="shared" si="94"/>
        <v>1</v>
      </c>
      <c r="Z2010">
        <f t="shared" si="95"/>
        <v>0</v>
      </c>
    </row>
    <row r="2011" spans="1:26" ht="15.75" customHeight="1" x14ac:dyDescent="0.2">
      <c r="A2011" s="2" t="s">
        <v>23</v>
      </c>
      <c r="B2011" s="2" t="s">
        <v>35</v>
      </c>
      <c r="C2011" s="2" t="s">
        <v>27</v>
      </c>
      <c r="D2011" s="2" t="s">
        <v>27</v>
      </c>
      <c r="E2011" s="2">
        <v>135</v>
      </c>
      <c r="F2011" s="2">
        <v>114.66666669999999</v>
      </c>
      <c r="G2011" s="2">
        <v>357.66666670000001</v>
      </c>
      <c r="H2011" s="2">
        <v>1971</v>
      </c>
      <c r="I2011" s="2">
        <v>2568.666667</v>
      </c>
      <c r="J2011" s="2">
        <v>0.95</v>
      </c>
      <c r="K2011" s="2">
        <v>3.61</v>
      </c>
      <c r="L2011" s="2">
        <v>12.91</v>
      </c>
      <c r="M2011" s="2">
        <v>14.68</v>
      </c>
      <c r="N2011" s="2">
        <v>0.24280237599999999</v>
      </c>
      <c r="O2011" s="2">
        <v>0.23651012900000001</v>
      </c>
      <c r="P2011" s="2">
        <v>2.086753453</v>
      </c>
      <c r="Q2011" s="2">
        <v>2.1207925140000001</v>
      </c>
      <c r="R2011" s="2">
        <v>0.40609731100000002</v>
      </c>
      <c r="S2011" s="2">
        <v>0.45986115</v>
      </c>
      <c r="T2011" s="2">
        <v>2.0468573349999999</v>
      </c>
      <c r="U2011" s="2">
        <v>2.0703353849999999</v>
      </c>
      <c r="V2011" s="2">
        <v>0.55832112899999997</v>
      </c>
      <c r="W2011" s="2">
        <v>6.2989463999999995E-2</v>
      </c>
      <c r="X2011">
        <f t="shared" si="93"/>
        <v>0</v>
      </c>
      <c r="Y2011">
        <f t="shared" si="94"/>
        <v>1</v>
      </c>
      <c r="Z2011">
        <f t="shared" si="95"/>
        <v>0</v>
      </c>
    </row>
    <row r="2012" spans="1:26" ht="15.75" customHeight="1" x14ac:dyDescent="0.2">
      <c r="A2012" s="2" t="s">
        <v>23</v>
      </c>
      <c r="B2012" s="2" t="s">
        <v>35</v>
      </c>
      <c r="C2012" s="2" t="s">
        <v>30</v>
      </c>
      <c r="D2012" s="2" t="s">
        <v>31</v>
      </c>
      <c r="E2012" s="2">
        <v>135</v>
      </c>
      <c r="F2012" s="2">
        <v>94.666666669999998</v>
      </c>
      <c r="G2012" s="2">
        <v>582</v>
      </c>
      <c r="H2012" s="2">
        <v>1134.666667</v>
      </c>
      <c r="I2012" s="2">
        <v>2433.666667</v>
      </c>
      <c r="J2012" s="2">
        <v>0.71</v>
      </c>
      <c r="K2012" s="2">
        <v>5.61</v>
      </c>
      <c r="L2012" s="2">
        <v>9.3000000000000007</v>
      </c>
      <c r="M2012" s="2">
        <v>14.32</v>
      </c>
      <c r="N2012" s="2">
        <v>4.0837744130000004</v>
      </c>
      <c r="O2012" s="2">
        <v>3.9724991470000002</v>
      </c>
      <c r="P2012" s="2">
        <v>2.234894127</v>
      </c>
      <c r="Q2012" s="2">
        <v>2.180181476</v>
      </c>
      <c r="R2012" s="2">
        <v>1.594778684</v>
      </c>
      <c r="S2012" s="2">
        <v>1.5410148459999999</v>
      </c>
      <c r="T2012" s="2">
        <v>1.5657051790000001</v>
      </c>
      <c r="U2012" s="2">
        <v>1.5422271279999999</v>
      </c>
      <c r="V2012" s="2">
        <v>2.5591971240000002</v>
      </c>
      <c r="W2012" s="2">
        <v>8.1892439999999997E-2</v>
      </c>
      <c r="X2012">
        <f t="shared" si="93"/>
        <v>0</v>
      </c>
      <c r="Y2012">
        <f t="shared" si="94"/>
        <v>1</v>
      </c>
      <c r="Z2012">
        <f t="shared" si="95"/>
        <v>1</v>
      </c>
    </row>
    <row r="2013" spans="1:26" ht="15.75" customHeight="1" x14ac:dyDescent="0.2">
      <c r="A2013" s="2" t="s">
        <v>23</v>
      </c>
      <c r="B2013" s="2" t="s">
        <v>35</v>
      </c>
      <c r="C2013" s="2" t="s">
        <v>25</v>
      </c>
      <c r="D2013" s="2" t="s">
        <v>25</v>
      </c>
      <c r="E2013" s="2">
        <v>95</v>
      </c>
      <c r="F2013" s="2">
        <v>83.666666669999998</v>
      </c>
      <c r="G2013" s="2">
        <v>679.33333330000005</v>
      </c>
      <c r="H2013" s="2">
        <v>1392.666667</v>
      </c>
      <c r="I2013" s="2">
        <v>2514.666667</v>
      </c>
      <c r="J2013" s="2">
        <v>0.56999999999999995</v>
      </c>
      <c r="K2013" s="2">
        <v>6.37</v>
      </c>
      <c r="L2013" s="2">
        <v>10.61</v>
      </c>
      <c r="M2013" s="2">
        <v>14.54</v>
      </c>
      <c r="N2013" s="2">
        <v>0.28763460600000001</v>
      </c>
      <c r="O2013" s="2">
        <v>0.42362103699999998</v>
      </c>
      <c r="P2013" s="2">
        <v>2.371301484</v>
      </c>
      <c r="Q2013" s="2">
        <v>2.3153606230000001</v>
      </c>
      <c r="R2013" s="2">
        <v>2.357111637</v>
      </c>
      <c r="S2013" s="2">
        <v>2.3033477979999999</v>
      </c>
      <c r="T2013" s="2">
        <v>0.259027905</v>
      </c>
      <c r="U2013" s="2">
        <v>0.235549854</v>
      </c>
      <c r="V2013" s="2">
        <v>3.3215300769999998</v>
      </c>
      <c r="W2013" s="2">
        <v>6.3763184000000001E-2</v>
      </c>
      <c r="X2013">
        <f t="shared" si="93"/>
        <v>0</v>
      </c>
      <c r="Y2013">
        <f t="shared" si="94"/>
        <v>1</v>
      </c>
      <c r="Z2013">
        <f t="shared" si="95"/>
        <v>0</v>
      </c>
    </row>
    <row r="2014" spans="1:26" ht="15.75" customHeight="1" x14ac:dyDescent="0.2">
      <c r="A2014" s="2" t="s">
        <v>23</v>
      </c>
      <c r="B2014" s="2" t="s">
        <v>35</v>
      </c>
      <c r="C2014" s="2" t="s">
        <v>30</v>
      </c>
      <c r="D2014" s="2" t="s">
        <v>31</v>
      </c>
      <c r="E2014" s="2">
        <v>123</v>
      </c>
      <c r="F2014" s="2">
        <v>83.666666669999998</v>
      </c>
      <c r="G2014" s="2">
        <v>516.66666669999995</v>
      </c>
      <c r="H2014" s="2">
        <v>1138</v>
      </c>
      <c r="I2014" s="2">
        <v>2298.333333</v>
      </c>
      <c r="J2014" s="2">
        <v>0.56999999999999995</v>
      </c>
      <c r="K2014" s="2">
        <v>5.0599999999999996</v>
      </c>
      <c r="L2014" s="2">
        <v>9.32</v>
      </c>
      <c r="M2014" s="2">
        <v>13.94</v>
      </c>
      <c r="N2014" s="2">
        <v>3.8037305020000001</v>
      </c>
      <c r="O2014" s="2">
        <v>3.7002923499999998</v>
      </c>
      <c r="P2014" s="2">
        <v>1.8697426159999999</v>
      </c>
      <c r="Q2014" s="2">
        <v>1.820404052</v>
      </c>
      <c r="R2014" s="2">
        <v>1.0494672599999999</v>
      </c>
      <c r="S2014" s="2">
        <v>0.99570342099999998</v>
      </c>
      <c r="T2014" s="2">
        <v>1.547435272</v>
      </c>
      <c r="U2014" s="2">
        <v>1.5239572210000001</v>
      </c>
      <c r="V2014" s="2">
        <v>2.0138856989999998</v>
      </c>
      <c r="W2014" s="2">
        <v>8.5551004999999999E-2</v>
      </c>
      <c r="X2014">
        <f t="shared" si="93"/>
        <v>0</v>
      </c>
      <c r="Y2014">
        <f t="shared" si="94"/>
        <v>1</v>
      </c>
      <c r="Z2014">
        <f t="shared" si="95"/>
        <v>1</v>
      </c>
    </row>
    <row r="2015" spans="1:26" ht="15.75" customHeight="1" x14ac:dyDescent="0.2">
      <c r="A2015" s="2" t="s">
        <v>36</v>
      </c>
      <c r="B2015" s="2" t="s">
        <v>24</v>
      </c>
      <c r="C2015" s="2" t="s">
        <v>25</v>
      </c>
      <c r="D2015" s="2" t="s">
        <v>25</v>
      </c>
      <c r="E2015" s="2">
        <v>118</v>
      </c>
      <c r="F2015" s="2">
        <v>219</v>
      </c>
      <c r="G2015" s="2">
        <v>441</v>
      </c>
      <c r="H2015" s="2">
        <v>1581</v>
      </c>
      <c r="I2015" s="2">
        <v>2907</v>
      </c>
      <c r="J2015" s="2">
        <v>2.16</v>
      </c>
      <c r="K2015" s="2">
        <v>4.3899999999999997</v>
      </c>
      <c r="L2015" s="2">
        <v>11.44</v>
      </c>
      <c r="M2015" s="2">
        <v>15.48</v>
      </c>
      <c r="N2015" s="2">
        <v>1.276275687</v>
      </c>
      <c r="O2015" s="2">
        <v>1.9140007020000001</v>
      </c>
      <c r="P2015" s="2">
        <v>7.4057900999999995E-2</v>
      </c>
      <c r="Q2015" s="2">
        <v>0.225446021</v>
      </c>
      <c r="R2015" s="2">
        <v>6.1246875999999999E-2</v>
      </c>
      <c r="S2015" s="2">
        <v>0.118753124</v>
      </c>
      <c r="T2015" s="2">
        <v>4.1634035999999999E-2</v>
      </c>
      <c r="U2015" s="2">
        <v>0.19163403600000001</v>
      </c>
      <c r="V2015" s="2">
        <v>0.83888859699999996</v>
      </c>
      <c r="W2015" s="2">
        <v>0.82834794899999997</v>
      </c>
      <c r="X2015">
        <f t="shared" si="93"/>
        <v>1</v>
      </c>
      <c r="Y2015">
        <f t="shared" si="94"/>
        <v>0</v>
      </c>
      <c r="Z2015">
        <f t="shared" si="95"/>
        <v>0</v>
      </c>
    </row>
    <row r="2016" spans="1:26" ht="15.75" customHeight="1" x14ac:dyDescent="0.2">
      <c r="A2016" s="2" t="s">
        <v>36</v>
      </c>
      <c r="B2016" s="2" t="s">
        <v>24</v>
      </c>
      <c r="C2016" s="2" t="s">
        <v>26</v>
      </c>
      <c r="D2016" s="2" t="s">
        <v>26</v>
      </c>
      <c r="E2016" s="2">
        <v>179</v>
      </c>
      <c r="F2016" s="2">
        <v>226</v>
      </c>
      <c r="G2016" s="2">
        <v>404</v>
      </c>
      <c r="H2016" s="2">
        <v>979</v>
      </c>
      <c r="I2016" s="2">
        <v>2860</v>
      </c>
      <c r="J2016" s="2">
        <v>2.25</v>
      </c>
      <c r="K2016" s="2">
        <v>4.05</v>
      </c>
      <c r="L2016" s="2">
        <v>8.4</v>
      </c>
      <c r="M2016" s="2">
        <v>15.38</v>
      </c>
      <c r="N2016" s="2">
        <v>0.659026852</v>
      </c>
      <c r="O2016" s="2">
        <v>0.87030462500000005</v>
      </c>
      <c r="P2016" s="2">
        <v>3.0140258680000001</v>
      </c>
      <c r="Q2016" s="2">
        <v>2.8875358860000002</v>
      </c>
      <c r="R2016" s="2">
        <v>0.27512336100000001</v>
      </c>
      <c r="S2016" s="2">
        <v>0.455123361</v>
      </c>
      <c r="T2016" s="2">
        <v>3.0014428309999999</v>
      </c>
      <c r="U2016" s="2">
        <v>2.851442831</v>
      </c>
      <c r="V2016" s="2">
        <v>0.50251836000000005</v>
      </c>
      <c r="W2016" s="2">
        <v>0.49197771200000001</v>
      </c>
      <c r="X2016">
        <f t="shared" si="93"/>
        <v>1</v>
      </c>
      <c r="Y2016">
        <f t="shared" si="94"/>
        <v>0</v>
      </c>
      <c r="Z2016">
        <f t="shared" si="95"/>
        <v>0</v>
      </c>
    </row>
    <row r="2017" spans="1:26" ht="15.75" customHeight="1" x14ac:dyDescent="0.2">
      <c r="A2017" s="2" t="s">
        <v>36</v>
      </c>
      <c r="B2017" s="2" t="s">
        <v>24</v>
      </c>
      <c r="C2017" s="2" t="s">
        <v>27</v>
      </c>
      <c r="D2017" s="2" t="s">
        <v>27</v>
      </c>
      <c r="E2017" s="2">
        <v>195</v>
      </c>
      <c r="F2017" s="2">
        <v>220</v>
      </c>
      <c r="G2017" s="2">
        <v>431</v>
      </c>
      <c r="H2017" s="2">
        <v>2384</v>
      </c>
      <c r="I2017" s="2">
        <v>3020</v>
      </c>
      <c r="J2017" s="2">
        <v>2.1800000000000002</v>
      </c>
      <c r="K2017" s="2">
        <v>4.3099999999999996</v>
      </c>
      <c r="L2017" s="2">
        <v>14.18</v>
      </c>
      <c r="M2017" s="2">
        <v>15.73</v>
      </c>
      <c r="N2017" s="2">
        <v>0.171951505</v>
      </c>
      <c r="O2017" s="2">
        <v>9.5651705000000004E-2</v>
      </c>
      <c r="P2017" s="2">
        <v>2.7844401799999998</v>
      </c>
      <c r="Q2017" s="2">
        <v>2.9414306209999999</v>
      </c>
      <c r="R2017" s="2">
        <v>2.4184555E-2</v>
      </c>
      <c r="S2017" s="2">
        <v>0.20418455499999999</v>
      </c>
      <c r="T2017" s="2">
        <v>2.7843351489999999</v>
      </c>
      <c r="U2017" s="2">
        <v>2.9343351489999998</v>
      </c>
      <c r="V2017" s="2">
        <v>0.75345716600000001</v>
      </c>
      <c r="W2017" s="2">
        <v>0.74291651700000005</v>
      </c>
      <c r="X2017">
        <f t="shared" si="93"/>
        <v>1</v>
      </c>
      <c r="Y2017">
        <f t="shared" si="94"/>
        <v>0</v>
      </c>
      <c r="Z2017">
        <f t="shared" si="95"/>
        <v>0</v>
      </c>
    </row>
    <row r="2018" spans="1:26" ht="15.75" customHeight="1" x14ac:dyDescent="0.2">
      <c r="A2018" s="2" t="s">
        <v>36</v>
      </c>
      <c r="B2018" s="2" t="s">
        <v>24</v>
      </c>
      <c r="C2018" s="2" t="s">
        <v>28</v>
      </c>
      <c r="D2018" s="2" t="s">
        <v>29</v>
      </c>
      <c r="E2018" s="2">
        <v>93</v>
      </c>
      <c r="F2018" s="2">
        <v>202</v>
      </c>
      <c r="G2018" s="2">
        <v>277</v>
      </c>
      <c r="H2018" s="2">
        <v>1122</v>
      </c>
      <c r="I2018" s="2">
        <v>2290</v>
      </c>
      <c r="J2018" s="2">
        <v>1.98</v>
      </c>
      <c r="K2018" s="2">
        <v>2.79</v>
      </c>
      <c r="L2018" s="2">
        <v>9.23</v>
      </c>
      <c r="M2018" s="2">
        <v>13.91</v>
      </c>
      <c r="N2018" s="2">
        <v>1.936500973</v>
      </c>
      <c r="O2018" s="2">
        <v>2.1504134050000001</v>
      </c>
      <c r="P2018" s="2">
        <v>2.6588859880000002</v>
      </c>
      <c r="Q2018" s="2">
        <v>2.6508185719999999</v>
      </c>
      <c r="R2018" s="2">
        <v>1.5367103689999999</v>
      </c>
      <c r="S2018" s="2">
        <v>1.7167103690000001</v>
      </c>
      <c r="T2018" s="2">
        <v>2.1698377679999998</v>
      </c>
      <c r="U2018" s="2">
        <v>2.0198377679999999</v>
      </c>
      <c r="V2018" s="2">
        <v>-0.75906864900000004</v>
      </c>
      <c r="W2018" s="2">
        <v>-0.76960929700000003</v>
      </c>
      <c r="X2018">
        <f t="shared" si="93"/>
        <v>1</v>
      </c>
      <c r="Y2018">
        <f t="shared" si="94"/>
        <v>0</v>
      </c>
      <c r="Z2018">
        <f t="shared" si="95"/>
        <v>1</v>
      </c>
    </row>
    <row r="2019" spans="1:26" ht="15.75" customHeight="1" x14ac:dyDescent="0.2">
      <c r="A2019" s="2" t="s">
        <v>36</v>
      </c>
      <c r="B2019" s="2" t="s">
        <v>24</v>
      </c>
      <c r="C2019" s="2" t="s">
        <v>30</v>
      </c>
      <c r="D2019" s="2" t="s">
        <v>31</v>
      </c>
      <c r="E2019" s="2">
        <v>112</v>
      </c>
      <c r="F2019" s="2">
        <v>219</v>
      </c>
      <c r="G2019" s="2">
        <v>519</v>
      </c>
      <c r="H2019" s="2">
        <v>1395</v>
      </c>
      <c r="I2019" s="2">
        <v>2802</v>
      </c>
      <c r="J2019" s="2">
        <v>2.17</v>
      </c>
      <c r="K2019" s="2">
        <v>5.08</v>
      </c>
      <c r="L2019" s="2">
        <v>10.62</v>
      </c>
      <c r="M2019" s="2">
        <v>15.25</v>
      </c>
      <c r="N2019" s="2">
        <v>3.5174456869999999</v>
      </c>
      <c r="O2019" s="2">
        <v>3.56184959</v>
      </c>
      <c r="P2019" s="2">
        <v>1.0858777399999999</v>
      </c>
      <c r="Q2019" s="2">
        <v>0.85337137699999999</v>
      </c>
      <c r="R2019" s="2">
        <v>0.752904397</v>
      </c>
      <c r="S2019" s="2">
        <v>0.57290439699999995</v>
      </c>
      <c r="T2019" s="2">
        <v>0.78247392000000004</v>
      </c>
      <c r="U2019" s="2">
        <v>0.63247392000000002</v>
      </c>
      <c r="V2019" s="2">
        <v>1.530546118</v>
      </c>
      <c r="W2019" s="2">
        <v>1.5200054700000001</v>
      </c>
      <c r="X2019">
        <f t="shared" si="93"/>
        <v>1</v>
      </c>
      <c r="Y2019">
        <f t="shared" si="94"/>
        <v>0</v>
      </c>
      <c r="Z2019">
        <f t="shared" si="95"/>
        <v>1</v>
      </c>
    </row>
    <row r="2020" spans="1:26" ht="15.75" customHeight="1" x14ac:dyDescent="0.2">
      <c r="A2020" s="2" t="s">
        <v>36</v>
      </c>
      <c r="B2020" s="2" t="s">
        <v>24</v>
      </c>
      <c r="C2020" s="2" t="s">
        <v>26</v>
      </c>
      <c r="D2020" s="2" t="s">
        <v>26</v>
      </c>
      <c r="E2020" s="2">
        <v>208</v>
      </c>
      <c r="F2020" s="2">
        <v>221</v>
      </c>
      <c r="G2020" s="2">
        <v>405</v>
      </c>
      <c r="H2020" s="2">
        <v>674</v>
      </c>
      <c r="I2020" s="2">
        <v>2760</v>
      </c>
      <c r="J2020" s="2">
        <v>2.1800000000000002</v>
      </c>
      <c r="K2020" s="2">
        <v>4.0599999999999996</v>
      </c>
      <c r="L2020" s="2">
        <v>6.33</v>
      </c>
      <c r="M2020" s="2">
        <v>15.15</v>
      </c>
      <c r="N2020" s="2">
        <v>1.412675014</v>
      </c>
      <c r="O2020" s="2">
        <v>1.2031284950000001</v>
      </c>
      <c r="P2020" s="2">
        <v>5.0792149389999999</v>
      </c>
      <c r="Q2020" s="2">
        <v>4.9423990550000001</v>
      </c>
      <c r="R2020" s="2">
        <v>0.26572717000000001</v>
      </c>
      <c r="S2020" s="2">
        <v>0.44572717000000001</v>
      </c>
      <c r="T2020" s="2">
        <v>5.0722592080000002</v>
      </c>
      <c r="U2020" s="2">
        <v>4.9222592079999998</v>
      </c>
      <c r="V2020" s="2">
        <v>0.51191455100000005</v>
      </c>
      <c r="W2020" s="2">
        <v>0.50137390299999995</v>
      </c>
      <c r="X2020">
        <f t="shared" si="93"/>
        <v>1</v>
      </c>
      <c r="Y2020">
        <f t="shared" si="94"/>
        <v>0</v>
      </c>
      <c r="Z2020">
        <f t="shared" si="95"/>
        <v>0</v>
      </c>
    </row>
    <row r="2021" spans="1:26" ht="15.75" customHeight="1" x14ac:dyDescent="0.2">
      <c r="A2021" s="2" t="s">
        <v>36</v>
      </c>
      <c r="B2021" s="2" t="s">
        <v>24</v>
      </c>
      <c r="C2021" s="2" t="s">
        <v>28</v>
      </c>
      <c r="D2021" s="2" t="s">
        <v>29</v>
      </c>
      <c r="E2021" s="2">
        <v>129</v>
      </c>
      <c r="F2021" s="2">
        <v>220</v>
      </c>
      <c r="G2021" s="2">
        <v>259</v>
      </c>
      <c r="H2021" s="2">
        <v>920</v>
      </c>
      <c r="I2021" s="2">
        <v>2581</v>
      </c>
      <c r="J2021" s="2">
        <v>2.17</v>
      </c>
      <c r="K2021" s="2">
        <v>2.6</v>
      </c>
      <c r="L2021" s="2">
        <v>8.0399999999999991</v>
      </c>
      <c r="M2021" s="2">
        <v>14.71</v>
      </c>
      <c r="N2021" s="2">
        <v>1.46113961</v>
      </c>
      <c r="O2021" s="2">
        <v>1.593375432</v>
      </c>
      <c r="P2021" s="2">
        <v>3.782751668</v>
      </c>
      <c r="Q2021" s="2">
        <v>3.7387307820000002</v>
      </c>
      <c r="R2021" s="2">
        <v>1.730757098</v>
      </c>
      <c r="S2021" s="2">
        <v>1.9107570979999999</v>
      </c>
      <c r="T2021" s="2">
        <v>3.3635829190000002</v>
      </c>
      <c r="U2021" s="2">
        <v>3.2135829189999998</v>
      </c>
      <c r="V2021" s="2">
        <v>-0.95311537700000004</v>
      </c>
      <c r="W2021" s="2">
        <v>-0.96365602500000003</v>
      </c>
      <c r="X2021">
        <f t="shared" si="93"/>
        <v>1</v>
      </c>
      <c r="Y2021">
        <f t="shared" si="94"/>
        <v>0</v>
      </c>
      <c r="Z2021">
        <f t="shared" si="95"/>
        <v>1</v>
      </c>
    </row>
    <row r="2022" spans="1:26" ht="15.75" customHeight="1" x14ac:dyDescent="0.2">
      <c r="A2022" s="2" t="s">
        <v>36</v>
      </c>
      <c r="B2022" s="2" t="s">
        <v>24</v>
      </c>
      <c r="C2022" s="2" t="s">
        <v>32</v>
      </c>
      <c r="D2022" s="2" t="s">
        <v>33</v>
      </c>
      <c r="E2022" s="2">
        <v>122</v>
      </c>
      <c r="F2022" s="2">
        <v>221</v>
      </c>
      <c r="G2022" s="2">
        <v>293</v>
      </c>
      <c r="H2022" s="2">
        <v>821</v>
      </c>
      <c r="I2022" s="2">
        <v>2292</v>
      </c>
      <c r="J2022" s="2">
        <v>2.1800000000000002</v>
      </c>
      <c r="K2022" s="2">
        <v>2.95</v>
      </c>
      <c r="L2022" s="2">
        <v>7.38</v>
      </c>
      <c r="M2022" s="2">
        <v>13.92</v>
      </c>
      <c r="N2022" s="2">
        <v>4.9926791699999997</v>
      </c>
      <c r="O2022" s="2">
        <v>5.1507554359999999</v>
      </c>
      <c r="P2022" s="2">
        <v>4.2447222010000001</v>
      </c>
      <c r="Q2022" s="2">
        <v>4.1669730639999996</v>
      </c>
      <c r="R2022" s="2">
        <v>1.376842261</v>
      </c>
      <c r="S2022" s="2">
        <v>1.5568422609999999</v>
      </c>
      <c r="T2022" s="2">
        <v>4.0152175479999999</v>
      </c>
      <c r="U2022" s="2">
        <v>3.8652175479999999</v>
      </c>
      <c r="V2022" s="2">
        <v>-0.59920054</v>
      </c>
      <c r="W2022" s="2">
        <v>-0.60974118799999999</v>
      </c>
      <c r="X2022">
        <f t="shared" si="93"/>
        <v>1</v>
      </c>
      <c r="Y2022">
        <f t="shared" si="94"/>
        <v>0</v>
      </c>
      <c r="Z2022">
        <f t="shared" si="95"/>
        <v>1</v>
      </c>
    </row>
    <row r="2023" spans="1:26" ht="15.75" customHeight="1" x14ac:dyDescent="0.2">
      <c r="A2023" s="2" t="s">
        <v>36</v>
      </c>
      <c r="B2023" s="2" t="s">
        <v>24</v>
      </c>
      <c r="C2023" s="2" t="s">
        <v>32</v>
      </c>
      <c r="D2023" s="2" t="s">
        <v>33</v>
      </c>
      <c r="E2023" s="2">
        <v>324</v>
      </c>
      <c r="F2023" s="2">
        <v>223</v>
      </c>
      <c r="G2023" s="2">
        <v>250</v>
      </c>
      <c r="H2023" s="2">
        <v>905</v>
      </c>
      <c r="I2023" s="2">
        <v>2090</v>
      </c>
      <c r="J2023" s="2">
        <v>2.21</v>
      </c>
      <c r="K2023" s="2">
        <v>2.5</v>
      </c>
      <c r="L2023" s="2">
        <v>7.94</v>
      </c>
      <c r="M2023" s="2">
        <v>13.31</v>
      </c>
      <c r="N2023" s="2">
        <v>4.8177628260000001</v>
      </c>
      <c r="O2023" s="2">
        <v>5.0697296219999997</v>
      </c>
      <c r="P2023" s="2">
        <v>3.9120237000000002</v>
      </c>
      <c r="Q2023" s="2">
        <v>3.8702574959999998</v>
      </c>
      <c r="R2023" s="2">
        <v>1.8271945700000001</v>
      </c>
      <c r="S2023" s="2">
        <v>2.0071945699999998</v>
      </c>
      <c r="T2023" s="2">
        <v>3.4590879480000001</v>
      </c>
      <c r="U2023" s="2">
        <v>3.3090879480000002</v>
      </c>
      <c r="V2023" s="2">
        <v>-1.0495528489999999</v>
      </c>
      <c r="W2023" s="2">
        <v>-1.060093497</v>
      </c>
      <c r="X2023">
        <f t="shared" si="93"/>
        <v>1</v>
      </c>
      <c r="Y2023">
        <f t="shared" si="94"/>
        <v>0</v>
      </c>
      <c r="Z2023">
        <f t="shared" si="95"/>
        <v>1</v>
      </c>
    </row>
    <row r="2024" spans="1:26" ht="15.75" customHeight="1" x14ac:dyDescent="0.2">
      <c r="A2024" s="2" t="s">
        <v>36</v>
      </c>
      <c r="B2024" s="2" t="s">
        <v>24</v>
      </c>
      <c r="C2024" s="2" t="s">
        <v>25</v>
      </c>
      <c r="D2024" s="2" t="s">
        <v>25</v>
      </c>
      <c r="E2024" s="2">
        <v>278</v>
      </c>
      <c r="F2024" s="2">
        <v>223</v>
      </c>
      <c r="G2024" s="2">
        <v>705</v>
      </c>
      <c r="H2024" s="2">
        <v>1591</v>
      </c>
      <c r="I2024" s="2">
        <v>2949</v>
      </c>
      <c r="J2024" s="2">
        <v>2.21</v>
      </c>
      <c r="K2024" s="2">
        <v>6.56</v>
      </c>
      <c r="L2024" s="2">
        <v>11.48</v>
      </c>
      <c r="M2024" s="2">
        <v>15.58</v>
      </c>
      <c r="N2024" s="2">
        <v>0.90532897999999995</v>
      </c>
      <c r="O2024" s="2">
        <v>0.31647652100000001</v>
      </c>
      <c r="P2024" s="2">
        <v>2.231317481</v>
      </c>
      <c r="Q2024" s="2">
        <v>2.062794137</v>
      </c>
      <c r="R2024" s="2">
        <v>2.2298598950000001</v>
      </c>
      <c r="S2024" s="2">
        <v>2.049859895</v>
      </c>
      <c r="T2024" s="2">
        <v>8.0638377999999997E-2</v>
      </c>
      <c r="U2024" s="2">
        <v>0.230638378</v>
      </c>
      <c r="V2024" s="2">
        <v>3.0075016159999999</v>
      </c>
      <c r="W2024" s="2">
        <v>2.9969609679999998</v>
      </c>
      <c r="X2024">
        <f t="shared" si="93"/>
        <v>1</v>
      </c>
      <c r="Y2024">
        <f t="shared" si="94"/>
        <v>0</v>
      </c>
      <c r="Z2024">
        <f t="shared" si="95"/>
        <v>0</v>
      </c>
    </row>
    <row r="2025" spans="1:26" ht="15.75" customHeight="1" x14ac:dyDescent="0.2">
      <c r="A2025" s="2" t="s">
        <v>36</v>
      </c>
      <c r="B2025" s="2" t="s">
        <v>24</v>
      </c>
      <c r="C2025" s="2" t="s">
        <v>32</v>
      </c>
      <c r="D2025" s="2" t="s">
        <v>33</v>
      </c>
      <c r="E2025" s="2">
        <v>165</v>
      </c>
      <c r="F2025" s="2">
        <v>226</v>
      </c>
      <c r="G2025" s="2">
        <v>387</v>
      </c>
      <c r="H2025" s="2">
        <v>923</v>
      </c>
      <c r="I2025" s="2">
        <v>2655</v>
      </c>
      <c r="J2025" s="2">
        <v>2.25</v>
      </c>
      <c r="K2025" s="2">
        <v>3.89</v>
      </c>
      <c r="L2025" s="2">
        <v>8.06</v>
      </c>
      <c r="M2025" s="2">
        <v>14.89</v>
      </c>
      <c r="N2025" s="2">
        <v>3.9437424459999999</v>
      </c>
      <c r="O2025" s="2">
        <v>4.0412849849999999</v>
      </c>
      <c r="P2025" s="2">
        <v>3.373323106</v>
      </c>
      <c r="Q2025" s="2">
        <v>3.254068695</v>
      </c>
      <c r="R2025" s="2">
        <v>0.43926288899999999</v>
      </c>
      <c r="S2025" s="2">
        <v>0.61926288900000004</v>
      </c>
      <c r="T2025" s="2">
        <v>3.344601156</v>
      </c>
      <c r="U2025" s="2">
        <v>3.1946011560000001</v>
      </c>
      <c r="V2025" s="2">
        <v>0.33837883200000002</v>
      </c>
      <c r="W2025" s="2">
        <v>0.32783818399999998</v>
      </c>
      <c r="X2025">
        <f t="shared" si="93"/>
        <v>1</v>
      </c>
      <c r="Y2025">
        <f t="shared" si="94"/>
        <v>0</v>
      </c>
      <c r="Z2025">
        <f t="shared" si="95"/>
        <v>1</v>
      </c>
    </row>
    <row r="2026" spans="1:26" ht="15.75" customHeight="1" x14ac:dyDescent="0.2">
      <c r="A2026" s="2" t="s">
        <v>36</v>
      </c>
      <c r="B2026" s="2" t="s">
        <v>24</v>
      </c>
      <c r="C2026" s="2" t="s">
        <v>32</v>
      </c>
      <c r="D2026" s="2" t="s">
        <v>33</v>
      </c>
      <c r="E2026" s="2">
        <v>170</v>
      </c>
      <c r="F2026" s="2">
        <v>230</v>
      </c>
      <c r="G2026" s="2">
        <v>521</v>
      </c>
      <c r="H2026" s="2">
        <v>1628</v>
      </c>
      <c r="I2026" s="2">
        <v>3080</v>
      </c>
      <c r="J2026" s="2">
        <v>2.2799999999999998</v>
      </c>
      <c r="K2026" s="2">
        <v>5.0999999999999996</v>
      </c>
      <c r="L2026" s="2">
        <v>11.63</v>
      </c>
      <c r="M2026" s="2">
        <v>15.85</v>
      </c>
      <c r="N2026" s="2">
        <v>0.55970318100000005</v>
      </c>
      <c r="O2026" s="2">
        <v>1.242684559</v>
      </c>
      <c r="P2026" s="2">
        <v>0.807273346</v>
      </c>
      <c r="Q2026" s="2">
        <v>0.70593810899999998</v>
      </c>
      <c r="R2026" s="2">
        <v>0.77283718400000001</v>
      </c>
      <c r="S2026" s="2">
        <v>0.59283718399999996</v>
      </c>
      <c r="T2026" s="2">
        <v>0.23326581800000001</v>
      </c>
      <c r="U2026" s="2">
        <v>0.38326581799999998</v>
      </c>
      <c r="V2026" s="2">
        <v>1.5504789050000001</v>
      </c>
      <c r="W2026" s="2">
        <v>1.539938257</v>
      </c>
      <c r="X2026">
        <f t="shared" si="93"/>
        <v>1</v>
      </c>
      <c r="Y2026">
        <f t="shared" si="94"/>
        <v>0</v>
      </c>
      <c r="Z2026">
        <f t="shared" si="95"/>
        <v>1</v>
      </c>
    </row>
    <row r="2027" spans="1:26" ht="15.75" customHeight="1" x14ac:dyDescent="0.2">
      <c r="A2027" s="2" t="s">
        <v>36</v>
      </c>
      <c r="B2027" s="2" t="s">
        <v>24</v>
      </c>
      <c r="C2027" s="2" t="s">
        <v>25</v>
      </c>
      <c r="D2027" s="2" t="s">
        <v>25</v>
      </c>
      <c r="E2027" s="2">
        <v>115</v>
      </c>
      <c r="F2027" s="2">
        <v>219</v>
      </c>
      <c r="G2027" s="2">
        <v>639</v>
      </c>
      <c r="H2027" s="2">
        <v>1676</v>
      </c>
      <c r="I2027" s="2">
        <v>2883</v>
      </c>
      <c r="J2027" s="2">
        <v>2.16</v>
      </c>
      <c r="K2027" s="2">
        <v>6.06</v>
      </c>
      <c r="L2027" s="2">
        <v>11.83</v>
      </c>
      <c r="M2027" s="2">
        <v>15.43</v>
      </c>
      <c r="N2027" s="2">
        <v>0.47048716000000002</v>
      </c>
      <c r="O2027" s="2">
        <v>0.58156795400000005</v>
      </c>
      <c r="P2027" s="2">
        <v>1.781511155</v>
      </c>
      <c r="Q2027" s="2">
        <v>1.6537906490000001</v>
      </c>
      <c r="R2027" s="2">
        <v>1.7290148789999999</v>
      </c>
      <c r="S2027" s="2">
        <v>1.549014879</v>
      </c>
      <c r="T2027" s="2">
        <v>0.42928957699999998</v>
      </c>
      <c r="U2027" s="2">
        <v>0.57928957699999994</v>
      </c>
      <c r="V2027" s="2">
        <v>2.5066565999999999</v>
      </c>
      <c r="W2027" s="2">
        <v>2.4961159519999998</v>
      </c>
      <c r="X2027">
        <f t="shared" si="93"/>
        <v>1</v>
      </c>
      <c r="Y2027">
        <f t="shared" si="94"/>
        <v>0</v>
      </c>
      <c r="Z2027">
        <f t="shared" si="95"/>
        <v>0</v>
      </c>
    </row>
    <row r="2028" spans="1:26" ht="15.75" customHeight="1" x14ac:dyDescent="0.2">
      <c r="A2028" s="2" t="s">
        <v>36</v>
      </c>
      <c r="B2028" s="2" t="s">
        <v>24</v>
      </c>
      <c r="C2028" s="2" t="s">
        <v>25</v>
      </c>
      <c r="D2028" s="2" t="s">
        <v>25</v>
      </c>
      <c r="E2028" s="2">
        <v>180</v>
      </c>
      <c r="F2028" s="2">
        <v>212</v>
      </c>
      <c r="G2028" s="2">
        <v>603</v>
      </c>
      <c r="H2028" s="2">
        <v>1600</v>
      </c>
      <c r="I2028" s="2">
        <v>3064</v>
      </c>
      <c r="J2028" s="2">
        <v>2.09</v>
      </c>
      <c r="K2028" s="2">
        <v>5.77</v>
      </c>
      <c r="L2028" s="2">
        <v>11.52</v>
      </c>
      <c r="M2028" s="2">
        <v>15.82</v>
      </c>
      <c r="N2028" s="2">
        <v>0.12993061</v>
      </c>
      <c r="O2028" s="2">
        <v>0.56905825200000004</v>
      </c>
      <c r="P2028" s="2">
        <v>1.449881084</v>
      </c>
      <c r="Q2028" s="2">
        <v>1.2933303819999999</v>
      </c>
      <c r="R2028" s="2">
        <v>1.4449531739999999</v>
      </c>
      <c r="S2028" s="2">
        <v>1.264953174</v>
      </c>
      <c r="T2028" s="2">
        <v>0.11943820199999999</v>
      </c>
      <c r="U2028" s="2">
        <v>0.26943820200000002</v>
      </c>
      <c r="V2028" s="2">
        <v>2.2225948949999998</v>
      </c>
      <c r="W2028" s="2">
        <v>2.2120542470000002</v>
      </c>
      <c r="X2028">
        <f t="shared" si="93"/>
        <v>1</v>
      </c>
      <c r="Y2028">
        <f t="shared" si="94"/>
        <v>0</v>
      </c>
      <c r="Z2028">
        <f t="shared" si="95"/>
        <v>0</v>
      </c>
    </row>
    <row r="2029" spans="1:26" ht="15.75" customHeight="1" x14ac:dyDescent="0.2">
      <c r="A2029" s="2" t="s">
        <v>36</v>
      </c>
      <c r="B2029" s="2" t="s">
        <v>24</v>
      </c>
      <c r="C2029" s="2" t="s">
        <v>27</v>
      </c>
      <c r="D2029" s="2" t="s">
        <v>27</v>
      </c>
      <c r="E2029" s="2">
        <v>129</v>
      </c>
      <c r="F2029" s="2">
        <v>231</v>
      </c>
      <c r="G2029" s="2">
        <v>440</v>
      </c>
      <c r="H2029" s="2">
        <v>2359</v>
      </c>
      <c r="I2029" s="2">
        <v>3037</v>
      </c>
      <c r="J2029" s="2">
        <v>2.29</v>
      </c>
      <c r="K2029" s="2">
        <v>4.3899999999999997</v>
      </c>
      <c r="L2029" s="2">
        <v>14.11</v>
      </c>
      <c r="M2029" s="2">
        <v>15.76</v>
      </c>
      <c r="N2029" s="2">
        <v>0.17927754600000001</v>
      </c>
      <c r="O2029" s="2">
        <v>0.10117519899999999</v>
      </c>
      <c r="P2029" s="2">
        <v>2.7149503230000001</v>
      </c>
      <c r="Q2029" s="2">
        <v>2.8669144659999999</v>
      </c>
      <c r="R2029" s="2">
        <v>5.8207192999999997E-2</v>
      </c>
      <c r="S2029" s="2">
        <v>0.121792807</v>
      </c>
      <c r="T2029" s="2">
        <v>2.7143262849999998</v>
      </c>
      <c r="U2029" s="2">
        <v>2.8643262850000002</v>
      </c>
      <c r="V2029" s="2">
        <v>0.83584891400000005</v>
      </c>
      <c r="W2029" s="2">
        <v>0.82530826599999996</v>
      </c>
      <c r="X2029">
        <f t="shared" si="93"/>
        <v>1</v>
      </c>
      <c r="Y2029">
        <f t="shared" si="94"/>
        <v>0</v>
      </c>
      <c r="Z2029">
        <f t="shared" si="95"/>
        <v>0</v>
      </c>
    </row>
    <row r="2030" spans="1:26" ht="15.75" customHeight="1" x14ac:dyDescent="0.2">
      <c r="A2030" s="2" t="s">
        <v>36</v>
      </c>
      <c r="B2030" s="2" t="s">
        <v>24</v>
      </c>
      <c r="C2030" s="2" t="s">
        <v>30</v>
      </c>
      <c r="D2030" s="2" t="s">
        <v>31</v>
      </c>
      <c r="E2030" s="2">
        <v>99</v>
      </c>
      <c r="F2030" s="2">
        <v>199</v>
      </c>
      <c r="G2030" s="2">
        <v>747</v>
      </c>
      <c r="H2030" s="2">
        <v>1393</v>
      </c>
      <c r="I2030" s="2">
        <v>3544</v>
      </c>
      <c r="J2030" s="2">
        <v>1.94</v>
      </c>
      <c r="K2030" s="2">
        <v>6.87</v>
      </c>
      <c r="L2030" s="2">
        <v>10.61</v>
      </c>
      <c r="M2030" s="2">
        <v>16.73</v>
      </c>
      <c r="N2030" s="2">
        <v>4.3180941060000002</v>
      </c>
      <c r="O2030" s="2">
        <v>4.3298111129999999</v>
      </c>
      <c r="P2030" s="2">
        <v>2.6561447340000002</v>
      </c>
      <c r="Q2030" s="2">
        <v>2.441314599</v>
      </c>
      <c r="R2030" s="2">
        <v>2.5358620690000002</v>
      </c>
      <c r="S2030" s="2">
        <v>2.3558620690000001</v>
      </c>
      <c r="T2030" s="2">
        <v>0.79025844899999997</v>
      </c>
      <c r="U2030" s="2">
        <v>0.64025844899999995</v>
      </c>
      <c r="V2030" s="2">
        <v>3.3135037899999999</v>
      </c>
      <c r="W2030" s="2">
        <v>3.3029631419999999</v>
      </c>
      <c r="X2030">
        <f t="shared" si="93"/>
        <v>1</v>
      </c>
      <c r="Y2030">
        <f t="shared" si="94"/>
        <v>0</v>
      </c>
      <c r="Z2030">
        <f t="shared" si="95"/>
        <v>1</v>
      </c>
    </row>
    <row r="2031" spans="1:26" ht="15.75" customHeight="1" x14ac:dyDescent="0.2">
      <c r="A2031" s="2" t="s">
        <v>36</v>
      </c>
      <c r="B2031" s="2" t="s">
        <v>24</v>
      </c>
      <c r="C2031" s="2" t="s">
        <v>28</v>
      </c>
      <c r="D2031" s="2" t="s">
        <v>29</v>
      </c>
      <c r="E2031" s="2">
        <v>130</v>
      </c>
      <c r="F2031" s="2">
        <v>214</v>
      </c>
      <c r="G2031" s="2">
        <v>266</v>
      </c>
      <c r="H2031" s="2">
        <v>874</v>
      </c>
      <c r="I2031" s="2">
        <v>2260</v>
      </c>
      <c r="J2031" s="2">
        <v>2.11</v>
      </c>
      <c r="K2031" s="2">
        <v>2.68</v>
      </c>
      <c r="L2031" s="2">
        <v>7.74</v>
      </c>
      <c r="M2031" s="2">
        <v>13.83</v>
      </c>
      <c r="N2031" s="2">
        <v>1.3527561669999999</v>
      </c>
      <c r="O2031" s="2">
        <v>1.447796071</v>
      </c>
      <c r="P2031" s="2">
        <v>4.0175535709999997</v>
      </c>
      <c r="Q2031" s="2">
        <v>3.961322225</v>
      </c>
      <c r="R2031" s="2">
        <v>1.6527549029999999</v>
      </c>
      <c r="S2031" s="2">
        <v>1.8327549030000001</v>
      </c>
      <c r="T2031" s="2">
        <v>3.661848977</v>
      </c>
      <c r="U2031" s="2">
        <v>3.5118489770000001</v>
      </c>
      <c r="V2031" s="2">
        <v>-0.87511318199999999</v>
      </c>
      <c r="W2031" s="2">
        <v>-0.88565383099999995</v>
      </c>
      <c r="X2031">
        <f t="shared" si="93"/>
        <v>1</v>
      </c>
      <c r="Y2031">
        <f t="shared" si="94"/>
        <v>0</v>
      </c>
      <c r="Z2031">
        <f t="shared" si="95"/>
        <v>1</v>
      </c>
    </row>
    <row r="2032" spans="1:26" ht="15.75" customHeight="1" x14ac:dyDescent="0.2">
      <c r="A2032" s="2" t="s">
        <v>36</v>
      </c>
      <c r="B2032" s="2" t="s">
        <v>24</v>
      </c>
      <c r="C2032" s="2" t="s">
        <v>28</v>
      </c>
      <c r="D2032" s="2" t="s">
        <v>29</v>
      </c>
      <c r="E2032" s="2">
        <v>173</v>
      </c>
      <c r="F2032" s="2">
        <v>222</v>
      </c>
      <c r="G2032" s="2">
        <v>296</v>
      </c>
      <c r="H2032" s="2">
        <v>1203</v>
      </c>
      <c r="I2032" s="2">
        <v>2781</v>
      </c>
      <c r="J2032" s="2">
        <v>2.2000000000000002</v>
      </c>
      <c r="K2032" s="2">
        <v>2.99</v>
      </c>
      <c r="L2032" s="2">
        <v>9.67</v>
      </c>
      <c r="M2032" s="2">
        <v>15.2</v>
      </c>
      <c r="N2032" s="2">
        <v>2.1874963940000001</v>
      </c>
      <c r="O2032" s="2">
        <v>2.4104738569999999</v>
      </c>
      <c r="P2032" s="2">
        <v>2.1915415810000001</v>
      </c>
      <c r="Q2032" s="2">
        <v>2.1952861239999999</v>
      </c>
      <c r="R2032" s="2">
        <v>1.33893485</v>
      </c>
      <c r="S2032" s="2">
        <v>1.5189348499999999</v>
      </c>
      <c r="T2032" s="2">
        <v>1.7349662729999999</v>
      </c>
      <c r="U2032" s="2">
        <v>1.584966273</v>
      </c>
      <c r="V2032" s="2">
        <v>-0.56129312899999995</v>
      </c>
      <c r="W2032" s="2">
        <v>-0.57183377700000004</v>
      </c>
      <c r="X2032">
        <f t="shared" si="93"/>
        <v>1</v>
      </c>
      <c r="Y2032">
        <f t="shared" si="94"/>
        <v>0</v>
      </c>
      <c r="Z2032">
        <f t="shared" si="95"/>
        <v>1</v>
      </c>
    </row>
    <row r="2033" spans="1:26" ht="15.75" customHeight="1" x14ac:dyDescent="0.2">
      <c r="A2033" s="2" t="s">
        <v>36</v>
      </c>
      <c r="B2033" s="2" t="s">
        <v>24</v>
      </c>
      <c r="C2033" s="2" t="s">
        <v>32</v>
      </c>
      <c r="D2033" s="2" t="s">
        <v>33</v>
      </c>
      <c r="E2033" s="2">
        <v>158</v>
      </c>
      <c r="F2033" s="2">
        <v>216</v>
      </c>
      <c r="G2033" s="2">
        <v>457</v>
      </c>
      <c r="H2033" s="2">
        <v>814</v>
      </c>
      <c r="I2033" s="2">
        <v>2518</v>
      </c>
      <c r="J2033" s="2">
        <v>2.13</v>
      </c>
      <c r="K2033" s="2">
        <v>4.54</v>
      </c>
      <c r="L2033" s="2">
        <v>7.34</v>
      </c>
      <c r="M2033" s="2">
        <v>14.54</v>
      </c>
      <c r="N2033" s="2">
        <v>4.3862456459999999</v>
      </c>
      <c r="O2033" s="2">
        <v>4.3344056220000002</v>
      </c>
      <c r="P2033" s="2">
        <v>4.0660058689999996</v>
      </c>
      <c r="Q2033" s="2">
        <v>3.9107311189999998</v>
      </c>
      <c r="R2033" s="2">
        <v>0.20916425299999999</v>
      </c>
      <c r="S2033" s="2">
        <v>2.9164253000000001E-2</v>
      </c>
      <c r="T2033" s="2">
        <v>4.0606223720000001</v>
      </c>
      <c r="U2033" s="2">
        <v>3.9106223720000002</v>
      </c>
      <c r="V2033" s="2">
        <v>0.98680597400000003</v>
      </c>
      <c r="W2033" s="2">
        <v>0.97626532600000004</v>
      </c>
      <c r="X2033">
        <f t="shared" si="93"/>
        <v>1</v>
      </c>
      <c r="Y2033">
        <f t="shared" si="94"/>
        <v>0</v>
      </c>
      <c r="Z2033">
        <f t="shared" si="95"/>
        <v>1</v>
      </c>
    </row>
    <row r="2034" spans="1:26" ht="15.75" customHeight="1" x14ac:dyDescent="0.2">
      <c r="A2034" s="2" t="s">
        <v>36</v>
      </c>
      <c r="B2034" s="2" t="s">
        <v>24</v>
      </c>
      <c r="C2034" s="2" t="s">
        <v>26</v>
      </c>
      <c r="D2034" s="2" t="s">
        <v>26</v>
      </c>
      <c r="E2034" s="2">
        <v>105</v>
      </c>
      <c r="F2034" s="2">
        <v>236</v>
      </c>
      <c r="G2034" s="2">
        <v>415</v>
      </c>
      <c r="H2034" s="2">
        <v>845</v>
      </c>
      <c r="I2034" s="2">
        <v>2636</v>
      </c>
      <c r="J2034" s="2">
        <v>2.35</v>
      </c>
      <c r="K2034" s="2">
        <v>4.1500000000000004</v>
      </c>
      <c r="L2034" s="2">
        <v>7.55</v>
      </c>
      <c r="M2034" s="2">
        <v>14.85</v>
      </c>
      <c r="N2034" s="2">
        <v>0.22836946899999999</v>
      </c>
      <c r="O2034" s="2">
        <v>4.8440825999999999E-2</v>
      </c>
      <c r="P2034" s="2">
        <v>3.8553090189999999</v>
      </c>
      <c r="Q2034" s="2">
        <v>3.718335803</v>
      </c>
      <c r="R2034" s="2">
        <v>0.17530526299999999</v>
      </c>
      <c r="S2034" s="2">
        <v>0.35530526299999998</v>
      </c>
      <c r="T2034" s="2">
        <v>3.8513212929999998</v>
      </c>
      <c r="U2034" s="2">
        <v>3.7013212929999999</v>
      </c>
      <c r="V2034" s="2">
        <v>0.60233645800000002</v>
      </c>
      <c r="W2034" s="2">
        <v>0.59179581000000003</v>
      </c>
      <c r="X2034">
        <f t="shared" si="93"/>
        <v>1</v>
      </c>
      <c r="Y2034">
        <f t="shared" si="94"/>
        <v>0</v>
      </c>
      <c r="Z2034">
        <f t="shared" si="95"/>
        <v>0</v>
      </c>
    </row>
    <row r="2035" spans="1:26" ht="15.75" customHeight="1" x14ac:dyDescent="0.2">
      <c r="A2035" s="2" t="s">
        <v>36</v>
      </c>
      <c r="B2035" s="2" t="s">
        <v>24</v>
      </c>
      <c r="C2035" s="2" t="s">
        <v>25</v>
      </c>
      <c r="D2035" s="2" t="s">
        <v>25</v>
      </c>
      <c r="E2035" s="2">
        <v>183</v>
      </c>
      <c r="F2035" s="2">
        <v>213</v>
      </c>
      <c r="G2035" s="2">
        <v>576</v>
      </c>
      <c r="H2035" s="2">
        <v>1600</v>
      </c>
      <c r="I2035" s="2">
        <v>3059</v>
      </c>
      <c r="J2035" s="2">
        <v>2.1</v>
      </c>
      <c r="K2035" s="2">
        <v>5.56</v>
      </c>
      <c r="L2035" s="2">
        <v>11.52</v>
      </c>
      <c r="M2035" s="2">
        <v>15.81</v>
      </c>
      <c r="N2035" s="2">
        <v>0.120523017</v>
      </c>
      <c r="O2035" s="2">
        <v>0.77470748700000003</v>
      </c>
      <c r="P2035" s="2">
        <v>1.2322817269999999</v>
      </c>
      <c r="Q2035" s="2">
        <v>1.0803953630000001</v>
      </c>
      <c r="R2035" s="2">
        <v>1.226613645</v>
      </c>
      <c r="S2035" s="2">
        <v>1.0466136450000001</v>
      </c>
      <c r="T2035" s="2">
        <v>0.118055998</v>
      </c>
      <c r="U2035" s="2">
        <v>0.26805599800000002</v>
      </c>
      <c r="V2035" s="2">
        <v>2.0042553660000002</v>
      </c>
      <c r="W2035" s="2">
        <v>1.9937147180000001</v>
      </c>
      <c r="X2035">
        <f t="shared" si="93"/>
        <v>1</v>
      </c>
      <c r="Y2035">
        <f t="shared" si="94"/>
        <v>0</v>
      </c>
      <c r="Z2035">
        <f t="shared" si="95"/>
        <v>0</v>
      </c>
    </row>
    <row r="2036" spans="1:26" ht="15.75" customHeight="1" x14ac:dyDescent="0.2">
      <c r="A2036" s="2" t="s">
        <v>36</v>
      </c>
      <c r="B2036" s="2" t="s">
        <v>24</v>
      </c>
      <c r="C2036" s="2" t="s">
        <v>30</v>
      </c>
      <c r="D2036" s="2" t="s">
        <v>31</v>
      </c>
      <c r="E2036" s="2">
        <v>148</v>
      </c>
      <c r="F2036" s="2">
        <v>211</v>
      </c>
      <c r="G2036" s="2">
        <v>251</v>
      </c>
      <c r="H2036" s="2">
        <v>1142</v>
      </c>
      <c r="I2036" s="2">
        <v>2269</v>
      </c>
      <c r="J2036" s="2">
        <v>2.08</v>
      </c>
      <c r="K2036" s="2">
        <v>2.5099999999999998</v>
      </c>
      <c r="L2036" s="2">
        <v>9.34</v>
      </c>
      <c r="M2036" s="2">
        <v>13.85</v>
      </c>
      <c r="N2036" s="2">
        <v>4.9958483600000001</v>
      </c>
      <c r="O2036" s="2">
        <v>5.0729361649999998</v>
      </c>
      <c r="P2036" s="2">
        <v>2.7477605089999999</v>
      </c>
      <c r="Q2036" s="2">
        <v>2.7641431449999998</v>
      </c>
      <c r="R2036" s="2">
        <v>1.816440525</v>
      </c>
      <c r="S2036" s="2">
        <v>1.9964405249999999</v>
      </c>
      <c r="T2036" s="2">
        <v>2.0617302529999999</v>
      </c>
      <c r="U2036" s="2">
        <v>1.911730253</v>
      </c>
      <c r="V2036" s="2">
        <v>-1.038798804</v>
      </c>
      <c r="W2036" s="2">
        <v>-1.0493394519999999</v>
      </c>
      <c r="X2036">
        <f t="shared" si="93"/>
        <v>1</v>
      </c>
      <c r="Y2036">
        <f t="shared" si="94"/>
        <v>0</v>
      </c>
      <c r="Z2036">
        <f t="shared" si="95"/>
        <v>1</v>
      </c>
    </row>
    <row r="2037" spans="1:26" ht="15.75" customHeight="1" x14ac:dyDescent="0.2">
      <c r="A2037" s="2" t="s">
        <v>36</v>
      </c>
      <c r="B2037" s="2" t="s">
        <v>24</v>
      </c>
      <c r="C2037" s="2" t="s">
        <v>27</v>
      </c>
      <c r="D2037" s="2" t="s">
        <v>27</v>
      </c>
      <c r="E2037" s="2">
        <v>255</v>
      </c>
      <c r="F2037" s="2">
        <v>226</v>
      </c>
      <c r="G2037" s="2">
        <v>418</v>
      </c>
      <c r="H2037" s="2">
        <v>2364</v>
      </c>
      <c r="I2037" s="2">
        <v>3153</v>
      </c>
      <c r="J2037" s="2">
        <v>2.2400000000000002</v>
      </c>
      <c r="K2037" s="2">
        <v>4.18</v>
      </c>
      <c r="L2037" s="2">
        <v>14.13</v>
      </c>
      <c r="M2037" s="2">
        <v>16</v>
      </c>
      <c r="N2037" s="2">
        <v>0.10836862</v>
      </c>
      <c r="O2037" s="2">
        <v>0.113737253</v>
      </c>
      <c r="P2037" s="2">
        <v>2.731435737</v>
      </c>
      <c r="Q2037" s="2">
        <v>2.8960213050000001</v>
      </c>
      <c r="R2037" s="2">
        <v>0.14739276700000001</v>
      </c>
      <c r="S2037" s="2">
        <v>0.32739276699999997</v>
      </c>
      <c r="T2037" s="2">
        <v>2.7274560590000001</v>
      </c>
      <c r="U2037" s="2">
        <v>2.877456059</v>
      </c>
      <c r="V2037" s="2">
        <v>0.63024895400000003</v>
      </c>
      <c r="W2037" s="2">
        <v>0.61970830600000004</v>
      </c>
      <c r="X2037">
        <f t="shared" si="93"/>
        <v>1</v>
      </c>
      <c r="Y2037">
        <f t="shared" si="94"/>
        <v>0</v>
      </c>
      <c r="Z2037">
        <f t="shared" si="95"/>
        <v>0</v>
      </c>
    </row>
    <row r="2038" spans="1:26" ht="15.75" customHeight="1" x14ac:dyDescent="0.2">
      <c r="A2038" s="2" t="s">
        <v>36</v>
      </c>
      <c r="B2038" s="2" t="s">
        <v>24</v>
      </c>
      <c r="C2038" s="2" t="s">
        <v>30</v>
      </c>
      <c r="D2038" s="2" t="s">
        <v>31</v>
      </c>
      <c r="E2038" s="2">
        <v>166</v>
      </c>
      <c r="F2038" s="2">
        <v>215</v>
      </c>
      <c r="G2038" s="2">
        <v>258</v>
      </c>
      <c r="H2038" s="2">
        <v>967</v>
      </c>
      <c r="I2038" s="2">
        <v>1881</v>
      </c>
      <c r="J2038" s="2">
        <v>2.12</v>
      </c>
      <c r="K2038" s="2">
        <v>2.59</v>
      </c>
      <c r="L2038" s="2">
        <v>8.33</v>
      </c>
      <c r="M2038" s="2">
        <v>12.6</v>
      </c>
      <c r="N2038" s="2">
        <v>5.9322815149999997</v>
      </c>
      <c r="O2038" s="2">
        <v>6.0066810000000004</v>
      </c>
      <c r="P2038" s="2">
        <v>3.5301015420000001</v>
      </c>
      <c r="Q2038" s="2">
        <v>3.496030819</v>
      </c>
      <c r="R2038" s="2">
        <v>1.741433724</v>
      </c>
      <c r="S2038" s="2">
        <v>1.9214337239999999</v>
      </c>
      <c r="T2038" s="2">
        <v>3.0706718290000001</v>
      </c>
      <c r="U2038" s="2">
        <v>2.9206718290000002</v>
      </c>
      <c r="V2038" s="2">
        <v>-0.96379200300000001</v>
      </c>
      <c r="W2038" s="2">
        <v>-0.97433265099999999</v>
      </c>
      <c r="X2038">
        <f t="shared" si="93"/>
        <v>1</v>
      </c>
      <c r="Y2038">
        <f t="shared" si="94"/>
        <v>0</v>
      </c>
      <c r="Z2038">
        <f t="shared" si="95"/>
        <v>1</v>
      </c>
    </row>
    <row r="2039" spans="1:26" ht="15.75" customHeight="1" x14ac:dyDescent="0.2">
      <c r="A2039" s="2" t="s">
        <v>36</v>
      </c>
      <c r="B2039" s="2" t="s">
        <v>24</v>
      </c>
      <c r="C2039" s="2" t="s">
        <v>27</v>
      </c>
      <c r="D2039" s="2" t="s">
        <v>27</v>
      </c>
      <c r="E2039" s="2">
        <v>155</v>
      </c>
      <c r="F2039" s="2">
        <v>217</v>
      </c>
      <c r="G2039" s="2">
        <v>420</v>
      </c>
      <c r="H2039" s="2">
        <v>2286</v>
      </c>
      <c r="I2039" s="2">
        <v>3284</v>
      </c>
      <c r="J2039" s="2">
        <v>2.15</v>
      </c>
      <c r="K2039" s="2">
        <v>4.2</v>
      </c>
      <c r="L2039" s="2">
        <v>13.9</v>
      </c>
      <c r="M2039" s="2">
        <v>16.260000000000002</v>
      </c>
      <c r="N2039" s="2">
        <v>0.12999634700000001</v>
      </c>
      <c r="O2039" s="2">
        <v>0.206807031</v>
      </c>
      <c r="P2039" s="2">
        <v>2.5065519950000001</v>
      </c>
      <c r="Q2039" s="2">
        <v>2.671151659</v>
      </c>
      <c r="R2039" s="2">
        <v>0.12882352899999999</v>
      </c>
      <c r="S2039" s="2">
        <v>0.30882352899999999</v>
      </c>
      <c r="T2039" s="2">
        <v>2.5032393810000002</v>
      </c>
      <c r="U2039" s="2">
        <v>2.6532393810000001</v>
      </c>
      <c r="V2039" s="2">
        <v>0.64881819200000002</v>
      </c>
      <c r="W2039" s="2">
        <v>0.63827754299999995</v>
      </c>
      <c r="X2039">
        <f t="shared" si="93"/>
        <v>1</v>
      </c>
      <c r="Y2039">
        <f t="shared" si="94"/>
        <v>0</v>
      </c>
      <c r="Z2039">
        <f t="shared" si="95"/>
        <v>0</v>
      </c>
    </row>
    <row r="2040" spans="1:26" ht="15.75" customHeight="1" x14ac:dyDescent="0.2">
      <c r="A2040" s="2" t="s">
        <v>36</v>
      </c>
      <c r="B2040" s="2" t="s">
        <v>24</v>
      </c>
      <c r="C2040" s="2" t="s">
        <v>26</v>
      </c>
      <c r="D2040" s="2" t="s">
        <v>26</v>
      </c>
      <c r="E2040" s="2">
        <v>131</v>
      </c>
      <c r="F2040" s="2">
        <v>221</v>
      </c>
      <c r="G2040" s="2">
        <v>419</v>
      </c>
      <c r="H2040" s="2">
        <v>856</v>
      </c>
      <c r="I2040" s="2">
        <v>2620</v>
      </c>
      <c r="J2040" s="2">
        <v>2.1800000000000002</v>
      </c>
      <c r="K2040" s="2">
        <v>4.1900000000000004</v>
      </c>
      <c r="L2040" s="2">
        <v>7.62</v>
      </c>
      <c r="M2040" s="2">
        <v>14.81</v>
      </c>
      <c r="N2040" s="2">
        <v>0.19926453599999999</v>
      </c>
      <c r="O2040" s="2">
        <v>0.119344752</v>
      </c>
      <c r="P2040" s="2">
        <v>3.783005352</v>
      </c>
      <c r="Q2040" s="2">
        <v>3.6445508009999998</v>
      </c>
      <c r="R2040" s="2">
        <v>0.14119955200000001</v>
      </c>
      <c r="S2040" s="2">
        <v>0.321199552</v>
      </c>
      <c r="T2040" s="2">
        <v>3.780369318</v>
      </c>
      <c r="U2040" s="2">
        <v>3.6303693180000001</v>
      </c>
      <c r="V2040" s="2">
        <v>0.63644216899999995</v>
      </c>
      <c r="W2040" s="2">
        <v>0.62590152099999996</v>
      </c>
      <c r="X2040">
        <f t="shared" si="93"/>
        <v>1</v>
      </c>
      <c r="Y2040">
        <f t="shared" si="94"/>
        <v>0</v>
      </c>
      <c r="Z2040">
        <f t="shared" si="95"/>
        <v>0</v>
      </c>
    </row>
    <row r="2041" spans="1:26" ht="15.75" customHeight="1" x14ac:dyDescent="0.2">
      <c r="A2041" s="2" t="s">
        <v>36</v>
      </c>
      <c r="B2041" s="2" t="s">
        <v>24</v>
      </c>
      <c r="C2041" s="2" t="s">
        <v>27</v>
      </c>
      <c r="D2041" s="2" t="s">
        <v>27</v>
      </c>
      <c r="E2041" s="2">
        <v>208</v>
      </c>
      <c r="F2041" s="2">
        <v>232</v>
      </c>
      <c r="G2041" s="2">
        <v>447</v>
      </c>
      <c r="H2041" s="2">
        <v>2388</v>
      </c>
      <c r="I2041" s="2">
        <v>3085</v>
      </c>
      <c r="J2041" s="2">
        <v>2.31</v>
      </c>
      <c r="K2041" s="2">
        <v>4.45</v>
      </c>
      <c r="L2041" s="2">
        <v>14.19</v>
      </c>
      <c r="M2041" s="2">
        <v>15.86</v>
      </c>
      <c r="N2041" s="2">
        <v>0.27566532900000001</v>
      </c>
      <c r="O2041" s="2">
        <v>0.192183932</v>
      </c>
      <c r="P2041" s="2">
        <v>2.7962655600000001</v>
      </c>
      <c r="Q2041" s="2">
        <v>2.9441828719999998</v>
      </c>
      <c r="R2041" s="2">
        <v>0.12186375000000001</v>
      </c>
      <c r="S2041" s="2">
        <v>5.813625E-2</v>
      </c>
      <c r="T2041" s="2">
        <v>2.7936088319999999</v>
      </c>
      <c r="U2041" s="2">
        <v>2.9436088319999998</v>
      </c>
      <c r="V2041" s="2">
        <v>0.899505471</v>
      </c>
      <c r="W2041" s="2">
        <v>0.88896482200000004</v>
      </c>
      <c r="X2041">
        <f t="shared" si="93"/>
        <v>1</v>
      </c>
      <c r="Y2041">
        <f t="shared" si="94"/>
        <v>0</v>
      </c>
      <c r="Z2041">
        <f t="shared" si="95"/>
        <v>0</v>
      </c>
    </row>
    <row r="2042" spans="1:26" ht="15.75" customHeight="1" x14ac:dyDescent="0.2">
      <c r="A2042" s="2" t="s">
        <v>36</v>
      </c>
      <c r="B2042" s="2" t="s">
        <v>24</v>
      </c>
      <c r="C2042" s="2" t="s">
        <v>30</v>
      </c>
      <c r="D2042" s="2" t="s">
        <v>31</v>
      </c>
      <c r="E2042" s="2">
        <v>54</v>
      </c>
      <c r="F2042" s="2">
        <v>228</v>
      </c>
      <c r="G2042" s="2">
        <v>350</v>
      </c>
      <c r="H2042" s="2">
        <v>1241</v>
      </c>
      <c r="I2042" s="2">
        <v>2662</v>
      </c>
      <c r="J2042" s="2">
        <v>2.2599999999999998</v>
      </c>
      <c r="K2042" s="2">
        <v>3.53</v>
      </c>
      <c r="L2042" s="2">
        <v>9.86</v>
      </c>
      <c r="M2042" s="2">
        <v>14.91</v>
      </c>
      <c r="N2042" s="2">
        <v>4.2262737550000002</v>
      </c>
      <c r="O2042" s="2">
        <v>4.2956785059999998</v>
      </c>
      <c r="P2042" s="2">
        <v>1.733896127</v>
      </c>
      <c r="Q2042" s="2">
        <v>1.6995301199999999</v>
      </c>
      <c r="R2042" s="2">
        <v>0.80116178400000004</v>
      </c>
      <c r="S2042" s="2">
        <v>0.98116178399999998</v>
      </c>
      <c r="T2042" s="2">
        <v>1.537704645</v>
      </c>
      <c r="U2042" s="2">
        <v>1.3877046449999999</v>
      </c>
      <c r="V2042" s="2">
        <v>-2.3520063000000001E-2</v>
      </c>
      <c r="W2042" s="2">
        <v>-3.4060711E-2</v>
      </c>
      <c r="X2042">
        <f t="shared" si="93"/>
        <v>1</v>
      </c>
      <c r="Y2042">
        <f t="shared" si="94"/>
        <v>0</v>
      </c>
      <c r="Z2042">
        <f t="shared" si="95"/>
        <v>1</v>
      </c>
    </row>
    <row r="2043" spans="1:26" ht="15.75" customHeight="1" x14ac:dyDescent="0.2">
      <c r="A2043" s="2" t="s">
        <v>36</v>
      </c>
      <c r="B2043" s="2" t="s">
        <v>24</v>
      </c>
      <c r="C2043" s="2" t="s">
        <v>27</v>
      </c>
      <c r="D2043" s="2" t="s">
        <v>27</v>
      </c>
      <c r="E2043" s="2">
        <v>152</v>
      </c>
      <c r="F2043" s="2">
        <v>219</v>
      </c>
      <c r="G2043" s="2">
        <v>415</v>
      </c>
      <c r="H2043" s="2">
        <v>2232</v>
      </c>
      <c r="I2043" s="2">
        <v>3270</v>
      </c>
      <c r="J2043" s="2">
        <v>2.17</v>
      </c>
      <c r="K2043" s="2">
        <v>4.16</v>
      </c>
      <c r="L2043" s="2">
        <v>13.74</v>
      </c>
      <c r="M2043" s="2">
        <v>16.23</v>
      </c>
      <c r="N2043" s="2">
        <v>0.29517317900000001</v>
      </c>
      <c r="O2043" s="2">
        <v>0.37058880700000002</v>
      </c>
      <c r="P2043" s="2">
        <v>2.3501105779999998</v>
      </c>
      <c r="Q2043" s="2">
        <v>2.5185412129999998</v>
      </c>
      <c r="R2043" s="2">
        <v>0.17220039300000001</v>
      </c>
      <c r="S2043" s="2">
        <v>0.352200393</v>
      </c>
      <c r="T2043" s="2">
        <v>2.3437932410000002</v>
      </c>
      <c r="U2043" s="2">
        <v>2.4937932410000001</v>
      </c>
      <c r="V2043" s="2">
        <v>0.60544132799999995</v>
      </c>
      <c r="W2043" s="2">
        <v>0.59490067999999996</v>
      </c>
      <c r="X2043">
        <f t="shared" si="93"/>
        <v>1</v>
      </c>
      <c r="Y2043">
        <f t="shared" si="94"/>
        <v>0</v>
      </c>
      <c r="Z2043">
        <f t="shared" si="95"/>
        <v>0</v>
      </c>
    </row>
    <row r="2044" spans="1:26" ht="15.75" customHeight="1" x14ac:dyDescent="0.2">
      <c r="A2044" s="2" t="s">
        <v>36</v>
      </c>
      <c r="B2044" s="2" t="s">
        <v>24</v>
      </c>
      <c r="C2044" s="2" t="s">
        <v>26</v>
      </c>
      <c r="D2044" s="2" t="s">
        <v>26</v>
      </c>
      <c r="E2044" s="2">
        <v>176</v>
      </c>
      <c r="F2044" s="2">
        <v>209</v>
      </c>
      <c r="G2044" s="2">
        <v>363</v>
      </c>
      <c r="H2044" s="2">
        <v>819</v>
      </c>
      <c r="I2044" s="2">
        <v>2872</v>
      </c>
      <c r="J2044" s="2">
        <v>2.0499999999999998</v>
      </c>
      <c r="K2044" s="2">
        <v>3.66</v>
      </c>
      <c r="L2044" s="2">
        <v>7.37</v>
      </c>
      <c r="M2044" s="2">
        <v>15.41</v>
      </c>
      <c r="N2044" s="2">
        <v>0.52053597699999998</v>
      </c>
      <c r="O2044" s="2">
        <v>0.47468722299999999</v>
      </c>
      <c r="P2044" s="2">
        <v>4.0837103910000003</v>
      </c>
      <c r="Q2044" s="2">
        <v>3.9702877769999998</v>
      </c>
      <c r="R2044" s="2">
        <v>0.66733142000000001</v>
      </c>
      <c r="S2044" s="2">
        <v>0.84733141999999995</v>
      </c>
      <c r="T2044" s="2">
        <v>4.0288161210000002</v>
      </c>
      <c r="U2044" s="2">
        <v>3.8788161209999998</v>
      </c>
      <c r="V2044" s="2">
        <v>0.110310301</v>
      </c>
      <c r="W2044" s="2">
        <v>9.9769652E-2</v>
      </c>
      <c r="X2044">
        <f t="shared" si="93"/>
        <v>1</v>
      </c>
      <c r="Y2044">
        <f t="shared" si="94"/>
        <v>0</v>
      </c>
      <c r="Z2044">
        <f t="shared" si="95"/>
        <v>0</v>
      </c>
    </row>
    <row r="2045" spans="1:26" ht="15.75" customHeight="1" x14ac:dyDescent="0.2">
      <c r="A2045" s="2" t="s">
        <v>36</v>
      </c>
      <c r="B2045" s="2" t="s">
        <v>24</v>
      </c>
      <c r="C2045" s="2" t="s">
        <v>30</v>
      </c>
      <c r="D2045" s="2" t="s">
        <v>31</v>
      </c>
      <c r="E2045" s="2">
        <v>206</v>
      </c>
      <c r="F2045" s="2">
        <v>210</v>
      </c>
      <c r="G2045" s="2">
        <v>251</v>
      </c>
      <c r="H2045" s="2">
        <v>996</v>
      </c>
      <c r="I2045" s="2">
        <v>2286</v>
      </c>
      <c r="J2045" s="2">
        <v>2.0699999999999998</v>
      </c>
      <c r="K2045" s="2">
        <v>2.5099999999999998</v>
      </c>
      <c r="L2045" s="2">
        <v>8.5</v>
      </c>
      <c r="M2045" s="2">
        <v>13.9</v>
      </c>
      <c r="N2045" s="2">
        <v>5.7889142700000003</v>
      </c>
      <c r="O2045" s="2">
        <v>5.86413955</v>
      </c>
      <c r="P2045" s="2">
        <v>3.420717459</v>
      </c>
      <c r="Q2045" s="2">
        <v>3.39713822</v>
      </c>
      <c r="R2045" s="2">
        <v>1.816440525</v>
      </c>
      <c r="S2045" s="2">
        <v>1.9964405249999999</v>
      </c>
      <c r="T2045" s="2">
        <v>2.8985947900000002</v>
      </c>
      <c r="U2045" s="2">
        <v>2.7485947899999998</v>
      </c>
      <c r="V2045" s="2">
        <v>-1.038798804</v>
      </c>
      <c r="W2045" s="2">
        <v>-1.0493394519999999</v>
      </c>
      <c r="X2045">
        <f t="shared" si="93"/>
        <v>1</v>
      </c>
      <c r="Y2045">
        <f t="shared" si="94"/>
        <v>0</v>
      </c>
      <c r="Z2045">
        <f t="shared" si="95"/>
        <v>1</v>
      </c>
    </row>
    <row r="2046" spans="1:26" ht="15.75" customHeight="1" x14ac:dyDescent="0.2">
      <c r="A2046" s="2" t="s">
        <v>36</v>
      </c>
      <c r="B2046" s="2" t="s">
        <v>24</v>
      </c>
      <c r="C2046" s="2" t="s">
        <v>32</v>
      </c>
      <c r="D2046" s="2" t="s">
        <v>33</v>
      </c>
      <c r="E2046" s="2">
        <v>116</v>
      </c>
      <c r="F2046" s="2">
        <v>213</v>
      </c>
      <c r="G2046" s="2">
        <v>396</v>
      </c>
      <c r="H2046" s="2">
        <v>1017</v>
      </c>
      <c r="I2046" s="2">
        <v>3007</v>
      </c>
      <c r="J2046" s="2">
        <v>2.1</v>
      </c>
      <c r="K2046" s="2">
        <v>3.98</v>
      </c>
      <c r="L2046" s="2">
        <v>8.6300000000000008</v>
      </c>
      <c r="M2046" s="2">
        <v>15.7</v>
      </c>
      <c r="N2046" s="2">
        <v>3.3977199800000002</v>
      </c>
      <c r="O2046" s="2">
        <v>3.5404822079999998</v>
      </c>
      <c r="P2046" s="2">
        <v>2.7936779139999999</v>
      </c>
      <c r="Q2046" s="2">
        <v>2.6749809720000002</v>
      </c>
      <c r="R2046" s="2">
        <v>0.353735144</v>
      </c>
      <c r="S2046" s="2">
        <v>0.53373514399999999</v>
      </c>
      <c r="T2046" s="2">
        <v>2.771192476</v>
      </c>
      <c r="U2046" s="2">
        <v>2.621192476</v>
      </c>
      <c r="V2046" s="2">
        <v>0.42390657700000001</v>
      </c>
      <c r="W2046" s="2">
        <v>0.41336592799999999</v>
      </c>
      <c r="X2046">
        <f t="shared" si="93"/>
        <v>1</v>
      </c>
      <c r="Y2046">
        <f t="shared" si="94"/>
        <v>0</v>
      </c>
      <c r="Z2046">
        <f t="shared" si="95"/>
        <v>1</v>
      </c>
    </row>
    <row r="2047" spans="1:26" ht="15.75" customHeight="1" x14ac:dyDescent="0.2">
      <c r="A2047" s="2" t="s">
        <v>36</v>
      </c>
      <c r="B2047" s="2" t="s">
        <v>24</v>
      </c>
      <c r="C2047" s="2" t="s">
        <v>28</v>
      </c>
      <c r="D2047" s="2" t="s">
        <v>29</v>
      </c>
      <c r="E2047" s="2">
        <v>175</v>
      </c>
      <c r="F2047" s="2">
        <v>218</v>
      </c>
      <c r="G2047" s="2">
        <v>294</v>
      </c>
      <c r="H2047" s="2">
        <v>851</v>
      </c>
      <c r="I2047" s="2">
        <v>2639</v>
      </c>
      <c r="J2047" s="2">
        <v>2.15</v>
      </c>
      <c r="K2047" s="2">
        <v>2.97</v>
      </c>
      <c r="L2047" s="2">
        <v>7.59</v>
      </c>
      <c r="M2047" s="2">
        <v>14.85</v>
      </c>
      <c r="N2047" s="2">
        <v>1.0740774740000001</v>
      </c>
      <c r="O2047" s="2">
        <v>1.1444359980000001</v>
      </c>
      <c r="P2047" s="2">
        <v>4.049831491</v>
      </c>
      <c r="Q2047" s="2">
        <v>3.975256275</v>
      </c>
      <c r="R2047" s="2">
        <v>1.363043478</v>
      </c>
      <c r="S2047" s="2">
        <v>1.543043478</v>
      </c>
      <c r="T2047" s="2">
        <v>3.8135610099999999</v>
      </c>
      <c r="U2047" s="2">
        <v>3.66356101</v>
      </c>
      <c r="V2047" s="2">
        <v>-0.58540175699999997</v>
      </c>
      <c r="W2047" s="2">
        <v>-0.59594240600000004</v>
      </c>
      <c r="X2047">
        <f t="shared" si="93"/>
        <v>1</v>
      </c>
      <c r="Y2047">
        <f t="shared" si="94"/>
        <v>0</v>
      </c>
      <c r="Z2047">
        <f t="shared" si="95"/>
        <v>1</v>
      </c>
    </row>
    <row r="2048" spans="1:26" ht="15.75" customHeight="1" x14ac:dyDescent="0.2">
      <c r="A2048" s="2" t="s">
        <v>36</v>
      </c>
      <c r="B2048" s="2" t="s">
        <v>24</v>
      </c>
      <c r="C2048" s="2" t="s">
        <v>28</v>
      </c>
      <c r="D2048" s="2" t="s">
        <v>29</v>
      </c>
      <c r="E2048" s="2">
        <v>205</v>
      </c>
      <c r="F2048" s="2">
        <v>224</v>
      </c>
      <c r="G2048" s="2">
        <v>272</v>
      </c>
      <c r="H2048" s="2">
        <v>975</v>
      </c>
      <c r="I2048" s="2">
        <v>2134</v>
      </c>
      <c r="J2048" s="2">
        <v>2.2200000000000002</v>
      </c>
      <c r="K2048" s="2">
        <v>2.74</v>
      </c>
      <c r="L2048" s="2">
        <v>8.3800000000000008</v>
      </c>
      <c r="M2048" s="2">
        <v>13.44</v>
      </c>
      <c r="N2048" s="2">
        <v>1.4386454120000001</v>
      </c>
      <c r="O2048" s="2">
        <v>1.6107627689999999</v>
      </c>
      <c r="P2048" s="2">
        <v>3.414219026</v>
      </c>
      <c r="Q2048" s="2">
        <v>3.3730432430000001</v>
      </c>
      <c r="R2048" s="2">
        <v>1.5893161119999999</v>
      </c>
      <c r="S2048" s="2">
        <v>1.7693161120000001</v>
      </c>
      <c r="T2048" s="2">
        <v>3.0217488079999999</v>
      </c>
      <c r="U2048" s="2">
        <v>2.871748808</v>
      </c>
      <c r="V2048" s="2">
        <v>-0.81167439100000005</v>
      </c>
      <c r="W2048" s="2">
        <v>-0.82221503900000004</v>
      </c>
      <c r="X2048">
        <f t="shared" si="93"/>
        <v>1</v>
      </c>
      <c r="Y2048">
        <f t="shared" si="94"/>
        <v>0</v>
      </c>
      <c r="Z2048">
        <f t="shared" si="95"/>
        <v>1</v>
      </c>
    </row>
    <row r="2049" spans="1:26" ht="15.75" customHeight="1" x14ac:dyDescent="0.2">
      <c r="A2049" s="2" t="s">
        <v>36</v>
      </c>
      <c r="B2049" s="2" t="s">
        <v>24</v>
      </c>
      <c r="C2049" s="2" t="s">
        <v>26</v>
      </c>
      <c r="D2049" s="2" t="s">
        <v>26</v>
      </c>
      <c r="E2049" s="2">
        <v>145</v>
      </c>
      <c r="F2049" s="2">
        <v>217</v>
      </c>
      <c r="G2049" s="2">
        <v>400</v>
      </c>
      <c r="H2049" s="2">
        <v>931</v>
      </c>
      <c r="I2049" s="2">
        <v>2966</v>
      </c>
      <c r="J2049" s="2">
        <v>2.14</v>
      </c>
      <c r="K2049" s="2">
        <v>4.01</v>
      </c>
      <c r="L2049" s="2">
        <v>8.11</v>
      </c>
      <c r="M2049" s="2">
        <v>15.61</v>
      </c>
      <c r="N2049" s="2">
        <v>0.36617107399999999</v>
      </c>
      <c r="O2049" s="2">
        <v>0.58376075199999999</v>
      </c>
      <c r="P2049" s="2">
        <v>3.3092909640000001</v>
      </c>
      <c r="Q2049" s="2">
        <v>3.1830472140000001</v>
      </c>
      <c r="R2049" s="2">
        <v>0.31593220300000002</v>
      </c>
      <c r="S2049" s="2">
        <v>0.49593220300000002</v>
      </c>
      <c r="T2049" s="2">
        <v>3.294175697</v>
      </c>
      <c r="U2049" s="2">
        <v>3.1441756970000001</v>
      </c>
      <c r="V2049" s="2">
        <v>0.46170951799999999</v>
      </c>
      <c r="W2049" s="2">
        <v>0.45116886899999997</v>
      </c>
      <c r="X2049">
        <f t="shared" si="93"/>
        <v>1</v>
      </c>
      <c r="Y2049">
        <f t="shared" si="94"/>
        <v>0</v>
      </c>
      <c r="Z2049">
        <f t="shared" si="95"/>
        <v>0</v>
      </c>
    </row>
    <row r="2050" spans="1:26" ht="15.75" customHeight="1" x14ac:dyDescent="0.2">
      <c r="A2050" s="2" t="s">
        <v>36</v>
      </c>
      <c r="B2050" s="2" t="s">
        <v>24</v>
      </c>
      <c r="C2050" s="2" t="s">
        <v>25</v>
      </c>
      <c r="D2050" s="2" t="s">
        <v>25</v>
      </c>
      <c r="E2050" s="2">
        <v>155</v>
      </c>
      <c r="F2050" s="2">
        <v>225</v>
      </c>
      <c r="G2050" s="2">
        <v>539</v>
      </c>
      <c r="H2050" s="2">
        <v>1427</v>
      </c>
      <c r="I2050" s="2">
        <v>2483</v>
      </c>
      <c r="J2050" s="2">
        <v>2.23</v>
      </c>
      <c r="K2050" s="2">
        <v>5.25</v>
      </c>
      <c r="L2050" s="2">
        <v>10.77</v>
      </c>
      <c r="M2050" s="2">
        <v>14.45</v>
      </c>
      <c r="N2050" s="2">
        <v>0.90936040200000001</v>
      </c>
      <c r="O2050" s="2">
        <v>1.175249105</v>
      </c>
      <c r="P2050" s="2">
        <v>1.118815254</v>
      </c>
      <c r="Q2050" s="2">
        <v>0.88579848699999997</v>
      </c>
      <c r="R2050" s="2">
        <v>0.92254902000000005</v>
      </c>
      <c r="S2050" s="2">
        <v>0.74254902</v>
      </c>
      <c r="T2050" s="2">
        <v>0.63296988799999998</v>
      </c>
      <c r="U2050" s="2">
        <v>0.48296988800000001</v>
      </c>
      <c r="V2050" s="2">
        <v>1.7001907409999999</v>
      </c>
      <c r="W2050" s="2">
        <v>1.6896500919999999</v>
      </c>
      <c r="X2050">
        <f t="shared" si="93"/>
        <v>1</v>
      </c>
      <c r="Y2050">
        <f t="shared" si="94"/>
        <v>0</v>
      </c>
      <c r="Z2050">
        <f t="shared" si="95"/>
        <v>0</v>
      </c>
    </row>
    <row r="2051" spans="1:26" ht="15.75" customHeight="1" x14ac:dyDescent="0.2">
      <c r="A2051" s="2" t="s">
        <v>36</v>
      </c>
      <c r="B2051" s="2" t="s">
        <v>24</v>
      </c>
      <c r="C2051" s="2" t="s">
        <v>30</v>
      </c>
      <c r="D2051" s="2" t="s">
        <v>31</v>
      </c>
      <c r="E2051" s="2">
        <v>177</v>
      </c>
      <c r="F2051" s="2">
        <v>232</v>
      </c>
      <c r="G2051" s="2">
        <v>434</v>
      </c>
      <c r="H2051" s="2">
        <v>1460</v>
      </c>
      <c r="I2051" s="2">
        <v>2694</v>
      </c>
      <c r="J2051" s="2">
        <v>2.2999999999999998</v>
      </c>
      <c r="K2051" s="2">
        <v>4.33</v>
      </c>
      <c r="L2051" s="2">
        <v>10.92</v>
      </c>
      <c r="M2051" s="2">
        <v>14.99</v>
      </c>
      <c r="N2051" s="2">
        <v>3.1148160069999999</v>
      </c>
      <c r="O2051" s="2">
        <v>3.1735163810000002</v>
      </c>
      <c r="P2051" s="2">
        <v>0.48330582900000002</v>
      </c>
      <c r="Q2051" s="2">
        <v>0.380118762</v>
      </c>
      <c r="R2051" s="2">
        <v>2.7642389999999999E-3</v>
      </c>
      <c r="S2051" s="2">
        <v>0.182764239</v>
      </c>
      <c r="T2051" s="2">
        <v>0.48329792399999999</v>
      </c>
      <c r="U2051" s="2">
        <v>0.33329792400000002</v>
      </c>
      <c r="V2051" s="2">
        <v>0.77487748199999995</v>
      </c>
      <c r="W2051" s="2">
        <v>0.76433683399999996</v>
      </c>
      <c r="X2051">
        <f t="shared" ref="X2051:X2114" si="96">IF(B2051="normal",1,0)</f>
        <v>1</v>
      </c>
      <c r="Y2051">
        <f t="shared" ref="Y2051:Y2114" si="97">IF(A2051="lecture",1,0)</f>
        <v>0</v>
      </c>
      <c r="Z2051">
        <f t="shared" ref="Z2051:Z2114" si="98">IF(ISNUMBER(FIND("~",D2051)),1,0)</f>
        <v>1</v>
      </c>
    </row>
    <row r="2052" spans="1:26" ht="15.75" customHeight="1" x14ac:dyDescent="0.2">
      <c r="A2052" s="2" t="s">
        <v>36</v>
      </c>
      <c r="B2052" s="2" t="s">
        <v>24</v>
      </c>
      <c r="C2052" s="2" t="s">
        <v>28</v>
      </c>
      <c r="D2052" s="2" t="s">
        <v>29</v>
      </c>
      <c r="E2052" s="2">
        <v>91</v>
      </c>
      <c r="F2052" s="2">
        <v>223</v>
      </c>
      <c r="G2052" s="2">
        <v>285</v>
      </c>
      <c r="H2052" s="2">
        <v>1059</v>
      </c>
      <c r="I2052" s="2">
        <v>2348</v>
      </c>
      <c r="J2052" s="2">
        <v>2.21</v>
      </c>
      <c r="K2052" s="2">
        <v>2.87</v>
      </c>
      <c r="L2052" s="2">
        <v>8.8699999999999992</v>
      </c>
      <c r="M2052" s="2">
        <v>14.08</v>
      </c>
      <c r="N2052" s="2">
        <v>1.618621691</v>
      </c>
      <c r="O2052" s="2">
        <v>1.825131351</v>
      </c>
      <c r="P2052" s="2">
        <v>2.9171777739999998</v>
      </c>
      <c r="Q2052" s="2">
        <v>2.8863301039999998</v>
      </c>
      <c r="R2052" s="2">
        <v>1.4565033409999999</v>
      </c>
      <c r="S2052" s="2">
        <v>1.6365033410000001</v>
      </c>
      <c r="T2052" s="2">
        <v>2.527553004</v>
      </c>
      <c r="U2052" s="2">
        <v>2.3775530040000001</v>
      </c>
      <c r="V2052" s="2">
        <v>-0.67886162000000005</v>
      </c>
      <c r="W2052" s="2">
        <v>-0.68940226800000004</v>
      </c>
      <c r="X2052">
        <f t="shared" si="96"/>
        <v>1</v>
      </c>
      <c r="Y2052">
        <f t="shared" si="97"/>
        <v>0</v>
      </c>
      <c r="Z2052">
        <f t="shared" si="98"/>
        <v>1</v>
      </c>
    </row>
    <row r="2053" spans="1:26" ht="15.75" customHeight="1" x14ac:dyDescent="0.2">
      <c r="A2053" s="2" t="s">
        <v>36</v>
      </c>
      <c r="B2053" s="2" t="s">
        <v>24</v>
      </c>
      <c r="C2053" s="2" t="s">
        <v>28</v>
      </c>
      <c r="D2053" s="2" t="s">
        <v>29</v>
      </c>
      <c r="E2053" s="2">
        <v>143</v>
      </c>
      <c r="F2053" s="2">
        <v>222</v>
      </c>
      <c r="G2053" s="2">
        <v>261</v>
      </c>
      <c r="H2053" s="2">
        <v>1228</v>
      </c>
      <c r="I2053" s="2">
        <v>2379</v>
      </c>
      <c r="J2053" s="2">
        <v>2.19</v>
      </c>
      <c r="K2053" s="2">
        <v>2.62</v>
      </c>
      <c r="L2053" s="2">
        <v>9.8000000000000007</v>
      </c>
      <c r="M2053" s="2">
        <v>14.17</v>
      </c>
      <c r="N2053" s="2">
        <v>2.4941828500000001</v>
      </c>
      <c r="O2053" s="2">
        <v>2.7130736259999999</v>
      </c>
      <c r="P2053" s="2">
        <v>2.3471785199999999</v>
      </c>
      <c r="Q2053" s="2">
        <v>2.387346516</v>
      </c>
      <c r="R2053" s="2">
        <v>1.7129840890000001</v>
      </c>
      <c r="S2053" s="2">
        <v>1.892984089</v>
      </c>
      <c r="T2053" s="2">
        <v>1.6046596259999999</v>
      </c>
      <c r="U2053" s="2">
        <v>1.454659626</v>
      </c>
      <c r="V2053" s="2">
        <v>-0.93534236800000004</v>
      </c>
      <c r="W2053" s="2">
        <v>-0.94588301600000002</v>
      </c>
      <c r="X2053">
        <f t="shared" si="96"/>
        <v>1</v>
      </c>
      <c r="Y2053">
        <f t="shared" si="97"/>
        <v>0</v>
      </c>
      <c r="Z2053">
        <f t="shared" si="98"/>
        <v>1</v>
      </c>
    </row>
    <row r="2054" spans="1:26" ht="15.75" customHeight="1" x14ac:dyDescent="0.2">
      <c r="A2054" s="2" t="s">
        <v>36</v>
      </c>
      <c r="B2054" s="2" t="s">
        <v>24</v>
      </c>
      <c r="C2054" s="2" t="s">
        <v>32</v>
      </c>
      <c r="D2054" s="2" t="s">
        <v>33</v>
      </c>
      <c r="E2054" s="2">
        <v>145</v>
      </c>
      <c r="F2054" s="2">
        <v>223</v>
      </c>
      <c r="G2054" s="2">
        <v>315</v>
      </c>
      <c r="H2054" s="2">
        <v>808</v>
      </c>
      <c r="I2054" s="2">
        <v>2080</v>
      </c>
      <c r="J2054" s="2">
        <v>2.21</v>
      </c>
      <c r="K2054" s="2">
        <v>3.19</v>
      </c>
      <c r="L2054" s="2">
        <v>7.3</v>
      </c>
      <c r="M2054" s="2">
        <v>13.27</v>
      </c>
      <c r="N2054" s="2">
        <v>4.9472490579999997</v>
      </c>
      <c r="O2054" s="2">
        <v>5.0726292700000002</v>
      </c>
      <c r="P2054" s="2">
        <v>4.2605490210000001</v>
      </c>
      <c r="Q2054" s="2">
        <v>4.1698916700000002</v>
      </c>
      <c r="R2054" s="2">
        <v>1.14446235</v>
      </c>
      <c r="S2054" s="2">
        <v>1.3244623499999999</v>
      </c>
      <c r="T2054" s="2">
        <v>4.1039595379999998</v>
      </c>
      <c r="U2054" s="2">
        <v>3.9539595379999999</v>
      </c>
      <c r="V2054" s="2">
        <v>-0.36682062900000001</v>
      </c>
      <c r="W2054" s="2">
        <v>-0.37736127699999999</v>
      </c>
      <c r="X2054">
        <f t="shared" si="96"/>
        <v>1</v>
      </c>
      <c r="Y2054">
        <f t="shared" si="97"/>
        <v>0</v>
      </c>
      <c r="Z2054">
        <f t="shared" si="98"/>
        <v>1</v>
      </c>
    </row>
    <row r="2055" spans="1:26" ht="15.75" customHeight="1" x14ac:dyDescent="0.2">
      <c r="A2055" s="2" t="s">
        <v>36</v>
      </c>
      <c r="B2055" s="2" t="s">
        <v>24</v>
      </c>
      <c r="C2055" s="2" t="s">
        <v>25</v>
      </c>
      <c r="D2055" s="2" t="s">
        <v>25</v>
      </c>
      <c r="E2055" s="2">
        <v>83</v>
      </c>
      <c r="F2055" s="2">
        <v>219</v>
      </c>
      <c r="G2055" s="2">
        <v>616</v>
      </c>
      <c r="H2055" s="2">
        <v>1551</v>
      </c>
      <c r="I2055" s="2">
        <v>3032</v>
      </c>
      <c r="J2055" s="2">
        <v>2.16</v>
      </c>
      <c r="K2055" s="2">
        <v>5.88</v>
      </c>
      <c r="L2055" s="2">
        <v>11.31</v>
      </c>
      <c r="M2055" s="2">
        <v>15.75</v>
      </c>
      <c r="N2055" s="2">
        <v>0.34573709200000002</v>
      </c>
      <c r="O2055" s="2">
        <v>0.42172423399999998</v>
      </c>
      <c r="P2055" s="2">
        <v>1.5509446099999999</v>
      </c>
      <c r="Q2055" s="2">
        <v>1.3698515520000001</v>
      </c>
      <c r="R2055" s="2">
        <v>1.548447004</v>
      </c>
      <c r="S2055" s="2">
        <v>1.3684470040000001</v>
      </c>
      <c r="T2055" s="2">
        <v>8.7983289000000006E-2</v>
      </c>
      <c r="U2055" s="2">
        <v>6.2016711000000002E-2</v>
      </c>
      <c r="V2055" s="2">
        <v>2.326088725</v>
      </c>
      <c r="W2055" s="2">
        <v>2.3155480769999999</v>
      </c>
      <c r="X2055">
        <f t="shared" si="96"/>
        <v>1</v>
      </c>
      <c r="Y2055">
        <f t="shared" si="97"/>
        <v>0</v>
      </c>
      <c r="Z2055">
        <f t="shared" si="98"/>
        <v>0</v>
      </c>
    </row>
    <row r="2056" spans="1:26" ht="15.75" customHeight="1" x14ac:dyDescent="0.2">
      <c r="A2056" s="2" t="s">
        <v>36</v>
      </c>
      <c r="B2056" s="2" t="s">
        <v>24</v>
      </c>
      <c r="C2056" s="2" t="s">
        <v>27</v>
      </c>
      <c r="D2056" s="2" t="s">
        <v>27</v>
      </c>
      <c r="E2056" s="2">
        <v>186</v>
      </c>
      <c r="F2056" s="2">
        <v>220</v>
      </c>
      <c r="G2056" s="2">
        <v>416</v>
      </c>
      <c r="H2056" s="2">
        <v>2440</v>
      </c>
      <c r="I2056" s="2">
        <v>3173</v>
      </c>
      <c r="J2056" s="2">
        <v>2.17</v>
      </c>
      <c r="K2056" s="2">
        <v>4.16</v>
      </c>
      <c r="L2056" s="2">
        <v>14.34</v>
      </c>
      <c r="M2056" s="2">
        <v>16.04</v>
      </c>
      <c r="N2056" s="2">
        <v>0.31503446899999998</v>
      </c>
      <c r="O2056" s="2">
        <v>0.279024457</v>
      </c>
      <c r="P2056" s="2">
        <v>2.9422268310000002</v>
      </c>
      <c r="Q2056" s="2">
        <v>3.107037579</v>
      </c>
      <c r="R2056" s="2">
        <v>0.16909639400000001</v>
      </c>
      <c r="S2056" s="2">
        <v>0.34909639399999998</v>
      </c>
      <c r="T2056" s="2">
        <v>2.9373636360000002</v>
      </c>
      <c r="U2056" s="2">
        <v>3.0873636360000001</v>
      </c>
      <c r="V2056" s="2">
        <v>0.60854532699999997</v>
      </c>
      <c r="W2056" s="2">
        <v>0.59800467899999998</v>
      </c>
      <c r="X2056">
        <f t="shared" si="96"/>
        <v>1</v>
      </c>
      <c r="Y2056">
        <f t="shared" si="97"/>
        <v>0</v>
      </c>
      <c r="Z2056">
        <f t="shared" si="98"/>
        <v>0</v>
      </c>
    </row>
    <row r="2057" spans="1:26" ht="15.75" customHeight="1" x14ac:dyDescent="0.2">
      <c r="A2057" s="2" t="s">
        <v>36</v>
      </c>
      <c r="B2057" s="2" t="s">
        <v>24</v>
      </c>
      <c r="C2057" s="2" t="s">
        <v>32</v>
      </c>
      <c r="D2057" s="2" t="s">
        <v>33</v>
      </c>
      <c r="E2057" s="2">
        <v>185</v>
      </c>
      <c r="F2057" s="2">
        <v>226</v>
      </c>
      <c r="G2057" s="2">
        <v>273</v>
      </c>
      <c r="H2057" s="2">
        <v>1065</v>
      </c>
      <c r="I2057" s="2">
        <v>2229</v>
      </c>
      <c r="J2057" s="2">
        <v>2.2400000000000002</v>
      </c>
      <c r="K2057" s="2">
        <v>2.74</v>
      </c>
      <c r="L2057" s="2">
        <v>8.91</v>
      </c>
      <c r="M2057" s="2">
        <v>13.74</v>
      </c>
      <c r="N2057" s="2">
        <v>3.9543286009999998</v>
      </c>
      <c r="O2057" s="2">
        <v>4.2849878339999998</v>
      </c>
      <c r="P2057" s="2">
        <v>2.9530295290000002</v>
      </c>
      <c r="Q2057" s="2">
        <v>2.9323778389999999</v>
      </c>
      <c r="R2057" s="2">
        <v>1.585801732</v>
      </c>
      <c r="S2057" s="2">
        <v>1.7658017319999999</v>
      </c>
      <c r="T2057" s="2">
        <v>2.4911074379999998</v>
      </c>
      <c r="U2057" s="2">
        <v>2.3411074379999999</v>
      </c>
      <c r="V2057" s="2">
        <v>-0.80816001100000001</v>
      </c>
      <c r="W2057" s="2">
        <v>-0.818700659</v>
      </c>
      <c r="X2057">
        <f t="shared" si="96"/>
        <v>1</v>
      </c>
      <c r="Y2057">
        <f t="shared" si="97"/>
        <v>0</v>
      </c>
      <c r="Z2057">
        <f t="shared" si="98"/>
        <v>1</v>
      </c>
    </row>
    <row r="2058" spans="1:26" ht="15.75" customHeight="1" x14ac:dyDescent="0.2">
      <c r="A2058" s="2" t="s">
        <v>36</v>
      </c>
      <c r="B2058" s="2" t="s">
        <v>24</v>
      </c>
      <c r="C2058" s="2" t="s">
        <v>28</v>
      </c>
      <c r="D2058" s="2" t="s">
        <v>29</v>
      </c>
      <c r="E2058" s="2">
        <v>91</v>
      </c>
      <c r="F2058" s="2">
        <v>224</v>
      </c>
      <c r="G2058" s="2">
        <v>276</v>
      </c>
      <c r="H2058" s="2">
        <v>1076</v>
      </c>
      <c r="I2058" s="2">
        <v>2193</v>
      </c>
      <c r="J2058" s="2">
        <v>2.2200000000000002</v>
      </c>
      <c r="K2058" s="2">
        <v>2.78</v>
      </c>
      <c r="L2058" s="2">
        <v>8.9700000000000006</v>
      </c>
      <c r="M2058" s="2">
        <v>13.63</v>
      </c>
      <c r="N2058" s="2">
        <v>1.7516476089999999</v>
      </c>
      <c r="O2058" s="2">
        <v>1.9582886209999999</v>
      </c>
      <c r="P2058" s="2">
        <v>2.880816437</v>
      </c>
      <c r="Q2058" s="2">
        <v>2.8604159070000001</v>
      </c>
      <c r="R2058" s="2">
        <v>1.5472126989999999</v>
      </c>
      <c r="S2058" s="2">
        <v>1.7272126990000001</v>
      </c>
      <c r="T2058" s="2">
        <v>2.4300691780000001</v>
      </c>
      <c r="U2058" s="2">
        <v>2.2800691780000002</v>
      </c>
      <c r="V2058" s="2">
        <v>-0.76957097799999996</v>
      </c>
      <c r="W2058" s="2">
        <v>-0.78011162700000003</v>
      </c>
      <c r="X2058">
        <f t="shared" si="96"/>
        <v>1</v>
      </c>
      <c r="Y2058">
        <f t="shared" si="97"/>
        <v>0</v>
      </c>
      <c r="Z2058">
        <f t="shared" si="98"/>
        <v>1</v>
      </c>
    </row>
    <row r="2059" spans="1:26" ht="15.75" customHeight="1" x14ac:dyDescent="0.2">
      <c r="A2059" s="2" t="s">
        <v>36</v>
      </c>
      <c r="B2059" s="2" t="s">
        <v>24</v>
      </c>
      <c r="C2059" s="2" t="s">
        <v>27</v>
      </c>
      <c r="D2059" s="2" t="s">
        <v>27</v>
      </c>
      <c r="E2059" s="2">
        <v>169</v>
      </c>
      <c r="F2059" s="2">
        <v>216</v>
      </c>
      <c r="G2059" s="2">
        <v>425</v>
      </c>
      <c r="H2059" s="2">
        <v>2323</v>
      </c>
      <c r="I2059" s="2">
        <v>3022</v>
      </c>
      <c r="J2059" s="2">
        <v>2.13</v>
      </c>
      <c r="K2059" s="2">
        <v>4.25</v>
      </c>
      <c r="L2059" s="2">
        <v>14.01</v>
      </c>
      <c r="M2059" s="2">
        <v>15.73</v>
      </c>
      <c r="N2059" s="2">
        <v>2.8553206000000001E-2</v>
      </c>
      <c r="O2059" s="2">
        <v>8.9050810999999994E-2</v>
      </c>
      <c r="P2059" s="2">
        <v>2.611377252</v>
      </c>
      <c r="Q2059" s="2">
        <v>2.7723359099999998</v>
      </c>
      <c r="R2059" s="2">
        <v>7.9457797999999996E-2</v>
      </c>
      <c r="S2059" s="2">
        <v>0.25945779800000002</v>
      </c>
      <c r="T2059" s="2">
        <v>2.61016812</v>
      </c>
      <c r="U2059" s="2">
        <v>2.7601681199999999</v>
      </c>
      <c r="V2059" s="2">
        <v>0.69818392299999998</v>
      </c>
      <c r="W2059" s="2">
        <v>0.687643275</v>
      </c>
      <c r="X2059">
        <f t="shared" si="96"/>
        <v>1</v>
      </c>
      <c r="Y2059">
        <f t="shared" si="97"/>
        <v>0</v>
      </c>
      <c r="Z2059">
        <f t="shared" si="98"/>
        <v>0</v>
      </c>
    </row>
    <row r="2060" spans="1:26" ht="15.75" customHeight="1" x14ac:dyDescent="0.2">
      <c r="A2060" s="2" t="s">
        <v>36</v>
      </c>
      <c r="B2060" s="2" t="s">
        <v>24</v>
      </c>
      <c r="C2060" s="2" t="s">
        <v>26</v>
      </c>
      <c r="D2060" s="2" t="s">
        <v>26</v>
      </c>
      <c r="E2060" s="2">
        <v>200</v>
      </c>
      <c r="F2060" s="2">
        <v>229</v>
      </c>
      <c r="G2060" s="2">
        <v>439</v>
      </c>
      <c r="H2060" s="2">
        <v>845</v>
      </c>
      <c r="I2060" s="2">
        <v>2636</v>
      </c>
      <c r="J2060" s="2">
        <v>2.2799999999999998</v>
      </c>
      <c r="K2060" s="2">
        <v>4.38</v>
      </c>
      <c r="L2060" s="2">
        <v>7.55</v>
      </c>
      <c r="M2060" s="2">
        <v>14.85</v>
      </c>
      <c r="N2060" s="2">
        <v>0.39648988099999999</v>
      </c>
      <c r="O2060" s="2">
        <v>0.266548277</v>
      </c>
      <c r="P2060" s="2">
        <v>3.853822257</v>
      </c>
      <c r="Q2060" s="2">
        <v>3.70596916</v>
      </c>
      <c r="R2060" s="2">
        <v>4.6040017000000003E-2</v>
      </c>
      <c r="S2060" s="2">
        <v>0.133959983</v>
      </c>
      <c r="T2060" s="2">
        <v>3.8535472369999999</v>
      </c>
      <c r="U2060" s="2">
        <v>3.703547237</v>
      </c>
      <c r="V2060" s="2">
        <v>0.823681738</v>
      </c>
      <c r="W2060" s="2">
        <v>0.81314108900000004</v>
      </c>
      <c r="X2060">
        <f t="shared" si="96"/>
        <v>1</v>
      </c>
      <c r="Y2060">
        <f t="shared" si="97"/>
        <v>0</v>
      </c>
      <c r="Z2060">
        <f t="shared" si="98"/>
        <v>0</v>
      </c>
    </row>
    <row r="2061" spans="1:26" ht="15.75" customHeight="1" x14ac:dyDescent="0.2">
      <c r="A2061" s="2" t="s">
        <v>36</v>
      </c>
      <c r="B2061" s="2" t="s">
        <v>24</v>
      </c>
      <c r="C2061" s="2" t="s">
        <v>27</v>
      </c>
      <c r="D2061" s="2" t="s">
        <v>27</v>
      </c>
      <c r="E2061" s="2">
        <v>133</v>
      </c>
      <c r="F2061" s="2">
        <v>222</v>
      </c>
      <c r="G2061" s="2">
        <v>420</v>
      </c>
      <c r="H2061" s="2">
        <v>2288</v>
      </c>
      <c r="I2061" s="2">
        <v>3045</v>
      </c>
      <c r="J2061" s="2">
        <v>2.2000000000000002</v>
      </c>
      <c r="K2061" s="2">
        <v>4.2</v>
      </c>
      <c r="L2061" s="2">
        <v>13.91</v>
      </c>
      <c r="M2061" s="2">
        <v>15.78</v>
      </c>
      <c r="N2061" s="2">
        <v>0.121742183</v>
      </c>
      <c r="O2061" s="2">
        <v>0.19846403600000001</v>
      </c>
      <c r="P2061" s="2">
        <v>2.5141540990000002</v>
      </c>
      <c r="Q2061" s="2">
        <v>2.6785139</v>
      </c>
      <c r="R2061" s="2">
        <v>0.12573169000000001</v>
      </c>
      <c r="S2061" s="2">
        <v>0.30573169</v>
      </c>
      <c r="T2061" s="2">
        <v>2.5110082390000001</v>
      </c>
      <c r="U2061" s="2">
        <v>2.6610082390000001</v>
      </c>
      <c r="V2061" s="2">
        <v>0.651910031</v>
      </c>
      <c r="W2061" s="2">
        <v>0.64136938200000004</v>
      </c>
      <c r="X2061">
        <f t="shared" si="96"/>
        <v>1</v>
      </c>
      <c r="Y2061">
        <f t="shared" si="97"/>
        <v>0</v>
      </c>
      <c r="Z2061">
        <f t="shared" si="98"/>
        <v>0</v>
      </c>
    </row>
    <row r="2062" spans="1:26" ht="15.75" customHeight="1" x14ac:dyDescent="0.2">
      <c r="A2062" s="2" t="s">
        <v>36</v>
      </c>
      <c r="B2062" s="2" t="s">
        <v>24</v>
      </c>
      <c r="C2062" s="2" t="s">
        <v>27</v>
      </c>
      <c r="D2062" s="2" t="s">
        <v>27</v>
      </c>
      <c r="E2062" s="2">
        <v>198</v>
      </c>
      <c r="F2062" s="2">
        <v>220</v>
      </c>
      <c r="G2062" s="2">
        <v>430</v>
      </c>
      <c r="H2062" s="2">
        <v>2305</v>
      </c>
      <c r="I2062" s="2">
        <v>3087</v>
      </c>
      <c r="J2062" s="2">
        <v>2.17</v>
      </c>
      <c r="K2062" s="2">
        <v>4.29</v>
      </c>
      <c r="L2062" s="2">
        <v>13.96</v>
      </c>
      <c r="M2062" s="2">
        <v>15.87</v>
      </c>
      <c r="N2062" s="2">
        <v>9.5035618000000002E-2</v>
      </c>
      <c r="O2062" s="2">
        <v>0.13070490100000001</v>
      </c>
      <c r="P2062" s="2">
        <v>2.5596029470000001</v>
      </c>
      <c r="Q2062" s="2">
        <v>2.7179753419999999</v>
      </c>
      <c r="R2062" s="2">
        <v>3.6443515000000003E-2</v>
      </c>
      <c r="S2062" s="2">
        <v>0.216443515</v>
      </c>
      <c r="T2062" s="2">
        <v>2.5593434940000002</v>
      </c>
      <c r="U2062" s="2">
        <v>2.7093434940000001</v>
      </c>
      <c r="V2062" s="2">
        <v>0.74119820599999997</v>
      </c>
      <c r="W2062" s="2">
        <v>0.73065755799999998</v>
      </c>
      <c r="X2062">
        <f t="shared" si="96"/>
        <v>1</v>
      </c>
      <c r="Y2062">
        <f t="shared" si="97"/>
        <v>0</v>
      </c>
      <c r="Z2062">
        <f t="shared" si="98"/>
        <v>0</v>
      </c>
    </row>
    <row r="2063" spans="1:26" ht="15.75" customHeight="1" x14ac:dyDescent="0.2">
      <c r="A2063" s="2" t="s">
        <v>36</v>
      </c>
      <c r="B2063" s="2" t="s">
        <v>24</v>
      </c>
      <c r="C2063" s="2" t="s">
        <v>32</v>
      </c>
      <c r="D2063" s="2" t="s">
        <v>33</v>
      </c>
      <c r="E2063" s="2">
        <v>97</v>
      </c>
      <c r="F2063" s="2">
        <v>215</v>
      </c>
      <c r="G2063" s="2">
        <v>772</v>
      </c>
      <c r="H2063" s="2">
        <v>2022</v>
      </c>
      <c r="I2063" s="2">
        <v>3611</v>
      </c>
      <c r="J2063" s="2">
        <v>2.12</v>
      </c>
      <c r="K2063" s="2">
        <v>7.05</v>
      </c>
      <c r="L2063" s="2">
        <v>13.08</v>
      </c>
      <c r="M2063" s="2">
        <v>16.850000000000001</v>
      </c>
      <c r="N2063" s="2">
        <v>2.0465465680000001</v>
      </c>
      <c r="O2063" s="2">
        <v>1.9342949359999999</v>
      </c>
      <c r="P2063" s="2">
        <v>3.19745035</v>
      </c>
      <c r="Q2063" s="2">
        <v>3.1313160390000001</v>
      </c>
      <c r="R2063" s="2">
        <v>2.7182322800000001</v>
      </c>
      <c r="S2063" s="2">
        <v>2.5382322799999999</v>
      </c>
      <c r="T2063" s="2">
        <v>1.683716725</v>
      </c>
      <c r="U2063" s="2">
        <v>1.8337167249999999</v>
      </c>
      <c r="V2063" s="2">
        <v>3.4958740009999998</v>
      </c>
      <c r="W2063" s="2">
        <v>3.4853333530000001</v>
      </c>
      <c r="X2063">
        <f t="shared" si="96"/>
        <v>1</v>
      </c>
      <c r="Y2063">
        <f t="shared" si="97"/>
        <v>0</v>
      </c>
      <c r="Z2063">
        <f t="shared" si="98"/>
        <v>1</v>
      </c>
    </row>
    <row r="2064" spans="1:26" ht="15.75" customHeight="1" x14ac:dyDescent="0.2">
      <c r="A2064" s="2" t="s">
        <v>36</v>
      </c>
      <c r="B2064" s="2" t="s">
        <v>24</v>
      </c>
      <c r="C2064" s="2" t="s">
        <v>28</v>
      </c>
      <c r="D2064" s="2" t="s">
        <v>29</v>
      </c>
      <c r="E2064" s="2">
        <v>104</v>
      </c>
      <c r="F2064" s="2">
        <v>220</v>
      </c>
      <c r="G2064" s="2">
        <v>316</v>
      </c>
      <c r="H2064" s="2">
        <v>941</v>
      </c>
      <c r="I2064" s="2">
        <v>2234</v>
      </c>
      <c r="J2064" s="2">
        <v>2.1800000000000002</v>
      </c>
      <c r="K2064" s="2">
        <v>3.19</v>
      </c>
      <c r="L2064" s="2">
        <v>8.17</v>
      </c>
      <c r="M2064" s="2">
        <v>13.75</v>
      </c>
      <c r="N2064" s="2">
        <v>0.94298362000000002</v>
      </c>
      <c r="O2064" s="2">
        <v>1.1195410290000001</v>
      </c>
      <c r="P2064" s="2">
        <v>3.4290428560000001</v>
      </c>
      <c r="Q2064" s="2">
        <v>3.3546890679999999</v>
      </c>
      <c r="R2064" s="2">
        <v>1.141079537</v>
      </c>
      <c r="S2064" s="2">
        <v>1.3210795369999999</v>
      </c>
      <c r="T2064" s="2">
        <v>3.233615994</v>
      </c>
      <c r="U2064" s="2">
        <v>3.0836159940000001</v>
      </c>
      <c r="V2064" s="2">
        <v>-0.36343781600000002</v>
      </c>
      <c r="W2064" s="2">
        <v>-0.37397846400000001</v>
      </c>
      <c r="X2064">
        <f t="shared" si="96"/>
        <v>1</v>
      </c>
      <c r="Y2064">
        <f t="shared" si="97"/>
        <v>0</v>
      </c>
      <c r="Z2064">
        <f t="shared" si="98"/>
        <v>1</v>
      </c>
    </row>
    <row r="2065" spans="1:26" ht="15.75" customHeight="1" x14ac:dyDescent="0.2">
      <c r="A2065" s="2" t="s">
        <v>36</v>
      </c>
      <c r="B2065" s="2" t="s">
        <v>24</v>
      </c>
      <c r="C2065" s="2" t="s">
        <v>26</v>
      </c>
      <c r="D2065" s="2" t="s">
        <v>26</v>
      </c>
      <c r="E2065" s="2">
        <v>110</v>
      </c>
      <c r="F2065" s="2">
        <v>215</v>
      </c>
      <c r="G2065" s="2">
        <v>387</v>
      </c>
      <c r="H2065" s="2">
        <v>1026</v>
      </c>
      <c r="I2065" s="2">
        <v>3006</v>
      </c>
      <c r="J2065" s="2">
        <v>2.12</v>
      </c>
      <c r="K2065" s="2">
        <v>3.89</v>
      </c>
      <c r="L2065" s="2">
        <v>8.68</v>
      </c>
      <c r="M2065" s="2">
        <v>15.7</v>
      </c>
      <c r="N2065" s="2">
        <v>0.952718073</v>
      </c>
      <c r="O2065" s="2">
        <v>1.173288785</v>
      </c>
      <c r="P2065" s="2">
        <v>2.7537663289999998</v>
      </c>
      <c r="Q2065" s="2">
        <v>2.6423495899999998</v>
      </c>
      <c r="R2065" s="2">
        <v>0.44244318199999999</v>
      </c>
      <c r="S2065" s="2">
        <v>0.62244318200000004</v>
      </c>
      <c r="T2065" s="2">
        <v>2.7179906229999999</v>
      </c>
      <c r="U2065" s="2">
        <v>2.567990623</v>
      </c>
      <c r="V2065" s="2">
        <v>0.33519853900000002</v>
      </c>
      <c r="W2065" s="2">
        <v>0.32465789099999998</v>
      </c>
      <c r="X2065">
        <f t="shared" si="96"/>
        <v>1</v>
      </c>
      <c r="Y2065">
        <f t="shared" si="97"/>
        <v>0</v>
      </c>
      <c r="Z2065">
        <f t="shared" si="98"/>
        <v>0</v>
      </c>
    </row>
    <row r="2066" spans="1:26" ht="15.75" customHeight="1" x14ac:dyDescent="0.2">
      <c r="A2066" s="2" t="s">
        <v>36</v>
      </c>
      <c r="B2066" s="2" t="s">
        <v>24</v>
      </c>
      <c r="C2066" s="2" t="s">
        <v>30</v>
      </c>
      <c r="D2066" s="2" t="s">
        <v>31</v>
      </c>
      <c r="E2066" s="2">
        <v>102</v>
      </c>
      <c r="F2066" s="2">
        <v>220</v>
      </c>
      <c r="G2066" s="2">
        <v>572</v>
      </c>
      <c r="H2066" s="2">
        <v>1137</v>
      </c>
      <c r="I2066" s="2">
        <v>2822</v>
      </c>
      <c r="J2066" s="2">
        <v>2.17</v>
      </c>
      <c r="K2066" s="2">
        <v>5.52</v>
      </c>
      <c r="L2066" s="2">
        <v>9.31</v>
      </c>
      <c r="M2066" s="2">
        <v>15.29</v>
      </c>
      <c r="N2066" s="2">
        <v>4.8932469459999997</v>
      </c>
      <c r="O2066" s="2">
        <v>4.9357969329999998</v>
      </c>
      <c r="P2066" s="2">
        <v>2.4061596340000002</v>
      </c>
      <c r="Q2066" s="2">
        <v>2.1881465040000001</v>
      </c>
      <c r="R2066" s="2">
        <v>1.1938709679999999</v>
      </c>
      <c r="S2066" s="2">
        <v>1.013870968</v>
      </c>
      <c r="T2066" s="2">
        <v>2.0890850379999999</v>
      </c>
      <c r="U2066" s="2">
        <v>1.939085038</v>
      </c>
      <c r="V2066" s="2">
        <v>1.9715126890000001</v>
      </c>
      <c r="W2066" s="2">
        <v>1.9609720399999999</v>
      </c>
      <c r="X2066">
        <f t="shared" si="96"/>
        <v>1</v>
      </c>
      <c r="Y2066">
        <f t="shared" si="97"/>
        <v>0</v>
      </c>
      <c r="Z2066">
        <f t="shared" si="98"/>
        <v>1</v>
      </c>
    </row>
    <row r="2067" spans="1:26" ht="15.75" customHeight="1" x14ac:dyDescent="0.2">
      <c r="A2067" s="2" t="s">
        <v>36</v>
      </c>
      <c r="B2067" s="2" t="s">
        <v>24</v>
      </c>
      <c r="C2067" s="2" t="s">
        <v>27</v>
      </c>
      <c r="D2067" s="2" t="s">
        <v>27</v>
      </c>
      <c r="E2067" s="2">
        <v>80</v>
      </c>
      <c r="F2067" s="2">
        <v>219</v>
      </c>
      <c r="G2067" s="2">
        <v>421</v>
      </c>
      <c r="H2067" s="2">
        <v>2258</v>
      </c>
      <c r="I2067" s="2">
        <v>2970</v>
      </c>
      <c r="J2067" s="2">
        <v>2.16</v>
      </c>
      <c r="K2067" s="2">
        <v>4.21</v>
      </c>
      <c r="L2067" s="2">
        <v>13.82</v>
      </c>
      <c r="M2067" s="2">
        <v>15.62</v>
      </c>
      <c r="N2067" s="2">
        <v>0.207879114</v>
      </c>
      <c r="O2067" s="2">
        <v>0.27855829900000001</v>
      </c>
      <c r="P2067" s="2">
        <v>2.4259897399999999</v>
      </c>
      <c r="Q2067" s="2">
        <v>2.5904202590000001</v>
      </c>
      <c r="R2067" s="2">
        <v>0.119550609</v>
      </c>
      <c r="S2067" s="2">
        <v>0.29955060900000002</v>
      </c>
      <c r="T2067" s="2">
        <v>2.4230422759999999</v>
      </c>
      <c r="U2067" s="2">
        <v>2.5730422759999998</v>
      </c>
      <c r="V2067" s="2">
        <v>0.65809111200000003</v>
      </c>
      <c r="W2067" s="2">
        <v>0.64755046400000005</v>
      </c>
      <c r="X2067">
        <f t="shared" si="96"/>
        <v>1</v>
      </c>
      <c r="Y2067">
        <f t="shared" si="97"/>
        <v>0</v>
      </c>
      <c r="Z2067">
        <f t="shared" si="98"/>
        <v>0</v>
      </c>
    </row>
    <row r="2068" spans="1:26" ht="15.75" customHeight="1" x14ac:dyDescent="0.2">
      <c r="A2068" s="2" t="s">
        <v>36</v>
      </c>
      <c r="B2068" s="2" t="s">
        <v>24</v>
      </c>
      <c r="C2068" s="2" t="s">
        <v>30</v>
      </c>
      <c r="D2068" s="2" t="s">
        <v>31</v>
      </c>
      <c r="E2068" s="2">
        <v>217</v>
      </c>
      <c r="F2068" s="2">
        <v>222</v>
      </c>
      <c r="G2068" s="2">
        <v>286</v>
      </c>
      <c r="H2068" s="2">
        <v>974</v>
      </c>
      <c r="I2068" s="2">
        <v>2093</v>
      </c>
      <c r="J2068" s="2">
        <v>2.2000000000000002</v>
      </c>
      <c r="K2068" s="2">
        <v>2.88</v>
      </c>
      <c r="L2068" s="2">
        <v>8.3699999999999992</v>
      </c>
      <c r="M2068" s="2">
        <v>13.31</v>
      </c>
      <c r="N2068" s="2">
        <v>5.8165763080000001</v>
      </c>
      <c r="O2068" s="2">
        <v>5.8890278020000002</v>
      </c>
      <c r="P2068" s="2">
        <v>3.3569453380000001</v>
      </c>
      <c r="Q2068" s="2">
        <v>3.3071841219999998</v>
      </c>
      <c r="R2068" s="2">
        <v>1.449554698</v>
      </c>
      <c r="S2068" s="2">
        <v>1.629554698</v>
      </c>
      <c r="T2068" s="2">
        <v>3.0278495969999999</v>
      </c>
      <c r="U2068" s="2">
        <v>2.877849597</v>
      </c>
      <c r="V2068" s="2">
        <v>-0.67191297699999997</v>
      </c>
      <c r="W2068" s="2">
        <v>-0.68245362499999995</v>
      </c>
      <c r="X2068">
        <f t="shared" si="96"/>
        <v>1</v>
      </c>
      <c r="Y2068">
        <f t="shared" si="97"/>
        <v>0</v>
      </c>
      <c r="Z2068">
        <f t="shared" si="98"/>
        <v>1</v>
      </c>
    </row>
    <row r="2069" spans="1:26" ht="15.75" customHeight="1" x14ac:dyDescent="0.2">
      <c r="A2069" s="2" t="s">
        <v>36</v>
      </c>
      <c r="B2069" s="2" t="s">
        <v>24</v>
      </c>
      <c r="C2069" s="2" t="s">
        <v>26</v>
      </c>
      <c r="D2069" s="2" t="s">
        <v>26</v>
      </c>
      <c r="E2069" s="2">
        <v>106</v>
      </c>
      <c r="F2069" s="2">
        <v>210</v>
      </c>
      <c r="G2069" s="2">
        <v>376</v>
      </c>
      <c r="H2069" s="2">
        <v>1067</v>
      </c>
      <c r="I2069" s="2">
        <v>2543</v>
      </c>
      <c r="J2069" s="2">
        <v>2.0699999999999998</v>
      </c>
      <c r="K2069" s="2">
        <v>3.79</v>
      </c>
      <c r="L2069" s="2">
        <v>8.92</v>
      </c>
      <c r="M2069" s="2">
        <v>14.61</v>
      </c>
      <c r="N2069" s="2">
        <v>1.205465641</v>
      </c>
      <c r="O2069" s="2">
        <v>1.427779219</v>
      </c>
      <c r="P2069" s="2">
        <v>2.5387504910000001</v>
      </c>
      <c r="Q2069" s="2">
        <v>2.4397446789999999</v>
      </c>
      <c r="R2069" s="2">
        <v>0.54469178100000004</v>
      </c>
      <c r="S2069" s="2">
        <v>0.72469178099999998</v>
      </c>
      <c r="T2069" s="2">
        <v>2.479629997</v>
      </c>
      <c r="U2069" s="2">
        <v>2.3296299970000001</v>
      </c>
      <c r="V2069" s="2">
        <v>0.23294993999999999</v>
      </c>
      <c r="W2069" s="2">
        <v>0.22240929200000001</v>
      </c>
      <c r="X2069">
        <f t="shared" si="96"/>
        <v>1</v>
      </c>
      <c r="Y2069">
        <f t="shared" si="97"/>
        <v>0</v>
      </c>
      <c r="Z2069">
        <f t="shared" si="98"/>
        <v>0</v>
      </c>
    </row>
    <row r="2070" spans="1:26" ht="15.75" customHeight="1" x14ac:dyDescent="0.2">
      <c r="A2070" s="2" t="s">
        <v>36</v>
      </c>
      <c r="B2070" s="2" t="s">
        <v>24</v>
      </c>
      <c r="C2070" s="2" t="s">
        <v>26</v>
      </c>
      <c r="D2070" s="2" t="s">
        <v>26</v>
      </c>
      <c r="E2070" s="2">
        <v>202</v>
      </c>
      <c r="F2070" s="2">
        <v>223</v>
      </c>
      <c r="G2070" s="2">
        <v>417</v>
      </c>
      <c r="H2070" s="2">
        <v>624</v>
      </c>
      <c r="I2070" s="2">
        <v>2703</v>
      </c>
      <c r="J2070" s="2">
        <v>2.21</v>
      </c>
      <c r="K2070" s="2">
        <v>4.17</v>
      </c>
      <c r="L2070" s="2">
        <v>5.94</v>
      </c>
      <c r="M2070" s="2">
        <v>15.01</v>
      </c>
      <c r="N2070" s="2">
        <v>1.801223915</v>
      </c>
      <c r="O2070" s="2">
        <v>1.5869011799999999</v>
      </c>
      <c r="P2070" s="2">
        <v>5.4580979919999999</v>
      </c>
      <c r="Q2070" s="2">
        <v>5.3166277280000003</v>
      </c>
      <c r="R2070" s="2">
        <v>0.15978962099999999</v>
      </c>
      <c r="S2070" s="2">
        <v>0.33978962099999999</v>
      </c>
      <c r="T2070" s="2">
        <v>5.4557585140000002</v>
      </c>
      <c r="U2070" s="2">
        <v>5.3057585139999999</v>
      </c>
      <c r="V2070" s="2">
        <v>0.61785210000000002</v>
      </c>
      <c r="W2070" s="2">
        <v>0.60731145099999995</v>
      </c>
      <c r="X2070">
        <f t="shared" si="96"/>
        <v>1</v>
      </c>
      <c r="Y2070">
        <f t="shared" si="97"/>
        <v>0</v>
      </c>
      <c r="Z2070">
        <f t="shared" si="98"/>
        <v>0</v>
      </c>
    </row>
    <row r="2071" spans="1:26" ht="15.75" customHeight="1" x14ac:dyDescent="0.2">
      <c r="A2071" s="2" t="s">
        <v>36</v>
      </c>
      <c r="B2071" s="2" t="s">
        <v>24</v>
      </c>
      <c r="C2071" s="2" t="s">
        <v>26</v>
      </c>
      <c r="D2071" s="2" t="s">
        <v>26</v>
      </c>
      <c r="E2071" s="2">
        <v>90</v>
      </c>
      <c r="F2071" s="2">
        <v>221</v>
      </c>
      <c r="G2071" s="2">
        <v>412</v>
      </c>
      <c r="H2071" s="2">
        <v>783</v>
      </c>
      <c r="I2071" s="2">
        <v>2883</v>
      </c>
      <c r="J2071" s="2">
        <v>2.19</v>
      </c>
      <c r="K2071" s="2">
        <v>4.13</v>
      </c>
      <c r="L2071" s="2">
        <v>7.12</v>
      </c>
      <c r="M2071" s="2">
        <v>15.43</v>
      </c>
      <c r="N2071" s="2">
        <v>0.62451517000000001</v>
      </c>
      <c r="O2071" s="2">
        <v>0.40732437300000002</v>
      </c>
      <c r="P2071" s="2">
        <v>4.2818099109999999</v>
      </c>
      <c r="Q2071" s="2">
        <v>4.1447419109999997</v>
      </c>
      <c r="R2071" s="2">
        <v>0.203288364</v>
      </c>
      <c r="S2071" s="2">
        <v>0.38328836399999999</v>
      </c>
      <c r="T2071" s="2">
        <v>4.2769814070000001</v>
      </c>
      <c r="U2071" s="2">
        <v>4.1269814069999997</v>
      </c>
      <c r="V2071" s="2">
        <v>0.57435335700000001</v>
      </c>
      <c r="W2071" s="2">
        <v>0.56381270800000005</v>
      </c>
      <c r="X2071">
        <f t="shared" si="96"/>
        <v>1</v>
      </c>
      <c r="Y2071">
        <f t="shared" si="97"/>
        <v>0</v>
      </c>
      <c r="Z2071">
        <f t="shared" si="98"/>
        <v>0</v>
      </c>
    </row>
    <row r="2072" spans="1:26" ht="15.75" customHeight="1" x14ac:dyDescent="0.2">
      <c r="A2072" s="2" t="s">
        <v>36</v>
      </c>
      <c r="B2072" s="2" t="s">
        <v>24</v>
      </c>
      <c r="C2072" s="2" t="s">
        <v>25</v>
      </c>
      <c r="D2072" s="2" t="s">
        <v>25</v>
      </c>
      <c r="E2072" s="2">
        <v>149</v>
      </c>
      <c r="F2072" s="2">
        <v>223</v>
      </c>
      <c r="G2072" s="2">
        <v>661</v>
      </c>
      <c r="H2072" s="2">
        <v>1552</v>
      </c>
      <c r="I2072" s="2">
        <v>2975</v>
      </c>
      <c r="J2072" s="2">
        <v>2.21</v>
      </c>
      <c r="K2072" s="2">
        <v>6.23</v>
      </c>
      <c r="L2072" s="2">
        <v>11.32</v>
      </c>
      <c r="M2072" s="2">
        <v>15.63</v>
      </c>
      <c r="N2072" s="2">
        <v>0.628061341</v>
      </c>
      <c r="O2072" s="2">
        <v>7.1295155999999998E-2</v>
      </c>
      <c r="P2072" s="2">
        <v>1.9030358190000001</v>
      </c>
      <c r="Q2072" s="2">
        <v>1.7227034720000001</v>
      </c>
      <c r="R2072" s="2">
        <v>1.9013162910000001</v>
      </c>
      <c r="S2072" s="2">
        <v>1.7213162909999999</v>
      </c>
      <c r="T2072" s="2">
        <v>8.0880705999999997E-2</v>
      </c>
      <c r="U2072" s="2">
        <v>6.9119293999999998E-2</v>
      </c>
      <c r="V2072" s="2">
        <v>2.6789580119999998</v>
      </c>
      <c r="W2072" s="2">
        <v>2.6684173640000002</v>
      </c>
      <c r="X2072">
        <f t="shared" si="96"/>
        <v>1</v>
      </c>
      <c r="Y2072">
        <f t="shared" si="97"/>
        <v>0</v>
      </c>
      <c r="Z2072">
        <f t="shared" si="98"/>
        <v>0</v>
      </c>
    </row>
    <row r="2073" spans="1:26" ht="15.75" customHeight="1" x14ac:dyDescent="0.2">
      <c r="A2073" s="2" t="s">
        <v>36</v>
      </c>
      <c r="B2073" s="2" t="s">
        <v>24</v>
      </c>
      <c r="C2073" s="2" t="s">
        <v>25</v>
      </c>
      <c r="D2073" s="2" t="s">
        <v>25</v>
      </c>
      <c r="E2073" s="2">
        <v>247</v>
      </c>
      <c r="F2073" s="2">
        <v>221</v>
      </c>
      <c r="G2073" s="2">
        <v>658</v>
      </c>
      <c r="H2073" s="2">
        <v>1536</v>
      </c>
      <c r="I2073" s="2">
        <v>2855</v>
      </c>
      <c r="J2073" s="2">
        <v>2.19</v>
      </c>
      <c r="K2073" s="2">
        <v>6.21</v>
      </c>
      <c r="L2073" s="2">
        <v>11.25</v>
      </c>
      <c r="M2073" s="2">
        <v>15.37</v>
      </c>
      <c r="N2073" s="2">
        <v>0.63894214500000002</v>
      </c>
      <c r="O2073" s="2">
        <v>0.107713684</v>
      </c>
      <c r="P2073" s="2">
        <v>1.8819518099999999</v>
      </c>
      <c r="Q2073" s="2">
        <v>1.6957877649999999</v>
      </c>
      <c r="R2073" s="2">
        <v>1.8757863239999999</v>
      </c>
      <c r="S2073" s="2">
        <v>1.695786324</v>
      </c>
      <c r="T2073" s="2">
        <v>0.15221130899999999</v>
      </c>
      <c r="U2073" s="2">
        <v>2.2113089999999998E-3</v>
      </c>
      <c r="V2073" s="2">
        <v>2.6534280450000001</v>
      </c>
      <c r="W2073" s="2">
        <v>2.6428873959999999</v>
      </c>
      <c r="X2073">
        <f t="shared" si="96"/>
        <v>1</v>
      </c>
      <c r="Y2073">
        <f t="shared" si="97"/>
        <v>0</v>
      </c>
      <c r="Z2073">
        <f t="shared" si="98"/>
        <v>0</v>
      </c>
    </row>
    <row r="2074" spans="1:26" ht="15.75" customHeight="1" x14ac:dyDescent="0.2">
      <c r="A2074" s="2" t="s">
        <v>36</v>
      </c>
      <c r="B2074" s="2" t="s">
        <v>24</v>
      </c>
      <c r="C2074" s="2" t="s">
        <v>25</v>
      </c>
      <c r="D2074" s="2" t="s">
        <v>25</v>
      </c>
      <c r="E2074" s="2">
        <v>141</v>
      </c>
      <c r="F2074" s="2">
        <v>213</v>
      </c>
      <c r="G2074" s="2">
        <v>585</v>
      </c>
      <c r="H2074" s="2">
        <v>1612</v>
      </c>
      <c r="I2074" s="2">
        <v>2956</v>
      </c>
      <c r="J2074" s="2">
        <v>2.09</v>
      </c>
      <c r="K2074" s="2">
        <v>5.63</v>
      </c>
      <c r="L2074" s="2">
        <v>11.57</v>
      </c>
      <c r="M2074" s="2">
        <v>15.59</v>
      </c>
      <c r="N2074" s="2">
        <v>3.2030362999999999E-2</v>
      </c>
      <c r="O2074" s="2">
        <v>0.72207876100000001</v>
      </c>
      <c r="P2074" s="2">
        <v>1.3108513669999999</v>
      </c>
      <c r="Q2074" s="2">
        <v>1.164462127</v>
      </c>
      <c r="R2074" s="2">
        <v>1.299908305</v>
      </c>
      <c r="S2074" s="2">
        <v>1.119908305</v>
      </c>
      <c r="T2074" s="2">
        <v>0.169025756</v>
      </c>
      <c r="U2074" s="2">
        <v>0.31902575599999999</v>
      </c>
      <c r="V2074" s="2">
        <v>2.0775500259999999</v>
      </c>
      <c r="W2074" s="2">
        <v>2.0670093779999998</v>
      </c>
      <c r="X2074">
        <f t="shared" si="96"/>
        <v>1</v>
      </c>
      <c r="Y2074">
        <f t="shared" si="97"/>
        <v>0</v>
      </c>
      <c r="Z2074">
        <f t="shared" si="98"/>
        <v>0</v>
      </c>
    </row>
    <row r="2075" spans="1:26" ht="15.75" customHeight="1" x14ac:dyDescent="0.2">
      <c r="A2075" s="2" t="s">
        <v>36</v>
      </c>
      <c r="B2075" s="2" t="s">
        <v>24</v>
      </c>
      <c r="C2075" s="2" t="s">
        <v>28</v>
      </c>
      <c r="D2075" s="2" t="s">
        <v>29</v>
      </c>
      <c r="E2075" s="2">
        <v>77</v>
      </c>
      <c r="F2075" s="2">
        <v>225</v>
      </c>
      <c r="G2075" s="2">
        <v>281</v>
      </c>
      <c r="H2075" s="2">
        <v>1128</v>
      </c>
      <c r="I2075" s="2">
        <v>2396</v>
      </c>
      <c r="J2075" s="2">
        <v>2.23</v>
      </c>
      <c r="K2075" s="2">
        <v>2.84</v>
      </c>
      <c r="L2075" s="2">
        <v>9.26</v>
      </c>
      <c r="M2075" s="2">
        <v>14.22</v>
      </c>
      <c r="N2075" s="2">
        <v>1.9359616289999999</v>
      </c>
      <c r="O2075" s="2">
        <v>2.151603229</v>
      </c>
      <c r="P2075" s="2">
        <v>2.6076695249999999</v>
      </c>
      <c r="Q2075" s="2">
        <v>2.5984521379999999</v>
      </c>
      <c r="R2075" s="2">
        <v>1.494794765</v>
      </c>
      <c r="S2075" s="2">
        <v>1.6747947649999999</v>
      </c>
      <c r="T2075" s="2">
        <v>2.1367098449999999</v>
      </c>
      <c r="U2075" s="2">
        <v>1.986709845</v>
      </c>
      <c r="V2075" s="2">
        <v>-0.71715304400000002</v>
      </c>
      <c r="W2075" s="2">
        <v>-0.727693692</v>
      </c>
      <c r="X2075">
        <f t="shared" si="96"/>
        <v>1</v>
      </c>
      <c r="Y2075">
        <f t="shared" si="97"/>
        <v>0</v>
      </c>
      <c r="Z2075">
        <f t="shared" si="98"/>
        <v>1</v>
      </c>
    </row>
    <row r="2076" spans="1:26" ht="15.75" customHeight="1" x14ac:dyDescent="0.2">
      <c r="A2076" s="2" t="s">
        <v>36</v>
      </c>
      <c r="B2076" s="2" t="s">
        <v>24</v>
      </c>
      <c r="C2076" s="2" t="s">
        <v>30</v>
      </c>
      <c r="D2076" s="2" t="s">
        <v>31</v>
      </c>
      <c r="E2076" s="2">
        <v>143</v>
      </c>
      <c r="F2076" s="2">
        <v>206</v>
      </c>
      <c r="G2076" s="2">
        <v>406</v>
      </c>
      <c r="H2076" s="2">
        <v>1064</v>
      </c>
      <c r="I2076" s="2">
        <v>2833</v>
      </c>
      <c r="J2076" s="2">
        <v>2.02</v>
      </c>
      <c r="K2076" s="2">
        <v>4.07</v>
      </c>
      <c r="L2076" s="2">
        <v>8.9</v>
      </c>
      <c r="M2076" s="2">
        <v>15.32</v>
      </c>
      <c r="N2076" s="2">
        <v>5.1293313190000003</v>
      </c>
      <c r="O2076" s="2">
        <v>5.1914928580000002</v>
      </c>
      <c r="P2076" s="2">
        <v>2.5102972989999999</v>
      </c>
      <c r="Q2076" s="2">
        <v>2.387644291</v>
      </c>
      <c r="R2076" s="2">
        <v>0.25946745599999999</v>
      </c>
      <c r="S2076" s="2">
        <v>0.43946745599999998</v>
      </c>
      <c r="T2076" s="2">
        <v>2.4968518519999998</v>
      </c>
      <c r="U2076" s="2">
        <v>2.3468518519999999</v>
      </c>
      <c r="V2076" s="2">
        <v>0.51817426499999997</v>
      </c>
      <c r="W2076" s="2">
        <v>0.50763361699999998</v>
      </c>
      <c r="X2076">
        <f t="shared" si="96"/>
        <v>1</v>
      </c>
      <c r="Y2076">
        <f t="shared" si="97"/>
        <v>0</v>
      </c>
      <c r="Z2076">
        <f t="shared" si="98"/>
        <v>1</v>
      </c>
    </row>
    <row r="2077" spans="1:26" ht="15.75" customHeight="1" x14ac:dyDescent="0.2">
      <c r="A2077" s="2" t="s">
        <v>36</v>
      </c>
      <c r="B2077" s="2" t="s">
        <v>24</v>
      </c>
      <c r="C2077" s="2" t="s">
        <v>32</v>
      </c>
      <c r="D2077" s="2" t="s">
        <v>33</v>
      </c>
      <c r="E2077" s="2">
        <v>153</v>
      </c>
      <c r="F2077" s="2">
        <v>222</v>
      </c>
      <c r="G2077" s="2">
        <v>547</v>
      </c>
      <c r="H2077" s="2">
        <v>1238</v>
      </c>
      <c r="I2077" s="2">
        <v>3010</v>
      </c>
      <c r="J2077" s="2">
        <v>2.2000000000000002</v>
      </c>
      <c r="K2077" s="2">
        <v>5.32</v>
      </c>
      <c r="L2077" s="2">
        <v>9.85</v>
      </c>
      <c r="M2077" s="2">
        <v>15.71</v>
      </c>
      <c r="N2077" s="2">
        <v>1.762849702</v>
      </c>
      <c r="O2077" s="2">
        <v>1.750047538</v>
      </c>
      <c r="P2077" s="2">
        <v>1.838727767</v>
      </c>
      <c r="Q2077" s="2">
        <v>1.616985321</v>
      </c>
      <c r="R2077" s="2">
        <v>0.98964898300000004</v>
      </c>
      <c r="S2077" s="2">
        <v>0.80964898299999999</v>
      </c>
      <c r="T2077" s="2">
        <v>1.549682126</v>
      </c>
      <c r="U2077" s="2">
        <v>1.3996821260000001</v>
      </c>
      <c r="V2077" s="2">
        <v>1.7672907040000001</v>
      </c>
      <c r="W2077" s="2">
        <v>1.756750056</v>
      </c>
      <c r="X2077">
        <f t="shared" si="96"/>
        <v>1</v>
      </c>
      <c r="Y2077">
        <f t="shared" si="97"/>
        <v>0</v>
      </c>
      <c r="Z2077">
        <f t="shared" si="98"/>
        <v>1</v>
      </c>
    </row>
    <row r="2078" spans="1:26" ht="15.75" customHeight="1" x14ac:dyDescent="0.2">
      <c r="A2078" s="2" t="s">
        <v>36</v>
      </c>
      <c r="B2078" s="2" t="s">
        <v>24</v>
      </c>
      <c r="C2078" s="2" t="s">
        <v>26</v>
      </c>
      <c r="D2078" s="2" t="s">
        <v>26</v>
      </c>
      <c r="E2078" s="2">
        <v>114</v>
      </c>
      <c r="F2078" s="2">
        <v>217</v>
      </c>
      <c r="G2078" s="2">
        <v>391</v>
      </c>
      <c r="H2078" s="2">
        <v>1124</v>
      </c>
      <c r="I2078" s="2">
        <v>2489</v>
      </c>
      <c r="J2078" s="2">
        <v>2.15</v>
      </c>
      <c r="K2078" s="2">
        <v>3.93</v>
      </c>
      <c r="L2078" s="2">
        <v>9.24</v>
      </c>
      <c r="M2078" s="2">
        <v>14.47</v>
      </c>
      <c r="N2078" s="2">
        <v>1.5062521289999999</v>
      </c>
      <c r="O2078" s="2">
        <v>1.7222836939999999</v>
      </c>
      <c r="P2078" s="2">
        <v>2.1933518529999998</v>
      </c>
      <c r="Q2078" s="2">
        <v>2.0885140529999999</v>
      </c>
      <c r="R2078" s="2">
        <v>0.39800113399999998</v>
      </c>
      <c r="S2078" s="2">
        <v>0.57800113399999997</v>
      </c>
      <c r="T2078" s="2">
        <v>2.156939371</v>
      </c>
      <c r="U2078" s="2">
        <v>2.0069393710000001</v>
      </c>
      <c r="V2078" s="2">
        <v>0.37964058699999997</v>
      </c>
      <c r="W2078" s="2">
        <v>0.36909993899999999</v>
      </c>
      <c r="X2078">
        <f t="shared" si="96"/>
        <v>1</v>
      </c>
      <c r="Y2078">
        <f t="shared" si="97"/>
        <v>0</v>
      </c>
      <c r="Z2078">
        <f t="shared" si="98"/>
        <v>0</v>
      </c>
    </row>
    <row r="2079" spans="1:26" ht="15.75" customHeight="1" x14ac:dyDescent="0.2">
      <c r="A2079" s="2" t="s">
        <v>36</v>
      </c>
      <c r="B2079" s="2" t="s">
        <v>24</v>
      </c>
      <c r="C2079" s="2" t="s">
        <v>32</v>
      </c>
      <c r="D2079" s="2" t="s">
        <v>33</v>
      </c>
      <c r="E2079" s="2">
        <v>143</v>
      </c>
      <c r="F2079" s="2">
        <v>218</v>
      </c>
      <c r="G2079" s="2">
        <v>344</v>
      </c>
      <c r="H2079" s="2">
        <v>856</v>
      </c>
      <c r="I2079" s="2">
        <v>2097</v>
      </c>
      <c r="J2079" s="2">
        <v>2.16</v>
      </c>
      <c r="K2079" s="2">
        <v>3.47</v>
      </c>
      <c r="L2079" s="2">
        <v>7.62</v>
      </c>
      <c r="M2079" s="2">
        <v>13.33</v>
      </c>
      <c r="N2079" s="2">
        <v>4.5260924869999997</v>
      </c>
      <c r="O2079" s="2">
        <v>4.6426264540000002</v>
      </c>
      <c r="P2079" s="2">
        <v>3.8784727590000001</v>
      </c>
      <c r="Q2079" s="2">
        <v>3.7777294650000002</v>
      </c>
      <c r="R2079" s="2">
        <v>0.85711805600000002</v>
      </c>
      <c r="S2079" s="2">
        <v>1.037118056</v>
      </c>
      <c r="T2079" s="2">
        <v>3.78257843</v>
      </c>
      <c r="U2079" s="2">
        <v>3.6325784300000001</v>
      </c>
      <c r="V2079" s="2">
        <v>-7.9476334999999995E-2</v>
      </c>
      <c r="W2079" s="2">
        <v>-9.0016982999999995E-2</v>
      </c>
      <c r="X2079">
        <f t="shared" si="96"/>
        <v>1</v>
      </c>
      <c r="Y2079">
        <f t="shared" si="97"/>
        <v>0</v>
      </c>
      <c r="Z2079">
        <f t="shared" si="98"/>
        <v>1</v>
      </c>
    </row>
    <row r="2080" spans="1:26" ht="15.75" customHeight="1" x14ac:dyDescent="0.2">
      <c r="A2080" s="2" t="s">
        <v>36</v>
      </c>
      <c r="B2080" s="2" t="s">
        <v>24</v>
      </c>
      <c r="C2080" s="2" t="s">
        <v>28</v>
      </c>
      <c r="D2080" s="2" t="s">
        <v>29</v>
      </c>
      <c r="E2080" s="2">
        <v>207</v>
      </c>
      <c r="F2080" s="2">
        <v>224</v>
      </c>
      <c r="G2080" s="2">
        <v>399</v>
      </c>
      <c r="H2080" s="2">
        <v>1359</v>
      </c>
      <c r="I2080" s="2">
        <v>2630</v>
      </c>
      <c r="J2080" s="2">
        <v>2.2200000000000002</v>
      </c>
      <c r="K2080" s="2">
        <v>4.01</v>
      </c>
      <c r="L2080" s="2">
        <v>10.45</v>
      </c>
      <c r="M2080" s="2">
        <v>14.83</v>
      </c>
      <c r="N2080" s="2">
        <v>2.7093219180000001</v>
      </c>
      <c r="O2080" s="2">
        <v>2.9210200249999998</v>
      </c>
      <c r="P2080" s="2">
        <v>1.003887594</v>
      </c>
      <c r="Q2080" s="2">
        <v>0.94523018299999995</v>
      </c>
      <c r="R2080" s="2">
        <v>0.32222379200000001</v>
      </c>
      <c r="S2080" s="2">
        <v>0.502223792</v>
      </c>
      <c r="T2080" s="2">
        <v>0.95076923099999999</v>
      </c>
      <c r="U2080" s="2">
        <v>0.80076923099999997</v>
      </c>
      <c r="V2080" s="2">
        <v>0.455417929</v>
      </c>
      <c r="W2080" s="2">
        <v>0.44487728100000001</v>
      </c>
      <c r="X2080">
        <f t="shared" si="96"/>
        <v>1</v>
      </c>
      <c r="Y2080">
        <f t="shared" si="97"/>
        <v>0</v>
      </c>
      <c r="Z2080">
        <f t="shared" si="98"/>
        <v>1</v>
      </c>
    </row>
    <row r="2081" spans="1:26" ht="15.75" customHeight="1" x14ac:dyDescent="0.2">
      <c r="A2081" s="2" t="s">
        <v>36</v>
      </c>
      <c r="B2081" s="2" t="s">
        <v>24</v>
      </c>
      <c r="C2081" s="2" t="s">
        <v>32</v>
      </c>
      <c r="D2081" s="2" t="s">
        <v>33</v>
      </c>
      <c r="E2081" s="2">
        <v>194</v>
      </c>
      <c r="F2081" s="2">
        <v>226</v>
      </c>
      <c r="G2081" s="2">
        <v>313</v>
      </c>
      <c r="H2081" s="2">
        <v>799</v>
      </c>
      <c r="I2081" s="2">
        <v>2349</v>
      </c>
      <c r="J2081" s="2">
        <v>2.25</v>
      </c>
      <c r="K2081" s="2">
        <v>3.16</v>
      </c>
      <c r="L2081" s="2">
        <v>7.23</v>
      </c>
      <c r="M2081" s="2">
        <v>14.08</v>
      </c>
      <c r="N2081" s="2">
        <v>5.0127416880000002</v>
      </c>
      <c r="O2081" s="2">
        <v>5.1361016670000001</v>
      </c>
      <c r="P2081" s="2">
        <v>4.3265723710000001</v>
      </c>
      <c r="Q2081" s="2">
        <v>4.2361425559999999</v>
      </c>
      <c r="R2081" s="2">
        <v>1.1681698199999999</v>
      </c>
      <c r="S2081" s="2">
        <v>1.3481698200000001</v>
      </c>
      <c r="T2081" s="2">
        <v>4.1658861910000002</v>
      </c>
      <c r="U2081" s="2">
        <v>4.0158861909999999</v>
      </c>
      <c r="V2081" s="2">
        <v>-0.39052809900000002</v>
      </c>
      <c r="W2081" s="2">
        <v>-0.401068747</v>
      </c>
      <c r="X2081">
        <f t="shared" si="96"/>
        <v>1</v>
      </c>
      <c r="Y2081">
        <f t="shared" si="97"/>
        <v>0</v>
      </c>
      <c r="Z2081">
        <f t="shared" si="98"/>
        <v>1</v>
      </c>
    </row>
    <row r="2082" spans="1:26" ht="15.75" customHeight="1" x14ac:dyDescent="0.2">
      <c r="A2082" s="2" t="s">
        <v>36</v>
      </c>
      <c r="B2082" s="2" t="s">
        <v>24</v>
      </c>
      <c r="C2082" s="2" t="s">
        <v>25</v>
      </c>
      <c r="D2082" s="2" t="s">
        <v>25</v>
      </c>
      <c r="E2082" s="2">
        <v>90</v>
      </c>
      <c r="F2082" s="2">
        <v>206</v>
      </c>
      <c r="G2082" s="2">
        <v>557</v>
      </c>
      <c r="H2082" s="2">
        <v>1753</v>
      </c>
      <c r="I2082" s="2">
        <v>2902</v>
      </c>
      <c r="J2082" s="2">
        <v>2.02</v>
      </c>
      <c r="K2082" s="2">
        <v>5.41</v>
      </c>
      <c r="L2082" s="2">
        <v>12.13</v>
      </c>
      <c r="M2082" s="2">
        <v>15.47</v>
      </c>
      <c r="N2082" s="2">
        <v>0.60498781800000001</v>
      </c>
      <c r="O2082" s="2">
        <v>1.2193997400000001</v>
      </c>
      <c r="P2082" s="2">
        <v>1.2994077500000001</v>
      </c>
      <c r="Q2082" s="2">
        <v>1.2549083009999999</v>
      </c>
      <c r="R2082" s="2">
        <v>1.075688559</v>
      </c>
      <c r="S2082" s="2">
        <v>0.895688559</v>
      </c>
      <c r="T2082" s="2">
        <v>0.72894075400000002</v>
      </c>
      <c r="U2082" s="2">
        <v>0.87894075400000005</v>
      </c>
      <c r="V2082" s="2">
        <v>1.85333028</v>
      </c>
      <c r="W2082" s="2">
        <v>1.8427896319999999</v>
      </c>
      <c r="X2082">
        <f t="shared" si="96"/>
        <v>1</v>
      </c>
      <c r="Y2082">
        <f t="shared" si="97"/>
        <v>0</v>
      </c>
      <c r="Z2082">
        <f t="shared" si="98"/>
        <v>0</v>
      </c>
    </row>
    <row r="2083" spans="1:26" ht="15.75" customHeight="1" x14ac:dyDescent="0.2">
      <c r="A2083" s="2" t="s">
        <v>36</v>
      </c>
      <c r="B2083" s="2" t="s">
        <v>24</v>
      </c>
      <c r="C2083" s="2" t="s">
        <v>27</v>
      </c>
      <c r="D2083" s="2" t="s">
        <v>27</v>
      </c>
      <c r="E2083" s="2">
        <v>293</v>
      </c>
      <c r="F2083" s="2">
        <v>147</v>
      </c>
      <c r="G2083" s="2">
        <v>397</v>
      </c>
      <c r="H2083" s="2">
        <v>2323</v>
      </c>
      <c r="I2083" s="2">
        <v>3023</v>
      </c>
      <c r="J2083" s="2">
        <v>1.34</v>
      </c>
      <c r="K2083" s="2">
        <v>3.99</v>
      </c>
      <c r="L2083" s="2">
        <v>14.01</v>
      </c>
      <c r="M2083" s="2">
        <v>15.73</v>
      </c>
      <c r="N2083" s="2">
        <v>0.24193411100000001</v>
      </c>
      <c r="O2083" s="2">
        <v>0.31152259799999998</v>
      </c>
      <c r="P2083" s="2">
        <v>2.6323640340000001</v>
      </c>
      <c r="Q2083" s="2">
        <v>2.808931115</v>
      </c>
      <c r="R2083" s="2">
        <v>0.34111991000000003</v>
      </c>
      <c r="S2083" s="2">
        <v>0.52111991000000002</v>
      </c>
      <c r="T2083" s="2">
        <v>2.61016812</v>
      </c>
      <c r="U2083" s="2">
        <v>2.7601681199999999</v>
      </c>
      <c r="V2083" s="2">
        <v>0.43652181099999998</v>
      </c>
      <c r="W2083" s="2">
        <v>0.425981163</v>
      </c>
      <c r="X2083">
        <f t="shared" si="96"/>
        <v>1</v>
      </c>
      <c r="Y2083">
        <f t="shared" si="97"/>
        <v>0</v>
      </c>
      <c r="Z2083">
        <f t="shared" si="98"/>
        <v>0</v>
      </c>
    </row>
    <row r="2084" spans="1:26" ht="15.75" customHeight="1" x14ac:dyDescent="0.2">
      <c r="A2084" s="2" t="s">
        <v>36</v>
      </c>
      <c r="B2084" s="2" t="s">
        <v>24</v>
      </c>
      <c r="C2084" s="2" t="s">
        <v>30</v>
      </c>
      <c r="D2084" s="2" t="s">
        <v>31</v>
      </c>
      <c r="E2084" s="2">
        <v>157</v>
      </c>
      <c r="F2084" s="2">
        <v>222</v>
      </c>
      <c r="G2084" s="2">
        <v>529</v>
      </c>
      <c r="H2084" s="2">
        <v>1390</v>
      </c>
      <c r="I2084" s="2">
        <v>3093</v>
      </c>
      <c r="J2084" s="2">
        <v>2.2000000000000002</v>
      </c>
      <c r="K2084" s="2">
        <v>5.17</v>
      </c>
      <c r="L2084" s="2">
        <v>10.59</v>
      </c>
      <c r="M2084" s="2">
        <v>15.88</v>
      </c>
      <c r="N2084" s="2">
        <v>3.560862781</v>
      </c>
      <c r="O2084" s="2">
        <v>3.6037504170000001</v>
      </c>
      <c r="P2084" s="2">
        <v>1.1606122830000001</v>
      </c>
      <c r="Q2084" s="2">
        <v>0.927081084</v>
      </c>
      <c r="R2084" s="2">
        <v>0.83523975399999995</v>
      </c>
      <c r="S2084" s="2">
        <v>0.65523975400000001</v>
      </c>
      <c r="T2084" s="2">
        <v>0.80585074599999995</v>
      </c>
      <c r="U2084" s="2">
        <v>0.65585074600000004</v>
      </c>
      <c r="V2084" s="2">
        <v>1.6128814739999999</v>
      </c>
      <c r="W2084" s="2">
        <v>1.6023408260000001</v>
      </c>
      <c r="X2084">
        <f t="shared" si="96"/>
        <v>1</v>
      </c>
      <c r="Y2084">
        <f t="shared" si="97"/>
        <v>0</v>
      </c>
      <c r="Z2084">
        <f t="shared" si="98"/>
        <v>1</v>
      </c>
    </row>
    <row r="2085" spans="1:26" ht="15.75" customHeight="1" x14ac:dyDescent="0.2">
      <c r="A2085" s="2" t="s">
        <v>36</v>
      </c>
      <c r="B2085" s="2" t="s">
        <v>24</v>
      </c>
      <c r="C2085" s="2" t="s">
        <v>25</v>
      </c>
      <c r="D2085" s="2" t="s">
        <v>25</v>
      </c>
      <c r="E2085" s="2">
        <v>103</v>
      </c>
      <c r="F2085" s="2">
        <v>208</v>
      </c>
      <c r="G2085" s="2">
        <v>502</v>
      </c>
      <c r="H2085" s="2">
        <v>1943</v>
      </c>
      <c r="I2085" s="2">
        <v>3061</v>
      </c>
      <c r="J2085" s="2">
        <v>2.04</v>
      </c>
      <c r="K2085" s="2">
        <v>4.9400000000000004</v>
      </c>
      <c r="L2085" s="2">
        <v>12.82</v>
      </c>
      <c r="M2085" s="2">
        <v>15.82</v>
      </c>
      <c r="N2085" s="2">
        <v>1.431235247</v>
      </c>
      <c r="O2085" s="2">
        <v>2.0374662610000001</v>
      </c>
      <c r="P2085" s="2">
        <v>1.542139868</v>
      </c>
      <c r="Q2085" s="2">
        <v>1.624402933</v>
      </c>
      <c r="R2085" s="2">
        <v>0.60942872599999998</v>
      </c>
      <c r="S2085" s="2">
        <v>0.42942872599999998</v>
      </c>
      <c r="T2085" s="2">
        <v>1.416612862</v>
      </c>
      <c r="U2085" s="2">
        <v>1.5666128619999999</v>
      </c>
      <c r="V2085" s="2">
        <v>1.3870704469999999</v>
      </c>
      <c r="W2085" s="2">
        <v>1.3765297990000001</v>
      </c>
      <c r="X2085">
        <f t="shared" si="96"/>
        <v>1</v>
      </c>
      <c r="Y2085">
        <f t="shared" si="97"/>
        <v>0</v>
      </c>
      <c r="Z2085">
        <f t="shared" si="98"/>
        <v>0</v>
      </c>
    </row>
    <row r="2086" spans="1:26" ht="15.75" customHeight="1" x14ac:dyDescent="0.2">
      <c r="A2086" s="2" t="s">
        <v>36</v>
      </c>
      <c r="B2086" s="2" t="s">
        <v>24</v>
      </c>
      <c r="C2086" s="2" t="s">
        <v>30</v>
      </c>
      <c r="D2086" s="2" t="s">
        <v>31</v>
      </c>
      <c r="E2086" s="2">
        <v>128</v>
      </c>
      <c r="F2086" s="2">
        <v>204</v>
      </c>
      <c r="G2086" s="2">
        <v>251</v>
      </c>
      <c r="H2086" s="2">
        <v>1024</v>
      </c>
      <c r="I2086" s="2">
        <v>2120</v>
      </c>
      <c r="J2086" s="2">
        <v>2</v>
      </c>
      <c r="K2086" s="2">
        <v>2.5099999999999998</v>
      </c>
      <c r="L2086" s="2">
        <v>8.67</v>
      </c>
      <c r="M2086" s="2">
        <v>13.4</v>
      </c>
      <c r="N2086" s="2">
        <v>5.6290126880000004</v>
      </c>
      <c r="O2086" s="2">
        <v>5.7046087510000003</v>
      </c>
      <c r="P2086" s="2">
        <v>3.2808865900000002</v>
      </c>
      <c r="Q2086" s="2">
        <v>3.2642594640000002</v>
      </c>
      <c r="R2086" s="2">
        <v>1.820024125</v>
      </c>
      <c r="S2086" s="2">
        <v>2.0000241249999999</v>
      </c>
      <c r="T2086" s="2">
        <v>2.7297855229999999</v>
      </c>
      <c r="U2086" s="2">
        <v>2.579785523</v>
      </c>
      <c r="V2086" s="2">
        <v>-1.0423824049999999</v>
      </c>
      <c r="W2086" s="2">
        <v>-1.052923053</v>
      </c>
      <c r="X2086">
        <f t="shared" si="96"/>
        <v>1</v>
      </c>
      <c r="Y2086">
        <f t="shared" si="97"/>
        <v>0</v>
      </c>
      <c r="Z2086">
        <f t="shared" si="98"/>
        <v>1</v>
      </c>
    </row>
    <row r="2087" spans="1:26" ht="15.75" customHeight="1" x14ac:dyDescent="0.2">
      <c r="A2087" s="2" t="s">
        <v>36</v>
      </c>
      <c r="B2087" s="2" t="s">
        <v>24</v>
      </c>
      <c r="C2087" s="2" t="s">
        <v>25</v>
      </c>
      <c r="D2087" s="2" t="s">
        <v>25</v>
      </c>
      <c r="E2087" s="2">
        <v>140</v>
      </c>
      <c r="F2087" s="2">
        <v>227</v>
      </c>
      <c r="G2087" s="2">
        <v>785</v>
      </c>
      <c r="H2087" s="2">
        <v>1490</v>
      </c>
      <c r="I2087" s="2">
        <v>2944</v>
      </c>
      <c r="J2087" s="2">
        <v>2.2599999999999998</v>
      </c>
      <c r="K2087" s="2">
        <v>7.13</v>
      </c>
      <c r="L2087" s="2">
        <v>11.05</v>
      </c>
      <c r="M2087" s="2">
        <v>15.56</v>
      </c>
      <c r="N2087" s="2">
        <v>0.225448591</v>
      </c>
      <c r="O2087" s="2">
        <v>0.12277671599999999</v>
      </c>
      <c r="P2087" s="2">
        <v>2.6456488789999999</v>
      </c>
      <c r="Q2087" s="2">
        <v>2.6775656269999999</v>
      </c>
      <c r="R2087" s="2">
        <v>2.624651445</v>
      </c>
      <c r="S2087" s="2">
        <v>2.6646514450000001</v>
      </c>
      <c r="T2087" s="2">
        <v>0.33266015999999998</v>
      </c>
      <c r="U2087" s="2">
        <v>0.26266015999999998</v>
      </c>
      <c r="V2087" s="2">
        <v>4.0822818500000002</v>
      </c>
      <c r="W2087" s="2">
        <v>4.0668842459999999</v>
      </c>
      <c r="X2087">
        <f t="shared" si="96"/>
        <v>1</v>
      </c>
      <c r="Y2087">
        <f t="shared" si="97"/>
        <v>0</v>
      </c>
      <c r="Z2087">
        <f t="shared" si="98"/>
        <v>0</v>
      </c>
    </row>
    <row r="2088" spans="1:26" ht="15.75" customHeight="1" x14ac:dyDescent="0.2">
      <c r="A2088" s="2" t="s">
        <v>36</v>
      </c>
      <c r="B2088" s="2" t="s">
        <v>24</v>
      </c>
      <c r="C2088" s="2" t="s">
        <v>26</v>
      </c>
      <c r="D2088" s="2" t="s">
        <v>26</v>
      </c>
      <c r="E2088" s="2">
        <v>168</v>
      </c>
      <c r="F2088" s="2">
        <v>242</v>
      </c>
      <c r="G2088" s="2">
        <v>390</v>
      </c>
      <c r="H2088" s="2">
        <v>936</v>
      </c>
      <c r="I2088" s="2">
        <v>2761</v>
      </c>
      <c r="J2088" s="2">
        <v>2.42</v>
      </c>
      <c r="K2088" s="2">
        <v>3.92</v>
      </c>
      <c r="L2088" s="2">
        <v>8.14</v>
      </c>
      <c r="M2088" s="2">
        <v>15.15</v>
      </c>
      <c r="N2088" s="2">
        <v>0.29038372400000001</v>
      </c>
      <c r="O2088" s="2">
        <v>0.31604653100000002</v>
      </c>
      <c r="P2088" s="2">
        <v>3.295592117</v>
      </c>
      <c r="Q2088" s="2">
        <v>3.219694777</v>
      </c>
      <c r="R2088" s="2">
        <v>0.58750957299999995</v>
      </c>
      <c r="S2088" s="2">
        <v>0.54750957300000003</v>
      </c>
      <c r="T2088" s="2">
        <v>3.2428012430000002</v>
      </c>
      <c r="U2088" s="2">
        <v>3.1728012429999999</v>
      </c>
      <c r="V2088" s="2">
        <v>0.87012083100000004</v>
      </c>
      <c r="W2088" s="2">
        <v>0.854723228</v>
      </c>
      <c r="X2088">
        <f t="shared" si="96"/>
        <v>1</v>
      </c>
      <c r="Y2088">
        <f t="shared" si="97"/>
        <v>0</v>
      </c>
      <c r="Z2088">
        <f t="shared" si="98"/>
        <v>0</v>
      </c>
    </row>
    <row r="2089" spans="1:26" ht="15.75" customHeight="1" x14ac:dyDescent="0.2">
      <c r="A2089" s="2" t="s">
        <v>36</v>
      </c>
      <c r="B2089" s="2" t="s">
        <v>24</v>
      </c>
      <c r="C2089" s="2" t="s">
        <v>27</v>
      </c>
      <c r="D2089" s="2" t="s">
        <v>27</v>
      </c>
      <c r="E2089" s="2">
        <v>146</v>
      </c>
      <c r="F2089" s="2">
        <v>203</v>
      </c>
      <c r="G2089" s="2">
        <v>467</v>
      </c>
      <c r="H2089" s="2">
        <v>2279</v>
      </c>
      <c r="I2089" s="2">
        <v>2944</v>
      </c>
      <c r="J2089" s="2">
        <v>1.99</v>
      </c>
      <c r="K2089" s="2">
        <v>4.63</v>
      </c>
      <c r="L2089" s="2">
        <v>13.88</v>
      </c>
      <c r="M2089" s="2">
        <v>15.56</v>
      </c>
      <c r="N2089" s="2">
        <v>0.46859037199999998</v>
      </c>
      <c r="O2089" s="2">
        <v>0.54058067700000001</v>
      </c>
      <c r="P2089" s="2">
        <v>2.5065886370000001</v>
      </c>
      <c r="Q2089" s="2">
        <v>2.578665253</v>
      </c>
      <c r="R2089" s="2">
        <v>0.11874330399999999</v>
      </c>
      <c r="S2089" s="2">
        <v>0.158743304</v>
      </c>
      <c r="T2089" s="2">
        <v>2.5037744750000002</v>
      </c>
      <c r="U2089" s="2">
        <v>2.573774475</v>
      </c>
      <c r="V2089" s="2">
        <v>1.5763737090000001</v>
      </c>
      <c r="W2089" s="2">
        <v>1.5609761049999999</v>
      </c>
      <c r="X2089">
        <f t="shared" si="96"/>
        <v>1</v>
      </c>
      <c r="Y2089">
        <f t="shared" si="97"/>
        <v>0</v>
      </c>
      <c r="Z2089">
        <f t="shared" si="98"/>
        <v>0</v>
      </c>
    </row>
    <row r="2090" spans="1:26" ht="15.75" customHeight="1" x14ac:dyDescent="0.2">
      <c r="A2090" s="2" t="s">
        <v>36</v>
      </c>
      <c r="B2090" s="2" t="s">
        <v>24</v>
      </c>
      <c r="C2090" s="2" t="s">
        <v>28</v>
      </c>
      <c r="D2090" s="2" t="s">
        <v>29</v>
      </c>
      <c r="E2090" s="2">
        <v>167</v>
      </c>
      <c r="F2090" s="2">
        <v>254</v>
      </c>
      <c r="G2090" s="2">
        <v>395</v>
      </c>
      <c r="H2090" s="2">
        <v>921</v>
      </c>
      <c r="I2090" s="2">
        <v>2780</v>
      </c>
      <c r="J2090" s="2">
        <v>2.5499999999999998</v>
      </c>
      <c r="K2090" s="2">
        <v>3.97</v>
      </c>
      <c r="L2090" s="2">
        <v>8.0399999999999991</v>
      </c>
      <c r="M2090" s="2">
        <v>15.19</v>
      </c>
      <c r="N2090" s="2">
        <v>0.186973098</v>
      </c>
      <c r="O2090" s="2">
        <v>0.21035889899999999</v>
      </c>
      <c r="P2090" s="2">
        <v>3.3832538790000002</v>
      </c>
      <c r="Q2090" s="2">
        <v>3.3078602969999999</v>
      </c>
      <c r="R2090" s="2">
        <v>0.54320594499999997</v>
      </c>
      <c r="S2090" s="2">
        <v>0.50320594500000004</v>
      </c>
      <c r="T2090" s="2">
        <v>3.3393613329999998</v>
      </c>
      <c r="U2090" s="2">
        <v>3.269361333</v>
      </c>
      <c r="V2090" s="2">
        <v>0.91442445999999999</v>
      </c>
      <c r="W2090" s="2">
        <v>0.89902685599999999</v>
      </c>
      <c r="X2090">
        <f t="shared" si="96"/>
        <v>1</v>
      </c>
      <c r="Y2090">
        <f t="shared" si="97"/>
        <v>0</v>
      </c>
      <c r="Z2090">
        <f t="shared" si="98"/>
        <v>1</v>
      </c>
    </row>
    <row r="2091" spans="1:26" ht="15.75" customHeight="1" x14ac:dyDescent="0.2">
      <c r="A2091" s="2" t="s">
        <v>36</v>
      </c>
      <c r="B2091" s="2" t="s">
        <v>24</v>
      </c>
      <c r="C2091" s="2" t="s">
        <v>30</v>
      </c>
      <c r="D2091" s="2" t="s">
        <v>31</v>
      </c>
      <c r="E2091" s="2">
        <v>162</v>
      </c>
      <c r="F2091" s="2">
        <v>223</v>
      </c>
      <c r="G2091" s="2">
        <v>481</v>
      </c>
      <c r="H2091" s="2">
        <v>1302</v>
      </c>
      <c r="I2091" s="2">
        <v>2858</v>
      </c>
      <c r="J2091" s="2">
        <v>2.21</v>
      </c>
      <c r="K2091" s="2">
        <v>4.75</v>
      </c>
      <c r="L2091" s="2">
        <v>10.17</v>
      </c>
      <c r="M2091" s="2">
        <v>15.37</v>
      </c>
      <c r="N2091" s="2">
        <v>3.421717702</v>
      </c>
      <c r="O2091" s="2">
        <v>3.4021919120000002</v>
      </c>
      <c r="P2091" s="2">
        <v>1.2342149140000001</v>
      </c>
      <c r="Q2091" s="2">
        <v>1.174518046</v>
      </c>
      <c r="R2091" s="2">
        <v>0.23998088000000001</v>
      </c>
      <c r="S2091" s="2">
        <v>0.27998087999999999</v>
      </c>
      <c r="T2091" s="2">
        <v>1.210659172</v>
      </c>
      <c r="U2091" s="2">
        <v>1.1406591720000001</v>
      </c>
      <c r="V2091" s="2">
        <v>1.6976112839999999</v>
      </c>
      <c r="W2091" s="2">
        <v>1.68221368</v>
      </c>
      <c r="X2091">
        <f t="shared" si="96"/>
        <v>1</v>
      </c>
      <c r="Y2091">
        <f t="shared" si="97"/>
        <v>0</v>
      </c>
      <c r="Z2091">
        <f t="shared" si="98"/>
        <v>1</v>
      </c>
    </row>
    <row r="2092" spans="1:26" ht="15.75" customHeight="1" x14ac:dyDescent="0.2">
      <c r="A2092" s="2" t="s">
        <v>36</v>
      </c>
      <c r="B2092" s="2" t="s">
        <v>24</v>
      </c>
      <c r="C2092" s="2" t="s">
        <v>26</v>
      </c>
      <c r="D2092" s="2" t="s">
        <v>26</v>
      </c>
      <c r="E2092" s="2">
        <v>163</v>
      </c>
      <c r="F2092" s="2">
        <v>216</v>
      </c>
      <c r="G2092" s="2">
        <v>400</v>
      </c>
      <c r="H2092" s="2">
        <v>728</v>
      </c>
      <c r="I2092" s="2">
        <v>2832</v>
      </c>
      <c r="J2092" s="2">
        <v>2.13</v>
      </c>
      <c r="K2092" s="2">
        <v>4.01</v>
      </c>
      <c r="L2092" s="2">
        <v>6.73</v>
      </c>
      <c r="M2092" s="2">
        <v>15.31</v>
      </c>
      <c r="N2092" s="2">
        <v>1.1692116079999999</v>
      </c>
      <c r="O2092" s="2">
        <v>1.1066988520000001</v>
      </c>
      <c r="P2092" s="2">
        <v>4.6732601479999998</v>
      </c>
      <c r="Q2092" s="2">
        <v>4.5995020799999997</v>
      </c>
      <c r="R2092" s="2">
        <v>0.49907755300000001</v>
      </c>
      <c r="S2092" s="2">
        <v>0.45907755300000003</v>
      </c>
      <c r="T2092" s="2">
        <v>4.6465344079999999</v>
      </c>
      <c r="U2092" s="2">
        <v>4.5765344079999997</v>
      </c>
      <c r="V2092" s="2">
        <v>0.95855285099999998</v>
      </c>
      <c r="W2092" s="2">
        <v>0.94315524799999995</v>
      </c>
      <c r="X2092">
        <f t="shared" si="96"/>
        <v>1</v>
      </c>
      <c r="Y2092">
        <f t="shared" si="97"/>
        <v>0</v>
      </c>
      <c r="Z2092">
        <f t="shared" si="98"/>
        <v>0</v>
      </c>
    </row>
    <row r="2093" spans="1:26" ht="15.75" customHeight="1" x14ac:dyDescent="0.2">
      <c r="A2093" s="2" t="s">
        <v>36</v>
      </c>
      <c r="B2093" s="2" t="s">
        <v>24</v>
      </c>
      <c r="C2093" s="2" t="s">
        <v>28</v>
      </c>
      <c r="D2093" s="2" t="s">
        <v>29</v>
      </c>
      <c r="E2093" s="2">
        <v>146</v>
      </c>
      <c r="F2093" s="2">
        <v>233</v>
      </c>
      <c r="G2093" s="2">
        <v>333</v>
      </c>
      <c r="H2093" s="2">
        <v>1076</v>
      </c>
      <c r="I2093" s="2">
        <v>2698</v>
      </c>
      <c r="J2093" s="2">
        <v>2.3199999999999998</v>
      </c>
      <c r="K2093" s="2">
        <v>3.37</v>
      </c>
      <c r="L2093" s="2">
        <v>8.9700000000000006</v>
      </c>
      <c r="M2093" s="2">
        <v>15</v>
      </c>
      <c r="N2093" s="2">
        <v>1.294571031</v>
      </c>
      <c r="O2093" s="2">
        <v>1.313460396</v>
      </c>
      <c r="P2093" s="2">
        <v>2.6640249890000001</v>
      </c>
      <c r="Q2093" s="2">
        <v>2.5836400159999999</v>
      </c>
      <c r="R2093" s="2">
        <v>1.1431976740000001</v>
      </c>
      <c r="S2093" s="2">
        <v>1.103197674</v>
      </c>
      <c r="T2093" s="2">
        <v>2.4062685259999999</v>
      </c>
      <c r="U2093" s="2">
        <v>2.336268526</v>
      </c>
      <c r="V2093" s="2">
        <v>0.31443272999999999</v>
      </c>
      <c r="W2093" s="2">
        <v>0.29903512700000001</v>
      </c>
      <c r="X2093">
        <f t="shared" si="96"/>
        <v>1</v>
      </c>
      <c r="Y2093">
        <f t="shared" si="97"/>
        <v>0</v>
      </c>
      <c r="Z2093">
        <f t="shared" si="98"/>
        <v>1</v>
      </c>
    </row>
    <row r="2094" spans="1:26" ht="15.75" customHeight="1" x14ac:dyDescent="0.2">
      <c r="A2094" s="2" t="s">
        <v>36</v>
      </c>
      <c r="B2094" s="2" t="s">
        <v>24</v>
      </c>
      <c r="C2094" s="2" t="s">
        <v>32</v>
      </c>
      <c r="D2094" s="2" t="s">
        <v>33</v>
      </c>
      <c r="E2094" s="2">
        <v>188</v>
      </c>
      <c r="F2094" s="2">
        <v>226</v>
      </c>
      <c r="G2094" s="2">
        <v>366</v>
      </c>
      <c r="H2094" s="2">
        <v>884</v>
      </c>
      <c r="I2094" s="2">
        <v>3084</v>
      </c>
      <c r="J2094" s="2">
        <v>2.25</v>
      </c>
      <c r="K2094" s="2">
        <v>3.69</v>
      </c>
      <c r="L2094" s="2">
        <v>7.8</v>
      </c>
      <c r="M2094" s="2">
        <v>15.86</v>
      </c>
      <c r="N2094" s="2">
        <v>4.9153222599999999</v>
      </c>
      <c r="O2094" s="2">
        <v>4.823783165</v>
      </c>
      <c r="P2094" s="2">
        <v>3.670486914</v>
      </c>
      <c r="Q2094" s="2">
        <v>3.5933649499999998</v>
      </c>
      <c r="R2094" s="2">
        <v>0.82463953000000001</v>
      </c>
      <c r="S2094" s="2">
        <v>0.78463952999999997</v>
      </c>
      <c r="T2094" s="2">
        <v>3.5766526019999998</v>
      </c>
      <c r="U2094" s="2">
        <v>3.506652602</v>
      </c>
      <c r="V2094" s="2">
        <v>0.63299087399999998</v>
      </c>
      <c r="W2094" s="2">
        <v>0.61759327100000005</v>
      </c>
      <c r="X2094">
        <f t="shared" si="96"/>
        <v>1</v>
      </c>
      <c r="Y2094">
        <f t="shared" si="97"/>
        <v>0</v>
      </c>
      <c r="Z2094">
        <f t="shared" si="98"/>
        <v>1</v>
      </c>
    </row>
    <row r="2095" spans="1:26" ht="15.75" customHeight="1" x14ac:dyDescent="0.2">
      <c r="A2095" s="2" t="s">
        <v>36</v>
      </c>
      <c r="B2095" s="2" t="s">
        <v>24</v>
      </c>
      <c r="C2095" s="2" t="s">
        <v>32</v>
      </c>
      <c r="D2095" s="2" t="s">
        <v>33</v>
      </c>
      <c r="E2095" s="2">
        <v>247</v>
      </c>
      <c r="F2095" s="2">
        <v>242</v>
      </c>
      <c r="G2095" s="2">
        <v>375</v>
      </c>
      <c r="H2095" s="2">
        <v>925</v>
      </c>
      <c r="I2095" s="2">
        <v>2685</v>
      </c>
      <c r="J2095" s="2">
        <v>2.42</v>
      </c>
      <c r="K2095" s="2">
        <v>3.78</v>
      </c>
      <c r="L2095" s="2">
        <v>8.07</v>
      </c>
      <c r="M2095" s="2">
        <v>14.97</v>
      </c>
      <c r="N2095" s="2">
        <v>4.663931002</v>
      </c>
      <c r="O2095" s="2">
        <v>4.5737612399999996</v>
      </c>
      <c r="P2095" s="2">
        <v>3.391704963</v>
      </c>
      <c r="Q2095" s="2">
        <v>3.3148149099999999</v>
      </c>
      <c r="R2095" s="2">
        <v>0.73111333099999998</v>
      </c>
      <c r="S2095" s="2">
        <v>0.69111333100000005</v>
      </c>
      <c r="T2095" s="2">
        <v>3.311968577</v>
      </c>
      <c r="U2095" s="2">
        <v>3.2419685770000002</v>
      </c>
      <c r="V2095" s="2">
        <v>0.72651707300000001</v>
      </c>
      <c r="W2095" s="2">
        <v>0.71111946999999998</v>
      </c>
      <c r="X2095">
        <f t="shared" si="96"/>
        <v>1</v>
      </c>
      <c r="Y2095">
        <f t="shared" si="97"/>
        <v>0</v>
      </c>
      <c r="Z2095">
        <f t="shared" si="98"/>
        <v>1</v>
      </c>
    </row>
    <row r="2096" spans="1:26" ht="15.75" customHeight="1" x14ac:dyDescent="0.2">
      <c r="A2096" s="2" t="s">
        <v>36</v>
      </c>
      <c r="B2096" s="2" t="s">
        <v>24</v>
      </c>
      <c r="C2096" s="2" t="s">
        <v>25</v>
      </c>
      <c r="D2096" s="2" t="s">
        <v>25</v>
      </c>
      <c r="E2096" s="2">
        <v>315</v>
      </c>
      <c r="F2096" s="2">
        <v>223</v>
      </c>
      <c r="G2096" s="2">
        <v>833</v>
      </c>
      <c r="H2096" s="2">
        <v>1607</v>
      </c>
      <c r="I2096" s="2">
        <v>2862</v>
      </c>
      <c r="J2096" s="2">
        <v>2.21</v>
      </c>
      <c r="K2096" s="2">
        <v>7.47</v>
      </c>
      <c r="L2096" s="2">
        <v>11.55</v>
      </c>
      <c r="M2096" s="2">
        <v>15.38</v>
      </c>
      <c r="N2096" s="2">
        <v>0.408909307</v>
      </c>
      <c r="O2096" s="2">
        <v>0.50195188300000004</v>
      </c>
      <c r="P2096" s="2">
        <v>2.9630781719999999</v>
      </c>
      <c r="Q2096" s="2">
        <v>3.0077829779999998</v>
      </c>
      <c r="R2096" s="2">
        <v>2.958210024</v>
      </c>
      <c r="S2096" s="2">
        <v>2.998210024</v>
      </c>
      <c r="T2096" s="2">
        <v>0.169781349</v>
      </c>
      <c r="U2096" s="2">
        <v>0.239781349</v>
      </c>
      <c r="V2096" s="2">
        <v>4.4158404280000001</v>
      </c>
      <c r="W2096" s="2">
        <v>4.4004428249999998</v>
      </c>
      <c r="X2096">
        <f t="shared" si="96"/>
        <v>1</v>
      </c>
      <c r="Y2096">
        <f t="shared" si="97"/>
        <v>0</v>
      </c>
      <c r="Z2096">
        <f t="shared" si="98"/>
        <v>0</v>
      </c>
    </row>
    <row r="2097" spans="1:26" ht="15.75" customHeight="1" x14ac:dyDescent="0.2">
      <c r="A2097" s="2" t="s">
        <v>36</v>
      </c>
      <c r="B2097" s="2" t="s">
        <v>24</v>
      </c>
      <c r="C2097" s="2" t="s">
        <v>32</v>
      </c>
      <c r="D2097" s="2" t="s">
        <v>33</v>
      </c>
      <c r="E2097" s="2">
        <v>185</v>
      </c>
      <c r="F2097" s="2">
        <v>242</v>
      </c>
      <c r="G2097" s="2">
        <v>640</v>
      </c>
      <c r="H2097" s="2">
        <v>1281</v>
      </c>
      <c r="I2097" s="2">
        <v>3151</v>
      </c>
      <c r="J2097" s="2">
        <v>2.41</v>
      </c>
      <c r="K2097" s="2">
        <v>6.07</v>
      </c>
      <c r="L2097" s="2">
        <v>10.07</v>
      </c>
      <c r="M2097" s="2">
        <v>16</v>
      </c>
      <c r="N2097" s="2">
        <v>1.631319966</v>
      </c>
      <c r="O2097" s="2">
        <v>1.538040216</v>
      </c>
      <c r="P2097" s="2">
        <v>2.035736655</v>
      </c>
      <c r="Q2097" s="2">
        <v>2.0227767750000001</v>
      </c>
      <c r="R2097" s="2">
        <v>1.556793179</v>
      </c>
      <c r="S2097" s="2">
        <v>1.5967931790000001</v>
      </c>
      <c r="T2097" s="2">
        <v>1.3117235709999999</v>
      </c>
      <c r="U2097" s="2">
        <v>1.2417235710000001</v>
      </c>
      <c r="V2097" s="2">
        <v>3.0144235830000001</v>
      </c>
      <c r="W2097" s="2">
        <v>2.9990259799999999</v>
      </c>
      <c r="X2097">
        <f t="shared" si="96"/>
        <v>1</v>
      </c>
      <c r="Y2097">
        <f t="shared" si="97"/>
        <v>0</v>
      </c>
      <c r="Z2097">
        <f t="shared" si="98"/>
        <v>1</v>
      </c>
    </row>
    <row r="2098" spans="1:26" ht="15.75" customHeight="1" x14ac:dyDescent="0.2">
      <c r="A2098" s="2" t="s">
        <v>36</v>
      </c>
      <c r="B2098" s="2" t="s">
        <v>24</v>
      </c>
      <c r="C2098" s="2" t="s">
        <v>32</v>
      </c>
      <c r="D2098" s="2" t="s">
        <v>33</v>
      </c>
      <c r="E2098" s="2">
        <v>170</v>
      </c>
      <c r="F2098" s="2">
        <v>223</v>
      </c>
      <c r="G2098" s="2">
        <v>473</v>
      </c>
      <c r="H2098" s="2">
        <v>961</v>
      </c>
      <c r="I2098" s="2">
        <v>2842</v>
      </c>
      <c r="J2098" s="2">
        <v>2.21</v>
      </c>
      <c r="K2098" s="2">
        <v>4.68</v>
      </c>
      <c r="L2098" s="2">
        <v>8.2899999999999991</v>
      </c>
      <c r="M2098" s="2">
        <v>15.34</v>
      </c>
      <c r="N2098" s="2">
        <v>3.8851520289999999</v>
      </c>
      <c r="O2098" s="2">
        <v>3.7893967599999998</v>
      </c>
      <c r="P2098" s="2">
        <v>3.0962710709999999</v>
      </c>
      <c r="Q2098" s="2">
        <v>3.0288774109999999</v>
      </c>
      <c r="R2098" s="2">
        <v>0.16917785699999999</v>
      </c>
      <c r="S2098" s="2">
        <v>0.20917785699999999</v>
      </c>
      <c r="T2098" s="2">
        <v>3.0916457429999999</v>
      </c>
      <c r="U2098" s="2">
        <v>3.0216457430000001</v>
      </c>
      <c r="V2098" s="2">
        <v>1.6268082610000001</v>
      </c>
      <c r="W2098" s="2">
        <v>1.6114106580000001</v>
      </c>
      <c r="X2098">
        <f t="shared" si="96"/>
        <v>1</v>
      </c>
      <c r="Y2098">
        <f t="shared" si="97"/>
        <v>0</v>
      </c>
      <c r="Z2098">
        <f t="shared" si="98"/>
        <v>1</v>
      </c>
    </row>
    <row r="2099" spans="1:26" ht="15.75" customHeight="1" x14ac:dyDescent="0.2">
      <c r="A2099" s="2" t="s">
        <v>36</v>
      </c>
      <c r="B2099" s="2" t="s">
        <v>24</v>
      </c>
      <c r="C2099" s="2" t="s">
        <v>25</v>
      </c>
      <c r="D2099" s="2" t="s">
        <v>25</v>
      </c>
      <c r="E2099" s="2">
        <v>130</v>
      </c>
      <c r="F2099" s="2">
        <v>226</v>
      </c>
      <c r="G2099" s="2">
        <v>731</v>
      </c>
      <c r="H2099" s="2">
        <v>1607</v>
      </c>
      <c r="I2099" s="2">
        <v>2898</v>
      </c>
      <c r="J2099" s="2">
        <v>2.2400000000000002</v>
      </c>
      <c r="K2099" s="2">
        <v>6.75</v>
      </c>
      <c r="L2099" s="2">
        <v>11.55</v>
      </c>
      <c r="M2099" s="2">
        <v>15.46</v>
      </c>
      <c r="N2099" s="2">
        <v>0.50153321699999998</v>
      </c>
      <c r="O2099" s="2">
        <v>0.541374782</v>
      </c>
      <c r="P2099" s="2">
        <v>2.249148886</v>
      </c>
      <c r="Q2099" s="2">
        <v>2.2952503609999999</v>
      </c>
      <c r="R2099" s="2">
        <v>2.242835377</v>
      </c>
      <c r="S2099" s="2">
        <v>2.2828353770000001</v>
      </c>
      <c r="T2099" s="2">
        <v>0.16840482200000001</v>
      </c>
      <c r="U2099" s="2">
        <v>0.23840482199999999</v>
      </c>
      <c r="V2099" s="2">
        <v>3.7004657820000002</v>
      </c>
      <c r="W2099" s="2">
        <v>3.6850681779999999</v>
      </c>
      <c r="X2099">
        <f t="shared" si="96"/>
        <v>1</v>
      </c>
      <c r="Y2099">
        <f t="shared" si="97"/>
        <v>0</v>
      </c>
      <c r="Z2099">
        <f t="shared" si="98"/>
        <v>0</v>
      </c>
    </row>
    <row r="2100" spans="1:26" ht="15.75" customHeight="1" x14ac:dyDescent="0.2">
      <c r="A2100" s="2" t="s">
        <v>36</v>
      </c>
      <c r="B2100" s="2" t="s">
        <v>24</v>
      </c>
      <c r="C2100" s="2" t="s">
        <v>25</v>
      </c>
      <c r="D2100" s="2" t="s">
        <v>25</v>
      </c>
      <c r="E2100" s="2">
        <v>206</v>
      </c>
      <c r="F2100" s="2">
        <v>218</v>
      </c>
      <c r="G2100" s="2">
        <v>885</v>
      </c>
      <c r="H2100" s="2">
        <v>1491</v>
      </c>
      <c r="I2100" s="2">
        <v>2920</v>
      </c>
      <c r="J2100" s="2">
        <v>2.16</v>
      </c>
      <c r="K2100" s="2">
        <v>7.81</v>
      </c>
      <c r="L2100" s="2">
        <v>11.05</v>
      </c>
      <c r="M2100" s="2">
        <v>15.51</v>
      </c>
      <c r="N2100" s="2">
        <v>0.67808732999999999</v>
      </c>
      <c r="O2100" s="2">
        <v>0.68232954999999995</v>
      </c>
      <c r="P2100" s="2">
        <v>3.3182806399999998</v>
      </c>
      <c r="Q2100" s="2">
        <v>3.3519684449999998</v>
      </c>
      <c r="R2100" s="2">
        <v>3.3020056229999999</v>
      </c>
      <c r="S2100" s="2">
        <v>3.3420056229999999</v>
      </c>
      <c r="T2100" s="2">
        <v>0.32824575</v>
      </c>
      <c r="U2100" s="2">
        <v>0.25824575</v>
      </c>
      <c r="V2100" s="2">
        <v>4.7596360280000001</v>
      </c>
      <c r="W2100" s="2">
        <v>4.7442384239999997</v>
      </c>
      <c r="X2100">
        <f t="shared" si="96"/>
        <v>1</v>
      </c>
      <c r="Y2100">
        <f t="shared" si="97"/>
        <v>0</v>
      </c>
      <c r="Z2100">
        <f t="shared" si="98"/>
        <v>0</v>
      </c>
    </row>
    <row r="2101" spans="1:26" ht="15.75" customHeight="1" x14ac:dyDescent="0.2">
      <c r="A2101" s="2" t="s">
        <v>36</v>
      </c>
      <c r="B2101" s="2" t="s">
        <v>24</v>
      </c>
      <c r="C2101" s="2" t="s">
        <v>27</v>
      </c>
      <c r="D2101" s="2" t="s">
        <v>27</v>
      </c>
      <c r="E2101" s="2">
        <v>145</v>
      </c>
      <c r="F2101" s="2">
        <v>225</v>
      </c>
      <c r="G2101" s="2">
        <v>368</v>
      </c>
      <c r="H2101" s="2">
        <v>1969</v>
      </c>
      <c r="I2101" s="2">
        <v>2862</v>
      </c>
      <c r="J2101" s="2">
        <v>2.23</v>
      </c>
      <c r="K2101" s="2">
        <v>3.71</v>
      </c>
      <c r="L2101" s="2">
        <v>12.91</v>
      </c>
      <c r="M2101" s="2">
        <v>15.38</v>
      </c>
      <c r="N2101" s="2">
        <v>0.87483305200000006</v>
      </c>
      <c r="O2101" s="2">
        <v>0.80651365900000005</v>
      </c>
      <c r="P2101" s="2">
        <v>1.7246553200000001</v>
      </c>
      <c r="Q2101" s="2">
        <v>1.7693315810000001</v>
      </c>
      <c r="R2101" s="2">
        <v>0.80199312700000003</v>
      </c>
      <c r="S2101" s="2">
        <v>0.76199312699999999</v>
      </c>
      <c r="T2101" s="2">
        <v>1.5268408550000001</v>
      </c>
      <c r="U2101" s="2">
        <v>1.5968408549999999</v>
      </c>
      <c r="V2101" s="2">
        <v>0.65563727699999996</v>
      </c>
      <c r="W2101" s="2">
        <v>0.64023967400000004</v>
      </c>
      <c r="X2101">
        <f t="shared" si="96"/>
        <v>1</v>
      </c>
      <c r="Y2101">
        <f t="shared" si="97"/>
        <v>0</v>
      </c>
      <c r="Z2101">
        <f t="shared" si="98"/>
        <v>0</v>
      </c>
    </row>
    <row r="2102" spans="1:26" ht="15.75" customHeight="1" x14ac:dyDescent="0.2">
      <c r="A2102" s="2" t="s">
        <v>36</v>
      </c>
      <c r="B2102" s="2" t="s">
        <v>24</v>
      </c>
      <c r="C2102" s="2" t="s">
        <v>30</v>
      </c>
      <c r="D2102" s="2" t="s">
        <v>31</v>
      </c>
      <c r="E2102" s="2">
        <v>174</v>
      </c>
      <c r="F2102" s="2">
        <v>184</v>
      </c>
      <c r="G2102" s="2">
        <v>501</v>
      </c>
      <c r="H2102" s="2">
        <v>1233</v>
      </c>
      <c r="I2102" s="2">
        <v>3231</v>
      </c>
      <c r="J2102" s="2">
        <v>1.77</v>
      </c>
      <c r="K2102" s="2">
        <v>4.92</v>
      </c>
      <c r="L2102" s="2">
        <v>9.82</v>
      </c>
      <c r="M2102" s="2">
        <v>16.16</v>
      </c>
      <c r="N2102" s="2">
        <v>3.7906853319999998</v>
      </c>
      <c r="O2102" s="2">
        <v>3.7735612070000002</v>
      </c>
      <c r="P2102" s="2">
        <v>1.61147193</v>
      </c>
      <c r="Q2102" s="2">
        <v>1.5551663019999999</v>
      </c>
      <c r="R2102" s="2">
        <v>0.41497426199999998</v>
      </c>
      <c r="S2102" s="2">
        <v>0.45497426200000002</v>
      </c>
      <c r="T2102" s="2">
        <v>1.557124961</v>
      </c>
      <c r="U2102" s="2">
        <v>1.4871249609999999</v>
      </c>
      <c r="V2102" s="2">
        <v>1.872604666</v>
      </c>
      <c r="W2102" s="2">
        <v>1.8572070629999999</v>
      </c>
      <c r="X2102">
        <f t="shared" si="96"/>
        <v>1</v>
      </c>
      <c r="Y2102">
        <f t="shared" si="97"/>
        <v>0</v>
      </c>
      <c r="Z2102">
        <f t="shared" si="98"/>
        <v>1</v>
      </c>
    </row>
    <row r="2103" spans="1:26" ht="15.75" customHeight="1" x14ac:dyDescent="0.2">
      <c r="A2103" s="2" t="s">
        <v>36</v>
      </c>
      <c r="B2103" s="2" t="s">
        <v>24</v>
      </c>
      <c r="C2103" s="2" t="s">
        <v>28</v>
      </c>
      <c r="D2103" s="2" t="s">
        <v>29</v>
      </c>
      <c r="E2103" s="2">
        <v>170</v>
      </c>
      <c r="F2103" s="2">
        <v>235</v>
      </c>
      <c r="G2103" s="2">
        <v>362</v>
      </c>
      <c r="H2103" s="2">
        <v>997</v>
      </c>
      <c r="I2103" s="2">
        <v>2689</v>
      </c>
      <c r="J2103" s="2">
        <v>2.34</v>
      </c>
      <c r="K2103" s="2">
        <v>3.65</v>
      </c>
      <c r="L2103" s="2">
        <v>8.51</v>
      </c>
      <c r="M2103" s="2">
        <v>14.98</v>
      </c>
      <c r="N2103" s="2">
        <v>0.75537580100000001</v>
      </c>
      <c r="O2103" s="2">
        <v>0.77326284300000003</v>
      </c>
      <c r="P2103" s="2">
        <v>2.9957425830000002</v>
      </c>
      <c r="Q2103" s="2">
        <v>2.9172397320000001</v>
      </c>
      <c r="R2103" s="2">
        <v>0.863567839</v>
      </c>
      <c r="S2103" s="2">
        <v>0.82356783899999997</v>
      </c>
      <c r="T2103" s="2">
        <v>2.8685752930000001</v>
      </c>
      <c r="U2103" s="2">
        <v>2.7985752929999999</v>
      </c>
      <c r="V2103" s="2">
        <v>0.59406256499999999</v>
      </c>
      <c r="W2103" s="2">
        <v>0.57866496199999995</v>
      </c>
      <c r="X2103">
        <f t="shared" si="96"/>
        <v>1</v>
      </c>
      <c r="Y2103">
        <f t="shared" si="97"/>
        <v>0</v>
      </c>
      <c r="Z2103">
        <f t="shared" si="98"/>
        <v>1</v>
      </c>
    </row>
    <row r="2104" spans="1:26" ht="15.75" customHeight="1" x14ac:dyDescent="0.2">
      <c r="A2104" s="2" t="s">
        <v>36</v>
      </c>
      <c r="B2104" s="2" t="s">
        <v>24</v>
      </c>
      <c r="C2104" s="2" t="s">
        <v>28</v>
      </c>
      <c r="D2104" s="2" t="s">
        <v>29</v>
      </c>
      <c r="E2104" s="2">
        <v>209</v>
      </c>
      <c r="F2104" s="2">
        <v>209</v>
      </c>
      <c r="G2104" s="2">
        <v>350</v>
      </c>
      <c r="H2104" s="2">
        <v>1138</v>
      </c>
      <c r="I2104" s="2">
        <v>3168</v>
      </c>
      <c r="J2104" s="2">
        <v>2.06</v>
      </c>
      <c r="K2104" s="2">
        <v>3.53</v>
      </c>
      <c r="L2104" s="2">
        <v>9.32</v>
      </c>
      <c r="M2104" s="2">
        <v>16.03</v>
      </c>
      <c r="N2104" s="2">
        <v>1.5223001759999999</v>
      </c>
      <c r="O2104" s="2">
        <v>1.5580820040000001</v>
      </c>
      <c r="P2104" s="2">
        <v>2.283576327</v>
      </c>
      <c r="Q2104" s="2">
        <v>2.2031989369999998</v>
      </c>
      <c r="R2104" s="2">
        <v>0.97787878800000005</v>
      </c>
      <c r="S2104" s="2">
        <v>0.93787878800000002</v>
      </c>
      <c r="T2104" s="2">
        <v>2.0636070160000002</v>
      </c>
      <c r="U2104" s="2">
        <v>1.9936070159999999</v>
      </c>
      <c r="V2104" s="2">
        <v>0.47975161599999999</v>
      </c>
      <c r="W2104" s="2">
        <v>0.46435401300000001</v>
      </c>
      <c r="X2104">
        <f t="shared" si="96"/>
        <v>1</v>
      </c>
      <c r="Y2104">
        <f t="shared" si="97"/>
        <v>0</v>
      </c>
      <c r="Z2104">
        <f t="shared" si="98"/>
        <v>1</v>
      </c>
    </row>
    <row r="2105" spans="1:26" ht="15.75" customHeight="1" x14ac:dyDescent="0.2">
      <c r="A2105" s="2" t="s">
        <v>36</v>
      </c>
      <c r="B2105" s="2" t="s">
        <v>24</v>
      </c>
      <c r="C2105" s="2" t="s">
        <v>32</v>
      </c>
      <c r="D2105" s="2" t="s">
        <v>33</v>
      </c>
      <c r="E2105" s="2">
        <v>173</v>
      </c>
      <c r="F2105" s="2">
        <v>246</v>
      </c>
      <c r="G2105" s="2">
        <v>499</v>
      </c>
      <c r="H2105" s="2">
        <v>1017</v>
      </c>
      <c r="I2105" s="2">
        <v>3134</v>
      </c>
      <c r="J2105" s="2">
        <v>2.46</v>
      </c>
      <c r="K2105" s="2">
        <v>4.91</v>
      </c>
      <c r="L2105" s="2">
        <v>8.6300000000000008</v>
      </c>
      <c r="M2105" s="2">
        <v>15.96</v>
      </c>
      <c r="N2105" s="2">
        <v>3.4761908319999999</v>
      </c>
      <c r="O2105" s="2">
        <v>3.3810080779999998</v>
      </c>
      <c r="P2105" s="2">
        <v>2.7778190089999999</v>
      </c>
      <c r="Q2105" s="2">
        <v>2.7147184759999998</v>
      </c>
      <c r="R2105" s="2">
        <v>0.39760303699999999</v>
      </c>
      <c r="S2105" s="2">
        <v>0.43760303699999997</v>
      </c>
      <c r="T2105" s="2">
        <v>2.7492163010000001</v>
      </c>
      <c r="U2105" s="2">
        <v>2.6792163009999999</v>
      </c>
      <c r="V2105" s="2">
        <v>1.855233441</v>
      </c>
      <c r="W2105" s="2">
        <v>1.8398358379999999</v>
      </c>
      <c r="X2105">
        <f t="shared" si="96"/>
        <v>1</v>
      </c>
      <c r="Y2105">
        <f t="shared" si="97"/>
        <v>0</v>
      </c>
      <c r="Z2105">
        <f t="shared" si="98"/>
        <v>1</v>
      </c>
    </row>
    <row r="2106" spans="1:26" ht="15.75" customHeight="1" x14ac:dyDescent="0.2">
      <c r="A2106" s="2" t="s">
        <v>36</v>
      </c>
      <c r="B2106" s="2" t="s">
        <v>24</v>
      </c>
      <c r="C2106" s="2" t="s">
        <v>26</v>
      </c>
      <c r="D2106" s="2" t="s">
        <v>26</v>
      </c>
      <c r="E2106" s="2">
        <v>164</v>
      </c>
      <c r="F2106" s="2">
        <v>247</v>
      </c>
      <c r="G2106" s="2">
        <v>416</v>
      </c>
      <c r="H2106" s="2">
        <v>950</v>
      </c>
      <c r="I2106" s="2">
        <v>2727</v>
      </c>
      <c r="J2106" s="2">
        <v>2.4700000000000002</v>
      </c>
      <c r="K2106" s="2">
        <v>4.17</v>
      </c>
      <c r="L2106" s="2">
        <v>8.2200000000000006</v>
      </c>
      <c r="M2106" s="2">
        <v>15.07</v>
      </c>
      <c r="N2106" s="2">
        <v>0.32948667199999998</v>
      </c>
      <c r="O2106" s="2">
        <v>0.40429563899999998</v>
      </c>
      <c r="P2106" s="2">
        <v>3.1782142360000001</v>
      </c>
      <c r="Q2106" s="2">
        <v>3.1044744479999999</v>
      </c>
      <c r="R2106" s="2">
        <v>0.34289100900000002</v>
      </c>
      <c r="S2106" s="2">
        <v>0.30289100899999999</v>
      </c>
      <c r="T2106" s="2">
        <v>3.159663192</v>
      </c>
      <c r="U2106" s="2">
        <v>3.0896631920000002</v>
      </c>
      <c r="V2106" s="2">
        <v>1.114739396</v>
      </c>
      <c r="W2106" s="2">
        <v>1.0993417919999999</v>
      </c>
      <c r="X2106">
        <f t="shared" si="96"/>
        <v>1</v>
      </c>
      <c r="Y2106">
        <f t="shared" si="97"/>
        <v>0</v>
      </c>
      <c r="Z2106">
        <f t="shared" si="98"/>
        <v>0</v>
      </c>
    </row>
    <row r="2107" spans="1:26" ht="15.75" customHeight="1" x14ac:dyDescent="0.2">
      <c r="A2107" s="2" t="s">
        <v>36</v>
      </c>
      <c r="B2107" s="2" t="s">
        <v>24</v>
      </c>
      <c r="C2107" s="2" t="s">
        <v>25</v>
      </c>
      <c r="D2107" s="2" t="s">
        <v>25</v>
      </c>
      <c r="E2107" s="2">
        <v>237</v>
      </c>
      <c r="F2107" s="2">
        <v>224</v>
      </c>
      <c r="G2107" s="2">
        <v>810</v>
      </c>
      <c r="H2107" s="2">
        <v>1406</v>
      </c>
      <c r="I2107" s="2">
        <v>2986</v>
      </c>
      <c r="J2107" s="2">
        <v>2.2200000000000002</v>
      </c>
      <c r="K2107" s="2">
        <v>7.31</v>
      </c>
      <c r="L2107" s="2">
        <v>10.67</v>
      </c>
      <c r="M2107" s="2">
        <v>15.66</v>
      </c>
      <c r="N2107" s="2">
        <v>0.61934086799999999</v>
      </c>
      <c r="O2107" s="2">
        <v>0.53144877599999996</v>
      </c>
      <c r="P2107" s="2">
        <v>2.8912809739999998</v>
      </c>
      <c r="Q2107" s="2">
        <v>2.913824134</v>
      </c>
      <c r="R2107" s="2">
        <v>2.8020298399999999</v>
      </c>
      <c r="S2107" s="2">
        <v>2.8420298399999999</v>
      </c>
      <c r="T2107" s="2">
        <v>0.71283549599999996</v>
      </c>
      <c r="U2107" s="2">
        <v>0.64283549600000001</v>
      </c>
      <c r="V2107" s="2">
        <v>4.259660244</v>
      </c>
      <c r="W2107" s="2">
        <v>4.2442626409999997</v>
      </c>
      <c r="X2107">
        <f t="shared" si="96"/>
        <v>1</v>
      </c>
      <c r="Y2107">
        <f t="shared" si="97"/>
        <v>0</v>
      </c>
      <c r="Z2107">
        <f t="shared" si="98"/>
        <v>0</v>
      </c>
    </row>
    <row r="2108" spans="1:26" ht="15.75" customHeight="1" x14ac:dyDescent="0.2">
      <c r="A2108" s="2" t="s">
        <v>36</v>
      </c>
      <c r="B2108" s="2" t="s">
        <v>24</v>
      </c>
      <c r="C2108" s="2" t="s">
        <v>30</v>
      </c>
      <c r="D2108" s="2" t="s">
        <v>31</v>
      </c>
      <c r="E2108" s="2">
        <v>229</v>
      </c>
      <c r="F2108" s="2">
        <v>198</v>
      </c>
      <c r="G2108" s="2">
        <v>585</v>
      </c>
      <c r="H2108" s="2">
        <v>1207</v>
      </c>
      <c r="I2108" s="2">
        <v>2833</v>
      </c>
      <c r="J2108" s="2">
        <v>1.93</v>
      </c>
      <c r="K2108" s="2">
        <v>5.64</v>
      </c>
      <c r="L2108" s="2">
        <v>9.69</v>
      </c>
      <c r="M2108" s="2">
        <v>15.32</v>
      </c>
      <c r="N2108" s="2">
        <v>4.0976262820000002</v>
      </c>
      <c r="O2108" s="2">
        <v>4.0929764649999996</v>
      </c>
      <c r="P2108" s="2">
        <v>2.0307835449999998</v>
      </c>
      <c r="Q2108" s="2">
        <v>1.995980734</v>
      </c>
      <c r="R2108" s="2">
        <v>1.1253169199999999</v>
      </c>
      <c r="S2108" s="2">
        <v>1.16531692</v>
      </c>
      <c r="T2108" s="2">
        <v>1.690486213</v>
      </c>
      <c r="U2108" s="2">
        <v>1.620486213</v>
      </c>
      <c r="V2108" s="2">
        <v>2.582947324</v>
      </c>
      <c r="W2108" s="2">
        <v>2.5675497209999998</v>
      </c>
      <c r="X2108">
        <f t="shared" si="96"/>
        <v>1</v>
      </c>
      <c r="Y2108">
        <f t="shared" si="97"/>
        <v>0</v>
      </c>
      <c r="Z2108">
        <f t="shared" si="98"/>
        <v>1</v>
      </c>
    </row>
    <row r="2109" spans="1:26" ht="15.75" customHeight="1" x14ac:dyDescent="0.2">
      <c r="A2109" s="2" t="s">
        <v>36</v>
      </c>
      <c r="B2109" s="2" t="s">
        <v>24</v>
      </c>
      <c r="C2109" s="2" t="s">
        <v>27</v>
      </c>
      <c r="D2109" s="2" t="s">
        <v>27</v>
      </c>
      <c r="E2109" s="2">
        <v>144</v>
      </c>
      <c r="F2109" s="2">
        <v>233</v>
      </c>
      <c r="G2109" s="2">
        <v>424</v>
      </c>
      <c r="H2109" s="2">
        <v>1996</v>
      </c>
      <c r="I2109" s="2">
        <v>2744</v>
      </c>
      <c r="J2109" s="2">
        <v>2.31</v>
      </c>
      <c r="K2109" s="2">
        <v>4.24</v>
      </c>
      <c r="L2109" s="2">
        <v>13</v>
      </c>
      <c r="M2109" s="2">
        <v>15.11</v>
      </c>
      <c r="N2109" s="2">
        <v>0.56567969299999998</v>
      </c>
      <c r="O2109" s="2">
        <v>0.53322809900000001</v>
      </c>
      <c r="P2109" s="2">
        <v>1.6401813869999999</v>
      </c>
      <c r="Q2109" s="2">
        <v>1.70325696</v>
      </c>
      <c r="R2109" s="2">
        <v>0.27486085900000001</v>
      </c>
      <c r="S2109" s="2">
        <v>0.23486085900000001</v>
      </c>
      <c r="T2109" s="2">
        <v>1.6169868549999999</v>
      </c>
      <c r="U2109" s="2">
        <v>1.686986855</v>
      </c>
      <c r="V2109" s="2">
        <v>1.1827695460000001</v>
      </c>
      <c r="W2109" s="2">
        <v>1.1673719419999999</v>
      </c>
      <c r="X2109">
        <f t="shared" si="96"/>
        <v>1</v>
      </c>
      <c r="Y2109">
        <f t="shared" si="97"/>
        <v>0</v>
      </c>
      <c r="Z2109">
        <f t="shared" si="98"/>
        <v>0</v>
      </c>
    </row>
    <row r="2110" spans="1:26" ht="15.75" customHeight="1" x14ac:dyDescent="0.2">
      <c r="A2110" s="2" t="s">
        <v>36</v>
      </c>
      <c r="B2110" s="2" t="s">
        <v>24</v>
      </c>
      <c r="C2110" s="2" t="s">
        <v>30</v>
      </c>
      <c r="D2110" s="2" t="s">
        <v>31</v>
      </c>
      <c r="E2110" s="2">
        <v>160</v>
      </c>
      <c r="F2110" s="2">
        <v>219</v>
      </c>
      <c r="G2110" s="2">
        <v>588</v>
      </c>
      <c r="H2110" s="2">
        <v>1233</v>
      </c>
      <c r="I2110" s="2">
        <v>2611</v>
      </c>
      <c r="J2110" s="2">
        <v>2.16</v>
      </c>
      <c r="K2110" s="2">
        <v>5.65</v>
      </c>
      <c r="L2110" s="2">
        <v>9.82</v>
      </c>
      <c r="M2110" s="2">
        <v>14.78</v>
      </c>
      <c r="N2110" s="2">
        <v>3.976729239</v>
      </c>
      <c r="O2110" s="2">
        <v>3.9732911400000002</v>
      </c>
      <c r="P2110" s="2">
        <v>1.930943187</v>
      </c>
      <c r="Q2110" s="2">
        <v>1.899690127</v>
      </c>
      <c r="R2110" s="2">
        <v>1.1442247809999999</v>
      </c>
      <c r="S2110" s="2">
        <v>1.1842247809999999</v>
      </c>
      <c r="T2110" s="2">
        <v>1.5554070980000001</v>
      </c>
      <c r="U2110" s="2">
        <v>1.485407098</v>
      </c>
      <c r="V2110" s="2">
        <v>2.6018551849999998</v>
      </c>
      <c r="W2110" s="2">
        <v>2.586457582</v>
      </c>
      <c r="X2110">
        <f t="shared" si="96"/>
        <v>1</v>
      </c>
      <c r="Y2110">
        <f t="shared" si="97"/>
        <v>0</v>
      </c>
      <c r="Z2110">
        <f t="shared" si="98"/>
        <v>1</v>
      </c>
    </row>
    <row r="2111" spans="1:26" ht="15.75" customHeight="1" x14ac:dyDescent="0.2">
      <c r="A2111" s="2" t="s">
        <v>36</v>
      </c>
      <c r="B2111" s="2" t="s">
        <v>24</v>
      </c>
      <c r="C2111" s="2" t="s">
        <v>27</v>
      </c>
      <c r="D2111" s="2" t="s">
        <v>27</v>
      </c>
      <c r="E2111" s="2">
        <v>144</v>
      </c>
      <c r="F2111" s="2">
        <v>216</v>
      </c>
      <c r="G2111" s="2">
        <v>399</v>
      </c>
      <c r="H2111" s="2">
        <v>2228</v>
      </c>
      <c r="I2111" s="2">
        <v>2975</v>
      </c>
      <c r="J2111" s="2">
        <v>2.13</v>
      </c>
      <c r="K2111" s="2">
        <v>4</v>
      </c>
      <c r="L2111" s="2">
        <v>13.73</v>
      </c>
      <c r="M2111" s="2">
        <v>15.63</v>
      </c>
      <c r="N2111" s="2">
        <v>0.33310399800000001</v>
      </c>
      <c r="O2111" s="2">
        <v>0.29515330699999998</v>
      </c>
      <c r="P2111" s="2">
        <v>2.4055044360000002</v>
      </c>
      <c r="Q2111" s="2">
        <v>2.4661258190000002</v>
      </c>
      <c r="R2111" s="2">
        <v>0.50537091999999995</v>
      </c>
      <c r="S2111" s="2">
        <v>0.46537092000000002</v>
      </c>
      <c r="T2111" s="2">
        <v>2.3518188329999998</v>
      </c>
      <c r="U2111" s="2">
        <v>2.4218188330000001</v>
      </c>
      <c r="V2111" s="2">
        <v>0.95225948400000004</v>
      </c>
      <c r="W2111" s="2">
        <v>0.93686188100000001</v>
      </c>
      <c r="X2111">
        <f t="shared" si="96"/>
        <v>1</v>
      </c>
      <c r="Y2111">
        <f t="shared" si="97"/>
        <v>0</v>
      </c>
      <c r="Z2111">
        <f t="shared" si="98"/>
        <v>0</v>
      </c>
    </row>
    <row r="2112" spans="1:26" ht="15.75" customHeight="1" x14ac:dyDescent="0.2">
      <c r="A2112" s="2" t="s">
        <v>36</v>
      </c>
      <c r="B2112" s="2" t="s">
        <v>24</v>
      </c>
      <c r="C2112" s="2" t="s">
        <v>26</v>
      </c>
      <c r="D2112" s="2" t="s">
        <v>26</v>
      </c>
      <c r="E2112" s="2">
        <v>156</v>
      </c>
      <c r="F2112" s="2">
        <v>231</v>
      </c>
      <c r="G2112" s="2">
        <v>403</v>
      </c>
      <c r="H2112" s="2">
        <v>913</v>
      </c>
      <c r="I2112" s="2">
        <v>2702</v>
      </c>
      <c r="J2112" s="2">
        <v>2.2999999999999998</v>
      </c>
      <c r="K2112" s="2">
        <v>4.05</v>
      </c>
      <c r="L2112" s="2">
        <v>7.99</v>
      </c>
      <c r="M2112" s="2">
        <v>15.01</v>
      </c>
      <c r="N2112" s="2">
        <v>0.100278515</v>
      </c>
      <c r="O2112" s="2">
        <v>0.150647004</v>
      </c>
      <c r="P2112" s="2">
        <v>3.4218270820000001</v>
      </c>
      <c r="Q2112" s="2">
        <v>3.3471805190000001</v>
      </c>
      <c r="R2112" s="2">
        <v>0.46452750399999998</v>
      </c>
      <c r="S2112" s="2">
        <v>0.424527504</v>
      </c>
      <c r="T2112" s="2">
        <v>3.3901496689999999</v>
      </c>
      <c r="U2112" s="2">
        <v>3.3201496690000001</v>
      </c>
      <c r="V2112" s="2">
        <v>0.99310290099999998</v>
      </c>
      <c r="W2112" s="2">
        <v>0.97770529699999997</v>
      </c>
      <c r="X2112">
        <f t="shared" si="96"/>
        <v>1</v>
      </c>
      <c r="Y2112">
        <f t="shared" si="97"/>
        <v>0</v>
      </c>
      <c r="Z2112">
        <f t="shared" si="98"/>
        <v>0</v>
      </c>
    </row>
    <row r="2113" spans="1:26" ht="15.75" customHeight="1" x14ac:dyDescent="0.2">
      <c r="A2113" s="2" t="s">
        <v>36</v>
      </c>
      <c r="B2113" s="2" t="s">
        <v>24</v>
      </c>
      <c r="C2113" s="2" t="s">
        <v>27</v>
      </c>
      <c r="D2113" s="2" t="s">
        <v>27</v>
      </c>
      <c r="E2113" s="2">
        <v>171</v>
      </c>
      <c r="F2113" s="2">
        <v>254</v>
      </c>
      <c r="G2113" s="2">
        <v>479</v>
      </c>
      <c r="H2113" s="2">
        <v>2137</v>
      </c>
      <c r="I2113" s="2">
        <v>2815</v>
      </c>
      <c r="J2113" s="2">
        <v>2.5499999999999998</v>
      </c>
      <c r="K2113" s="2">
        <v>4.74</v>
      </c>
      <c r="L2113" s="2">
        <v>13.45</v>
      </c>
      <c r="M2113" s="2">
        <v>15.28</v>
      </c>
      <c r="N2113" s="2">
        <v>0.45768230199999999</v>
      </c>
      <c r="O2113" s="2">
        <v>0.52082466500000002</v>
      </c>
      <c r="P2113" s="2">
        <v>2.086324624</v>
      </c>
      <c r="Q2113" s="2">
        <v>2.1604744290000002</v>
      </c>
      <c r="R2113" s="2">
        <v>0.22526855300000001</v>
      </c>
      <c r="S2113" s="2">
        <v>0.26526855300000002</v>
      </c>
      <c r="T2113" s="2">
        <v>2.07412741</v>
      </c>
      <c r="U2113" s="2">
        <v>2.1441274099999998</v>
      </c>
      <c r="V2113" s="2">
        <v>1.6828989569999999</v>
      </c>
      <c r="W2113" s="2">
        <v>1.6675013540000001</v>
      </c>
      <c r="X2113">
        <f t="shared" si="96"/>
        <v>1</v>
      </c>
      <c r="Y2113">
        <f t="shared" si="97"/>
        <v>0</v>
      </c>
      <c r="Z2113">
        <f t="shared" si="98"/>
        <v>0</v>
      </c>
    </row>
    <row r="2114" spans="1:26" ht="15.75" customHeight="1" x14ac:dyDescent="0.2">
      <c r="A2114" s="2" t="s">
        <v>36</v>
      </c>
      <c r="B2114" s="2" t="s">
        <v>24</v>
      </c>
      <c r="C2114" s="2" t="s">
        <v>30</v>
      </c>
      <c r="D2114" s="2" t="s">
        <v>31</v>
      </c>
      <c r="E2114" s="2">
        <v>165</v>
      </c>
      <c r="F2114" s="2">
        <v>221</v>
      </c>
      <c r="G2114" s="2">
        <v>497</v>
      </c>
      <c r="H2114" s="2">
        <v>1151</v>
      </c>
      <c r="I2114" s="2">
        <v>2684</v>
      </c>
      <c r="J2114" s="2">
        <v>2.19</v>
      </c>
      <c r="K2114" s="2">
        <v>4.8899999999999997</v>
      </c>
      <c r="L2114" s="2">
        <v>9.39</v>
      </c>
      <c r="M2114" s="2">
        <v>14.96</v>
      </c>
      <c r="N2114" s="2">
        <v>4.2156589159999998</v>
      </c>
      <c r="O2114" s="2">
        <v>4.1965754840000002</v>
      </c>
      <c r="P2114" s="2">
        <v>2.0286598530000002</v>
      </c>
      <c r="Q2114" s="2">
        <v>1.968094821</v>
      </c>
      <c r="R2114" s="2">
        <v>0.38020352800000001</v>
      </c>
      <c r="S2114" s="2">
        <v>0.42020352799999999</v>
      </c>
      <c r="T2114" s="2">
        <v>1.992713245</v>
      </c>
      <c r="U2114" s="2">
        <v>1.922713245</v>
      </c>
      <c r="V2114" s="2">
        <v>1.8378339319999999</v>
      </c>
      <c r="W2114" s="2">
        <v>1.8224363290000001</v>
      </c>
      <c r="X2114">
        <f t="shared" si="96"/>
        <v>1</v>
      </c>
      <c r="Y2114">
        <f t="shared" si="97"/>
        <v>0</v>
      </c>
      <c r="Z2114">
        <f t="shared" si="98"/>
        <v>1</v>
      </c>
    </row>
    <row r="2115" spans="1:26" ht="15.75" customHeight="1" x14ac:dyDescent="0.2">
      <c r="A2115" s="2" t="s">
        <v>36</v>
      </c>
      <c r="B2115" s="2" t="s">
        <v>24</v>
      </c>
      <c r="C2115" s="2" t="s">
        <v>27</v>
      </c>
      <c r="D2115" s="2" t="s">
        <v>27</v>
      </c>
      <c r="E2115" s="2">
        <v>185</v>
      </c>
      <c r="F2115" s="2">
        <v>247</v>
      </c>
      <c r="G2115" s="2">
        <v>460</v>
      </c>
      <c r="H2115" s="2">
        <v>2141</v>
      </c>
      <c r="I2115" s="2">
        <v>2954</v>
      </c>
      <c r="J2115" s="2">
        <v>2.4700000000000002</v>
      </c>
      <c r="K2115" s="2">
        <v>4.57</v>
      </c>
      <c r="L2115" s="2">
        <v>13.47</v>
      </c>
      <c r="M2115" s="2">
        <v>15.59</v>
      </c>
      <c r="N2115" s="2">
        <v>0.29180820200000002</v>
      </c>
      <c r="O2115" s="2">
        <v>0.35205677899999999</v>
      </c>
      <c r="P2115" s="2">
        <v>2.0863506350000001</v>
      </c>
      <c r="Q2115" s="2">
        <v>2.157737622</v>
      </c>
      <c r="R2115" s="2">
        <v>5.6115702000000003E-2</v>
      </c>
      <c r="S2115" s="2">
        <v>9.6115701999999997E-2</v>
      </c>
      <c r="T2115" s="2">
        <v>2.0855958380000001</v>
      </c>
      <c r="U2115" s="2">
        <v>2.155595838</v>
      </c>
      <c r="V2115" s="2">
        <v>1.513746107</v>
      </c>
      <c r="W2115" s="2">
        <v>1.4983485030000001</v>
      </c>
      <c r="X2115">
        <f t="shared" ref="X2115:X2178" si="99">IF(B2115="normal",1,0)</f>
        <v>1</v>
      </c>
      <c r="Y2115">
        <f t="shared" ref="Y2115:Y2178" si="100">IF(A2115="lecture",1,0)</f>
        <v>0</v>
      </c>
      <c r="Z2115">
        <f t="shared" ref="Z2115:Z2178" si="101">IF(ISNUMBER(FIND("~",D2115)),1,0)</f>
        <v>0</v>
      </c>
    </row>
    <row r="2116" spans="1:26" ht="15.75" customHeight="1" x14ac:dyDescent="0.2">
      <c r="A2116" s="2" t="s">
        <v>36</v>
      </c>
      <c r="B2116" s="2" t="s">
        <v>24</v>
      </c>
      <c r="C2116" s="2" t="s">
        <v>26</v>
      </c>
      <c r="D2116" s="2" t="s">
        <v>26</v>
      </c>
      <c r="E2116" s="2">
        <v>195</v>
      </c>
      <c r="F2116" s="2">
        <v>162</v>
      </c>
      <c r="G2116" s="2">
        <v>346</v>
      </c>
      <c r="H2116" s="2">
        <v>941</v>
      </c>
      <c r="I2116" s="2">
        <v>2653</v>
      </c>
      <c r="J2116" s="2">
        <v>1.51</v>
      </c>
      <c r="K2116" s="2">
        <v>3.49</v>
      </c>
      <c r="L2116" s="2">
        <v>8.17</v>
      </c>
      <c r="M2116" s="2">
        <v>14.89</v>
      </c>
      <c r="N2116" s="2">
        <v>0.65404310600000004</v>
      </c>
      <c r="O2116" s="2">
        <v>0.62869545900000001</v>
      </c>
      <c r="P2116" s="2">
        <v>3.3708015520000001</v>
      </c>
      <c r="Q2116" s="2">
        <v>3.2920373440000001</v>
      </c>
      <c r="R2116" s="2">
        <v>1.0173373809999999</v>
      </c>
      <c r="S2116" s="2">
        <v>0.97733738100000001</v>
      </c>
      <c r="T2116" s="2">
        <v>3.213615994</v>
      </c>
      <c r="U2116" s="2">
        <v>3.1436159940000001</v>
      </c>
      <c r="V2116" s="2">
        <v>0.44029302399999998</v>
      </c>
      <c r="W2116" s="2">
        <v>0.42489542000000002</v>
      </c>
      <c r="X2116">
        <f t="shared" si="99"/>
        <v>1</v>
      </c>
      <c r="Y2116">
        <f t="shared" si="100"/>
        <v>0</v>
      </c>
      <c r="Z2116">
        <f t="shared" si="101"/>
        <v>0</v>
      </c>
    </row>
    <row r="2117" spans="1:26" ht="15.75" customHeight="1" x14ac:dyDescent="0.2">
      <c r="A2117" s="2" t="s">
        <v>36</v>
      </c>
      <c r="B2117" s="2" t="s">
        <v>24</v>
      </c>
      <c r="C2117" s="2" t="s">
        <v>30</v>
      </c>
      <c r="D2117" s="2" t="s">
        <v>31</v>
      </c>
      <c r="E2117" s="2">
        <v>170</v>
      </c>
      <c r="F2117" s="2">
        <v>234</v>
      </c>
      <c r="G2117" s="2">
        <v>694</v>
      </c>
      <c r="H2117" s="2">
        <v>1127</v>
      </c>
      <c r="I2117" s="2">
        <v>3015</v>
      </c>
      <c r="J2117" s="2">
        <v>2.33</v>
      </c>
      <c r="K2117" s="2">
        <v>6.48</v>
      </c>
      <c r="L2117" s="2">
        <v>9.26</v>
      </c>
      <c r="M2117" s="2">
        <v>15.72</v>
      </c>
      <c r="N2117" s="2">
        <v>4.827312536</v>
      </c>
      <c r="O2117" s="2">
        <v>4.8329862160000001</v>
      </c>
      <c r="P2117" s="2">
        <v>2.8963962429999999</v>
      </c>
      <c r="Q2117" s="2">
        <v>2.8734307939999999</v>
      </c>
      <c r="R2117" s="2">
        <v>1.9730892879999999</v>
      </c>
      <c r="S2117" s="2">
        <v>2.0130892880000002</v>
      </c>
      <c r="T2117" s="2">
        <v>2.1203843660000001</v>
      </c>
      <c r="U2117" s="2">
        <v>2.0503843659999998</v>
      </c>
      <c r="V2117" s="2">
        <v>3.4307196919999998</v>
      </c>
      <c r="W2117" s="2">
        <v>3.415322089</v>
      </c>
      <c r="X2117">
        <f t="shared" si="99"/>
        <v>1</v>
      </c>
      <c r="Y2117">
        <f t="shared" si="100"/>
        <v>0</v>
      </c>
      <c r="Z2117">
        <f t="shared" si="101"/>
        <v>1</v>
      </c>
    </row>
    <row r="2118" spans="1:26" ht="15.75" customHeight="1" x14ac:dyDescent="0.2">
      <c r="A2118" s="2" t="s">
        <v>36</v>
      </c>
      <c r="B2118" s="2" t="s">
        <v>24</v>
      </c>
      <c r="C2118" s="2" t="s">
        <v>32</v>
      </c>
      <c r="D2118" s="2" t="s">
        <v>33</v>
      </c>
      <c r="E2118" s="2">
        <v>159</v>
      </c>
      <c r="F2118" s="2">
        <v>221</v>
      </c>
      <c r="G2118" s="2">
        <v>369</v>
      </c>
      <c r="H2118" s="2">
        <v>926</v>
      </c>
      <c r="I2118" s="2">
        <v>2481</v>
      </c>
      <c r="J2118" s="2">
        <v>2.1800000000000002</v>
      </c>
      <c r="K2118" s="2">
        <v>3.72</v>
      </c>
      <c r="L2118" s="2">
        <v>8.07</v>
      </c>
      <c r="M2118" s="2">
        <v>14.45</v>
      </c>
      <c r="N2118" s="2">
        <v>4.7048100399999999</v>
      </c>
      <c r="O2118" s="2">
        <v>4.6151078190000003</v>
      </c>
      <c r="P2118" s="2">
        <v>3.402622671</v>
      </c>
      <c r="Q2118" s="2">
        <v>3.3253321859999998</v>
      </c>
      <c r="R2118" s="2">
        <v>0.78907269599999996</v>
      </c>
      <c r="S2118" s="2">
        <v>0.74907269600000004</v>
      </c>
      <c r="T2118" s="2">
        <v>3.3098648490000002</v>
      </c>
      <c r="U2118" s="2">
        <v>3.2398648489999999</v>
      </c>
      <c r="V2118" s="2">
        <v>0.66855770800000003</v>
      </c>
      <c r="W2118" s="2">
        <v>0.65316010499999999</v>
      </c>
      <c r="X2118">
        <f t="shared" si="99"/>
        <v>1</v>
      </c>
      <c r="Y2118">
        <f t="shared" si="100"/>
        <v>0</v>
      </c>
      <c r="Z2118">
        <f t="shared" si="101"/>
        <v>1</v>
      </c>
    </row>
    <row r="2119" spans="1:26" ht="15.75" customHeight="1" x14ac:dyDescent="0.2">
      <c r="A2119" s="2" t="s">
        <v>36</v>
      </c>
      <c r="B2119" s="2" t="s">
        <v>24</v>
      </c>
      <c r="C2119" s="2" t="s">
        <v>28</v>
      </c>
      <c r="D2119" s="2" t="s">
        <v>29</v>
      </c>
      <c r="E2119" s="2">
        <v>167</v>
      </c>
      <c r="F2119" s="2">
        <v>223</v>
      </c>
      <c r="G2119" s="2">
        <v>373</v>
      </c>
      <c r="H2119" s="2">
        <v>1120</v>
      </c>
      <c r="I2119" s="2">
        <v>2875</v>
      </c>
      <c r="J2119" s="2">
        <v>2.21</v>
      </c>
      <c r="K2119" s="2">
        <v>3.76</v>
      </c>
      <c r="L2119" s="2">
        <v>9.2200000000000006</v>
      </c>
      <c r="M2119" s="2">
        <v>15.41</v>
      </c>
      <c r="N2119" s="2">
        <v>1.3606254330000001</v>
      </c>
      <c r="O2119" s="2">
        <v>1.405972389</v>
      </c>
      <c r="P2119" s="2">
        <v>2.2885514360000001</v>
      </c>
      <c r="Q2119" s="2">
        <v>2.2093327029999998</v>
      </c>
      <c r="R2119" s="2">
        <v>0.75361765999999997</v>
      </c>
      <c r="S2119" s="2">
        <v>0.71361766000000004</v>
      </c>
      <c r="T2119" s="2">
        <v>2.1609090910000002</v>
      </c>
      <c r="U2119" s="2">
        <v>2.0909090909999999</v>
      </c>
      <c r="V2119" s="2">
        <v>0.704012745</v>
      </c>
      <c r="W2119" s="2">
        <v>0.68861514099999999</v>
      </c>
      <c r="X2119">
        <f t="shared" si="99"/>
        <v>1</v>
      </c>
      <c r="Y2119">
        <f t="shared" si="100"/>
        <v>0</v>
      </c>
      <c r="Z2119">
        <f t="shared" si="101"/>
        <v>1</v>
      </c>
    </row>
    <row r="2120" spans="1:26" ht="15.75" customHeight="1" x14ac:dyDescent="0.2">
      <c r="A2120" s="2" t="s">
        <v>36</v>
      </c>
      <c r="B2120" s="2" t="s">
        <v>24</v>
      </c>
      <c r="C2120" s="2" t="s">
        <v>28</v>
      </c>
      <c r="D2120" s="2" t="s">
        <v>29</v>
      </c>
      <c r="E2120" s="2">
        <v>167</v>
      </c>
      <c r="F2120" s="2">
        <v>225</v>
      </c>
      <c r="G2120" s="2">
        <v>326</v>
      </c>
      <c r="H2120" s="2">
        <v>1067</v>
      </c>
      <c r="I2120" s="2">
        <v>3123</v>
      </c>
      <c r="J2120" s="2">
        <v>2.23</v>
      </c>
      <c r="K2120" s="2">
        <v>3.29</v>
      </c>
      <c r="L2120" s="2">
        <v>8.92</v>
      </c>
      <c r="M2120" s="2">
        <v>15.94</v>
      </c>
      <c r="N2120" s="2">
        <v>1.296068236</v>
      </c>
      <c r="O2120" s="2">
        <v>1.309222076</v>
      </c>
      <c r="P2120" s="2">
        <v>2.7423973959999999</v>
      </c>
      <c r="Q2120" s="2">
        <v>2.6619216259999998</v>
      </c>
      <c r="R2120" s="2">
        <v>1.216701662</v>
      </c>
      <c r="S2120" s="2">
        <v>1.1767016619999999</v>
      </c>
      <c r="T2120" s="2">
        <v>2.4577185639999999</v>
      </c>
      <c r="U2120" s="2">
        <v>2.387718564</v>
      </c>
      <c r="V2120" s="2">
        <v>0.240928742</v>
      </c>
      <c r="W2120" s="2">
        <v>0.22553113899999999</v>
      </c>
      <c r="X2120">
        <f t="shared" si="99"/>
        <v>1</v>
      </c>
      <c r="Y2120">
        <f t="shared" si="100"/>
        <v>0</v>
      </c>
      <c r="Z2120">
        <f t="shared" si="101"/>
        <v>1</v>
      </c>
    </row>
    <row r="2121" spans="1:26" ht="15.75" customHeight="1" x14ac:dyDescent="0.2">
      <c r="A2121" s="2" t="s">
        <v>36</v>
      </c>
      <c r="B2121" s="2" t="s">
        <v>24</v>
      </c>
      <c r="C2121" s="2" t="s">
        <v>26</v>
      </c>
      <c r="D2121" s="2" t="s">
        <v>26</v>
      </c>
      <c r="E2121" s="2">
        <v>185</v>
      </c>
      <c r="F2121" s="2">
        <v>225</v>
      </c>
      <c r="G2121" s="2">
        <v>402</v>
      </c>
      <c r="H2121" s="2">
        <v>820</v>
      </c>
      <c r="I2121" s="2">
        <v>2746</v>
      </c>
      <c r="J2121" s="2">
        <v>2.23</v>
      </c>
      <c r="K2121" s="2">
        <v>4.03</v>
      </c>
      <c r="L2121" s="2">
        <v>7.38</v>
      </c>
      <c r="M2121" s="2">
        <v>15.11</v>
      </c>
      <c r="N2121" s="2">
        <v>0.52737903200000003</v>
      </c>
      <c r="O2121" s="2">
        <v>0.46429027899999997</v>
      </c>
      <c r="P2121" s="2">
        <v>4.0326010429999997</v>
      </c>
      <c r="Q2121" s="2">
        <v>3.9584852549999998</v>
      </c>
      <c r="R2121" s="2">
        <v>0.47707874700000003</v>
      </c>
      <c r="S2121" s="2">
        <v>0.43707874699999999</v>
      </c>
      <c r="T2121" s="2">
        <v>4.004281089</v>
      </c>
      <c r="U2121" s="2">
        <v>3.9342810890000002</v>
      </c>
      <c r="V2121" s="2">
        <v>0.98055165799999999</v>
      </c>
      <c r="W2121" s="2">
        <v>0.96515405399999998</v>
      </c>
      <c r="X2121">
        <f t="shared" si="99"/>
        <v>1</v>
      </c>
      <c r="Y2121">
        <f t="shared" si="100"/>
        <v>0</v>
      </c>
      <c r="Z2121">
        <f t="shared" si="101"/>
        <v>0</v>
      </c>
    </row>
    <row r="2122" spans="1:26" ht="15.75" customHeight="1" x14ac:dyDescent="0.2">
      <c r="A2122" s="2" t="s">
        <v>36</v>
      </c>
      <c r="B2122" s="2" t="s">
        <v>24</v>
      </c>
      <c r="C2122" s="2" t="s">
        <v>25</v>
      </c>
      <c r="D2122" s="2" t="s">
        <v>25</v>
      </c>
      <c r="E2122" s="2">
        <v>232</v>
      </c>
      <c r="F2122" s="2">
        <v>158</v>
      </c>
      <c r="G2122" s="2">
        <v>734</v>
      </c>
      <c r="H2122" s="2">
        <v>1512</v>
      </c>
      <c r="I2122" s="2">
        <v>2904</v>
      </c>
      <c r="J2122" s="2">
        <v>1.47</v>
      </c>
      <c r="K2122" s="2">
        <v>6.78</v>
      </c>
      <c r="L2122" s="2">
        <v>11.14</v>
      </c>
      <c r="M2122" s="2">
        <v>15.48</v>
      </c>
      <c r="N2122" s="2">
        <v>0.41275038800000002</v>
      </c>
      <c r="O2122" s="2">
        <v>0.36394558399999999</v>
      </c>
      <c r="P2122" s="2">
        <v>2.2792582220000002</v>
      </c>
      <c r="Q2122" s="2">
        <v>2.3129676300000002</v>
      </c>
      <c r="R2122" s="2">
        <v>2.2669936900000001</v>
      </c>
      <c r="S2122" s="2">
        <v>2.3069936900000001</v>
      </c>
      <c r="T2122" s="2">
        <v>0.23613058100000001</v>
      </c>
      <c r="U2122" s="2">
        <v>0.166130581</v>
      </c>
      <c r="V2122" s="2">
        <v>3.7246240949999998</v>
      </c>
      <c r="W2122" s="2">
        <v>3.7092264909999999</v>
      </c>
      <c r="X2122">
        <f t="shared" si="99"/>
        <v>1</v>
      </c>
      <c r="Y2122">
        <f t="shared" si="100"/>
        <v>0</v>
      </c>
      <c r="Z2122">
        <f t="shared" si="101"/>
        <v>0</v>
      </c>
    </row>
    <row r="2123" spans="1:26" ht="15.75" customHeight="1" x14ac:dyDescent="0.2">
      <c r="A2123" s="2" t="s">
        <v>36</v>
      </c>
      <c r="B2123" s="2" t="s">
        <v>24</v>
      </c>
      <c r="C2123" s="2" t="s">
        <v>30</v>
      </c>
      <c r="D2123" s="2" t="s">
        <v>31</v>
      </c>
      <c r="E2123" s="2">
        <v>253</v>
      </c>
      <c r="F2123" s="2">
        <v>242</v>
      </c>
      <c r="G2123" s="2">
        <v>583</v>
      </c>
      <c r="H2123" s="2">
        <v>1302</v>
      </c>
      <c r="I2123" s="2">
        <v>3217</v>
      </c>
      <c r="J2123" s="2">
        <v>2.41</v>
      </c>
      <c r="K2123" s="2">
        <v>5.62</v>
      </c>
      <c r="L2123" s="2">
        <v>10.17</v>
      </c>
      <c r="M2123" s="2">
        <v>16.13</v>
      </c>
      <c r="N2123" s="2">
        <v>3.6387793409999998</v>
      </c>
      <c r="O2123" s="2">
        <v>3.637216606</v>
      </c>
      <c r="P2123" s="2">
        <v>1.6394508270000001</v>
      </c>
      <c r="Q2123" s="2">
        <v>1.616785159</v>
      </c>
      <c r="R2123" s="2">
        <v>1.1090825689999999</v>
      </c>
      <c r="S2123" s="2">
        <v>1.1490825689999999</v>
      </c>
      <c r="T2123" s="2">
        <v>1.2073669149999999</v>
      </c>
      <c r="U2123" s="2">
        <v>1.1373669150000001</v>
      </c>
      <c r="V2123" s="2">
        <v>2.566712973</v>
      </c>
      <c r="W2123" s="2">
        <v>2.5513153700000002</v>
      </c>
      <c r="X2123">
        <f t="shared" si="99"/>
        <v>1</v>
      </c>
      <c r="Y2123">
        <f t="shared" si="100"/>
        <v>0</v>
      </c>
      <c r="Z2123">
        <f t="shared" si="101"/>
        <v>1</v>
      </c>
    </row>
    <row r="2124" spans="1:26" ht="15.75" customHeight="1" x14ac:dyDescent="0.2">
      <c r="A2124" s="2" t="s">
        <v>36</v>
      </c>
      <c r="B2124" s="2" t="s">
        <v>24</v>
      </c>
      <c r="C2124" s="2" t="s">
        <v>28</v>
      </c>
      <c r="D2124" s="2" t="s">
        <v>29</v>
      </c>
      <c r="E2124" s="2">
        <v>174</v>
      </c>
      <c r="F2124" s="2">
        <v>216</v>
      </c>
      <c r="G2124" s="2">
        <v>345</v>
      </c>
      <c r="H2124" s="2">
        <v>978</v>
      </c>
      <c r="I2124" s="2">
        <v>3046</v>
      </c>
      <c r="J2124" s="2">
        <v>2.13</v>
      </c>
      <c r="K2124" s="2">
        <v>3.48</v>
      </c>
      <c r="L2124" s="2">
        <v>8.39</v>
      </c>
      <c r="M2124" s="2">
        <v>15.78</v>
      </c>
      <c r="N2124" s="2">
        <v>0.78182300000000005</v>
      </c>
      <c r="O2124" s="2">
        <v>0.77760968200000002</v>
      </c>
      <c r="P2124" s="2">
        <v>3.1591964469999998</v>
      </c>
      <c r="Q2124" s="2">
        <v>3.0800308680000001</v>
      </c>
      <c r="R2124" s="2">
        <v>1.027223427</v>
      </c>
      <c r="S2124" s="2">
        <v>0.98722342699999999</v>
      </c>
      <c r="T2124" s="2">
        <v>2.9875297860000001</v>
      </c>
      <c r="U2124" s="2">
        <v>2.9175297859999998</v>
      </c>
      <c r="V2124" s="2">
        <v>0.43040697700000002</v>
      </c>
      <c r="W2124" s="2">
        <v>0.41500937399999999</v>
      </c>
      <c r="X2124">
        <f t="shared" si="99"/>
        <v>1</v>
      </c>
      <c r="Y2124">
        <f t="shared" si="100"/>
        <v>0</v>
      </c>
      <c r="Z2124">
        <f t="shared" si="101"/>
        <v>1</v>
      </c>
    </row>
    <row r="2125" spans="1:26" ht="15.75" customHeight="1" x14ac:dyDescent="0.2">
      <c r="A2125" s="2" t="s">
        <v>36</v>
      </c>
      <c r="B2125" s="2" t="s">
        <v>24</v>
      </c>
      <c r="C2125" s="2" t="s">
        <v>28</v>
      </c>
      <c r="D2125" s="2" t="s">
        <v>29</v>
      </c>
      <c r="E2125" s="2">
        <v>189</v>
      </c>
      <c r="F2125" s="2">
        <v>195</v>
      </c>
      <c r="G2125" s="2">
        <v>371</v>
      </c>
      <c r="H2125" s="2">
        <v>1081</v>
      </c>
      <c r="I2125" s="2">
        <v>3085</v>
      </c>
      <c r="J2125" s="2">
        <v>1.9</v>
      </c>
      <c r="K2125" s="2">
        <v>3.73</v>
      </c>
      <c r="L2125" s="2">
        <v>9</v>
      </c>
      <c r="M2125" s="2">
        <v>15.86</v>
      </c>
      <c r="N2125" s="2">
        <v>1.1546976819999999</v>
      </c>
      <c r="O2125" s="2">
        <v>1.195656348</v>
      </c>
      <c r="P2125" s="2">
        <v>2.5048906639999999</v>
      </c>
      <c r="Q2125" s="2">
        <v>2.4259965349999999</v>
      </c>
      <c r="R2125" s="2">
        <v>0.77616704800000003</v>
      </c>
      <c r="S2125" s="2">
        <v>0.73616704799999999</v>
      </c>
      <c r="T2125" s="2">
        <v>2.3816049110000002</v>
      </c>
      <c r="U2125" s="2">
        <v>2.3116049109999999</v>
      </c>
      <c r="V2125" s="2">
        <v>0.68146335599999996</v>
      </c>
      <c r="W2125" s="2">
        <v>0.66606575300000004</v>
      </c>
      <c r="X2125">
        <f t="shared" si="99"/>
        <v>1</v>
      </c>
      <c r="Y2125">
        <f t="shared" si="100"/>
        <v>0</v>
      </c>
      <c r="Z2125">
        <f t="shared" si="101"/>
        <v>1</v>
      </c>
    </row>
    <row r="2126" spans="1:26" ht="15.75" customHeight="1" x14ac:dyDescent="0.2">
      <c r="A2126" s="2" t="s">
        <v>36</v>
      </c>
      <c r="B2126" s="2" t="s">
        <v>24</v>
      </c>
      <c r="C2126" s="2" t="s">
        <v>32</v>
      </c>
      <c r="D2126" s="2" t="s">
        <v>33</v>
      </c>
      <c r="E2126" s="2">
        <v>247</v>
      </c>
      <c r="F2126" s="2">
        <v>194</v>
      </c>
      <c r="G2126" s="2">
        <v>452</v>
      </c>
      <c r="H2126" s="2">
        <v>991</v>
      </c>
      <c r="I2126" s="2">
        <v>2966</v>
      </c>
      <c r="J2126" s="2">
        <v>1.88</v>
      </c>
      <c r="K2126" s="2">
        <v>4.49</v>
      </c>
      <c r="L2126" s="2">
        <v>8.4700000000000006</v>
      </c>
      <c r="M2126" s="2">
        <v>15.61</v>
      </c>
      <c r="N2126" s="2">
        <v>3.8727470990000001</v>
      </c>
      <c r="O2126" s="2">
        <v>3.7800784740000002</v>
      </c>
      <c r="P2126" s="2">
        <v>2.9067711329999999</v>
      </c>
      <c r="Q2126" s="2">
        <v>2.8367879500000002</v>
      </c>
      <c r="R2126" s="2">
        <v>1.8914996999999999E-2</v>
      </c>
      <c r="S2126" s="2">
        <v>2.1085003000000001E-2</v>
      </c>
      <c r="T2126" s="2">
        <v>2.9067095900000002</v>
      </c>
      <c r="U2126" s="2">
        <v>2.8367095899999999</v>
      </c>
      <c r="V2126" s="2">
        <v>1.438715408</v>
      </c>
      <c r="W2126" s="2">
        <v>1.4233178040000001</v>
      </c>
      <c r="X2126">
        <f t="shared" si="99"/>
        <v>1</v>
      </c>
      <c r="Y2126">
        <f t="shared" si="100"/>
        <v>0</v>
      </c>
      <c r="Z2126">
        <f t="shared" si="101"/>
        <v>1</v>
      </c>
    </row>
    <row r="2127" spans="1:26" ht="15.75" customHeight="1" x14ac:dyDescent="0.2">
      <c r="A2127" s="2" t="s">
        <v>36</v>
      </c>
      <c r="B2127" s="2" t="s">
        <v>24</v>
      </c>
      <c r="C2127" s="2" t="s">
        <v>25</v>
      </c>
      <c r="D2127" s="2" t="s">
        <v>25</v>
      </c>
      <c r="E2127" s="2">
        <v>220</v>
      </c>
      <c r="F2127" s="2">
        <v>253</v>
      </c>
      <c r="G2127" s="2">
        <v>779</v>
      </c>
      <c r="H2127" s="2">
        <v>1649</v>
      </c>
      <c r="I2127" s="2">
        <v>2811</v>
      </c>
      <c r="J2127" s="2">
        <v>2.54</v>
      </c>
      <c r="K2127" s="2">
        <v>7.09</v>
      </c>
      <c r="L2127" s="2">
        <v>11.72</v>
      </c>
      <c r="M2127" s="2">
        <v>15.27</v>
      </c>
      <c r="N2127" s="2">
        <v>0.455111402</v>
      </c>
      <c r="O2127" s="2">
        <v>0.55053499900000002</v>
      </c>
      <c r="P2127" s="2">
        <v>2.6047950379999998</v>
      </c>
      <c r="Q2127" s="2">
        <v>2.6543292429999998</v>
      </c>
      <c r="R2127" s="2">
        <v>2.582706913</v>
      </c>
      <c r="S2127" s="2">
        <v>2.622706913</v>
      </c>
      <c r="T2127" s="2">
        <v>0.33849990800000002</v>
      </c>
      <c r="U2127" s="2">
        <v>0.40849990800000002</v>
      </c>
      <c r="V2127" s="2">
        <v>4.0403373179999997</v>
      </c>
      <c r="W2127" s="2">
        <v>4.0249397140000003</v>
      </c>
      <c r="X2127">
        <f t="shared" si="99"/>
        <v>1</v>
      </c>
      <c r="Y2127">
        <f t="shared" si="100"/>
        <v>0</v>
      </c>
      <c r="Z2127">
        <f t="shared" si="101"/>
        <v>0</v>
      </c>
    </row>
    <row r="2128" spans="1:26" ht="15.75" customHeight="1" x14ac:dyDescent="0.2">
      <c r="A2128" s="2" t="s">
        <v>36</v>
      </c>
      <c r="B2128" s="2" t="s">
        <v>24</v>
      </c>
      <c r="C2128" s="2" t="s">
        <v>27</v>
      </c>
      <c r="D2128" s="2" t="s">
        <v>27</v>
      </c>
      <c r="E2128" s="2">
        <v>177</v>
      </c>
      <c r="F2128" s="2">
        <v>243</v>
      </c>
      <c r="G2128" s="2">
        <v>440</v>
      </c>
      <c r="H2128" s="2">
        <v>2223</v>
      </c>
      <c r="I2128" s="2">
        <v>2962</v>
      </c>
      <c r="J2128" s="2">
        <v>2.4300000000000002</v>
      </c>
      <c r="K2128" s="2">
        <v>4.3899999999999997</v>
      </c>
      <c r="L2128" s="2">
        <v>13.72</v>
      </c>
      <c r="M2128" s="2">
        <v>15.6</v>
      </c>
      <c r="N2128" s="2">
        <v>0.18503170399999999</v>
      </c>
      <c r="O2128" s="2">
        <v>0.25138587000000001</v>
      </c>
      <c r="P2128" s="2">
        <v>2.3399903279999998</v>
      </c>
      <c r="Q2128" s="2">
        <v>2.4082080299999999</v>
      </c>
      <c r="R2128" s="2">
        <v>0.121792807</v>
      </c>
      <c r="S2128" s="2">
        <v>8.1792806999999995E-2</v>
      </c>
      <c r="T2128" s="2">
        <v>2.336818617</v>
      </c>
      <c r="U2128" s="2">
        <v>2.4068186169999999</v>
      </c>
      <c r="V2128" s="2">
        <v>1.3358375979999999</v>
      </c>
      <c r="W2128" s="2">
        <v>1.320439994</v>
      </c>
      <c r="X2128">
        <f t="shared" si="99"/>
        <v>1</v>
      </c>
      <c r="Y2128">
        <f t="shared" si="100"/>
        <v>0</v>
      </c>
      <c r="Z2128">
        <f t="shared" si="101"/>
        <v>0</v>
      </c>
    </row>
    <row r="2129" spans="1:26" ht="15.75" customHeight="1" x14ac:dyDescent="0.2">
      <c r="A2129" s="2" t="s">
        <v>36</v>
      </c>
      <c r="B2129" s="2" t="s">
        <v>24</v>
      </c>
      <c r="C2129" s="2" t="s">
        <v>32</v>
      </c>
      <c r="D2129" s="2" t="s">
        <v>33</v>
      </c>
      <c r="E2129" s="2">
        <v>148</v>
      </c>
      <c r="F2129" s="2">
        <v>244</v>
      </c>
      <c r="G2129" s="2">
        <v>685</v>
      </c>
      <c r="H2129" s="2">
        <v>1081</v>
      </c>
      <c r="I2129" s="2">
        <v>2954</v>
      </c>
      <c r="J2129" s="2">
        <v>2.44</v>
      </c>
      <c r="K2129" s="2">
        <v>6.41</v>
      </c>
      <c r="L2129" s="2">
        <v>9</v>
      </c>
      <c r="M2129" s="2">
        <v>15.59</v>
      </c>
      <c r="N2129" s="2">
        <v>2.395137171</v>
      </c>
      <c r="O2129" s="2">
        <v>2.2907869380000001</v>
      </c>
      <c r="P2129" s="2">
        <v>3.0470987549999999</v>
      </c>
      <c r="Q2129" s="2">
        <v>3.0182684470000001</v>
      </c>
      <c r="R2129" s="2">
        <v>1.90072851</v>
      </c>
      <c r="S2129" s="2">
        <v>1.94072851</v>
      </c>
      <c r="T2129" s="2">
        <v>2.3816049110000002</v>
      </c>
      <c r="U2129" s="2">
        <v>2.3116049109999999</v>
      </c>
      <c r="V2129" s="2">
        <v>3.3583589150000002</v>
      </c>
      <c r="W2129" s="2">
        <v>3.3429613109999998</v>
      </c>
      <c r="X2129">
        <f t="shared" si="99"/>
        <v>1</v>
      </c>
      <c r="Y2129">
        <f t="shared" si="100"/>
        <v>0</v>
      </c>
      <c r="Z2129">
        <f t="shared" si="101"/>
        <v>1</v>
      </c>
    </row>
    <row r="2130" spans="1:26" ht="15.75" customHeight="1" x14ac:dyDescent="0.2">
      <c r="A2130" s="2" t="s">
        <v>36</v>
      </c>
      <c r="B2130" s="2" t="s">
        <v>24</v>
      </c>
      <c r="C2130" s="2" t="s">
        <v>28</v>
      </c>
      <c r="D2130" s="2" t="s">
        <v>29</v>
      </c>
      <c r="E2130" s="2">
        <v>186</v>
      </c>
      <c r="F2130" s="2">
        <v>228</v>
      </c>
      <c r="G2130" s="2">
        <v>354</v>
      </c>
      <c r="H2130" s="2">
        <v>1010</v>
      </c>
      <c r="I2130" s="2">
        <v>2815</v>
      </c>
      <c r="J2130" s="2">
        <v>2.2599999999999998</v>
      </c>
      <c r="K2130" s="2">
        <v>3.57</v>
      </c>
      <c r="L2130" s="2">
        <v>8.59</v>
      </c>
      <c r="M2130" s="2">
        <v>15.27</v>
      </c>
      <c r="N2130" s="2">
        <v>0.85893585500000003</v>
      </c>
      <c r="O2130" s="2">
        <v>0.87498636600000002</v>
      </c>
      <c r="P2130" s="2">
        <v>2.9452438719999998</v>
      </c>
      <c r="Q2130" s="2">
        <v>2.8662078339999999</v>
      </c>
      <c r="R2130" s="2">
        <v>0.93528589900000003</v>
      </c>
      <c r="S2130" s="2">
        <v>0.895285899</v>
      </c>
      <c r="T2130" s="2">
        <v>2.7927946129999999</v>
      </c>
      <c r="U2130" s="2">
        <v>2.722794613</v>
      </c>
      <c r="V2130" s="2">
        <v>0.52234450499999996</v>
      </c>
      <c r="W2130" s="2">
        <v>0.50694690099999995</v>
      </c>
      <c r="X2130">
        <f t="shared" si="99"/>
        <v>1</v>
      </c>
      <c r="Y2130">
        <f t="shared" si="100"/>
        <v>0</v>
      </c>
      <c r="Z2130">
        <f t="shared" si="101"/>
        <v>1</v>
      </c>
    </row>
    <row r="2131" spans="1:26" ht="15.75" customHeight="1" x14ac:dyDescent="0.2">
      <c r="A2131" s="2" t="s">
        <v>36</v>
      </c>
      <c r="B2131" s="2" t="s">
        <v>24</v>
      </c>
      <c r="C2131" s="2" t="s">
        <v>27</v>
      </c>
      <c r="D2131" s="2" t="s">
        <v>27</v>
      </c>
      <c r="E2131" s="2">
        <v>194</v>
      </c>
      <c r="F2131" s="2">
        <v>257</v>
      </c>
      <c r="G2131" s="2">
        <v>439</v>
      </c>
      <c r="H2131" s="2">
        <v>2263</v>
      </c>
      <c r="I2131" s="2">
        <v>2957</v>
      </c>
      <c r="J2131" s="2">
        <v>2.58</v>
      </c>
      <c r="K2131" s="2">
        <v>4.38</v>
      </c>
      <c r="L2131" s="2">
        <v>13.84</v>
      </c>
      <c r="M2131" s="2">
        <v>15.59</v>
      </c>
      <c r="N2131" s="2">
        <v>0.29172437299999998</v>
      </c>
      <c r="O2131" s="2">
        <v>0.34647098599999998</v>
      </c>
      <c r="P2131" s="2">
        <v>2.4612743030000002</v>
      </c>
      <c r="Q2131" s="2">
        <v>2.5294245289999999</v>
      </c>
      <c r="R2131" s="2">
        <v>0.13091692099999999</v>
      </c>
      <c r="S2131" s="2">
        <v>9.0916920999999998E-2</v>
      </c>
      <c r="T2131" s="2">
        <v>2.4577900549999998</v>
      </c>
      <c r="U2131" s="2">
        <v>2.5277900550000001</v>
      </c>
      <c r="V2131" s="2">
        <v>1.326713483</v>
      </c>
      <c r="W2131" s="2">
        <v>1.31131588</v>
      </c>
      <c r="X2131">
        <f t="shared" si="99"/>
        <v>1</v>
      </c>
      <c r="Y2131">
        <f t="shared" si="100"/>
        <v>0</v>
      </c>
      <c r="Z2131">
        <f t="shared" si="101"/>
        <v>0</v>
      </c>
    </row>
    <row r="2132" spans="1:26" ht="15.75" customHeight="1" x14ac:dyDescent="0.2">
      <c r="A2132" s="2" t="s">
        <v>36</v>
      </c>
      <c r="B2132" s="2" t="s">
        <v>24</v>
      </c>
      <c r="C2132" s="2" t="s">
        <v>26</v>
      </c>
      <c r="D2132" s="2" t="s">
        <v>26</v>
      </c>
      <c r="E2132" s="2">
        <v>252</v>
      </c>
      <c r="F2132" s="2">
        <v>250</v>
      </c>
      <c r="G2132" s="2">
        <v>410</v>
      </c>
      <c r="H2132" s="2">
        <v>889</v>
      </c>
      <c r="I2132" s="2">
        <v>2696</v>
      </c>
      <c r="J2132" s="2">
        <v>2.5099999999999998</v>
      </c>
      <c r="K2132" s="2">
        <v>4.1100000000000003</v>
      </c>
      <c r="L2132" s="2">
        <v>7.84</v>
      </c>
      <c r="M2132" s="2">
        <v>14.99</v>
      </c>
      <c r="N2132" s="2">
        <v>6.4630365999999995E-2</v>
      </c>
      <c r="O2132" s="2">
        <v>7.8044290000000002E-2</v>
      </c>
      <c r="P2132" s="2">
        <v>3.564805523</v>
      </c>
      <c r="Q2132" s="2">
        <v>3.4908867360000002</v>
      </c>
      <c r="R2132" s="2">
        <v>0.40198312200000003</v>
      </c>
      <c r="S2132" s="2">
        <v>0.36198312199999999</v>
      </c>
      <c r="T2132" s="2">
        <v>3.5420683199999998</v>
      </c>
      <c r="U2132" s="2">
        <v>3.47206832</v>
      </c>
      <c r="V2132" s="2">
        <v>1.055647282</v>
      </c>
      <c r="W2132" s="2">
        <v>1.040249679</v>
      </c>
      <c r="X2132">
        <f t="shared" si="99"/>
        <v>1</v>
      </c>
      <c r="Y2132">
        <f t="shared" si="100"/>
        <v>0</v>
      </c>
      <c r="Z2132">
        <f t="shared" si="101"/>
        <v>0</v>
      </c>
    </row>
    <row r="2133" spans="1:26" ht="15.75" customHeight="1" x14ac:dyDescent="0.2">
      <c r="A2133" s="2" t="s">
        <v>36</v>
      </c>
      <c r="B2133" s="2" t="s">
        <v>24</v>
      </c>
      <c r="C2133" s="2" t="s">
        <v>27</v>
      </c>
      <c r="D2133" s="2" t="s">
        <v>27</v>
      </c>
      <c r="E2133" s="2">
        <v>171</v>
      </c>
      <c r="F2133" s="2">
        <v>185</v>
      </c>
      <c r="G2133" s="2">
        <v>358</v>
      </c>
      <c r="H2133" s="2">
        <v>2345</v>
      </c>
      <c r="I2133" s="2">
        <v>2949</v>
      </c>
      <c r="J2133" s="2">
        <v>1.79</v>
      </c>
      <c r="K2133" s="2">
        <v>3.61</v>
      </c>
      <c r="L2133" s="2">
        <v>14.07</v>
      </c>
      <c r="M2133" s="2">
        <v>15.57</v>
      </c>
      <c r="N2133" s="2">
        <v>0.85122590099999995</v>
      </c>
      <c r="O2133" s="2">
        <v>0.81611657900000001</v>
      </c>
      <c r="P2133" s="2">
        <v>2.839092731</v>
      </c>
      <c r="Q2133" s="2">
        <v>2.8934409539999999</v>
      </c>
      <c r="R2133" s="2">
        <v>0.89937014699999995</v>
      </c>
      <c r="S2133" s="2">
        <v>0.85937014700000003</v>
      </c>
      <c r="T2133" s="2">
        <v>2.6928759489999998</v>
      </c>
      <c r="U2133" s="2">
        <v>2.7628759490000001</v>
      </c>
      <c r="V2133" s="2">
        <v>0.55826025800000001</v>
      </c>
      <c r="W2133" s="2">
        <v>0.542862654</v>
      </c>
      <c r="X2133">
        <f t="shared" si="99"/>
        <v>1</v>
      </c>
      <c r="Y2133">
        <f t="shared" si="100"/>
        <v>0</v>
      </c>
      <c r="Z2133">
        <f t="shared" si="101"/>
        <v>0</v>
      </c>
    </row>
    <row r="2134" spans="1:26" ht="15.75" customHeight="1" x14ac:dyDescent="0.2">
      <c r="A2134" s="2" t="s">
        <v>36</v>
      </c>
      <c r="B2134" s="2" t="s">
        <v>24</v>
      </c>
      <c r="C2134" s="2" t="s">
        <v>27</v>
      </c>
      <c r="D2134" s="2" t="s">
        <v>27</v>
      </c>
      <c r="E2134" s="2">
        <v>177</v>
      </c>
      <c r="F2134" s="2">
        <v>237</v>
      </c>
      <c r="G2134" s="2">
        <v>433</v>
      </c>
      <c r="H2134" s="2">
        <v>2400</v>
      </c>
      <c r="I2134" s="2">
        <v>2998</v>
      </c>
      <c r="J2134" s="2">
        <v>2.36</v>
      </c>
      <c r="K2134" s="2">
        <v>4.32</v>
      </c>
      <c r="L2134" s="2">
        <v>14.23</v>
      </c>
      <c r="M2134" s="2">
        <v>15.68</v>
      </c>
      <c r="N2134" s="2">
        <v>0.66930799900000004</v>
      </c>
      <c r="O2134" s="2">
        <v>0.705567057</v>
      </c>
      <c r="P2134" s="2">
        <v>2.8551783770000001</v>
      </c>
      <c r="Q2134" s="2">
        <v>2.9226715790000002</v>
      </c>
      <c r="R2134" s="2">
        <v>0.191939259</v>
      </c>
      <c r="S2134" s="2">
        <v>0.15193925899999999</v>
      </c>
      <c r="T2134" s="2">
        <v>2.8487195170000001</v>
      </c>
      <c r="U2134" s="2">
        <v>2.918719517</v>
      </c>
      <c r="V2134" s="2">
        <v>1.2656911449999999</v>
      </c>
      <c r="W2134" s="2">
        <v>1.2502935420000001</v>
      </c>
      <c r="X2134">
        <f t="shared" si="99"/>
        <v>1</v>
      </c>
      <c r="Y2134">
        <f t="shared" si="100"/>
        <v>0</v>
      </c>
      <c r="Z2134">
        <f t="shared" si="101"/>
        <v>0</v>
      </c>
    </row>
    <row r="2135" spans="1:26" ht="15.75" customHeight="1" x14ac:dyDescent="0.2">
      <c r="A2135" s="2" t="s">
        <v>36</v>
      </c>
      <c r="B2135" s="2" t="s">
        <v>24</v>
      </c>
      <c r="C2135" s="2" t="s">
        <v>32</v>
      </c>
      <c r="D2135" s="2" t="s">
        <v>33</v>
      </c>
      <c r="E2135" s="2">
        <v>165</v>
      </c>
      <c r="F2135" s="2">
        <v>221</v>
      </c>
      <c r="G2135" s="2">
        <v>468</v>
      </c>
      <c r="H2135" s="2">
        <v>939</v>
      </c>
      <c r="I2135" s="2">
        <v>3225</v>
      </c>
      <c r="J2135" s="2">
        <v>2.19</v>
      </c>
      <c r="K2135" s="2">
        <v>4.6399999999999997</v>
      </c>
      <c r="L2135" s="2">
        <v>8.15</v>
      </c>
      <c r="M2135" s="2">
        <v>16.149999999999999</v>
      </c>
      <c r="N2135" s="2">
        <v>4.0169508880000002</v>
      </c>
      <c r="O2135" s="2">
        <v>3.9206140719999998</v>
      </c>
      <c r="P2135" s="2">
        <v>3.2307200869999999</v>
      </c>
      <c r="Q2135" s="2">
        <v>3.1626440790000001</v>
      </c>
      <c r="R2135" s="2">
        <v>0.127660626</v>
      </c>
      <c r="S2135" s="2">
        <v>0.16766062600000001</v>
      </c>
      <c r="T2135" s="2">
        <v>3.2281968719999998</v>
      </c>
      <c r="U2135" s="2">
        <v>3.158196872</v>
      </c>
      <c r="V2135" s="2">
        <v>1.58529103</v>
      </c>
      <c r="W2135" s="2">
        <v>1.569893427</v>
      </c>
      <c r="X2135">
        <f t="shared" si="99"/>
        <v>1</v>
      </c>
      <c r="Y2135">
        <f t="shared" si="100"/>
        <v>0</v>
      </c>
      <c r="Z2135">
        <f t="shared" si="101"/>
        <v>1</v>
      </c>
    </row>
    <row r="2136" spans="1:26" ht="15.75" customHeight="1" x14ac:dyDescent="0.2">
      <c r="A2136" s="2" t="s">
        <v>36</v>
      </c>
      <c r="B2136" s="2" t="s">
        <v>24</v>
      </c>
      <c r="C2136" s="2" t="s">
        <v>28</v>
      </c>
      <c r="D2136" s="2" t="s">
        <v>29</v>
      </c>
      <c r="E2136" s="2">
        <v>184</v>
      </c>
      <c r="F2136" s="2">
        <v>226</v>
      </c>
      <c r="G2136" s="2">
        <v>387</v>
      </c>
      <c r="H2136" s="2">
        <v>1306</v>
      </c>
      <c r="I2136" s="2">
        <v>2890</v>
      </c>
      <c r="J2136" s="2">
        <v>2.25</v>
      </c>
      <c r="K2136" s="2">
        <v>3.89</v>
      </c>
      <c r="L2136" s="2">
        <v>10.19</v>
      </c>
      <c r="M2136" s="2">
        <v>15.44</v>
      </c>
      <c r="N2136" s="2">
        <v>2.298008695</v>
      </c>
      <c r="O2136" s="2">
        <v>2.353388979</v>
      </c>
      <c r="P2136" s="2">
        <v>1.3437781660000001</v>
      </c>
      <c r="Q2136" s="2">
        <v>1.2632160130000001</v>
      </c>
      <c r="R2136" s="2">
        <v>0.62244318200000004</v>
      </c>
      <c r="S2136" s="2">
        <v>0.582443182</v>
      </c>
      <c r="T2136" s="2">
        <v>1.190925794</v>
      </c>
      <c r="U2136" s="2">
        <v>1.1209257939999999</v>
      </c>
      <c r="V2136" s="2">
        <v>0.83518722300000003</v>
      </c>
      <c r="W2136" s="2">
        <v>0.81978961900000002</v>
      </c>
      <c r="X2136">
        <f t="shared" si="99"/>
        <v>1</v>
      </c>
      <c r="Y2136">
        <f t="shared" si="100"/>
        <v>0</v>
      </c>
      <c r="Z2136">
        <f t="shared" si="101"/>
        <v>1</v>
      </c>
    </row>
    <row r="2137" spans="1:26" ht="15.75" customHeight="1" x14ac:dyDescent="0.2">
      <c r="A2137" s="2" t="s">
        <v>36</v>
      </c>
      <c r="B2137" s="2" t="s">
        <v>24</v>
      </c>
      <c r="C2137" s="2" t="s">
        <v>26</v>
      </c>
      <c r="D2137" s="2" t="s">
        <v>26</v>
      </c>
      <c r="E2137" s="2">
        <v>188</v>
      </c>
      <c r="F2137" s="2">
        <v>229</v>
      </c>
      <c r="G2137" s="2">
        <v>455</v>
      </c>
      <c r="H2137" s="2">
        <v>1013</v>
      </c>
      <c r="I2137" s="2">
        <v>2766</v>
      </c>
      <c r="J2137" s="2">
        <v>2.2799999999999998</v>
      </c>
      <c r="K2137" s="2">
        <v>4.5199999999999996</v>
      </c>
      <c r="L2137" s="2">
        <v>8.6</v>
      </c>
      <c r="M2137" s="2">
        <v>15.16</v>
      </c>
      <c r="N2137" s="2">
        <v>0.82318556600000004</v>
      </c>
      <c r="O2137" s="2">
        <v>0.90586002899999996</v>
      </c>
      <c r="P2137" s="2">
        <v>2.7769350529999999</v>
      </c>
      <c r="Q2137" s="2">
        <v>2.7073513839999999</v>
      </c>
      <c r="R2137" s="2">
        <v>8.1557149999999991E-3</v>
      </c>
      <c r="S2137" s="2">
        <v>4.8155715000000002E-2</v>
      </c>
      <c r="T2137" s="2">
        <v>2.7769230770000002</v>
      </c>
      <c r="U2137" s="2">
        <v>2.7069230769999999</v>
      </c>
      <c r="V2137" s="2">
        <v>1.4657861190000001</v>
      </c>
      <c r="W2137" s="2">
        <v>1.4503885160000001</v>
      </c>
      <c r="X2137">
        <f t="shared" si="99"/>
        <v>1</v>
      </c>
      <c r="Y2137">
        <f t="shared" si="100"/>
        <v>0</v>
      </c>
      <c r="Z2137">
        <f t="shared" si="101"/>
        <v>0</v>
      </c>
    </row>
    <row r="2138" spans="1:26" ht="15.75" customHeight="1" x14ac:dyDescent="0.2">
      <c r="A2138" s="2" t="s">
        <v>36</v>
      </c>
      <c r="B2138" s="2" t="s">
        <v>24</v>
      </c>
      <c r="C2138" s="2" t="s">
        <v>30</v>
      </c>
      <c r="D2138" s="2" t="s">
        <v>31</v>
      </c>
      <c r="E2138" s="2">
        <v>198</v>
      </c>
      <c r="F2138" s="2">
        <v>190</v>
      </c>
      <c r="G2138" s="2">
        <v>581</v>
      </c>
      <c r="H2138" s="2">
        <v>1212</v>
      </c>
      <c r="I2138" s="2">
        <v>2314</v>
      </c>
      <c r="J2138" s="2">
        <v>1.84</v>
      </c>
      <c r="K2138" s="2">
        <v>5.6</v>
      </c>
      <c r="L2138" s="2">
        <v>9.7100000000000009</v>
      </c>
      <c r="M2138" s="2">
        <v>13.99</v>
      </c>
      <c r="N2138" s="2">
        <v>4.0656138769999997</v>
      </c>
      <c r="O2138" s="2">
        <v>4.0605347209999998</v>
      </c>
      <c r="P2138" s="2">
        <v>1.993961477</v>
      </c>
      <c r="Q2138" s="2">
        <v>1.958650937</v>
      </c>
      <c r="R2138" s="2">
        <v>1.0928226649999999</v>
      </c>
      <c r="S2138" s="2">
        <v>1.132822665</v>
      </c>
      <c r="T2138" s="2">
        <v>1.6678192329999999</v>
      </c>
      <c r="U2138" s="2">
        <v>1.5978192330000001</v>
      </c>
      <c r="V2138" s="2">
        <v>2.5504530700000001</v>
      </c>
      <c r="W2138" s="2">
        <v>2.5350554660000002</v>
      </c>
      <c r="X2138">
        <f t="shared" si="99"/>
        <v>1</v>
      </c>
      <c r="Y2138">
        <f t="shared" si="100"/>
        <v>0</v>
      </c>
      <c r="Z2138">
        <f t="shared" si="101"/>
        <v>1</v>
      </c>
    </row>
    <row r="2139" spans="1:26" ht="15.75" customHeight="1" x14ac:dyDescent="0.2">
      <c r="A2139" s="2" t="s">
        <v>36</v>
      </c>
      <c r="B2139" s="2" t="s">
        <v>24</v>
      </c>
      <c r="C2139" s="2" t="s">
        <v>27</v>
      </c>
      <c r="D2139" s="2" t="s">
        <v>27</v>
      </c>
      <c r="E2139" s="2">
        <v>158</v>
      </c>
      <c r="F2139" s="2">
        <v>226</v>
      </c>
      <c r="G2139" s="2">
        <v>443</v>
      </c>
      <c r="H2139" s="2">
        <v>2073</v>
      </c>
      <c r="I2139" s="2">
        <v>2861</v>
      </c>
      <c r="J2139" s="2">
        <v>2.2400000000000002</v>
      </c>
      <c r="K2139" s="2">
        <v>4.42</v>
      </c>
      <c r="L2139" s="2">
        <v>13.25</v>
      </c>
      <c r="M2139" s="2">
        <v>15.38</v>
      </c>
      <c r="N2139" s="2">
        <v>0.333903748</v>
      </c>
      <c r="O2139" s="2">
        <v>0.34103082899999998</v>
      </c>
      <c r="P2139" s="2">
        <v>1.872976387</v>
      </c>
      <c r="Q2139" s="2">
        <v>1.941356801</v>
      </c>
      <c r="R2139" s="2">
        <v>9.4466018999999998E-2</v>
      </c>
      <c r="S2139" s="2">
        <v>5.4466018999999997E-2</v>
      </c>
      <c r="T2139" s="2">
        <v>1.870592611</v>
      </c>
      <c r="U2139" s="2">
        <v>1.940592611</v>
      </c>
      <c r="V2139" s="2">
        <v>1.3631643849999999</v>
      </c>
      <c r="W2139" s="2">
        <v>1.3477667820000001</v>
      </c>
      <c r="X2139">
        <f t="shared" si="99"/>
        <v>1</v>
      </c>
      <c r="Y2139">
        <f t="shared" si="100"/>
        <v>0</v>
      </c>
      <c r="Z2139">
        <f t="shared" si="101"/>
        <v>0</v>
      </c>
    </row>
    <row r="2140" spans="1:26" ht="15.75" customHeight="1" x14ac:dyDescent="0.2">
      <c r="A2140" s="2" t="s">
        <v>36</v>
      </c>
      <c r="B2140" s="2" t="s">
        <v>24</v>
      </c>
      <c r="C2140" s="2" t="s">
        <v>30</v>
      </c>
      <c r="D2140" s="2" t="s">
        <v>31</v>
      </c>
      <c r="E2140" s="2">
        <v>150</v>
      </c>
      <c r="F2140" s="2">
        <v>212</v>
      </c>
      <c r="G2140" s="2">
        <v>656</v>
      </c>
      <c r="H2140" s="2">
        <v>1278</v>
      </c>
      <c r="I2140" s="2">
        <v>3192</v>
      </c>
      <c r="J2140" s="2">
        <v>2.09</v>
      </c>
      <c r="K2140" s="2">
        <v>6.19</v>
      </c>
      <c r="L2140" s="2">
        <v>10.050000000000001</v>
      </c>
      <c r="M2140" s="2">
        <v>16.079999999999998</v>
      </c>
      <c r="N2140" s="2">
        <v>3.9900651850000002</v>
      </c>
      <c r="O2140" s="2">
        <v>3.997746443</v>
      </c>
      <c r="P2140" s="2">
        <v>2.1420898479999999</v>
      </c>
      <c r="Q2140" s="2">
        <v>2.1315501690000001</v>
      </c>
      <c r="R2140" s="2">
        <v>1.68043711</v>
      </c>
      <c r="S2140" s="2">
        <v>1.72043711</v>
      </c>
      <c r="T2140" s="2">
        <v>1.3284126000000001</v>
      </c>
      <c r="U2140" s="2">
        <v>1.2584126</v>
      </c>
      <c r="V2140" s="2">
        <v>3.1380675139999998</v>
      </c>
      <c r="W2140" s="2">
        <v>3.122669911</v>
      </c>
      <c r="X2140">
        <f t="shared" si="99"/>
        <v>1</v>
      </c>
      <c r="Y2140">
        <f t="shared" si="100"/>
        <v>0</v>
      </c>
      <c r="Z2140">
        <f t="shared" si="101"/>
        <v>1</v>
      </c>
    </row>
    <row r="2141" spans="1:26" ht="15.75" customHeight="1" x14ac:dyDescent="0.2">
      <c r="A2141" s="2" t="s">
        <v>36</v>
      </c>
      <c r="B2141" s="2" t="s">
        <v>24</v>
      </c>
      <c r="C2141" s="2" t="s">
        <v>26</v>
      </c>
      <c r="D2141" s="2" t="s">
        <v>26</v>
      </c>
      <c r="E2141" s="2">
        <v>238</v>
      </c>
      <c r="F2141" s="2">
        <v>254</v>
      </c>
      <c r="G2141" s="2">
        <v>402</v>
      </c>
      <c r="H2141" s="2">
        <v>921</v>
      </c>
      <c r="I2141" s="2">
        <v>2699</v>
      </c>
      <c r="J2141" s="2">
        <v>2.5499999999999998</v>
      </c>
      <c r="K2141" s="2">
        <v>4.03</v>
      </c>
      <c r="L2141" s="2">
        <v>8.0399999999999991</v>
      </c>
      <c r="M2141" s="2">
        <v>15</v>
      </c>
      <c r="N2141" s="2">
        <v>0.15493062899999999</v>
      </c>
      <c r="O2141" s="2">
        <v>0.20274884500000001</v>
      </c>
      <c r="P2141" s="2">
        <v>3.371625146</v>
      </c>
      <c r="Q2141" s="2">
        <v>3.2967747030000001</v>
      </c>
      <c r="R2141" s="2">
        <v>0.48021877200000002</v>
      </c>
      <c r="S2141" s="2">
        <v>0.44021877199999998</v>
      </c>
      <c r="T2141" s="2">
        <v>3.3372512730000001</v>
      </c>
      <c r="U2141" s="2">
        <v>3.2672512729999998</v>
      </c>
      <c r="V2141" s="2">
        <v>0.97741163200000003</v>
      </c>
      <c r="W2141" s="2">
        <v>0.96201402899999999</v>
      </c>
      <c r="X2141">
        <f t="shared" si="99"/>
        <v>1</v>
      </c>
      <c r="Y2141">
        <f t="shared" si="100"/>
        <v>0</v>
      </c>
      <c r="Z2141">
        <f t="shared" si="101"/>
        <v>0</v>
      </c>
    </row>
    <row r="2142" spans="1:26" ht="15.75" customHeight="1" x14ac:dyDescent="0.2">
      <c r="A2142" s="2" t="s">
        <v>36</v>
      </c>
      <c r="B2142" s="2" t="s">
        <v>24</v>
      </c>
      <c r="C2142" s="2" t="s">
        <v>26</v>
      </c>
      <c r="D2142" s="2" t="s">
        <v>26</v>
      </c>
      <c r="E2142" s="2">
        <v>158</v>
      </c>
      <c r="F2142" s="2">
        <v>208</v>
      </c>
      <c r="G2142" s="2">
        <v>426</v>
      </c>
      <c r="H2142" s="2">
        <v>912</v>
      </c>
      <c r="I2142" s="2">
        <v>2783</v>
      </c>
      <c r="J2142" s="2">
        <v>2.04</v>
      </c>
      <c r="K2142" s="2">
        <v>4.26</v>
      </c>
      <c r="L2142" s="2">
        <v>7.98</v>
      </c>
      <c r="M2142" s="2">
        <v>15.2</v>
      </c>
      <c r="N2142" s="2">
        <v>0.18918863499999999</v>
      </c>
      <c r="O2142" s="2">
        <v>0.27089299100000003</v>
      </c>
      <c r="P2142" s="2">
        <v>3.4057228949999998</v>
      </c>
      <c r="Q2142" s="2">
        <v>3.3331543319999999</v>
      </c>
      <c r="R2142" s="2">
        <v>0.25022628899999999</v>
      </c>
      <c r="S2142" s="2">
        <v>0.21022628900000001</v>
      </c>
      <c r="T2142" s="2">
        <v>3.3965181059999998</v>
      </c>
      <c r="U2142" s="2">
        <v>3.326518106</v>
      </c>
      <c r="V2142" s="2">
        <v>1.207404116</v>
      </c>
      <c r="W2142" s="2">
        <v>1.1920065120000001</v>
      </c>
      <c r="X2142">
        <f t="shared" si="99"/>
        <v>1</v>
      </c>
      <c r="Y2142">
        <f t="shared" si="100"/>
        <v>0</v>
      </c>
      <c r="Z2142">
        <f t="shared" si="101"/>
        <v>0</v>
      </c>
    </row>
    <row r="2143" spans="1:26" ht="15.75" customHeight="1" x14ac:dyDescent="0.2">
      <c r="A2143" s="2" t="s">
        <v>36</v>
      </c>
      <c r="B2143" s="2" t="s">
        <v>24</v>
      </c>
      <c r="C2143" s="2" t="s">
        <v>26</v>
      </c>
      <c r="D2143" s="2" t="s">
        <v>26</v>
      </c>
      <c r="E2143" s="2">
        <v>134</v>
      </c>
      <c r="F2143" s="2">
        <v>228</v>
      </c>
      <c r="G2143" s="2">
        <v>389</v>
      </c>
      <c r="H2143" s="2">
        <v>787</v>
      </c>
      <c r="I2143" s="2">
        <v>2751</v>
      </c>
      <c r="J2143" s="2">
        <v>2.2599999999999998</v>
      </c>
      <c r="K2143" s="2">
        <v>3.91</v>
      </c>
      <c r="L2143" s="2">
        <v>7.15</v>
      </c>
      <c r="M2143" s="2">
        <v>15.13</v>
      </c>
      <c r="N2143" s="2">
        <v>0.77345976599999999</v>
      </c>
      <c r="O2143" s="2">
        <v>0.70232904100000004</v>
      </c>
      <c r="P2143" s="2">
        <v>4.2742102239999999</v>
      </c>
      <c r="Q2143" s="2">
        <v>4.199369709</v>
      </c>
      <c r="R2143" s="2">
        <v>0.60337496499999999</v>
      </c>
      <c r="S2143" s="2">
        <v>0.56337496499999995</v>
      </c>
      <c r="T2143" s="2">
        <v>4.2314077670000003</v>
      </c>
      <c r="U2143" s="2">
        <v>4.161407767</v>
      </c>
      <c r="V2143" s="2">
        <v>0.85425543999999998</v>
      </c>
      <c r="W2143" s="2">
        <v>0.83885783599999997</v>
      </c>
      <c r="X2143">
        <f t="shared" si="99"/>
        <v>1</v>
      </c>
      <c r="Y2143">
        <f t="shared" si="100"/>
        <v>0</v>
      </c>
      <c r="Z2143">
        <f t="shared" si="101"/>
        <v>0</v>
      </c>
    </row>
    <row r="2144" spans="1:26" ht="15.75" customHeight="1" x14ac:dyDescent="0.2">
      <c r="A2144" s="2" t="s">
        <v>36</v>
      </c>
      <c r="B2144" s="2" t="s">
        <v>24</v>
      </c>
      <c r="C2144" s="2" t="s">
        <v>25</v>
      </c>
      <c r="D2144" s="2" t="s">
        <v>25</v>
      </c>
      <c r="E2144" s="2">
        <v>220</v>
      </c>
      <c r="F2144" s="2">
        <v>215</v>
      </c>
      <c r="G2144" s="2">
        <v>799</v>
      </c>
      <c r="H2144" s="2">
        <v>1533</v>
      </c>
      <c r="I2144" s="2">
        <v>2994</v>
      </c>
      <c r="J2144" s="2">
        <v>2.12</v>
      </c>
      <c r="K2144" s="2">
        <v>7.23</v>
      </c>
      <c r="L2144" s="2">
        <v>11.23</v>
      </c>
      <c r="M2144" s="2">
        <v>15.67</v>
      </c>
      <c r="N2144" s="2">
        <v>7.1094406999999998E-2</v>
      </c>
      <c r="O2144" s="2">
        <v>0.11242126</v>
      </c>
      <c r="P2144" s="2">
        <v>2.7256786019999999</v>
      </c>
      <c r="Q2144" s="2">
        <v>2.7628339799999999</v>
      </c>
      <c r="R2144" s="2">
        <v>2.7218124700000002</v>
      </c>
      <c r="S2144" s="2">
        <v>2.7618124700000002</v>
      </c>
      <c r="T2144" s="2">
        <v>0.145123115</v>
      </c>
      <c r="U2144" s="2">
        <v>7.5123115000000004E-2</v>
      </c>
      <c r="V2144" s="2">
        <v>4.1794428740000003</v>
      </c>
      <c r="W2144" s="2">
        <v>4.164045271</v>
      </c>
      <c r="X2144">
        <f t="shared" si="99"/>
        <v>1</v>
      </c>
      <c r="Y2144">
        <f t="shared" si="100"/>
        <v>0</v>
      </c>
      <c r="Z2144">
        <f t="shared" si="101"/>
        <v>0</v>
      </c>
    </row>
    <row r="2145" spans="1:26" ht="15.75" customHeight="1" x14ac:dyDescent="0.2">
      <c r="A2145" s="2" t="s">
        <v>36</v>
      </c>
      <c r="B2145" s="2" t="s">
        <v>24</v>
      </c>
      <c r="C2145" s="2" t="s">
        <v>25</v>
      </c>
      <c r="D2145" s="2" t="s">
        <v>25</v>
      </c>
      <c r="E2145" s="2">
        <v>208</v>
      </c>
      <c r="F2145" s="2">
        <v>217</v>
      </c>
      <c r="G2145" s="2">
        <v>780</v>
      </c>
      <c r="H2145" s="2">
        <v>1414</v>
      </c>
      <c r="I2145" s="2">
        <v>2704</v>
      </c>
      <c r="J2145" s="2">
        <v>2.14</v>
      </c>
      <c r="K2145" s="2">
        <v>7.1</v>
      </c>
      <c r="L2145" s="2">
        <v>10.71</v>
      </c>
      <c r="M2145" s="2">
        <v>15.01</v>
      </c>
      <c r="N2145" s="2">
        <v>0.56835115300000005</v>
      </c>
      <c r="O2145" s="2">
        <v>0.465822809</v>
      </c>
      <c r="P2145" s="2">
        <v>2.678308473</v>
      </c>
      <c r="Q2145" s="2">
        <v>2.7005187350000002</v>
      </c>
      <c r="R2145" s="2">
        <v>2.592043796</v>
      </c>
      <c r="S2145" s="2">
        <v>2.632043796</v>
      </c>
      <c r="T2145" s="2">
        <v>0.67427385900000003</v>
      </c>
      <c r="U2145" s="2">
        <v>0.60427385899999997</v>
      </c>
      <c r="V2145" s="2">
        <v>4.0496742000000001</v>
      </c>
      <c r="W2145" s="2">
        <v>4.0342765969999999</v>
      </c>
      <c r="X2145">
        <f t="shared" si="99"/>
        <v>1</v>
      </c>
      <c r="Y2145">
        <f t="shared" si="100"/>
        <v>0</v>
      </c>
      <c r="Z2145">
        <f t="shared" si="101"/>
        <v>0</v>
      </c>
    </row>
    <row r="2146" spans="1:26" ht="15.75" customHeight="1" x14ac:dyDescent="0.2">
      <c r="A2146" s="2" t="s">
        <v>36</v>
      </c>
      <c r="B2146" s="2" t="s">
        <v>24</v>
      </c>
      <c r="C2146" s="2" t="s">
        <v>25</v>
      </c>
      <c r="D2146" s="2" t="s">
        <v>25</v>
      </c>
      <c r="E2146" s="2">
        <v>240</v>
      </c>
      <c r="F2146" s="2">
        <v>149</v>
      </c>
      <c r="G2146" s="2">
        <v>807</v>
      </c>
      <c r="H2146" s="2">
        <v>1612</v>
      </c>
      <c r="I2146" s="2">
        <v>2908</v>
      </c>
      <c r="J2146" s="2">
        <v>1.37</v>
      </c>
      <c r="K2146" s="2">
        <v>7.29</v>
      </c>
      <c r="L2146" s="2">
        <v>11.57</v>
      </c>
      <c r="M2146" s="2">
        <v>15.49</v>
      </c>
      <c r="N2146" s="2">
        <v>0.32062592600000001</v>
      </c>
      <c r="O2146" s="2">
        <v>0.42471440500000002</v>
      </c>
      <c r="P2146" s="2">
        <v>2.7855076599999999</v>
      </c>
      <c r="Q2146" s="2">
        <v>2.8309289450000001</v>
      </c>
      <c r="R2146" s="2">
        <v>2.779179617</v>
      </c>
      <c r="S2146" s="2">
        <v>2.8191796170000001</v>
      </c>
      <c r="T2146" s="2">
        <v>0.187652823</v>
      </c>
      <c r="U2146" s="2">
        <v>0.25765282299999998</v>
      </c>
      <c r="V2146" s="2">
        <v>4.2368100210000001</v>
      </c>
      <c r="W2146" s="2">
        <v>4.2214124179999999</v>
      </c>
      <c r="X2146">
        <f t="shared" si="99"/>
        <v>1</v>
      </c>
      <c r="Y2146">
        <f t="shared" si="100"/>
        <v>0</v>
      </c>
      <c r="Z2146">
        <f t="shared" si="101"/>
        <v>0</v>
      </c>
    </row>
    <row r="2147" spans="1:26" ht="15.75" customHeight="1" x14ac:dyDescent="0.2">
      <c r="A2147" s="2" t="s">
        <v>36</v>
      </c>
      <c r="B2147" s="2" t="s">
        <v>24</v>
      </c>
      <c r="C2147" s="2" t="s">
        <v>28</v>
      </c>
      <c r="D2147" s="2" t="s">
        <v>29</v>
      </c>
      <c r="E2147" s="2">
        <v>153</v>
      </c>
      <c r="F2147" s="2">
        <v>219</v>
      </c>
      <c r="G2147" s="2">
        <v>367</v>
      </c>
      <c r="H2147" s="2">
        <v>1068</v>
      </c>
      <c r="I2147" s="2">
        <v>2818</v>
      </c>
      <c r="J2147" s="2">
        <v>2.16</v>
      </c>
      <c r="K2147" s="2">
        <v>3.7</v>
      </c>
      <c r="L2147" s="2">
        <v>8.93</v>
      </c>
      <c r="M2147" s="2">
        <v>15.28</v>
      </c>
      <c r="N2147" s="2">
        <v>1.0994798130000001</v>
      </c>
      <c r="O2147" s="2">
        <v>1.1365723999999999</v>
      </c>
      <c r="P2147" s="2">
        <v>2.5856756449999998</v>
      </c>
      <c r="Q2147" s="2">
        <v>2.506686797</v>
      </c>
      <c r="R2147" s="2">
        <v>0.81492836700000004</v>
      </c>
      <c r="S2147" s="2">
        <v>0.77492836700000001</v>
      </c>
      <c r="T2147" s="2">
        <v>2.453896962</v>
      </c>
      <c r="U2147" s="2">
        <v>2.3838969620000001</v>
      </c>
      <c r="V2147" s="2">
        <v>0.64270203800000003</v>
      </c>
      <c r="W2147" s="2">
        <v>0.62730443400000002</v>
      </c>
      <c r="X2147">
        <f t="shared" si="99"/>
        <v>1</v>
      </c>
      <c r="Y2147">
        <f t="shared" si="100"/>
        <v>0</v>
      </c>
      <c r="Z2147">
        <f t="shared" si="101"/>
        <v>1</v>
      </c>
    </row>
    <row r="2148" spans="1:26" ht="15.75" customHeight="1" x14ac:dyDescent="0.2">
      <c r="A2148" s="2" t="s">
        <v>36</v>
      </c>
      <c r="B2148" s="2" t="s">
        <v>24</v>
      </c>
      <c r="C2148" s="2" t="s">
        <v>30</v>
      </c>
      <c r="D2148" s="2" t="s">
        <v>31</v>
      </c>
      <c r="E2148" s="2">
        <v>171</v>
      </c>
      <c r="F2148" s="2">
        <v>215</v>
      </c>
      <c r="G2148" s="2">
        <v>664</v>
      </c>
      <c r="H2148" s="2">
        <v>1235</v>
      </c>
      <c r="I2148" s="2">
        <v>2800</v>
      </c>
      <c r="J2148" s="2">
        <v>2.12</v>
      </c>
      <c r="K2148" s="2">
        <v>6.25</v>
      </c>
      <c r="L2148" s="2">
        <v>9.83</v>
      </c>
      <c r="M2148" s="2">
        <v>15.24</v>
      </c>
      <c r="N2148" s="2">
        <v>4.212771182</v>
      </c>
      <c r="O2148" s="2">
        <v>4.2195526929999998</v>
      </c>
      <c r="P2148" s="2">
        <v>2.3313145240000002</v>
      </c>
      <c r="Q2148" s="2">
        <v>2.316141445</v>
      </c>
      <c r="R2148" s="2">
        <v>1.744237805</v>
      </c>
      <c r="S2148" s="2">
        <v>1.7842378050000001</v>
      </c>
      <c r="T2148" s="2">
        <v>1.5468231610000001</v>
      </c>
      <c r="U2148" s="2">
        <v>1.476823161</v>
      </c>
      <c r="V2148" s="2">
        <v>3.2018682090000001</v>
      </c>
      <c r="W2148" s="2">
        <v>3.1864706059999999</v>
      </c>
      <c r="X2148">
        <f t="shared" si="99"/>
        <v>1</v>
      </c>
      <c r="Y2148">
        <f t="shared" si="100"/>
        <v>0</v>
      </c>
      <c r="Z2148">
        <f t="shared" si="101"/>
        <v>1</v>
      </c>
    </row>
    <row r="2149" spans="1:26" ht="15.75" customHeight="1" x14ac:dyDescent="0.2">
      <c r="A2149" s="2" t="s">
        <v>36</v>
      </c>
      <c r="B2149" s="2" t="s">
        <v>24</v>
      </c>
      <c r="C2149" s="2" t="s">
        <v>32</v>
      </c>
      <c r="D2149" s="2" t="s">
        <v>33</v>
      </c>
      <c r="E2149" s="2">
        <v>181</v>
      </c>
      <c r="F2149" s="2">
        <v>202</v>
      </c>
      <c r="G2149" s="2">
        <v>740</v>
      </c>
      <c r="H2149" s="2">
        <v>1095</v>
      </c>
      <c r="I2149" s="2">
        <v>3354</v>
      </c>
      <c r="J2149" s="2">
        <v>1.98</v>
      </c>
      <c r="K2149" s="2">
        <v>6.82</v>
      </c>
      <c r="L2149" s="2">
        <v>9.08</v>
      </c>
      <c r="M2149" s="2">
        <v>16.39</v>
      </c>
      <c r="N2149" s="2">
        <v>2.220110601</v>
      </c>
      <c r="O2149" s="2">
        <v>2.1166791549999999</v>
      </c>
      <c r="P2149" s="2">
        <v>3.2616968100000001</v>
      </c>
      <c r="Q2149" s="2">
        <v>3.2415515190000002</v>
      </c>
      <c r="R2149" s="2">
        <v>2.3103283549999998</v>
      </c>
      <c r="S2149" s="2">
        <v>2.3503283549999998</v>
      </c>
      <c r="T2149" s="2">
        <v>2.302400698</v>
      </c>
      <c r="U2149" s="2">
        <v>2.2324006980000002</v>
      </c>
      <c r="V2149" s="2">
        <v>3.7679587589999999</v>
      </c>
      <c r="W2149" s="2">
        <v>3.752561155</v>
      </c>
      <c r="X2149">
        <f t="shared" si="99"/>
        <v>1</v>
      </c>
      <c r="Y2149">
        <f t="shared" si="100"/>
        <v>0</v>
      </c>
      <c r="Z2149">
        <f t="shared" si="101"/>
        <v>1</v>
      </c>
    </row>
    <row r="2150" spans="1:26" ht="15.75" customHeight="1" x14ac:dyDescent="0.2">
      <c r="A2150" s="2" t="s">
        <v>36</v>
      </c>
      <c r="B2150" s="2" t="s">
        <v>24</v>
      </c>
      <c r="C2150" s="2" t="s">
        <v>26</v>
      </c>
      <c r="D2150" s="2" t="s">
        <v>26</v>
      </c>
      <c r="E2150" s="2">
        <v>239</v>
      </c>
      <c r="F2150" s="2">
        <v>236</v>
      </c>
      <c r="G2150" s="2">
        <v>458</v>
      </c>
      <c r="H2150" s="2">
        <v>1000</v>
      </c>
      <c r="I2150" s="2">
        <v>2732</v>
      </c>
      <c r="J2150" s="2">
        <v>2.35</v>
      </c>
      <c r="K2150" s="2">
        <v>4.55</v>
      </c>
      <c r="L2150" s="2">
        <v>8.5299999999999994</v>
      </c>
      <c r="M2150" s="2">
        <v>15.08</v>
      </c>
      <c r="N2150" s="2">
        <v>0.77690277399999996</v>
      </c>
      <c r="O2150" s="2">
        <v>0.86084172299999995</v>
      </c>
      <c r="P2150" s="2">
        <v>2.8528227369999999</v>
      </c>
      <c r="Q2150" s="2">
        <v>2.7836649489999998</v>
      </c>
      <c r="R2150" s="2">
        <v>3.8155500000000002E-2</v>
      </c>
      <c r="S2150" s="2">
        <v>7.8155500000000003E-2</v>
      </c>
      <c r="T2150" s="2">
        <v>2.852567568</v>
      </c>
      <c r="U2150" s="2">
        <v>2.7825675680000002</v>
      </c>
      <c r="V2150" s="2">
        <v>1.495785905</v>
      </c>
      <c r="W2150" s="2">
        <v>1.4803883010000001</v>
      </c>
      <c r="X2150">
        <f t="shared" si="99"/>
        <v>1</v>
      </c>
      <c r="Y2150">
        <f t="shared" si="100"/>
        <v>0</v>
      </c>
      <c r="Z2150">
        <f t="shared" si="101"/>
        <v>0</v>
      </c>
    </row>
    <row r="2151" spans="1:26" ht="15.75" customHeight="1" x14ac:dyDescent="0.2">
      <c r="A2151" s="2" t="s">
        <v>36</v>
      </c>
      <c r="B2151" s="2" t="s">
        <v>24</v>
      </c>
      <c r="C2151" s="2" t="s">
        <v>32</v>
      </c>
      <c r="D2151" s="2" t="s">
        <v>33</v>
      </c>
      <c r="E2151" s="2">
        <v>145</v>
      </c>
      <c r="F2151" s="2">
        <v>244</v>
      </c>
      <c r="G2151" s="2">
        <v>562</v>
      </c>
      <c r="H2151" s="2">
        <v>1045</v>
      </c>
      <c r="I2151" s="2">
        <v>3214</v>
      </c>
      <c r="J2151" s="2">
        <v>2.44</v>
      </c>
      <c r="K2151" s="2">
        <v>5.44</v>
      </c>
      <c r="L2151" s="2">
        <v>8.8000000000000007</v>
      </c>
      <c r="M2151" s="2">
        <v>16.12</v>
      </c>
      <c r="N2151" s="2">
        <v>3.018617967</v>
      </c>
      <c r="O2151" s="2">
        <v>2.9196389329999999</v>
      </c>
      <c r="P2151" s="2">
        <v>2.7475270379999999</v>
      </c>
      <c r="Q2151" s="2">
        <v>2.6959339830000002</v>
      </c>
      <c r="R2151" s="2">
        <v>0.93155981499999996</v>
      </c>
      <c r="S2151" s="2">
        <v>0.97155981499999999</v>
      </c>
      <c r="T2151" s="2">
        <v>2.5847826089999999</v>
      </c>
      <c r="U2151" s="2">
        <v>2.5147826090000001</v>
      </c>
      <c r="V2151" s="2">
        <v>2.3891902190000001</v>
      </c>
      <c r="W2151" s="2">
        <v>2.3737926159999998</v>
      </c>
      <c r="X2151">
        <f t="shared" si="99"/>
        <v>1</v>
      </c>
      <c r="Y2151">
        <f t="shared" si="100"/>
        <v>0</v>
      </c>
      <c r="Z2151">
        <f t="shared" si="101"/>
        <v>1</v>
      </c>
    </row>
    <row r="2152" spans="1:26" ht="15.75" customHeight="1" x14ac:dyDescent="0.2">
      <c r="A2152" s="2" t="s">
        <v>36</v>
      </c>
      <c r="B2152" s="2" t="s">
        <v>24</v>
      </c>
      <c r="C2152" s="2" t="s">
        <v>28</v>
      </c>
      <c r="D2152" s="2" t="s">
        <v>29</v>
      </c>
      <c r="E2152" s="2">
        <v>170</v>
      </c>
      <c r="F2152" s="2">
        <v>226</v>
      </c>
      <c r="G2152" s="2">
        <v>390</v>
      </c>
      <c r="H2152" s="2">
        <v>1038</v>
      </c>
      <c r="I2152" s="2">
        <v>2897</v>
      </c>
      <c r="J2152" s="2">
        <v>2.25</v>
      </c>
      <c r="K2152" s="2">
        <v>3.92</v>
      </c>
      <c r="L2152" s="2">
        <v>8.75</v>
      </c>
      <c r="M2152" s="2">
        <v>15.46</v>
      </c>
      <c r="N2152" s="2">
        <v>0.870662677</v>
      </c>
      <c r="O2152" s="2">
        <v>0.92069537599999995</v>
      </c>
      <c r="P2152" s="2">
        <v>2.6905313980000001</v>
      </c>
      <c r="Q2152" s="2">
        <v>2.6135940780000002</v>
      </c>
      <c r="R2152" s="2">
        <v>0.58750957299999995</v>
      </c>
      <c r="S2152" s="2">
        <v>0.54750957300000003</v>
      </c>
      <c r="T2152" s="2">
        <v>2.6256031129999999</v>
      </c>
      <c r="U2152" s="2">
        <v>2.5556031130000001</v>
      </c>
      <c r="V2152" s="2">
        <v>0.87012083100000004</v>
      </c>
      <c r="W2152" s="2">
        <v>0.854723228</v>
      </c>
      <c r="X2152">
        <f t="shared" si="99"/>
        <v>1</v>
      </c>
      <c r="Y2152">
        <f t="shared" si="100"/>
        <v>0</v>
      </c>
      <c r="Z2152">
        <f t="shared" si="101"/>
        <v>1</v>
      </c>
    </row>
    <row r="2153" spans="1:26" ht="15.75" customHeight="1" x14ac:dyDescent="0.2">
      <c r="A2153" s="2" t="s">
        <v>36</v>
      </c>
      <c r="B2153" s="2" t="s">
        <v>24</v>
      </c>
      <c r="C2153" s="2" t="s">
        <v>32</v>
      </c>
      <c r="D2153" s="2" t="s">
        <v>33</v>
      </c>
      <c r="E2153" s="2">
        <v>153</v>
      </c>
      <c r="F2153" s="2">
        <v>219</v>
      </c>
      <c r="G2153" s="2">
        <v>610</v>
      </c>
      <c r="H2153" s="2">
        <v>1061</v>
      </c>
      <c r="I2153" s="2">
        <v>3190</v>
      </c>
      <c r="J2153" s="2">
        <v>2.16</v>
      </c>
      <c r="K2153" s="2">
        <v>5.83</v>
      </c>
      <c r="L2153" s="2">
        <v>8.89</v>
      </c>
      <c r="M2153" s="2">
        <v>16.079999999999998</v>
      </c>
      <c r="N2153" s="2">
        <v>2.7315114710000001</v>
      </c>
      <c r="O2153" s="2">
        <v>2.6297195520000001</v>
      </c>
      <c r="P2153" s="2">
        <v>2.82180081</v>
      </c>
      <c r="Q2153" s="2">
        <v>2.779573783</v>
      </c>
      <c r="R2153" s="2">
        <v>1.3234630350000001</v>
      </c>
      <c r="S2153" s="2">
        <v>1.3634630350000001</v>
      </c>
      <c r="T2153" s="2">
        <v>2.492188879</v>
      </c>
      <c r="U2153" s="2">
        <v>2.4221888790000001</v>
      </c>
      <c r="V2153" s="2">
        <v>2.7810934390000002</v>
      </c>
      <c r="W2153" s="2">
        <v>2.7656958359999999</v>
      </c>
      <c r="X2153">
        <f t="shared" si="99"/>
        <v>1</v>
      </c>
      <c r="Y2153">
        <f t="shared" si="100"/>
        <v>0</v>
      </c>
      <c r="Z2153">
        <f t="shared" si="101"/>
        <v>1</v>
      </c>
    </row>
    <row r="2154" spans="1:26" ht="15.75" customHeight="1" x14ac:dyDescent="0.2">
      <c r="A2154" s="2" t="s">
        <v>36</v>
      </c>
      <c r="B2154" s="2" t="s">
        <v>24</v>
      </c>
      <c r="C2154" s="2" t="s">
        <v>25</v>
      </c>
      <c r="D2154" s="2" t="s">
        <v>25</v>
      </c>
      <c r="E2154" s="2">
        <v>259</v>
      </c>
      <c r="F2154" s="2">
        <v>246</v>
      </c>
      <c r="G2154" s="2">
        <v>738</v>
      </c>
      <c r="H2154" s="2">
        <v>1661</v>
      </c>
      <c r="I2154" s="2">
        <v>2950</v>
      </c>
      <c r="J2154" s="2">
        <v>2.46</v>
      </c>
      <c r="K2154" s="2">
        <v>6.81</v>
      </c>
      <c r="L2154" s="2">
        <v>11.77</v>
      </c>
      <c r="M2154" s="2">
        <v>15.58</v>
      </c>
      <c r="N2154" s="2">
        <v>0.61590334700000005</v>
      </c>
      <c r="O2154" s="2">
        <v>0.68391773099999997</v>
      </c>
      <c r="P2154" s="2">
        <v>2.3282533000000001</v>
      </c>
      <c r="Q2154" s="2">
        <v>2.3801433539999999</v>
      </c>
      <c r="R2154" s="2">
        <v>2.2959048800000001</v>
      </c>
      <c r="S2154" s="2">
        <v>2.3359048800000002</v>
      </c>
      <c r="T2154" s="2">
        <v>0.38676118599999998</v>
      </c>
      <c r="U2154" s="2">
        <v>0.45676118599999999</v>
      </c>
      <c r="V2154" s="2">
        <v>3.7535352839999998</v>
      </c>
      <c r="W2154" s="2">
        <v>3.738137681</v>
      </c>
      <c r="X2154">
        <f t="shared" si="99"/>
        <v>1</v>
      </c>
      <c r="Y2154">
        <f t="shared" si="100"/>
        <v>0</v>
      </c>
      <c r="Z2154">
        <f t="shared" si="101"/>
        <v>0</v>
      </c>
    </row>
    <row r="2155" spans="1:26" ht="15.75" customHeight="1" x14ac:dyDescent="0.2">
      <c r="A2155" s="2" t="s">
        <v>36</v>
      </c>
      <c r="B2155" s="2" t="s">
        <v>24</v>
      </c>
      <c r="C2155" s="2" t="s">
        <v>27</v>
      </c>
      <c r="D2155" s="2" t="s">
        <v>27</v>
      </c>
      <c r="E2155" s="2">
        <v>200</v>
      </c>
      <c r="F2155" s="2">
        <v>246</v>
      </c>
      <c r="G2155" s="2">
        <v>449</v>
      </c>
      <c r="H2155" s="2">
        <v>2055</v>
      </c>
      <c r="I2155" s="2">
        <v>2844</v>
      </c>
      <c r="J2155" s="2">
        <v>2.46</v>
      </c>
      <c r="K2155" s="2">
        <v>4.47</v>
      </c>
      <c r="L2155" s="2">
        <v>13.19</v>
      </c>
      <c r="M2155" s="2">
        <v>15.34</v>
      </c>
      <c r="N2155" s="2">
        <v>0.40949489700000002</v>
      </c>
      <c r="O2155" s="2">
        <v>0.42025528699999998</v>
      </c>
      <c r="P2155" s="2">
        <v>1.8126210979999999</v>
      </c>
      <c r="Q2155" s="2">
        <v>1.8821793280000001</v>
      </c>
      <c r="R2155" s="2">
        <v>4.0016601999999998E-2</v>
      </c>
      <c r="S2155" s="3" t="s">
        <v>37</v>
      </c>
      <c r="T2155" s="2">
        <v>1.812179328</v>
      </c>
      <c r="U2155" s="2">
        <v>1.8821793280000001</v>
      </c>
      <c r="V2155" s="2">
        <v>1.417613802</v>
      </c>
      <c r="W2155" s="2">
        <v>1.4022161989999999</v>
      </c>
      <c r="X2155">
        <f t="shared" si="99"/>
        <v>1</v>
      </c>
      <c r="Y2155">
        <f t="shared" si="100"/>
        <v>0</v>
      </c>
      <c r="Z2155">
        <f t="shared" si="101"/>
        <v>0</v>
      </c>
    </row>
    <row r="2156" spans="1:26" ht="15.75" customHeight="1" x14ac:dyDescent="0.2">
      <c r="A2156" s="2" t="s">
        <v>36</v>
      </c>
      <c r="B2156" s="2" t="s">
        <v>24</v>
      </c>
      <c r="C2156" s="2" t="s">
        <v>30</v>
      </c>
      <c r="D2156" s="2" t="s">
        <v>31</v>
      </c>
      <c r="E2156" s="2">
        <v>210</v>
      </c>
      <c r="F2156" s="2">
        <v>256</v>
      </c>
      <c r="G2156" s="2">
        <v>564</v>
      </c>
      <c r="H2156" s="2">
        <v>1217</v>
      </c>
      <c r="I2156" s="2">
        <v>2752</v>
      </c>
      <c r="J2156" s="2">
        <v>2.57</v>
      </c>
      <c r="K2156" s="2">
        <v>5.46</v>
      </c>
      <c r="L2156" s="2">
        <v>9.74</v>
      </c>
      <c r="M2156" s="2">
        <v>15.13</v>
      </c>
      <c r="N2156" s="2">
        <v>3.9946020459999998</v>
      </c>
      <c r="O2156" s="2">
        <v>3.9871011420000002</v>
      </c>
      <c r="P2156" s="2">
        <v>1.894324522</v>
      </c>
      <c r="Q2156" s="2">
        <v>1.855049986</v>
      </c>
      <c r="R2156" s="2">
        <v>0.94807423099999999</v>
      </c>
      <c r="S2156" s="2">
        <v>0.98807423100000003</v>
      </c>
      <c r="T2156" s="2">
        <v>1.6400062950000001</v>
      </c>
      <c r="U2156" s="2">
        <v>1.570006295</v>
      </c>
      <c r="V2156" s="2">
        <v>2.4057046350000002</v>
      </c>
      <c r="W2156" s="2">
        <v>2.3903070319999999</v>
      </c>
      <c r="X2156">
        <f t="shared" si="99"/>
        <v>1</v>
      </c>
      <c r="Y2156">
        <f t="shared" si="100"/>
        <v>0</v>
      </c>
      <c r="Z2156">
        <f t="shared" si="101"/>
        <v>1</v>
      </c>
    </row>
    <row r="2157" spans="1:26" ht="15.75" customHeight="1" x14ac:dyDescent="0.2">
      <c r="A2157" s="2" t="s">
        <v>36</v>
      </c>
      <c r="B2157" s="2" t="s">
        <v>24</v>
      </c>
      <c r="C2157" s="2" t="s">
        <v>25</v>
      </c>
      <c r="D2157" s="2" t="s">
        <v>25</v>
      </c>
      <c r="E2157" s="2">
        <v>180</v>
      </c>
      <c r="F2157" s="2">
        <v>220</v>
      </c>
      <c r="G2157" s="2">
        <v>809</v>
      </c>
      <c r="H2157" s="2">
        <v>1531</v>
      </c>
      <c r="I2157" s="2">
        <v>2946</v>
      </c>
      <c r="J2157" s="2">
        <v>2.1800000000000002</v>
      </c>
      <c r="K2157" s="2">
        <v>7.3</v>
      </c>
      <c r="L2157" s="2">
        <v>11.23</v>
      </c>
      <c r="M2157" s="2">
        <v>15.57</v>
      </c>
      <c r="N2157" s="2">
        <v>0.13991039299999999</v>
      </c>
      <c r="O2157" s="2">
        <v>0.172336984</v>
      </c>
      <c r="P2157" s="2">
        <v>2.7971247809999999</v>
      </c>
      <c r="Q2157" s="2">
        <v>2.8341338509999998</v>
      </c>
      <c r="R2157" s="2">
        <v>2.7928963520000001</v>
      </c>
      <c r="S2157" s="2">
        <v>2.8328963520000001</v>
      </c>
      <c r="T2157" s="2">
        <v>0.15374331599999999</v>
      </c>
      <c r="U2157" s="2">
        <v>8.3743315999999998E-2</v>
      </c>
      <c r="V2157" s="2">
        <v>4.2505267570000003</v>
      </c>
      <c r="W2157" s="2">
        <v>4.2351291529999999</v>
      </c>
      <c r="X2157">
        <f t="shared" si="99"/>
        <v>1</v>
      </c>
      <c r="Y2157">
        <f t="shared" si="100"/>
        <v>0</v>
      </c>
      <c r="Z2157">
        <f t="shared" si="101"/>
        <v>0</v>
      </c>
    </row>
    <row r="2158" spans="1:26" ht="15.75" customHeight="1" x14ac:dyDescent="0.2">
      <c r="A2158" s="2" t="s">
        <v>36</v>
      </c>
      <c r="B2158" s="2" t="s">
        <v>24</v>
      </c>
      <c r="C2158" s="2" t="s">
        <v>30</v>
      </c>
      <c r="D2158" s="2" t="s">
        <v>31</v>
      </c>
      <c r="E2158" s="2">
        <v>215</v>
      </c>
      <c r="F2158" s="2">
        <v>94</v>
      </c>
      <c r="G2158" s="2">
        <v>522</v>
      </c>
      <c r="H2158" s="2">
        <v>1045</v>
      </c>
      <c r="I2158" s="2">
        <v>2206</v>
      </c>
      <c r="J2158" s="2">
        <v>0.7</v>
      </c>
      <c r="K2158" s="2">
        <v>5.1100000000000003</v>
      </c>
      <c r="L2158" s="2">
        <v>8.8000000000000007</v>
      </c>
      <c r="M2158" s="2">
        <v>13.67</v>
      </c>
      <c r="N2158" s="2">
        <v>4.8345772419999999</v>
      </c>
      <c r="O2158" s="2">
        <v>4.8174312349999999</v>
      </c>
      <c r="P2158" s="2">
        <v>2.6531742820000002</v>
      </c>
      <c r="Q2158" s="2">
        <v>2.594580165</v>
      </c>
      <c r="R2158" s="2">
        <v>0.59852538300000002</v>
      </c>
      <c r="S2158" s="2">
        <v>0.63852538299999995</v>
      </c>
      <c r="T2158" s="2">
        <v>2.5847826089999999</v>
      </c>
      <c r="U2158" s="2">
        <v>2.5147826090000001</v>
      </c>
      <c r="V2158" s="2">
        <v>2.0561557869999998</v>
      </c>
      <c r="W2158" s="2">
        <v>2.040758184</v>
      </c>
      <c r="X2158">
        <f t="shared" si="99"/>
        <v>1</v>
      </c>
      <c r="Y2158">
        <f t="shared" si="100"/>
        <v>0</v>
      </c>
      <c r="Z2158">
        <f t="shared" si="101"/>
        <v>1</v>
      </c>
    </row>
    <row r="2159" spans="1:26" ht="15.75" customHeight="1" x14ac:dyDescent="0.2">
      <c r="A2159" s="2" t="s">
        <v>36</v>
      </c>
      <c r="B2159" s="2" t="s">
        <v>24</v>
      </c>
      <c r="C2159" s="2" t="s">
        <v>25</v>
      </c>
      <c r="D2159" s="2" t="s">
        <v>25</v>
      </c>
      <c r="E2159" s="2">
        <v>195</v>
      </c>
      <c r="F2159" s="2">
        <v>206</v>
      </c>
      <c r="G2159" s="2">
        <v>826</v>
      </c>
      <c r="H2159" s="2">
        <v>1597</v>
      </c>
      <c r="I2159" s="2">
        <v>2859</v>
      </c>
      <c r="J2159" s="2">
        <v>2.02</v>
      </c>
      <c r="K2159" s="2">
        <v>7.42</v>
      </c>
      <c r="L2159" s="2">
        <v>11.51</v>
      </c>
      <c r="M2159" s="2">
        <v>15.37</v>
      </c>
      <c r="N2159" s="2">
        <v>0.27818217000000001</v>
      </c>
      <c r="O2159" s="2">
        <v>0.46928229500000002</v>
      </c>
      <c r="P2159" s="2">
        <v>2.5403596679999998</v>
      </c>
      <c r="Q2159" s="2">
        <v>2.4553356040000001</v>
      </c>
      <c r="R2159" s="2">
        <v>2.5264365199999999</v>
      </c>
      <c r="S2159" s="2">
        <v>2.4264365200000002</v>
      </c>
      <c r="T2159" s="2">
        <v>0.26560449899999999</v>
      </c>
      <c r="U2159" s="2">
        <v>0.37560449899999998</v>
      </c>
      <c r="V2159" s="2">
        <v>3.9932371419999999</v>
      </c>
      <c r="W2159" s="2">
        <v>4.028204186</v>
      </c>
      <c r="X2159">
        <f t="shared" si="99"/>
        <v>1</v>
      </c>
      <c r="Y2159">
        <f t="shared" si="100"/>
        <v>0</v>
      </c>
      <c r="Z2159">
        <f t="shared" si="101"/>
        <v>0</v>
      </c>
    </row>
    <row r="2160" spans="1:26" ht="15.75" customHeight="1" x14ac:dyDescent="0.2">
      <c r="A2160" s="2" t="s">
        <v>36</v>
      </c>
      <c r="B2160" s="2" t="s">
        <v>24</v>
      </c>
      <c r="C2160" s="2" t="s">
        <v>26</v>
      </c>
      <c r="D2160" s="2" t="s">
        <v>26</v>
      </c>
      <c r="E2160" s="2">
        <v>168</v>
      </c>
      <c r="F2160" s="2">
        <v>235</v>
      </c>
      <c r="G2160" s="2">
        <v>446</v>
      </c>
      <c r="H2160" s="2">
        <v>1023</v>
      </c>
      <c r="I2160" s="2">
        <v>2724</v>
      </c>
      <c r="J2160" s="2">
        <v>2.34</v>
      </c>
      <c r="K2160" s="2">
        <v>4.4400000000000004</v>
      </c>
      <c r="L2160" s="2">
        <v>8.67</v>
      </c>
      <c r="M2160" s="2">
        <v>15.06</v>
      </c>
      <c r="N2160" s="2">
        <v>5.3164760999999998E-2</v>
      </c>
      <c r="O2160" s="2">
        <v>0.114192217</v>
      </c>
      <c r="P2160" s="2">
        <v>2.6122849229999998</v>
      </c>
      <c r="Q2160" s="2">
        <v>2.523758199</v>
      </c>
      <c r="R2160" s="2">
        <v>0.44720736900000002</v>
      </c>
      <c r="S2160" s="2">
        <v>0.547207369</v>
      </c>
      <c r="T2160" s="2">
        <v>2.5737206700000002</v>
      </c>
      <c r="U2160" s="2">
        <v>2.4637206699999998</v>
      </c>
      <c r="V2160" s="2">
        <v>1.0195932519999999</v>
      </c>
      <c r="W2160" s="2">
        <v>1.0545602970000001</v>
      </c>
      <c r="X2160">
        <f t="shared" si="99"/>
        <v>1</v>
      </c>
      <c r="Y2160">
        <f t="shared" si="100"/>
        <v>0</v>
      </c>
      <c r="Z2160">
        <f t="shared" si="101"/>
        <v>0</v>
      </c>
    </row>
    <row r="2161" spans="1:26" ht="15.75" customHeight="1" x14ac:dyDescent="0.2">
      <c r="A2161" s="2" t="s">
        <v>36</v>
      </c>
      <c r="B2161" s="2" t="s">
        <v>24</v>
      </c>
      <c r="C2161" s="2" t="s">
        <v>27</v>
      </c>
      <c r="D2161" s="2" t="s">
        <v>27</v>
      </c>
      <c r="E2161" s="2">
        <v>233</v>
      </c>
      <c r="F2161" s="2">
        <v>254</v>
      </c>
      <c r="G2161" s="2">
        <v>392</v>
      </c>
      <c r="H2161" s="2">
        <v>1845</v>
      </c>
      <c r="I2161" s="2">
        <v>3036</v>
      </c>
      <c r="J2161" s="2">
        <v>2.5499999999999998</v>
      </c>
      <c r="K2161" s="2">
        <v>3.94</v>
      </c>
      <c r="L2161" s="2">
        <v>12.47</v>
      </c>
      <c r="M2161" s="2">
        <v>15.76</v>
      </c>
      <c r="N2161" s="2">
        <v>0.68144170699999995</v>
      </c>
      <c r="O2161" s="2">
        <v>0.74466550300000001</v>
      </c>
      <c r="P2161" s="2">
        <v>1.556017642</v>
      </c>
      <c r="Q2161" s="2">
        <v>1.704247216</v>
      </c>
      <c r="R2161" s="2">
        <v>0.95166666700000002</v>
      </c>
      <c r="S2161" s="2">
        <v>1.0516666670000001</v>
      </c>
      <c r="T2161" s="2">
        <v>1.2310651720000001</v>
      </c>
      <c r="U2161" s="2">
        <v>1.341065172</v>
      </c>
      <c r="V2161" s="2">
        <v>0.51513395500000003</v>
      </c>
      <c r="W2161" s="2">
        <v>0.55010099899999998</v>
      </c>
      <c r="X2161">
        <f t="shared" si="99"/>
        <v>1</v>
      </c>
      <c r="Y2161">
        <f t="shared" si="100"/>
        <v>0</v>
      </c>
      <c r="Z2161">
        <f t="shared" si="101"/>
        <v>0</v>
      </c>
    </row>
    <row r="2162" spans="1:26" ht="15.75" customHeight="1" x14ac:dyDescent="0.2">
      <c r="A2162" s="2" t="s">
        <v>36</v>
      </c>
      <c r="B2162" s="2" t="s">
        <v>24</v>
      </c>
      <c r="C2162" s="2" t="s">
        <v>28</v>
      </c>
      <c r="D2162" s="2" t="s">
        <v>29</v>
      </c>
      <c r="E2162" s="2">
        <v>161</v>
      </c>
      <c r="F2162" s="2">
        <v>224</v>
      </c>
      <c r="G2162" s="2">
        <v>414</v>
      </c>
      <c r="H2162" s="2">
        <v>1268</v>
      </c>
      <c r="I2162" s="2">
        <v>2418</v>
      </c>
      <c r="J2162" s="2">
        <v>2.2200000000000002</v>
      </c>
      <c r="K2162" s="2">
        <v>4.1500000000000004</v>
      </c>
      <c r="L2162" s="2">
        <v>10</v>
      </c>
      <c r="M2162" s="2">
        <v>14.28</v>
      </c>
      <c r="N2162" s="2">
        <v>1.363438068</v>
      </c>
      <c r="O2162" s="2">
        <v>1.3186539479999999</v>
      </c>
      <c r="P2162" s="2">
        <v>1.4452718689999999</v>
      </c>
      <c r="Q2162" s="2">
        <v>1.409725068</v>
      </c>
      <c r="R2162" s="2">
        <v>0.74462510500000001</v>
      </c>
      <c r="S2162" s="2">
        <v>0.84462510499999999</v>
      </c>
      <c r="T2162" s="2">
        <v>1.2386864930000001</v>
      </c>
      <c r="U2162" s="2">
        <v>1.128686493</v>
      </c>
      <c r="V2162" s="2">
        <v>0.72217551599999996</v>
      </c>
      <c r="W2162" s="2">
        <v>0.75714256099999999</v>
      </c>
      <c r="X2162">
        <f t="shared" si="99"/>
        <v>1</v>
      </c>
      <c r="Y2162">
        <f t="shared" si="100"/>
        <v>0</v>
      </c>
      <c r="Z2162">
        <f t="shared" si="101"/>
        <v>1</v>
      </c>
    </row>
    <row r="2163" spans="1:26" ht="15.75" customHeight="1" x14ac:dyDescent="0.2">
      <c r="A2163" s="2" t="s">
        <v>36</v>
      </c>
      <c r="B2163" s="2" t="s">
        <v>24</v>
      </c>
      <c r="C2163" s="2" t="s">
        <v>30</v>
      </c>
      <c r="D2163" s="2" t="s">
        <v>31</v>
      </c>
      <c r="E2163" s="2">
        <v>191</v>
      </c>
      <c r="F2163" s="2">
        <v>230</v>
      </c>
      <c r="G2163" s="2">
        <v>504</v>
      </c>
      <c r="H2163" s="2">
        <v>1407</v>
      </c>
      <c r="I2163" s="2">
        <v>2476</v>
      </c>
      <c r="J2163" s="2">
        <v>2.2799999999999998</v>
      </c>
      <c r="K2163" s="2">
        <v>4.95</v>
      </c>
      <c r="L2163" s="2">
        <v>10.67</v>
      </c>
      <c r="M2163" s="2">
        <v>14.43</v>
      </c>
      <c r="N2163" s="2">
        <v>2.3844791280000002</v>
      </c>
      <c r="O2163" s="2">
        <v>2.3291842919999999</v>
      </c>
      <c r="P2163" s="2">
        <v>0.56838831899999998</v>
      </c>
      <c r="Q2163" s="2">
        <v>0.45677773599999999</v>
      </c>
      <c r="R2163" s="2">
        <v>6.0978217000000001E-2</v>
      </c>
      <c r="S2163" s="2">
        <v>3.9021782999999997E-2</v>
      </c>
      <c r="T2163" s="2">
        <v>0.56510789900000002</v>
      </c>
      <c r="U2163" s="2">
        <v>0.45510789899999998</v>
      </c>
      <c r="V2163" s="2">
        <v>1.527778839</v>
      </c>
      <c r="W2163" s="2">
        <v>1.5627458830000001</v>
      </c>
      <c r="X2163">
        <f t="shared" si="99"/>
        <v>1</v>
      </c>
      <c r="Y2163">
        <f t="shared" si="100"/>
        <v>0</v>
      </c>
      <c r="Z2163">
        <f t="shared" si="101"/>
        <v>1</v>
      </c>
    </row>
    <row r="2164" spans="1:26" ht="15.75" customHeight="1" x14ac:dyDescent="0.2">
      <c r="A2164" s="2" t="s">
        <v>36</v>
      </c>
      <c r="B2164" s="2" t="s">
        <v>24</v>
      </c>
      <c r="C2164" s="2" t="s">
        <v>26</v>
      </c>
      <c r="D2164" s="2" t="s">
        <v>26</v>
      </c>
      <c r="E2164" s="2">
        <v>196</v>
      </c>
      <c r="F2164" s="2">
        <v>232</v>
      </c>
      <c r="G2164" s="2">
        <v>412</v>
      </c>
      <c r="H2164" s="2">
        <v>840</v>
      </c>
      <c r="I2164" s="2">
        <v>2820</v>
      </c>
      <c r="J2164" s="2">
        <v>2.31</v>
      </c>
      <c r="K2164" s="2">
        <v>4.13</v>
      </c>
      <c r="L2164" s="2">
        <v>7.52</v>
      </c>
      <c r="M2164" s="2">
        <v>15.29</v>
      </c>
      <c r="N2164" s="2">
        <v>1.1746532190000001</v>
      </c>
      <c r="O2164" s="2">
        <v>1.289454731</v>
      </c>
      <c r="P2164" s="2">
        <v>3.802169331</v>
      </c>
      <c r="Q2164" s="2">
        <v>3.7164231129999998</v>
      </c>
      <c r="R2164" s="2">
        <v>0.763288364</v>
      </c>
      <c r="S2164" s="2">
        <v>0.86328836399999997</v>
      </c>
      <c r="T2164" s="2">
        <v>3.724766099</v>
      </c>
      <c r="U2164" s="2">
        <v>3.6147660990000001</v>
      </c>
      <c r="V2164" s="2">
        <v>0.70351225799999995</v>
      </c>
      <c r="W2164" s="2">
        <v>0.738479302</v>
      </c>
      <c r="X2164">
        <f t="shared" si="99"/>
        <v>1</v>
      </c>
      <c r="Y2164">
        <f t="shared" si="100"/>
        <v>0</v>
      </c>
      <c r="Z2164">
        <f t="shared" si="101"/>
        <v>0</v>
      </c>
    </row>
    <row r="2165" spans="1:26" ht="15.75" customHeight="1" x14ac:dyDescent="0.2">
      <c r="A2165" s="2" t="s">
        <v>36</v>
      </c>
      <c r="B2165" s="2" t="s">
        <v>24</v>
      </c>
      <c r="C2165" s="2" t="s">
        <v>28</v>
      </c>
      <c r="D2165" s="2" t="s">
        <v>29</v>
      </c>
      <c r="E2165" s="2">
        <v>180</v>
      </c>
      <c r="F2165" s="2">
        <v>247</v>
      </c>
      <c r="G2165" s="2">
        <v>476</v>
      </c>
      <c r="H2165" s="2">
        <v>1320</v>
      </c>
      <c r="I2165" s="2">
        <v>2555</v>
      </c>
      <c r="J2165" s="2">
        <v>2.4700000000000002</v>
      </c>
      <c r="K2165" s="2">
        <v>4.71</v>
      </c>
      <c r="L2165" s="2">
        <v>10.26</v>
      </c>
      <c r="M2165" s="2">
        <v>14.64</v>
      </c>
      <c r="N2165" s="2">
        <v>1.6314201340000001</v>
      </c>
      <c r="O2165" s="2">
        <v>1.530214647</v>
      </c>
      <c r="P2165" s="2">
        <v>0.99669003899999997</v>
      </c>
      <c r="Q2165" s="2">
        <v>0.91401285300000001</v>
      </c>
      <c r="R2165" s="2">
        <v>0.17831303900000001</v>
      </c>
      <c r="S2165" s="2">
        <v>0.27831303899999998</v>
      </c>
      <c r="T2165" s="2">
        <v>0.980609756</v>
      </c>
      <c r="U2165" s="2">
        <v>0.87060975600000001</v>
      </c>
      <c r="V2165" s="2">
        <v>1.288487583</v>
      </c>
      <c r="W2165" s="2">
        <v>1.3234546270000001</v>
      </c>
      <c r="X2165">
        <f t="shared" si="99"/>
        <v>1</v>
      </c>
      <c r="Y2165">
        <f t="shared" si="100"/>
        <v>0</v>
      </c>
      <c r="Z2165">
        <f t="shared" si="101"/>
        <v>1</v>
      </c>
    </row>
    <row r="2166" spans="1:26" ht="15.75" customHeight="1" x14ac:dyDescent="0.2">
      <c r="A2166" s="2" t="s">
        <v>36</v>
      </c>
      <c r="B2166" s="2" t="s">
        <v>24</v>
      </c>
      <c r="C2166" s="2" t="s">
        <v>32</v>
      </c>
      <c r="D2166" s="2" t="s">
        <v>33</v>
      </c>
      <c r="E2166" s="2">
        <v>194</v>
      </c>
      <c r="F2166" s="2">
        <v>241</v>
      </c>
      <c r="G2166" s="2">
        <v>694</v>
      </c>
      <c r="H2166" s="2">
        <v>931</v>
      </c>
      <c r="I2166" s="2">
        <v>2461</v>
      </c>
      <c r="J2166" s="2">
        <v>2.41</v>
      </c>
      <c r="K2166" s="2">
        <v>6.48</v>
      </c>
      <c r="L2166" s="2">
        <v>8.11</v>
      </c>
      <c r="M2166" s="2">
        <v>14.39</v>
      </c>
      <c r="N2166" s="2">
        <v>3.7249854610000002</v>
      </c>
      <c r="O2166" s="2">
        <v>3.4127016939999999</v>
      </c>
      <c r="P2166" s="2">
        <v>3.5158200719999999</v>
      </c>
      <c r="Q2166" s="2">
        <v>3.3726776109999999</v>
      </c>
      <c r="R2166" s="2">
        <v>1.593089288</v>
      </c>
      <c r="S2166" s="2">
        <v>1.493089288</v>
      </c>
      <c r="T2166" s="2">
        <v>3.1341756969999999</v>
      </c>
      <c r="U2166" s="2">
        <v>3.024175697</v>
      </c>
      <c r="V2166" s="2">
        <v>3.0598899099999999</v>
      </c>
      <c r="W2166" s="2">
        <v>3.0948569539999999</v>
      </c>
      <c r="X2166">
        <f t="shared" si="99"/>
        <v>1</v>
      </c>
      <c r="Y2166">
        <f t="shared" si="100"/>
        <v>0</v>
      </c>
      <c r="Z2166">
        <f t="shared" si="101"/>
        <v>1</v>
      </c>
    </row>
    <row r="2167" spans="1:26" ht="15.75" customHeight="1" x14ac:dyDescent="0.2">
      <c r="A2167" s="2" t="s">
        <v>36</v>
      </c>
      <c r="B2167" s="2" t="s">
        <v>24</v>
      </c>
      <c r="C2167" s="2" t="s">
        <v>32</v>
      </c>
      <c r="D2167" s="2" t="s">
        <v>33</v>
      </c>
      <c r="E2167" s="2">
        <v>179</v>
      </c>
      <c r="F2167" s="2">
        <v>260</v>
      </c>
      <c r="G2167" s="2">
        <v>629</v>
      </c>
      <c r="H2167" s="2">
        <v>1032</v>
      </c>
      <c r="I2167" s="2">
        <v>2149</v>
      </c>
      <c r="J2167" s="2">
        <v>2.61</v>
      </c>
      <c r="K2167" s="2">
        <v>5.99</v>
      </c>
      <c r="L2167" s="2">
        <v>8.7200000000000006</v>
      </c>
      <c r="M2167" s="2">
        <v>13.49</v>
      </c>
      <c r="N2167" s="2">
        <v>3.3680895</v>
      </c>
      <c r="O2167" s="2">
        <v>3.1210706739999998</v>
      </c>
      <c r="P2167" s="2">
        <v>2.750547933</v>
      </c>
      <c r="Q2167" s="2">
        <v>2.6102479330000001</v>
      </c>
      <c r="R2167" s="2">
        <v>1.0961277030000001</v>
      </c>
      <c r="S2167" s="2">
        <v>0.99612770299999998</v>
      </c>
      <c r="T2167" s="2">
        <v>2.5227005349999998</v>
      </c>
      <c r="U2167" s="2">
        <v>2.4127005349999999</v>
      </c>
      <c r="V2167" s="2">
        <v>2.5629283250000001</v>
      </c>
      <c r="W2167" s="2">
        <v>2.5978953690000002</v>
      </c>
      <c r="X2167">
        <f t="shared" si="99"/>
        <v>1</v>
      </c>
      <c r="Y2167">
        <f t="shared" si="100"/>
        <v>0</v>
      </c>
      <c r="Z2167">
        <f t="shared" si="101"/>
        <v>1</v>
      </c>
    </row>
    <row r="2168" spans="1:26" ht="15.75" customHeight="1" x14ac:dyDescent="0.2">
      <c r="A2168" s="2" t="s">
        <v>36</v>
      </c>
      <c r="B2168" s="2" t="s">
        <v>24</v>
      </c>
      <c r="C2168" s="2" t="s">
        <v>25</v>
      </c>
      <c r="D2168" s="2" t="s">
        <v>25</v>
      </c>
      <c r="E2168" s="2">
        <v>239</v>
      </c>
      <c r="F2168" s="2">
        <v>211</v>
      </c>
      <c r="G2168" s="2">
        <v>948</v>
      </c>
      <c r="H2168" s="2">
        <v>1472</v>
      </c>
      <c r="I2168" s="2">
        <v>2154</v>
      </c>
      <c r="J2168" s="2">
        <v>2.08</v>
      </c>
      <c r="K2168" s="2">
        <v>8.2100000000000009</v>
      </c>
      <c r="L2168" s="2">
        <v>10.97</v>
      </c>
      <c r="M2168" s="2">
        <v>13.51</v>
      </c>
      <c r="N2168" s="2">
        <v>0.86896792199999995</v>
      </c>
      <c r="O2168" s="2">
        <v>0.49056263</v>
      </c>
      <c r="P2168" s="2">
        <v>3.333098396</v>
      </c>
      <c r="Q2168" s="2">
        <v>3.226080836</v>
      </c>
      <c r="R2168" s="2">
        <v>3.3220573070000001</v>
      </c>
      <c r="S2168" s="2">
        <v>3.222057307</v>
      </c>
      <c r="T2168" s="2">
        <v>0.27107226099999998</v>
      </c>
      <c r="U2168" s="2">
        <v>0.16107226099999999</v>
      </c>
      <c r="V2168" s="2">
        <v>4.7888579279999997</v>
      </c>
      <c r="W2168" s="2">
        <v>4.8238249729999998</v>
      </c>
      <c r="X2168">
        <f t="shared" si="99"/>
        <v>1</v>
      </c>
      <c r="Y2168">
        <f t="shared" si="100"/>
        <v>0</v>
      </c>
      <c r="Z2168">
        <f t="shared" si="101"/>
        <v>0</v>
      </c>
    </row>
    <row r="2169" spans="1:26" ht="15.75" customHeight="1" x14ac:dyDescent="0.2">
      <c r="A2169" s="2" t="s">
        <v>36</v>
      </c>
      <c r="B2169" s="2" t="s">
        <v>24</v>
      </c>
      <c r="C2169" s="2" t="s">
        <v>32</v>
      </c>
      <c r="D2169" s="2" t="s">
        <v>33</v>
      </c>
      <c r="E2169" s="2">
        <v>152</v>
      </c>
      <c r="F2169" s="2">
        <v>212</v>
      </c>
      <c r="G2169" s="2">
        <v>665</v>
      </c>
      <c r="H2169" s="2">
        <v>1115</v>
      </c>
      <c r="I2169" s="2">
        <v>2134</v>
      </c>
      <c r="J2169" s="2">
        <v>2.08</v>
      </c>
      <c r="K2169" s="2">
        <v>6.26</v>
      </c>
      <c r="L2169" s="2">
        <v>9.19</v>
      </c>
      <c r="M2169" s="2">
        <v>13.45</v>
      </c>
      <c r="N2169" s="2">
        <v>2.8180841270000001</v>
      </c>
      <c r="O2169" s="2">
        <v>2.5743223510000002</v>
      </c>
      <c r="P2169" s="2">
        <v>2.4640212940000001</v>
      </c>
      <c r="Q2169" s="2">
        <v>2.317074018</v>
      </c>
      <c r="R2169" s="2">
        <v>1.3718666669999999</v>
      </c>
      <c r="S2169" s="2">
        <v>1.2718666670000001</v>
      </c>
      <c r="T2169" s="2">
        <v>2.0467981790000001</v>
      </c>
      <c r="U2169" s="2">
        <v>1.936798179</v>
      </c>
      <c r="V2169" s="2">
        <v>2.8386672879999999</v>
      </c>
      <c r="W2169" s="2">
        <v>2.873634333</v>
      </c>
      <c r="X2169">
        <f t="shared" si="99"/>
        <v>1</v>
      </c>
      <c r="Y2169">
        <f t="shared" si="100"/>
        <v>0</v>
      </c>
      <c r="Z2169">
        <f t="shared" si="101"/>
        <v>1</v>
      </c>
    </row>
    <row r="2170" spans="1:26" ht="15.75" customHeight="1" x14ac:dyDescent="0.2">
      <c r="A2170" s="2" t="s">
        <v>36</v>
      </c>
      <c r="B2170" s="2" t="s">
        <v>24</v>
      </c>
      <c r="C2170" s="2" t="s">
        <v>32</v>
      </c>
      <c r="D2170" s="2" t="s">
        <v>33</v>
      </c>
      <c r="E2170" s="2">
        <v>162</v>
      </c>
      <c r="F2170" s="2">
        <v>222</v>
      </c>
      <c r="G2170" s="2">
        <v>734</v>
      </c>
      <c r="H2170" s="2">
        <v>1465</v>
      </c>
      <c r="I2170" s="2">
        <v>2680</v>
      </c>
      <c r="J2170" s="2">
        <v>2.2000000000000002</v>
      </c>
      <c r="K2170" s="2">
        <v>6.78</v>
      </c>
      <c r="L2170" s="2">
        <v>10.94</v>
      </c>
      <c r="M2170" s="2">
        <v>14.96</v>
      </c>
      <c r="N2170" s="2">
        <v>1.1273515919999999</v>
      </c>
      <c r="O2170" s="2">
        <v>1.0787693890000001</v>
      </c>
      <c r="P2170" s="2">
        <v>1.9108294299999999</v>
      </c>
      <c r="Q2170" s="2">
        <v>1.797158464</v>
      </c>
      <c r="R2170" s="2">
        <v>1.8869936899999999</v>
      </c>
      <c r="S2170" s="2">
        <v>1.7869936900000001</v>
      </c>
      <c r="T2170" s="2">
        <v>0.30087193499999998</v>
      </c>
      <c r="U2170" s="2">
        <v>0.19087193499999999</v>
      </c>
      <c r="V2170" s="2">
        <v>3.3537943120000002</v>
      </c>
      <c r="W2170" s="2">
        <v>3.3887613559999998</v>
      </c>
      <c r="X2170">
        <f t="shared" si="99"/>
        <v>1</v>
      </c>
      <c r="Y2170">
        <f t="shared" si="100"/>
        <v>0</v>
      </c>
      <c r="Z2170">
        <f t="shared" si="101"/>
        <v>1</v>
      </c>
    </row>
    <row r="2171" spans="1:26" ht="15.75" customHeight="1" x14ac:dyDescent="0.2">
      <c r="A2171" s="2" t="s">
        <v>36</v>
      </c>
      <c r="B2171" s="2" t="s">
        <v>24</v>
      </c>
      <c r="C2171" s="2" t="s">
        <v>25</v>
      </c>
      <c r="D2171" s="2" t="s">
        <v>25</v>
      </c>
      <c r="E2171" s="2">
        <v>103</v>
      </c>
      <c r="F2171" s="2">
        <v>199</v>
      </c>
      <c r="G2171" s="2">
        <v>838</v>
      </c>
      <c r="H2171" s="2">
        <v>1842</v>
      </c>
      <c r="I2171" s="2">
        <v>2951</v>
      </c>
      <c r="J2171" s="2">
        <v>1.94</v>
      </c>
      <c r="K2171" s="2">
        <v>7.5</v>
      </c>
      <c r="L2171" s="2">
        <v>12.46</v>
      </c>
      <c r="M2171" s="2">
        <v>15.58</v>
      </c>
      <c r="N2171" s="2">
        <v>0.83614274300000002</v>
      </c>
      <c r="O2171" s="2">
        <v>1.2499051990000001</v>
      </c>
      <c r="P2171" s="2">
        <v>2.8787284519999998</v>
      </c>
      <c r="Q2171" s="2">
        <v>2.8383349619999998</v>
      </c>
      <c r="R2171" s="2">
        <v>2.6073477899999999</v>
      </c>
      <c r="S2171" s="2">
        <v>2.5073477899999999</v>
      </c>
      <c r="T2171" s="2">
        <v>1.2201700710000001</v>
      </c>
      <c r="U2171" s="2">
        <v>1.330170071</v>
      </c>
      <c r="V2171" s="2">
        <v>4.0741484120000004</v>
      </c>
      <c r="W2171" s="2">
        <v>4.1091154559999996</v>
      </c>
      <c r="X2171">
        <f t="shared" si="99"/>
        <v>1</v>
      </c>
      <c r="Y2171">
        <f t="shared" si="100"/>
        <v>0</v>
      </c>
      <c r="Z2171">
        <f t="shared" si="101"/>
        <v>0</v>
      </c>
    </row>
    <row r="2172" spans="1:26" ht="15.75" customHeight="1" x14ac:dyDescent="0.2">
      <c r="A2172" s="2" t="s">
        <v>36</v>
      </c>
      <c r="B2172" s="2" t="s">
        <v>24</v>
      </c>
      <c r="C2172" s="2" t="s">
        <v>25</v>
      </c>
      <c r="D2172" s="2" t="s">
        <v>25</v>
      </c>
      <c r="E2172" s="2">
        <v>182</v>
      </c>
      <c r="F2172" s="2">
        <v>242</v>
      </c>
      <c r="G2172" s="2">
        <v>948</v>
      </c>
      <c r="H2172" s="2">
        <v>1498</v>
      </c>
      <c r="I2172" s="2">
        <v>2778</v>
      </c>
      <c r="J2172" s="2">
        <v>2.42</v>
      </c>
      <c r="K2172" s="2">
        <v>8.2100000000000009</v>
      </c>
      <c r="L2172" s="2">
        <v>11.08</v>
      </c>
      <c r="M2172" s="2">
        <v>15.19</v>
      </c>
      <c r="N2172" s="2">
        <v>0.78057190899999995</v>
      </c>
      <c r="O2172" s="2">
        <v>0.43113337600000001</v>
      </c>
      <c r="P2172" s="2">
        <v>3.3215777659999999</v>
      </c>
      <c r="Q2172" s="2">
        <v>3.2182427819999999</v>
      </c>
      <c r="R2172" s="2">
        <v>3.317914708</v>
      </c>
      <c r="S2172" s="2">
        <v>3.2179147079999999</v>
      </c>
      <c r="T2172" s="2">
        <v>0.15595141700000001</v>
      </c>
      <c r="U2172" s="2">
        <v>4.5951417000000001E-2</v>
      </c>
      <c r="V2172" s="2">
        <v>4.78471533</v>
      </c>
      <c r="W2172" s="2">
        <v>4.8196823740000001</v>
      </c>
      <c r="X2172">
        <f t="shared" si="99"/>
        <v>1</v>
      </c>
      <c r="Y2172">
        <f t="shared" si="100"/>
        <v>0</v>
      </c>
      <c r="Z2172">
        <f t="shared" si="101"/>
        <v>0</v>
      </c>
    </row>
    <row r="2173" spans="1:26" ht="15.75" customHeight="1" x14ac:dyDescent="0.2">
      <c r="A2173" s="2" t="s">
        <v>36</v>
      </c>
      <c r="B2173" s="2" t="s">
        <v>24</v>
      </c>
      <c r="C2173" s="2" t="s">
        <v>27</v>
      </c>
      <c r="D2173" s="2" t="s">
        <v>27</v>
      </c>
      <c r="E2173" s="2">
        <v>130</v>
      </c>
      <c r="F2173" s="2">
        <v>234</v>
      </c>
      <c r="G2173" s="2">
        <v>404</v>
      </c>
      <c r="H2173" s="2">
        <v>2102</v>
      </c>
      <c r="I2173" s="2">
        <v>3218</v>
      </c>
      <c r="J2173" s="2">
        <v>2.33</v>
      </c>
      <c r="K2173" s="2">
        <v>4.05</v>
      </c>
      <c r="L2173" s="2">
        <v>13.34</v>
      </c>
      <c r="M2173" s="2">
        <v>16.13</v>
      </c>
      <c r="N2173" s="2">
        <v>0.47958141900000001</v>
      </c>
      <c r="O2173" s="2">
        <v>0.58692510799999997</v>
      </c>
      <c r="P2173" s="2">
        <v>2.2623344759999999</v>
      </c>
      <c r="Q2173" s="2">
        <v>2.4020498460000002</v>
      </c>
      <c r="R2173" s="2">
        <v>0.83512336099999995</v>
      </c>
      <c r="S2173" s="2">
        <v>0.93512336100000004</v>
      </c>
      <c r="T2173" s="2">
        <v>2.1025523179999999</v>
      </c>
      <c r="U2173" s="2">
        <v>2.2125523180000002</v>
      </c>
      <c r="V2173" s="2">
        <v>0.63167726099999999</v>
      </c>
      <c r="W2173" s="2">
        <v>0.66664430500000005</v>
      </c>
      <c r="X2173">
        <f t="shared" si="99"/>
        <v>1</v>
      </c>
      <c r="Y2173">
        <f t="shared" si="100"/>
        <v>0</v>
      </c>
      <c r="Z2173">
        <f t="shared" si="101"/>
        <v>0</v>
      </c>
    </row>
    <row r="2174" spans="1:26" ht="15.75" customHeight="1" x14ac:dyDescent="0.2">
      <c r="A2174" s="2" t="s">
        <v>36</v>
      </c>
      <c r="B2174" s="2" t="s">
        <v>24</v>
      </c>
      <c r="C2174" s="2" t="s">
        <v>30</v>
      </c>
      <c r="D2174" s="2" t="s">
        <v>31</v>
      </c>
      <c r="E2174" s="2">
        <v>232</v>
      </c>
      <c r="F2174" s="2">
        <v>233</v>
      </c>
      <c r="G2174" s="2">
        <v>594</v>
      </c>
      <c r="H2174" s="2">
        <v>1236</v>
      </c>
      <c r="I2174" s="2">
        <v>2271</v>
      </c>
      <c r="J2174" s="2">
        <v>2.31</v>
      </c>
      <c r="K2174" s="2">
        <v>5.71</v>
      </c>
      <c r="L2174" s="2">
        <v>9.84</v>
      </c>
      <c r="M2174" s="2">
        <v>13.86</v>
      </c>
      <c r="N2174" s="2">
        <v>3.420598273</v>
      </c>
      <c r="O2174" s="2">
        <v>3.3479097580000001</v>
      </c>
      <c r="P2174" s="2">
        <v>1.6230652510000001</v>
      </c>
      <c r="Q2174" s="2">
        <v>1.4780460600000001</v>
      </c>
      <c r="R2174" s="2">
        <v>0.81537196599999995</v>
      </c>
      <c r="S2174" s="2">
        <v>0.71537196599999997</v>
      </c>
      <c r="T2174" s="2">
        <v>1.4033920929999999</v>
      </c>
      <c r="U2174" s="2">
        <v>1.293392093</v>
      </c>
      <c r="V2174" s="2">
        <v>2.2821725869999998</v>
      </c>
      <c r="W2174" s="2">
        <v>2.3171396319999999</v>
      </c>
      <c r="X2174">
        <f t="shared" si="99"/>
        <v>1</v>
      </c>
      <c r="Y2174">
        <f t="shared" si="100"/>
        <v>0</v>
      </c>
      <c r="Z2174">
        <f t="shared" si="101"/>
        <v>1</v>
      </c>
    </row>
    <row r="2175" spans="1:26" ht="15.75" customHeight="1" x14ac:dyDescent="0.2">
      <c r="A2175" s="2" t="s">
        <v>36</v>
      </c>
      <c r="B2175" s="2" t="s">
        <v>24</v>
      </c>
      <c r="C2175" s="2" t="s">
        <v>28</v>
      </c>
      <c r="D2175" s="2" t="s">
        <v>29</v>
      </c>
      <c r="E2175" s="2">
        <v>184</v>
      </c>
      <c r="F2175" s="2">
        <v>227</v>
      </c>
      <c r="G2175" s="2">
        <v>319</v>
      </c>
      <c r="H2175" s="2">
        <v>1169</v>
      </c>
      <c r="I2175" s="2">
        <v>2141</v>
      </c>
      <c r="J2175" s="2">
        <v>2.2599999999999998</v>
      </c>
      <c r="K2175" s="2">
        <v>3.23</v>
      </c>
      <c r="L2175" s="2">
        <v>9.48</v>
      </c>
      <c r="M2175" s="2">
        <v>13.47</v>
      </c>
      <c r="N2175" s="2">
        <v>1.426359258</v>
      </c>
      <c r="O2175" s="2">
        <v>1.5014946769999999</v>
      </c>
      <c r="P2175" s="2">
        <v>2.4187899709999998</v>
      </c>
      <c r="Q2175" s="2">
        <v>2.4123051530000001</v>
      </c>
      <c r="R2175" s="2">
        <v>1.6639338990000001</v>
      </c>
      <c r="S2175" s="2">
        <v>1.763933899</v>
      </c>
      <c r="T2175" s="2">
        <v>1.75552525</v>
      </c>
      <c r="U2175" s="2">
        <v>1.6455252499999999</v>
      </c>
      <c r="V2175" s="2">
        <v>-0.197133277</v>
      </c>
      <c r="W2175" s="2">
        <v>-0.16216623299999999</v>
      </c>
      <c r="X2175">
        <f t="shared" si="99"/>
        <v>1</v>
      </c>
      <c r="Y2175">
        <f t="shared" si="100"/>
        <v>0</v>
      </c>
      <c r="Z2175">
        <f t="shared" si="101"/>
        <v>1</v>
      </c>
    </row>
    <row r="2176" spans="1:26" ht="15.75" customHeight="1" x14ac:dyDescent="0.2">
      <c r="A2176" s="2" t="s">
        <v>36</v>
      </c>
      <c r="B2176" s="2" t="s">
        <v>24</v>
      </c>
      <c r="C2176" s="2" t="s">
        <v>28</v>
      </c>
      <c r="D2176" s="2" t="s">
        <v>29</v>
      </c>
      <c r="E2176" s="2">
        <v>180</v>
      </c>
      <c r="F2176" s="2">
        <v>207</v>
      </c>
      <c r="G2176" s="2">
        <v>314</v>
      </c>
      <c r="H2176" s="2">
        <v>1364</v>
      </c>
      <c r="I2176" s="2">
        <v>2153</v>
      </c>
      <c r="J2176" s="2">
        <v>2.0299999999999998</v>
      </c>
      <c r="K2176" s="2">
        <v>3.17</v>
      </c>
      <c r="L2176" s="2">
        <v>10.47</v>
      </c>
      <c r="M2176" s="2">
        <v>13.5</v>
      </c>
      <c r="N2176" s="2">
        <v>2.1834441519999999</v>
      </c>
      <c r="O2176" s="2">
        <v>2.2013265610000001</v>
      </c>
      <c r="P2176" s="2">
        <v>1.8858120890000001</v>
      </c>
      <c r="Q2176" s="2">
        <v>1.93732729</v>
      </c>
      <c r="R2176" s="2">
        <v>1.7213912920000001</v>
      </c>
      <c r="S2176" s="2">
        <v>1.8213912919999999</v>
      </c>
      <c r="T2176" s="2">
        <v>0.770129375</v>
      </c>
      <c r="U2176" s="2">
        <v>0.66012937500000002</v>
      </c>
      <c r="V2176" s="2">
        <v>-0.25459067000000002</v>
      </c>
      <c r="W2176" s="2">
        <v>-0.21962362599999999</v>
      </c>
      <c r="X2176">
        <f t="shared" si="99"/>
        <v>1</v>
      </c>
      <c r="Y2176">
        <f t="shared" si="100"/>
        <v>0</v>
      </c>
      <c r="Z2176">
        <f t="shared" si="101"/>
        <v>1</v>
      </c>
    </row>
    <row r="2177" spans="1:26" ht="15.75" customHeight="1" x14ac:dyDescent="0.2">
      <c r="A2177" s="2" t="s">
        <v>36</v>
      </c>
      <c r="B2177" s="2" t="s">
        <v>24</v>
      </c>
      <c r="C2177" s="2" t="s">
        <v>32</v>
      </c>
      <c r="D2177" s="2" t="s">
        <v>33</v>
      </c>
      <c r="E2177" s="2">
        <v>188</v>
      </c>
      <c r="F2177" s="2">
        <v>237</v>
      </c>
      <c r="G2177" s="2">
        <v>587</v>
      </c>
      <c r="H2177" s="2">
        <v>1061</v>
      </c>
      <c r="I2177" s="2">
        <v>2359</v>
      </c>
      <c r="J2177" s="2">
        <v>2.37</v>
      </c>
      <c r="K2177" s="2">
        <v>5.65</v>
      </c>
      <c r="L2177" s="2">
        <v>8.89</v>
      </c>
      <c r="M2177" s="2">
        <v>14.11</v>
      </c>
      <c r="N2177" s="2">
        <v>3.4071266960000002</v>
      </c>
      <c r="O2177" s="2">
        <v>3.1998355059999999</v>
      </c>
      <c r="P2177" s="2">
        <v>2.4723903479999998</v>
      </c>
      <c r="Q2177" s="2">
        <v>2.3377397900000001</v>
      </c>
      <c r="R2177" s="2">
        <v>0.76152577899999996</v>
      </c>
      <c r="S2177" s="2">
        <v>0.66152577899999998</v>
      </c>
      <c r="T2177" s="2">
        <v>2.3521888789999998</v>
      </c>
      <c r="U2177" s="2">
        <v>2.242188879</v>
      </c>
      <c r="V2177" s="2">
        <v>2.2283263999999998</v>
      </c>
      <c r="W2177" s="2">
        <v>2.263293445</v>
      </c>
      <c r="X2177">
        <f t="shared" si="99"/>
        <v>1</v>
      </c>
      <c r="Y2177">
        <f t="shared" si="100"/>
        <v>0</v>
      </c>
      <c r="Z2177">
        <f t="shared" si="101"/>
        <v>1</v>
      </c>
    </row>
    <row r="2178" spans="1:26" ht="15.75" customHeight="1" x14ac:dyDescent="0.2">
      <c r="A2178" s="2" t="s">
        <v>36</v>
      </c>
      <c r="B2178" s="2" t="s">
        <v>24</v>
      </c>
      <c r="C2178" s="2" t="s">
        <v>26</v>
      </c>
      <c r="D2178" s="2" t="s">
        <v>26</v>
      </c>
      <c r="E2178" s="2">
        <v>195</v>
      </c>
      <c r="F2178" s="2">
        <v>251</v>
      </c>
      <c r="G2178" s="2">
        <v>458</v>
      </c>
      <c r="H2178" s="2">
        <v>1069</v>
      </c>
      <c r="I2178" s="2">
        <v>2969</v>
      </c>
      <c r="J2178" s="2">
        <v>2.5099999999999998</v>
      </c>
      <c r="K2178" s="2">
        <v>4.55</v>
      </c>
      <c r="L2178" s="2">
        <v>8.93</v>
      </c>
      <c r="M2178" s="2">
        <v>15.62</v>
      </c>
      <c r="N2178" s="2">
        <v>0.31436925100000002</v>
      </c>
      <c r="O2178" s="2">
        <v>0.19109707500000001</v>
      </c>
      <c r="P2178" s="2">
        <v>2.3347964860000001</v>
      </c>
      <c r="Q2178" s="2">
        <v>2.243418707</v>
      </c>
      <c r="R2178" s="2">
        <v>0.33884906999999997</v>
      </c>
      <c r="S2178" s="2">
        <v>0.43884907000000001</v>
      </c>
      <c r="T2178" s="2">
        <v>2.3100770420000001</v>
      </c>
      <c r="U2178" s="2">
        <v>2.2000770420000002</v>
      </c>
      <c r="V2178" s="2">
        <v>1.1279515520000001</v>
      </c>
      <c r="W2178" s="2">
        <v>1.1629185959999999</v>
      </c>
      <c r="X2178">
        <f t="shared" si="99"/>
        <v>1</v>
      </c>
      <c r="Y2178">
        <f t="shared" si="100"/>
        <v>0</v>
      </c>
      <c r="Z2178">
        <f t="shared" si="101"/>
        <v>0</v>
      </c>
    </row>
    <row r="2179" spans="1:26" ht="15.75" customHeight="1" x14ac:dyDescent="0.2">
      <c r="A2179" s="2" t="s">
        <v>36</v>
      </c>
      <c r="B2179" s="2" t="s">
        <v>24</v>
      </c>
      <c r="C2179" s="2" t="s">
        <v>25</v>
      </c>
      <c r="D2179" s="2" t="s">
        <v>25</v>
      </c>
      <c r="E2179" s="2">
        <v>200</v>
      </c>
      <c r="F2179" s="2">
        <v>189</v>
      </c>
      <c r="G2179" s="2">
        <v>813</v>
      </c>
      <c r="H2179" s="2">
        <v>1826</v>
      </c>
      <c r="I2179" s="2">
        <v>2940</v>
      </c>
      <c r="J2179" s="2">
        <v>1.83</v>
      </c>
      <c r="K2179" s="2">
        <v>7.33</v>
      </c>
      <c r="L2179" s="2">
        <v>12.4</v>
      </c>
      <c r="M2179" s="2">
        <v>15.56</v>
      </c>
      <c r="N2179" s="2">
        <v>0.83007051099999996</v>
      </c>
      <c r="O2179" s="2">
        <v>1.2476848620000001</v>
      </c>
      <c r="P2179" s="2">
        <v>2.702708356</v>
      </c>
      <c r="Q2179" s="2">
        <v>2.66350672</v>
      </c>
      <c r="R2179" s="2">
        <v>2.4402704650000002</v>
      </c>
      <c r="S2179" s="2">
        <v>2.3402704650000001</v>
      </c>
      <c r="T2179" s="2">
        <v>1.161771283</v>
      </c>
      <c r="U2179" s="2">
        <v>1.2717712830000001</v>
      </c>
      <c r="V2179" s="2">
        <v>3.9070710869999998</v>
      </c>
      <c r="W2179" s="2">
        <v>3.9420381309999999</v>
      </c>
      <c r="X2179">
        <f t="shared" ref="X2179:X2242" si="102">IF(B2179="normal",1,0)</f>
        <v>1</v>
      </c>
      <c r="Y2179">
        <f t="shared" ref="Y2179:Y2242" si="103">IF(A2179="lecture",1,0)</f>
        <v>0</v>
      </c>
      <c r="Z2179">
        <f t="shared" ref="Z2179:Z2242" si="104">IF(ISNUMBER(FIND("~",D2179)),1,0)</f>
        <v>0</v>
      </c>
    </row>
    <row r="2180" spans="1:26" ht="15.75" customHeight="1" x14ac:dyDescent="0.2">
      <c r="A2180" s="2" t="s">
        <v>36</v>
      </c>
      <c r="B2180" s="2" t="s">
        <v>24</v>
      </c>
      <c r="C2180" s="2" t="s">
        <v>30</v>
      </c>
      <c r="D2180" s="2" t="s">
        <v>31</v>
      </c>
      <c r="E2180" s="2">
        <v>193</v>
      </c>
      <c r="F2180" s="2">
        <v>223</v>
      </c>
      <c r="G2180" s="2">
        <v>316</v>
      </c>
      <c r="H2180" s="2">
        <v>1123</v>
      </c>
      <c r="I2180" s="2">
        <v>2043</v>
      </c>
      <c r="J2180" s="2">
        <v>2.21</v>
      </c>
      <c r="K2180" s="2">
        <v>3.19</v>
      </c>
      <c r="L2180" s="2">
        <v>9.24</v>
      </c>
      <c r="M2180" s="2">
        <v>13.15</v>
      </c>
      <c r="N2180" s="2">
        <v>3.9387174580000002</v>
      </c>
      <c r="O2180" s="2">
        <v>3.9483408990000002</v>
      </c>
      <c r="P2180" s="2">
        <v>2.6288628940000001</v>
      </c>
      <c r="Q2180" s="2">
        <v>2.613864644</v>
      </c>
      <c r="R2180" s="2">
        <v>1.701079537</v>
      </c>
      <c r="S2180" s="2">
        <v>1.8010795369999999</v>
      </c>
      <c r="T2180" s="2">
        <v>2.0043074930000002</v>
      </c>
      <c r="U2180" s="2">
        <v>1.8943074929999999</v>
      </c>
      <c r="V2180" s="2">
        <v>-0.234278915</v>
      </c>
      <c r="W2180" s="2">
        <v>-0.199311871</v>
      </c>
      <c r="X2180">
        <f t="shared" si="102"/>
        <v>1</v>
      </c>
      <c r="Y2180">
        <f t="shared" si="103"/>
        <v>0</v>
      </c>
      <c r="Z2180">
        <f t="shared" si="104"/>
        <v>1</v>
      </c>
    </row>
    <row r="2181" spans="1:26" ht="15.75" customHeight="1" x14ac:dyDescent="0.2">
      <c r="A2181" s="2" t="s">
        <v>36</v>
      </c>
      <c r="B2181" s="2" t="s">
        <v>24</v>
      </c>
      <c r="C2181" s="2" t="s">
        <v>27</v>
      </c>
      <c r="D2181" s="2" t="s">
        <v>27</v>
      </c>
      <c r="E2181" s="2">
        <v>168</v>
      </c>
      <c r="F2181" s="2">
        <v>231</v>
      </c>
      <c r="G2181" s="2">
        <v>374</v>
      </c>
      <c r="H2181" s="2">
        <v>1128</v>
      </c>
      <c r="I2181" s="2">
        <v>2894</v>
      </c>
      <c r="J2181" s="2">
        <v>2.2999999999999998</v>
      </c>
      <c r="K2181" s="2">
        <v>3.77</v>
      </c>
      <c r="L2181" s="2">
        <v>9.26</v>
      </c>
      <c r="M2181" s="2">
        <v>15.46</v>
      </c>
      <c r="N2181" s="2">
        <v>3.7764248870000001</v>
      </c>
      <c r="O2181" s="2">
        <v>3.7682440129999999</v>
      </c>
      <c r="P2181" s="2">
        <v>2.272326573</v>
      </c>
      <c r="Q2181" s="2">
        <v>2.2304354719999999</v>
      </c>
      <c r="R2181" s="2">
        <v>1.120752535</v>
      </c>
      <c r="S2181" s="2">
        <v>1.2207525349999999</v>
      </c>
      <c r="T2181" s="2">
        <v>1.976709845</v>
      </c>
      <c r="U2181" s="2">
        <v>1.8667098449999999</v>
      </c>
      <c r="V2181" s="2">
        <v>0.346048087</v>
      </c>
      <c r="W2181" s="2">
        <v>0.38101513100000001</v>
      </c>
      <c r="X2181">
        <f t="shared" si="102"/>
        <v>1</v>
      </c>
      <c r="Y2181">
        <f t="shared" si="103"/>
        <v>0</v>
      </c>
      <c r="Z2181">
        <f t="shared" si="104"/>
        <v>0</v>
      </c>
    </row>
    <row r="2182" spans="1:26" ht="15.75" customHeight="1" x14ac:dyDescent="0.2">
      <c r="A2182" s="2" t="s">
        <v>36</v>
      </c>
      <c r="B2182" s="2" t="s">
        <v>24</v>
      </c>
      <c r="C2182" s="2" t="s">
        <v>30</v>
      </c>
      <c r="D2182" s="2" t="s">
        <v>31</v>
      </c>
      <c r="E2182" s="2">
        <v>189</v>
      </c>
      <c r="F2182" s="2">
        <v>230</v>
      </c>
      <c r="G2182" s="2">
        <v>504</v>
      </c>
      <c r="H2182" s="2">
        <v>1256</v>
      </c>
      <c r="I2182" s="2">
        <v>2416</v>
      </c>
      <c r="J2182" s="2">
        <v>2.29</v>
      </c>
      <c r="K2182" s="2">
        <v>4.95</v>
      </c>
      <c r="L2182" s="2">
        <v>9.94</v>
      </c>
      <c r="M2182" s="2">
        <v>14.27</v>
      </c>
      <c r="N2182" s="2">
        <v>3.1046195330000002</v>
      </c>
      <c r="O2182" s="2">
        <v>3.0550233840000001</v>
      </c>
      <c r="P2182" s="2">
        <v>1.3026879760000001</v>
      </c>
      <c r="Q2182" s="2">
        <v>1.1916696200000001</v>
      </c>
      <c r="R2182" s="2">
        <v>6.3863636000000001E-2</v>
      </c>
      <c r="S2182" s="2">
        <v>3.6136363999999997E-2</v>
      </c>
      <c r="T2182" s="2">
        <v>1.3011215920000001</v>
      </c>
      <c r="U2182" s="2">
        <v>1.191121592</v>
      </c>
      <c r="V2182" s="2">
        <v>1.5306642580000001</v>
      </c>
      <c r="W2182" s="2">
        <v>1.5656313019999999</v>
      </c>
      <c r="X2182">
        <f t="shared" si="102"/>
        <v>1</v>
      </c>
      <c r="Y2182">
        <f t="shared" si="103"/>
        <v>0</v>
      </c>
      <c r="Z2182">
        <f t="shared" si="104"/>
        <v>1</v>
      </c>
    </row>
    <row r="2183" spans="1:26" ht="15.75" customHeight="1" x14ac:dyDescent="0.2">
      <c r="A2183" s="2" t="s">
        <v>36</v>
      </c>
      <c r="B2183" s="2" t="s">
        <v>24</v>
      </c>
      <c r="C2183" s="2" t="s">
        <v>27</v>
      </c>
      <c r="D2183" s="2" t="s">
        <v>27</v>
      </c>
      <c r="E2183" s="2">
        <v>207</v>
      </c>
      <c r="F2183" s="2">
        <v>206</v>
      </c>
      <c r="G2183" s="2">
        <v>410</v>
      </c>
      <c r="H2183" s="2">
        <v>1841</v>
      </c>
      <c r="I2183" s="2">
        <v>2945</v>
      </c>
      <c r="J2183" s="2">
        <v>2.02</v>
      </c>
      <c r="K2183" s="2">
        <v>4.0999999999999996</v>
      </c>
      <c r="L2183" s="2">
        <v>12.45</v>
      </c>
      <c r="M2183" s="2">
        <v>15.57</v>
      </c>
      <c r="N2183" s="2">
        <v>0.60237812199999996</v>
      </c>
      <c r="O2183" s="2">
        <v>0.641895993</v>
      </c>
      <c r="P2183" s="2">
        <v>1.4458380770000001</v>
      </c>
      <c r="Q2183" s="2">
        <v>1.5926934100000001</v>
      </c>
      <c r="R2183" s="2">
        <v>0.785101983</v>
      </c>
      <c r="S2183" s="2">
        <v>0.88510198299999998</v>
      </c>
      <c r="T2183" s="2">
        <v>1.2141098050000001</v>
      </c>
      <c r="U2183" s="2">
        <v>1.324109805</v>
      </c>
      <c r="V2183" s="2">
        <v>0.68169863799999997</v>
      </c>
      <c r="W2183" s="2">
        <v>0.716665683</v>
      </c>
      <c r="X2183">
        <f t="shared" si="102"/>
        <v>1</v>
      </c>
      <c r="Y2183">
        <f t="shared" si="103"/>
        <v>0</v>
      </c>
      <c r="Z2183">
        <f t="shared" si="104"/>
        <v>0</v>
      </c>
    </row>
    <row r="2184" spans="1:26" ht="15.75" customHeight="1" x14ac:dyDescent="0.2">
      <c r="A2184" s="2" t="s">
        <v>36</v>
      </c>
      <c r="B2184" s="2" t="s">
        <v>24</v>
      </c>
      <c r="C2184" s="2" t="s">
        <v>26</v>
      </c>
      <c r="D2184" s="2" t="s">
        <v>26</v>
      </c>
      <c r="E2184" s="2">
        <v>140</v>
      </c>
      <c r="F2184" s="2">
        <v>208</v>
      </c>
      <c r="G2184" s="2">
        <v>433</v>
      </c>
      <c r="H2184" s="2">
        <v>1027</v>
      </c>
      <c r="I2184" s="2">
        <v>2780</v>
      </c>
      <c r="J2184" s="2">
        <v>2.04</v>
      </c>
      <c r="K2184" s="2">
        <v>4.32</v>
      </c>
      <c r="L2184" s="2">
        <v>8.69</v>
      </c>
      <c r="M2184" s="2">
        <v>15.19</v>
      </c>
      <c r="N2184" s="2">
        <v>7.4316378000000002E-2</v>
      </c>
      <c r="O2184" s="2">
        <v>0.21527934900000001</v>
      </c>
      <c r="P2184" s="2">
        <v>2.6147340830000001</v>
      </c>
      <c r="Q2184" s="2">
        <v>2.5320443400000001</v>
      </c>
      <c r="R2184" s="2">
        <v>0.56888006700000004</v>
      </c>
      <c r="S2184" s="2">
        <v>0.66888006700000002</v>
      </c>
      <c r="T2184" s="2">
        <v>2.5520990960000001</v>
      </c>
      <c r="U2184" s="2">
        <v>2.4420990960000002</v>
      </c>
      <c r="V2184" s="2">
        <v>0.89792055500000001</v>
      </c>
      <c r="W2184" s="2">
        <v>0.93288759899999996</v>
      </c>
      <c r="X2184">
        <f t="shared" si="102"/>
        <v>1</v>
      </c>
      <c r="Y2184">
        <f t="shared" si="103"/>
        <v>0</v>
      </c>
      <c r="Z2184">
        <f t="shared" si="104"/>
        <v>0</v>
      </c>
    </row>
    <row r="2185" spans="1:26" ht="15.75" customHeight="1" x14ac:dyDescent="0.2">
      <c r="A2185" s="2" t="s">
        <v>36</v>
      </c>
      <c r="B2185" s="2" t="s">
        <v>24</v>
      </c>
      <c r="C2185" s="2" t="s">
        <v>27</v>
      </c>
      <c r="D2185" s="2" t="s">
        <v>27</v>
      </c>
      <c r="E2185" s="2">
        <v>169</v>
      </c>
      <c r="F2185" s="2">
        <v>241</v>
      </c>
      <c r="G2185" s="2">
        <v>461</v>
      </c>
      <c r="H2185" s="2">
        <v>2527</v>
      </c>
      <c r="I2185" s="2">
        <v>3126</v>
      </c>
      <c r="J2185" s="2">
        <v>2.41</v>
      </c>
      <c r="K2185" s="2">
        <v>4.58</v>
      </c>
      <c r="L2185" s="2">
        <v>14.57</v>
      </c>
      <c r="M2185" s="2">
        <v>15.95</v>
      </c>
      <c r="N2185" s="2">
        <v>1.5917931750000001</v>
      </c>
      <c r="O2185" s="2">
        <v>1.611543607</v>
      </c>
      <c r="P2185" s="2">
        <v>3.3446519050000001</v>
      </c>
      <c r="Q2185" s="2">
        <v>3.4647271179999999</v>
      </c>
      <c r="R2185" s="2">
        <v>0.314915324</v>
      </c>
      <c r="S2185" s="2">
        <v>0.41491532399999997</v>
      </c>
      <c r="T2185" s="2">
        <v>3.3297934929999999</v>
      </c>
      <c r="U2185" s="2">
        <v>3.4397934929999998</v>
      </c>
      <c r="V2185" s="2">
        <v>1.1518852980000001</v>
      </c>
      <c r="W2185" s="2">
        <v>1.1868523419999999</v>
      </c>
      <c r="X2185">
        <f t="shared" si="102"/>
        <v>1</v>
      </c>
      <c r="Y2185">
        <f t="shared" si="103"/>
        <v>0</v>
      </c>
      <c r="Z2185">
        <f t="shared" si="104"/>
        <v>0</v>
      </c>
    </row>
    <row r="2186" spans="1:26" ht="15.75" customHeight="1" x14ac:dyDescent="0.2">
      <c r="A2186" s="2" t="s">
        <v>36</v>
      </c>
      <c r="B2186" s="2" t="s">
        <v>24</v>
      </c>
      <c r="C2186" s="2" t="s">
        <v>30</v>
      </c>
      <c r="D2186" s="2" t="s">
        <v>31</v>
      </c>
      <c r="E2186" s="2">
        <v>169</v>
      </c>
      <c r="F2186" s="2">
        <v>243</v>
      </c>
      <c r="G2186" s="2">
        <v>613</v>
      </c>
      <c r="H2186" s="2">
        <v>1262</v>
      </c>
      <c r="I2186" s="2">
        <v>2002</v>
      </c>
      <c r="J2186" s="2">
        <v>2.4300000000000002</v>
      </c>
      <c r="K2186" s="2">
        <v>5.86</v>
      </c>
      <c r="L2186" s="2">
        <v>9.9700000000000006</v>
      </c>
      <c r="M2186" s="2">
        <v>13.02</v>
      </c>
      <c r="N2186" s="2">
        <v>3.3637483449999999</v>
      </c>
      <c r="O2186" s="2">
        <v>3.2853727460000002</v>
      </c>
      <c r="P2186" s="2">
        <v>1.598576743</v>
      </c>
      <c r="Q2186" s="2">
        <v>1.450519423</v>
      </c>
      <c r="R2186" s="2">
        <v>0.96994818699999996</v>
      </c>
      <c r="S2186" s="2">
        <v>0.86994818699999998</v>
      </c>
      <c r="T2186" s="2">
        <v>1.27068805</v>
      </c>
      <c r="U2186" s="2">
        <v>1.1606880500000001</v>
      </c>
      <c r="V2186" s="2">
        <v>2.4367488079999999</v>
      </c>
      <c r="W2186" s="2">
        <v>2.4717158530000001</v>
      </c>
      <c r="X2186">
        <f t="shared" si="102"/>
        <v>1</v>
      </c>
      <c r="Y2186">
        <f t="shared" si="103"/>
        <v>0</v>
      </c>
      <c r="Z2186">
        <f t="shared" si="104"/>
        <v>1</v>
      </c>
    </row>
    <row r="2187" spans="1:26" ht="15.75" customHeight="1" x14ac:dyDescent="0.2">
      <c r="A2187" s="2" t="s">
        <v>36</v>
      </c>
      <c r="B2187" s="2" t="s">
        <v>24</v>
      </c>
      <c r="C2187" s="2" t="s">
        <v>27</v>
      </c>
      <c r="D2187" s="2" t="s">
        <v>27</v>
      </c>
      <c r="E2187" s="2">
        <v>167</v>
      </c>
      <c r="F2187" s="2">
        <v>255</v>
      </c>
      <c r="G2187" s="2">
        <v>487</v>
      </c>
      <c r="H2187" s="2">
        <v>2521</v>
      </c>
      <c r="I2187" s="2">
        <v>3136</v>
      </c>
      <c r="J2187" s="2">
        <v>2.56</v>
      </c>
      <c r="K2187" s="2">
        <v>4.8099999999999996</v>
      </c>
      <c r="L2187" s="2">
        <v>14.55</v>
      </c>
      <c r="M2187" s="2">
        <v>15.97</v>
      </c>
      <c r="N2187" s="2">
        <v>1.620100026</v>
      </c>
      <c r="O2187" s="2">
        <v>1.6220034379999999</v>
      </c>
      <c r="P2187" s="2">
        <v>3.3133694839999999</v>
      </c>
      <c r="Q2187" s="2">
        <v>3.4271727150000002</v>
      </c>
      <c r="R2187" s="2">
        <v>8.1370199000000004E-2</v>
      </c>
      <c r="S2187" s="2">
        <v>0.18137019900000001</v>
      </c>
      <c r="T2187" s="2">
        <v>3.3123701830000001</v>
      </c>
      <c r="U2187" s="2">
        <v>3.422370183</v>
      </c>
      <c r="V2187" s="2">
        <v>1.3854304230000001</v>
      </c>
      <c r="W2187" s="2">
        <v>1.4203974669999999</v>
      </c>
      <c r="X2187">
        <f t="shared" si="102"/>
        <v>1</v>
      </c>
      <c r="Y2187">
        <f t="shared" si="103"/>
        <v>0</v>
      </c>
      <c r="Z2187">
        <f t="shared" si="104"/>
        <v>0</v>
      </c>
    </row>
    <row r="2188" spans="1:26" ht="15.75" customHeight="1" x14ac:dyDescent="0.2">
      <c r="A2188" s="2" t="s">
        <v>36</v>
      </c>
      <c r="B2188" s="2" t="s">
        <v>24</v>
      </c>
      <c r="C2188" s="2" t="s">
        <v>26</v>
      </c>
      <c r="D2188" s="2" t="s">
        <v>26</v>
      </c>
      <c r="E2188" s="2">
        <v>185</v>
      </c>
      <c r="F2188" s="2">
        <v>215</v>
      </c>
      <c r="G2188" s="2">
        <v>402</v>
      </c>
      <c r="H2188" s="2">
        <v>1018</v>
      </c>
      <c r="I2188" s="2">
        <v>2916</v>
      </c>
      <c r="J2188" s="2">
        <v>2.12</v>
      </c>
      <c r="K2188" s="2">
        <v>4.03</v>
      </c>
      <c r="L2188" s="2">
        <v>8.6300000000000008</v>
      </c>
      <c r="M2188" s="2">
        <v>15.5</v>
      </c>
      <c r="N2188" s="2">
        <v>0.36124730100000002</v>
      </c>
      <c r="O2188" s="2">
        <v>0.51158514399999999</v>
      </c>
      <c r="P2188" s="2">
        <v>2.7454835129999999</v>
      </c>
      <c r="Q2188" s="2">
        <v>2.675486974</v>
      </c>
      <c r="R2188" s="2">
        <v>0.86021877199999996</v>
      </c>
      <c r="S2188" s="2">
        <v>0.96021877200000005</v>
      </c>
      <c r="T2188" s="2">
        <v>2.607240569</v>
      </c>
      <c r="U2188" s="2">
        <v>2.4972405690000001</v>
      </c>
      <c r="V2188" s="2">
        <v>0.60658184999999998</v>
      </c>
      <c r="W2188" s="2">
        <v>0.64154889400000004</v>
      </c>
      <c r="X2188">
        <f t="shared" si="102"/>
        <v>1</v>
      </c>
      <c r="Y2188">
        <f t="shared" si="103"/>
        <v>0</v>
      </c>
      <c r="Z2188">
        <f t="shared" si="104"/>
        <v>0</v>
      </c>
    </row>
    <row r="2189" spans="1:26" ht="15.75" customHeight="1" x14ac:dyDescent="0.2">
      <c r="A2189" s="2" t="s">
        <v>36</v>
      </c>
      <c r="B2189" s="2" t="s">
        <v>24</v>
      </c>
      <c r="C2189" s="2" t="s">
        <v>30</v>
      </c>
      <c r="D2189" s="2" t="s">
        <v>31</v>
      </c>
      <c r="E2189" s="2">
        <v>163</v>
      </c>
      <c r="F2189" s="2">
        <v>234</v>
      </c>
      <c r="G2189" s="2">
        <v>559</v>
      </c>
      <c r="H2189" s="2">
        <v>1238</v>
      </c>
      <c r="I2189" s="2">
        <v>2247</v>
      </c>
      <c r="J2189" s="2">
        <v>2.33</v>
      </c>
      <c r="K2189" s="2">
        <v>5.42</v>
      </c>
      <c r="L2189" s="2">
        <v>9.85</v>
      </c>
      <c r="M2189" s="2">
        <v>13.79</v>
      </c>
      <c r="N2189" s="2">
        <v>3.3089152309999998</v>
      </c>
      <c r="O2189" s="2">
        <v>3.244419266</v>
      </c>
      <c r="P2189" s="2">
        <v>1.4887407539999999</v>
      </c>
      <c r="Q2189" s="2">
        <v>1.351459306</v>
      </c>
      <c r="R2189" s="2">
        <v>0.52949980200000002</v>
      </c>
      <c r="S2189" s="2">
        <v>0.42949980199999999</v>
      </c>
      <c r="T2189" s="2">
        <v>1.391394622</v>
      </c>
      <c r="U2189" s="2">
        <v>1.2813946220000001</v>
      </c>
      <c r="V2189" s="2">
        <v>1.9963004230000001</v>
      </c>
      <c r="W2189" s="2">
        <v>2.0312674679999998</v>
      </c>
      <c r="X2189">
        <f t="shared" si="102"/>
        <v>1</v>
      </c>
      <c r="Y2189">
        <f t="shared" si="103"/>
        <v>0</v>
      </c>
      <c r="Z2189">
        <f t="shared" si="104"/>
        <v>1</v>
      </c>
    </row>
    <row r="2190" spans="1:26" ht="15.75" customHeight="1" x14ac:dyDescent="0.2">
      <c r="A2190" s="2" t="s">
        <v>36</v>
      </c>
      <c r="B2190" s="2" t="s">
        <v>24</v>
      </c>
      <c r="C2190" s="2" t="s">
        <v>32</v>
      </c>
      <c r="D2190" s="2" t="s">
        <v>33</v>
      </c>
      <c r="E2190" s="2">
        <v>185</v>
      </c>
      <c r="F2190" s="2">
        <v>230</v>
      </c>
      <c r="G2190" s="2">
        <v>749</v>
      </c>
      <c r="H2190" s="2">
        <v>1073</v>
      </c>
      <c r="I2190" s="2">
        <v>2204</v>
      </c>
      <c r="J2190" s="2">
        <v>2.29</v>
      </c>
      <c r="K2190" s="2">
        <v>6.88</v>
      </c>
      <c r="L2190" s="2">
        <v>8.9499999999999993</v>
      </c>
      <c r="M2190" s="2">
        <v>13.66</v>
      </c>
      <c r="N2190" s="2">
        <v>2.7973882030000001</v>
      </c>
      <c r="O2190" s="2">
        <v>2.477336309</v>
      </c>
      <c r="P2190" s="2">
        <v>3.0334208039999999</v>
      </c>
      <c r="Q2190" s="2">
        <v>2.884795064</v>
      </c>
      <c r="R2190" s="2">
        <v>1.9925839789999999</v>
      </c>
      <c r="S2190" s="2">
        <v>1.8925839790000001</v>
      </c>
      <c r="T2190" s="2">
        <v>2.2871927900000002</v>
      </c>
      <c r="U2190" s="2">
        <v>2.1771927899999999</v>
      </c>
      <c r="V2190" s="2">
        <v>3.459384601</v>
      </c>
      <c r="W2190" s="2">
        <v>3.4943516450000001</v>
      </c>
      <c r="X2190">
        <f t="shared" si="102"/>
        <v>1</v>
      </c>
      <c r="Y2190">
        <f t="shared" si="103"/>
        <v>0</v>
      </c>
      <c r="Z2190">
        <f t="shared" si="104"/>
        <v>1</v>
      </c>
    </row>
    <row r="2191" spans="1:26" ht="15.75" customHeight="1" x14ac:dyDescent="0.2">
      <c r="A2191" s="2" t="s">
        <v>36</v>
      </c>
      <c r="B2191" s="2" t="s">
        <v>24</v>
      </c>
      <c r="C2191" s="2" t="s">
        <v>28</v>
      </c>
      <c r="D2191" s="2" t="s">
        <v>29</v>
      </c>
      <c r="E2191" s="2">
        <v>194</v>
      </c>
      <c r="F2191" s="2">
        <v>247</v>
      </c>
      <c r="G2191" s="2">
        <v>444</v>
      </c>
      <c r="H2191" s="2">
        <v>1227</v>
      </c>
      <c r="I2191" s="2">
        <v>2393</v>
      </c>
      <c r="J2191" s="2">
        <v>2.4700000000000002</v>
      </c>
      <c r="K2191" s="2">
        <v>4.42</v>
      </c>
      <c r="L2191" s="2">
        <v>9.7899999999999991</v>
      </c>
      <c r="M2191" s="2">
        <v>14.21</v>
      </c>
      <c r="N2191" s="2">
        <v>1.1340566700000001</v>
      </c>
      <c r="O2191" s="2">
        <v>1.059178291</v>
      </c>
      <c r="P2191" s="2">
        <v>1.520337652</v>
      </c>
      <c r="Q2191" s="2">
        <v>1.452240585</v>
      </c>
      <c r="R2191" s="2">
        <v>0.46840266200000003</v>
      </c>
      <c r="S2191" s="2">
        <v>0.568402662</v>
      </c>
      <c r="T2191" s="2">
        <v>1.446383602</v>
      </c>
      <c r="U2191" s="2">
        <v>1.3363836019999999</v>
      </c>
      <c r="V2191" s="2">
        <v>0.99839796000000003</v>
      </c>
      <c r="W2191" s="2">
        <v>1.033365004</v>
      </c>
      <c r="X2191">
        <f t="shared" si="102"/>
        <v>1</v>
      </c>
      <c r="Y2191">
        <f t="shared" si="103"/>
        <v>0</v>
      </c>
      <c r="Z2191">
        <f t="shared" si="104"/>
        <v>1</v>
      </c>
    </row>
    <row r="2192" spans="1:26" ht="15.75" customHeight="1" x14ac:dyDescent="0.2">
      <c r="A2192" s="2" t="s">
        <v>36</v>
      </c>
      <c r="B2192" s="2" t="s">
        <v>24</v>
      </c>
      <c r="C2192" s="2" t="s">
        <v>28</v>
      </c>
      <c r="D2192" s="2" t="s">
        <v>29</v>
      </c>
      <c r="E2192" s="2">
        <v>179</v>
      </c>
      <c r="F2192" s="2">
        <v>218</v>
      </c>
      <c r="G2192" s="2">
        <v>358</v>
      </c>
      <c r="H2192" s="2">
        <v>1285</v>
      </c>
      <c r="I2192" s="2">
        <v>2344</v>
      </c>
      <c r="J2192" s="2">
        <v>2.15</v>
      </c>
      <c r="K2192" s="2">
        <v>3.61</v>
      </c>
      <c r="L2192" s="2">
        <v>10.08</v>
      </c>
      <c r="M2192" s="2">
        <v>14.07</v>
      </c>
      <c r="N2192" s="2">
        <v>1.6225833329999999</v>
      </c>
      <c r="O2192" s="2">
        <v>1.627297971</v>
      </c>
      <c r="P2192" s="2">
        <v>1.721232858</v>
      </c>
      <c r="Q2192" s="2">
        <v>1.7279610969999999</v>
      </c>
      <c r="R2192" s="2">
        <v>1.2761107119999999</v>
      </c>
      <c r="S2192" s="2">
        <v>1.376110712</v>
      </c>
      <c r="T2192" s="2">
        <v>1.1550688309999999</v>
      </c>
      <c r="U2192" s="2">
        <v>1.045068831</v>
      </c>
      <c r="V2192" s="2">
        <v>0.19068990999999999</v>
      </c>
      <c r="W2192" s="2">
        <v>0.22565695399999999</v>
      </c>
      <c r="X2192">
        <f t="shared" si="102"/>
        <v>1</v>
      </c>
      <c r="Y2192">
        <f t="shared" si="103"/>
        <v>0</v>
      </c>
      <c r="Z2192">
        <f t="shared" si="104"/>
        <v>1</v>
      </c>
    </row>
    <row r="2193" spans="1:26" ht="15.75" customHeight="1" x14ac:dyDescent="0.2">
      <c r="A2193" s="2" t="s">
        <v>36</v>
      </c>
      <c r="B2193" s="2" t="s">
        <v>24</v>
      </c>
      <c r="C2193" s="2" t="s">
        <v>26</v>
      </c>
      <c r="D2193" s="2" t="s">
        <v>26</v>
      </c>
      <c r="E2193" s="2">
        <v>220</v>
      </c>
      <c r="F2193" s="2">
        <v>216</v>
      </c>
      <c r="G2193" s="2">
        <v>441</v>
      </c>
      <c r="H2193" s="2">
        <v>1104</v>
      </c>
      <c r="I2193" s="2">
        <v>2750</v>
      </c>
      <c r="J2193" s="2">
        <v>2.13</v>
      </c>
      <c r="K2193" s="2">
        <v>4.3899999999999997</v>
      </c>
      <c r="L2193" s="2">
        <v>9.1300000000000008</v>
      </c>
      <c r="M2193" s="2">
        <v>15.12</v>
      </c>
      <c r="N2193" s="2">
        <v>0.47000165399999999</v>
      </c>
      <c r="O2193" s="2">
        <v>0.41394737500000001</v>
      </c>
      <c r="P2193" s="2">
        <v>2.1681454470000001</v>
      </c>
      <c r="Q2193" s="2">
        <v>2.087703356</v>
      </c>
      <c r="R2193" s="2">
        <v>0.49875312399999999</v>
      </c>
      <c r="S2193" s="2">
        <v>0.59875312400000003</v>
      </c>
      <c r="T2193" s="2">
        <v>2.11</v>
      </c>
      <c r="U2193" s="2">
        <v>2</v>
      </c>
      <c r="V2193" s="2">
        <v>0.96804749800000001</v>
      </c>
      <c r="W2193" s="2">
        <v>1.0030145420000001</v>
      </c>
      <c r="X2193">
        <f t="shared" si="102"/>
        <v>1</v>
      </c>
      <c r="Y2193">
        <f t="shared" si="103"/>
        <v>0</v>
      </c>
      <c r="Z2193">
        <f t="shared" si="104"/>
        <v>0</v>
      </c>
    </row>
    <row r="2194" spans="1:26" ht="15.75" customHeight="1" x14ac:dyDescent="0.2">
      <c r="A2194" s="2" t="s">
        <v>36</v>
      </c>
      <c r="B2194" s="2" t="s">
        <v>24</v>
      </c>
      <c r="C2194" s="2" t="s">
        <v>25</v>
      </c>
      <c r="D2194" s="2" t="s">
        <v>25</v>
      </c>
      <c r="E2194" s="2">
        <v>188</v>
      </c>
      <c r="F2194" s="2">
        <v>212</v>
      </c>
      <c r="G2194" s="2">
        <v>855</v>
      </c>
      <c r="H2194" s="2">
        <v>1701</v>
      </c>
      <c r="I2194" s="2">
        <v>2997</v>
      </c>
      <c r="J2194" s="2">
        <v>2.09</v>
      </c>
      <c r="K2194" s="2">
        <v>7.61</v>
      </c>
      <c r="L2194" s="2">
        <v>11.93</v>
      </c>
      <c r="M2194" s="2">
        <v>15.68</v>
      </c>
      <c r="N2194" s="2">
        <v>0.29213500999999997</v>
      </c>
      <c r="O2194" s="2">
        <v>0.70662214700000003</v>
      </c>
      <c r="P2194" s="2">
        <v>2.8064201510000002</v>
      </c>
      <c r="Q2194" s="2">
        <v>2.7395779220000001</v>
      </c>
      <c r="R2194" s="2">
        <v>2.720791094</v>
      </c>
      <c r="S2194" s="2">
        <v>2.6207910939999999</v>
      </c>
      <c r="T2194" s="2">
        <v>0.68796067000000005</v>
      </c>
      <c r="U2194" s="2">
        <v>0.79796067000000004</v>
      </c>
      <c r="V2194" s="2">
        <v>4.187591716</v>
      </c>
      <c r="W2194" s="2">
        <v>4.2225587600000001</v>
      </c>
      <c r="X2194">
        <f t="shared" si="102"/>
        <v>1</v>
      </c>
      <c r="Y2194">
        <f t="shared" si="103"/>
        <v>0</v>
      </c>
      <c r="Z2194">
        <f t="shared" si="104"/>
        <v>0</v>
      </c>
    </row>
    <row r="2195" spans="1:26" ht="15.75" customHeight="1" x14ac:dyDescent="0.2">
      <c r="A2195" s="2" t="s">
        <v>36</v>
      </c>
      <c r="B2195" s="2" t="s">
        <v>24</v>
      </c>
      <c r="C2195" s="2" t="s">
        <v>30</v>
      </c>
      <c r="D2195" s="2" t="s">
        <v>31</v>
      </c>
      <c r="E2195" s="2">
        <v>208</v>
      </c>
      <c r="F2195" s="2">
        <v>222</v>
      </c>
      <c r="G2195" s="2">
        <v>580</v>
      </c>
      <c r="H2195" s="2">
        <v>1435</v>
      </c>
      <c r="I2195" s="2">
        <v>2364</v>
      </c>
      <c r="J2195" s="2">
        <v>2.2000000000000002</v>
      </c>
      <c r="K2195" s="2">
        <v>5.59</v>
      </c>
      <c r="L2195" s="2">
        <v>10.8</v>
      </c>
      <c r="M2195" s="2">
        <v>14.13</v>
      </c>
      <c r="N2195" s="2">
        <v>2.4985434990000002</v>
      </c>
      <c r="O2195" s="2">
        <v>2.4159084700000002</v>
      </c>
      <c r="P2195" s="2">
        <v>0.82426708100000001</v>
      </c>
      <c r="Q2195" s="2">
        <v>0.68238807800000001</v>
      </c>
      <c r="R2195" s="2">
        <v>0.69925318299999994</v>
      </c>
      <c r="S2195" s="2">
        <v>0.59925318299999997</v>
      </c>
      <c r="T2195" s="2">
        <v>0.43641861399999998</v>
      </c>
      <c r="U2195" s="2">
        <v>0.326418614</v>
      </c>
      <c r="V2195" s="2">
        <v>2.1660538050000002</v>
      </c>
      <c r="W2195" s="2">
        <v>2.2010208489999998</v>
      </c>
      <c r="X2195">
        <f t="shared" si="102"/>
        <v>1</v>
      </c>
      <c r="Y2195">
        <f t="shared" si="103"/>
        <v>0</v>
      </c>
      <c r="Z2195">
        <f t="shared" si="104"/>
        <v>1</v>
      </c>
    </row>
    <row r="2196" spans="1:26" ht="15.75" customHeight="1" x14ac:dyDescent="0.2">
      <c r="A2196" s="2" t="s">
        <v>36</v>
      </c>
      <c r="B2196" s="2" t="s">
        <v>24</v>
      </c>
      <c r="C2196" s="2" t="s">
        <v>28</v>
      </c>
      <c r="D2196" s="2" t="s">
        <v>29</v>
      </c>
      <c r="E2196" s="2">
        <v>153</v>
      </c>
      <c r="F2196" s="2">
        <v>238</v>
      </c>
      <c r="G2196" s="2">
        <v>437</v>
      </c>
      <c r="H2196" s="2">
        <v>1052</v>
      </c>
      <c r="I2196" s="2">
        <v>2418</v>
      </c>
      <c r="J2196" s="2">
        <v>2.37</v>
      </c>
      <c r="K2196" s="2">
        <v>4.3600000000000003</v>
      </c>
      <c r="L2196" s="2">
        <v>8.83</v>
      </c>
      <c r="M2196" s="2">
        <v>14.28</v>
      </c>
      <c r="N2196" s="2">
        <v>0.17498171100000001</v>
      </c>
      <c r="O2196" s="2">
        <v>0.19526095399999999</v>
      </c>
      <c r="P2196" s="2">
        <v>2.4661312340000001</v>
      </c>
      <c r="Q2196" s="2">
        <v>2.3833983230000002</v>
      </c>
      <c r="R2196" s="2">
        <v>0.53223612799999998</v>
      </c>
      <c r="S2196" s="2">
        <v>0.63223612799999995</v>
      </c>
      <c r="T2196" s="2">
        <v>2.4080132820000002</v>
      </c>
      <c r="U2196" s="2">
        <v>2.2980132819999999</v>
      </c>
      <c r="V2196" s="2">
        <v>0.934564493</v>
      </c>
      <c r="W2196" s="2">
        <v>0.96953153800000003</v>
      </c>
      <c r="X2196">
        <f t="shared" si="102"/>
        <v>1</v>
      </c>
      <c r="Y2196">
        <f t="shared" si="103"/>
        <v>0</v>
      </c>
      <c r="Z2196">
        <f t="shared" si="104"/>
        <v>1</v>
      </c>
    </row>
    <row r="2197" spans="1:26" ht="15.75" customHeight="1" x14ac:dyDescent="0.2">
      <c r="A2197" s="2" t="s">
        <v>36</v>
      </c>
      <c r="B2197" s="2" t="s">
        <v>24</v>
      </c>
      <c r="C2197" s="2" t="s">
        <v>28</v>
      </c>
      <c r="D2197" s="2" t="s">
        <v>29</v>
      </c>
      <c r="E2197" s="2">
        <v>194</v>
      </c>
      <c r="F2197" s="2">
        <v>216</v>
      </c>
      <c r="G2197" s="2">
        <v>385</v>
      </c>
      <c r="H2197" s="2">
        <v>1201</v>
      </c>
      <c r="I2197" s="2">
        <v>2228</v>
      </c>
      <c r="J2197" s="2">
        <v>2.13</v>
      </c>
      <c r="K2197" s="2">
        <v>3.87</v>
      </c>
      <c r="L2197" s="2">
        <v>9.65</v>
      </c>
      <c r="M2197" s="2">
        <v>13.73</v>
      </c>
      <c r="N2197" s="2">
        <v>1.1200330089999999</v>
      </c>
      <c r="O2197" s="2">
        <v>1.1249885639999999</v>
      </c>
      <c r="P2197" s="2">
        <v>1.8826373510000001</v>
      </c>
      <c r="Q2197" s="2">
        <v>1.84950061</v>
      </c>
      <c r="R2197" s="2">
        <v>1.0151733940000001</v>
      </c>
      <c r="S2197" s="2">
        <v>1.1151733939999999</v>
      </c>
      <c r="T2197" s="2">
        <v>1.5854798569999999</v>
      </c>
      <c r="U2197" s="2">
        <v>1.4754798570000001</v>
      </c>
      <c r="V2197" s="2">
        <v>0.45162722799999999</v>
      </c>
      <c r="W2197" s="2">
        <v>0.48659427199999999</v>
      </c>
      <c r="X2197">
        <f t="shared" si="102"/>
        <v>1</v>
      </c>
      <c r="Y2197">
        <f t="shared" si="103"/>
        <v>0</v>
      </c>
      <c r="Z2197">
        <f t="shared" si="104"/>
        <v>1</v>
      </c>
    </row>
    <row r="2198" spans="1:26" ht="15.75" customHeight="1" x14ac:dyDescent="0.2">
      <c r="A2198" s="2" t="s">
        <v>36</v>
      </c>
      <c r="B2198" s="2" t="s">
        <v>24</v>
      </c>
      <c r="C2198" s="2" t="s">
        <v>32</v>
      </c>
      <c r="D2198" s="2" t="s">
        <v>33</v>
      </c>
      <c r="E2198" s="2">
        <v>210</v>
      </c>
      <c r="F2198" s="2">
        <v>211</v>
      </c>
      <c r="G2198" s="2">
        <v>509</v>
      </c>
      <c r="H2198" s="2">
        <v>1038</v>
      </c>
      <c r="I2198" s="2">
        <v>2353</v>
      </c>
      <c r="J2198" s="2">
        <v>2.0699999999999998</v>
      </c>
      <c r="K2198" s="2">
        <v>5</v>
      </c>
      <c r="L2198" s="2">
        <v>8.75</v>
      </c>
      <c r="M2198" s="2">
        <v>14.1</v>
      </c>
      <c r="N2198" s="2">
        <v>3.9274949509999999</v>
      </c>
      <c r="O2198" s="2">
        <v>3.7608547840000002</v>
      </c>
      <c r="P2198" s="2">
        <v>2.4919264079999999</v>
      </c>
      <c r="Q2198" s="2">
        <v>2.379521419</v>
      </c>
      <c r="R2198" s="2">
        <v>0.109924406</v>
      </c>
      <c r="S2198" s="2">
        <v>9.9244060000000002E-3</v>
      </c>
      <c r="T2198" s="2">
        <v>2.4895007229999999</v>
      </c>
      <c r="U2198" s="2">
        <v>2.379500723</v>
      </c>
      <c r="V2198" s="2">
        <v>1.576725028</v>
      </c>
      <c r="W2198" s="2">
        <v>1.6116920720000001</v>
      </c>
      <c r="X2198">
        <f t="shared" si="102"/>
        <v>1</v>
      </c>
      <c r="Y2198">
        <f t="shared" si="103"/>
        <v>0</v>
      </c>
      <c r="Z2198">
        <f t="shared" si="104"/>
        <v>1</v>
      </c>
    </row>
    <row r="2199" spans="1:26" ht="15.75" customHeight="1" x14ac:dyDescent="0.2">
      <c r="A2199" s="2" t="s">
        <v>36</v>
      </c>
      <c r="B2199" s="2" t="s">
        <v>24</v>
      </c>
      <c r="C2199" s="2" t="s">
        <v>25</v>
      </c>
      <c r="D2199" s="2" t="s">
        <v>25</v>
      </c>
      <c r="E2199" s="2">
        <v>174</v>
      </c>
      <c r="F2199" s="2">
        <v>227</v>
      </c>
      <c r="G2199" s="2">
        <v>822</v>
      </c>
      <c r="H2199" s="2">
        <v>1373</v>
      </c>
      <c r="I2199" s="2">
        <v>2470</v>
      </c>
      <c r="J2199" s="2">
        <v>2.25</v>
      </c>
      <c r="K2199" s="2">
        <v>7.39</v>
      </c>
      <c r="L2199" s="2">
        <v>10.51</v>
      </c>
      <c r="M2199" s="2">
        <v>14.42</v>
      </c>
      <c r="N2199" s="2">
        <v>1.1574132150000001</v>
      </c>
      <c r="O2199" s="2">
        <v>0.84650155999999999</v>
      </c>
      <c r="P2199" s="2">
        <v>2.604753788</v>
      </c>
      <c r="Q2199" s="2">
        <v>2.479281946</v>
      </c>
      <c r="R2199" s="2">
        <v>2.5015744070000001</v>
      </c>
      <c r="S2199" s="2">
        <v>2.401574407</v>
      </c>
      <c r="T2199" s="2">
        <v>0.72585658600000003</v>
      </c>
      <c r="U2199" s="2">
        <v>0.61585658600000004</v>
      </c>
      <c r="V2199" s="2">
        <v>3.9683750290000002</v>
      </c>
      <c r="W2199" s="2">
        <v>4.0033420729999998</v>
      </c>
      <c r="X2199">
        <f t="shared" si="102"/>
        <v>1</v>
      </c>
      <c r="Y2199">
        <f t="shared" si="103"/>
        <v>0</v>
      </c>
      <c r="Z2199">
        <f t="shared" si="104"/>
        <v>0</v>
      </c>
    </row>
    <row r="2200" spans="1:26" ht="15.75" customHeight="1" x14ac:dyDescent="0.2">
      <c r="A2200" s="2" t="s">
        <v>36</v>
      </c>
      <c r="B2200" s="2" t="s">
        <v>24</v>
      </c>
      <c r="C2200" s="2" t="s">
        <v>27</v>
      </c>
      <c r="D2200" s="2" t="s">
        <v>27</v>
      </c>
      <c r="E2200" s="2">
        <v>174</v>
      </c>
      <c r="F2200" s="2">
        <v>243</v>
      </c>
      <c r="G2200" s="2">
        <v>435</v>
      </c>
      <c r="H2200" s="2">
        <v>2438</v>
      </c>
      <c r="I2200" s="2">
        <v>2960</v>
      </c>
      <c r="J2200" s="2">
        <v>2.42</v>
      </c>
      <c r="K2200" s="2">
        <v>4.34</v>
      </c>
      <c r="L2200" s="2">
        <v>14.33</v>
      </c>
      <c r="M2200" s="2">
        <v>15.6</v>
      </c>
      <c r="N2200" s="2">
        <v>1.343450088</v>
      </c>
      <c r="O2200" s="2">
        <v>1.3821934389999999</v>
      </c>
      <c r="P2200" s="2">
        <v>3.141455949</v>
      </c>
      <c r="Q2200" s="2">
        <v>3.2682378189999999</v>
      </c>
      <c r="R2200" s="2">
        <v>0.55054279699999997</v>
      </c>
      <c r="S2200" s="2">
        <v>0.65054279699999995</v>
      </c>
      <c r="T2200" s="2">
        <v>3.0928381960000002</v>
      </c>
      <c r="U2200" s="2">
        <v>3.2028381960000001</v>
      </c>
      <c r="V2200" s="2">
        <v>0.916257824</v>
      </c>
      <c r="W2200" s="2">
        <v>0.95122486900000003</v>
      </c>
      <c r="X2200">
        <f t="shared" si="102"/>
        <v>1</v>
      </c>
      <c r="Y2200">
        <f t="shared" si="103"/>
        <v>0</v>
      </c>
      <c r="Z2200">
        <f t="shared" si="104"/>
        <v>0</v>
      </c>
    </row>
    <row r="2201" spans="1:26" ht="15.75" customHeight="1" x14ac:dyDescent="0.2">
      <c r="A2201" s="2" t="s">
        <v>36</v>
      </c>
      <c r="B2201" s="2" t="s">
        <v>24</v>
      </c>
      <c r="C2201" s="2" t="s">
        <v>32</v>
      </c>
      <c r="D2201" s="2" t="s">
        <v>33</v>
      </c>
      <c r="E2201" s="2">
        <v>145</v>
      </c>
      <c r="F2201" s="2">
        <v>261</v>
      </c>
      <c r="G2201" s="2">
        <v>648</v>
      </c>
      <c r="H2201" s="2">
        <v>1034</v>
      </c>
      <c r="I2201" s="2">
        <v>2275</v>
      </c>
      <c r="J2201" s="2">
        <v>2.62</v>
      </c>
      <c r="K2201" s="2">
        <v>6.13</v>
      </c>
      <c r="L2201" s="2">
        <v>8.73</v>
      </c>
      <c r="M2201" s="2">
        <v>13.87</v>
      </c>
      <c r="N2201" s="2">
        <v>3.2849930980000002</v>
      </c>
      <c r="O2201" s="2">
        <v>3.0256505950000001</v>
      </c>
      <c r="P2201" s="2">
        <v>2.800460679</v>
      </c>
      <c r="Q2201" s="2">
        <v>2.6578009150000002</v>
      </c>
      <c r="R2201" s="2">
        <v>1.243955272</v>
      </c>
      <c r="S2201" s="2">
        <v>1.1439552719999999</v>
      </c>
      <c r="T2201" s="2">
        <v>2.5090148060000002</v>
      </c>
      <c r="U2201" s="2">
        <v>2.3990148059999998</v>
      </c>
      <c r="V2201" s="2">
        <v>2.710755893</v>
      </c>
      <c r="W2201" s="2">
        <v>2.7457229380000001</v>
      </c>
      <c r="X2201">
        <f t="shared" si="102"/>
        <v>1</v>
      </c>
      <c r="Y2201">
        <f t="shared" si="103"/>
        <v>0</v>
      </c>
      <c r="Z2201">
        <f t="shared" si="104"/>
        <v>1</v>
      </c>
    </row>
    <row r="2202" spans="1:26" ht="15.75" customHeight="1" x14ac:dyDescent="0.2">
      <c r="A2202" s="2" t="s">
        <v>36</v>
      </c>
      <c r="B2202" s="2" t="s">
        <v>24</v>
      </c>
      <c r="C2202" s="2" t="s">
        <v>28</v>
      </c>
      <c r="D2202" s="2" t="s">
        <v>29</v>
      </c>
      <c r="E2202" s="2">
        <v>188</v>
      </c>
      <c r="F2202" s="2">
        <v>246</v>
      </c>
      <c r="G2202" s="2">
        <v>448</v>
      </c>
      <c r="H2202" s="2">
        <v>1190</v>
      </c>
      <c r="I2202" s="2">
        <v>2425</v>
      </c>
      <c r="J2202" s="2">
        <v>2.46</v>
      </c>
      <c r="K2202" s="2">
        <v>4.46</v>
      </c>
      <c r="L2202" s="2">
        <v>9.6</v>
      </c>
      <c r="M2202" s="2">
        <v>14.3</v>
      </c>
      <c r="N2202" s="2">
        <v>0.94089937000000001</v>
      </c>
      <c r="O2202" s="2">
        <v>0.860997338</v>
      </c>
      <c r="P2202" s="2">
        <v>1.69692004</v>
      </c>
      <c r="Q2202" s="2">
        <v>1.6205742949999999</v>
      </c>
      <c r="R2202" s="2">
        <v>0.42907266399999999</v>
      </c>
      <c r="S2202" s="2">
        <v>0.52907266399999997</v>
      </c>
      <c r="T2202" s="2">
        <v>1.641777778</v>
      </c>
      <c r="U2202" s="2">
        <v>1.5317777779999999</v>
      </c>
      <c r="V2202" s="2">
        <v>1.037727957</v>
      </c>
      <c r="W2202" s="2">
        <v>1.0726950019999999</v>
      </c>
      <c r="X2202">
        <f t="shared" si="102"/>
        <v>1</v>
      </c>
      <c r="Y2202">
        <f t="shared" si="103"/>
        <v>0</v>
      </c>
      <c r="Z2202">
        <f t="shared" si="104"/>
        <v>1</v>
      </c>
    </row>
    <row r="2203" spans="1:26" ht="15.75" customHeight="1" x14ac:dyDescent="0.2">
      <c r="A2203" s="2" t="s">
        <v>36</v>
      </c>
      <c r="B2203" s="2" t="s">
        <v>24</v>
      </c>
      <c r="C2203" s="2" t="s">
        <v>27</v>
      </c>
      <c r="D2203" s="2" t="s">
        <v>27</v>
      </c>
      <c r="E2203" s="2">
        <v>172</v>
      </c>
      <c r="F2203" s="2">
        <v>254</v>
      </c>
      <c r="G2203" s="2">
        <v>501</v>
      </c>
      <c r="H2203" s="2">
        <v>2463</v>
      </c>
      <c r="I2203" s="2">
        <v>3037</v>
      </c>
      <c r="J2203" s="2">
        <v>2.5499999999999998</v>
      </c>
      <c r="K2203" s="2">
        <v>4.92</v>
      </c>
      <c r="L2203" s="2">
        <v>14.4</v>
      </c>
      <c r="M2203" s="2">
        <v>15.76</v>
      </c>
      <c r="N2203" s="2">
        <v>1.511991112</v>
      </c>
      <c r="O2203" s="2">
        <v>1.5017473160000001</v>
      </c>
      <c r="P2203" s="2">
        <v>3.1605552339999998</v>
      </c>
      <c r="Q2203" s="2">
        <v>3.2710081190000002</v>
      </c>
      <c r="R2203" s="2">
        <v>3.4974261999999999E-2</v>
      </c>
      <c r="S2203" s="2">
        <v>6.5025738E-2</v>
      </c>
      <c r="T2203" s="2">
        <v>3.1603617179999999</v>
      </c>
      <c r="U2203" s="2">
        <v>3.2703617180000002</v>
      </c>
      <c r="V2203" s="2">
        <v>1.5017748829999999</v>
      </c>
      <c r="W2203" s="2">
        <v>1.5367419280000001</v>
      </c>
      <c r="X2203">
        <f t="shared" si="102"/>
        <v>1</v>
      </c>
      <c r="Y2203">
        <f t="shared" si="103"/>
        <v>0</v>
      </c>
      <c r="Z2203">
        <f t="shared" si="104"/>
        <v>0</v>
      </c>
    </row>
    <row r="2204" spans="1:26" ht="15.75" customHeight="1" x14ac:dyDescent="0.2">
      <c r="A2204" s="2" t="s">
        <v>36</v>
      </c>
      <c r="B2204" s="2" t="s">
        <v>24</v>
      </c>
      <c r="C2204" s="2" t="s">
        <v>26</v>
      </c>
      <c r="D2204" s="2" t="s">
        <v>26</v>
      </c>
      <c r="E2204" s="2">
        <v>198</v>
      </c>
      <c r="F2204" s="2">
        <v>225</v>
      </c>
      <c r="G2204" s="2">
        <v>453</v>
      </c>
      <c r="H2204" s="2">
        <v>1032</v>
      </c>
      <c r="I2204" s="2">
        <v>2842</v>
      </c>
      <c r="J2204" s="2">
        <v>2.23</v>
      </c>
      <c r="K2204" s="2">
        <v>4.5</v>
      </c>
      <c r="L2204" s="2">
        <v>8.7200000000000006</v>
      </c>
      <c r="M2204" s="2">
        <v>15.34</v>
      </c>
      <c r="N2204" s="2">
        <v>0.123241027</v>
      </c>
      <c r="O2204" s="2">
        <v>3.8743214999999998E-2</v>
      </c>
      <c r="P2204" s="2">
        <v>2.5545849729999999</v>
      </c>
      <c r="Q2204" s="2">
        <v>2.4638499450000002</v>
      </c>
      <c r="R2204" s="2">
        <v>0.38988394599999998</v>
      </c>
      <c r="S2204" s="2">
        <v>0.48988394600000001</v>
      </c>
      <c r="T2204" s="2">
        <v>2.524657382</v>
      </c>
      <c r="U2204" s="2">
        <v>2.4146573820000001</v>
      </c>
      <c r="V2204" s="2">
        <v>1.076916676</v>
      </c>
      <c r="W2204" s="2">
        <v>1.11188372</v>
      </c>
      <c r="X2204">
        <f t="shared" si="102"/>
        <v>1</v>
      </c>
      <c r="Y2204">
        <f t="shared" si="103"/>
        <v>0</v>
      </c>
      <c r="Z2204">
        <f t="shared" si="104"/>
        <v>0</v>
      </c>
    </row>
    <row r="2205" spans="1:26" ht="15.75" customHeight="1" x14ac:dyDescent="0.2">
      <c r="A2205" s="2" t="s">
        <v>36</v>
      </c>
      <c r="B2205" s="2" t="s">
        <v>24</v>
      </c>
      <c r="C2205" s="2" t="s">
        <v>27</v>
      </c>
      <c r="D2205" s="2" t="s">
        <v>27</v>
      </c>
      <c r="E2205" s="2">
        <v>180</v>
      </c>
      <c r="F2205" s="2">
        <v>248</v>
      </c>
      <c r="G2205" s="2">
        <v>420</v>
      </c>
      <c r="H2205" s="2">
        <v>1271</v>
      </c>
      <c r="I2205" s="2">
        <v>2636</v>
      </c>
      <c r="J2205" s="2">
        <v>2.48</v>
      </c>
      <c r="K2205" s="2">
        <v>4.2</v>
      </c>
      <c r="L2205" s="2">
        <v>10.02</v>
      </c>
      <c r="M2205" s="2">
        <v>14.85</v>
      </c>
      <c r="N2205" s="2">
        <v>2.9791310599999998</v>
      </c>
      <c r="O2205" s="2">
        <v>2.9590146110000002</v>
      </c>
      <c r="P2205" s="2">
        <v>1.4056584430000001</v>
      </c>
      <c r="Q2205" s="2">
        <v>1.3664454399999999</v>
      </c>
      <c r="R2205" s="2">
        <v>0.69191623499999999</v>
      </c>
      <c r="S2205" s="2">
        <v>0.79191623499999997</v>
      </c>
      <c r="T2205" s="2">
        <v>1.22357165</v>
      </c>
      <c r="U2205" s="2">
        <v>1.1135716499999999</v>
      </c>
      <c r="V2205" s="2">
        <v>0.77488438699999995</v>
      </c>
      <c r="W2205" s="2">
        <v>0.80985143100000001</v>
      </c>
      <c r="X2205">
        <f t="shared" si="102"/>
        <v>1</v>
      </c>
      <c r="Y2205">
        <f t="shared" si="103"/>
        <v>0</v>
      </c>
      <c r="Z2205">
        <f t="shared" si="104"/>
        <v>0</v>
      </c>
    </row>
    <row r="2206" spans="1:26" ht="15.75" customHeight="1" x14ac:dyDescent="0.2">
      <c r="A2206" s="2" t="s">
        <v>36</v>
      </c>
      <c r="B2206" s="2" t="s">
        <v>24</v>
      </c>
      <c r="C2206" s="2" t="s">
        <v>27</v>
      </c>
      <c r="D2206" s="2" t="s">
        <v>27</v>
      </c>
      <c r="E2206" s="2">
        <v>169</v>
      </c>
      <c r="F2206" s="2">
        <v>262</v>
      </c>
      <c r="G2206" s="2">
        <v>509</v>
      </c>
      <c r="H2206" s="2">
        <v>1987</v>
      </c>
      <c r="I2206" s="2">
        <v>2916</v>
      </c>
      <c r="J2206" s="2">
        <v>2.63</v>
      </c>
      <c r="K2206" s="2">
        <v>4.99</v>
      </c>
      <c r="L2206" s="2">
        <v>12.97</v>
      </c>
      <c r="M2206" s="2">
        <v>15.5</v>
      </c>
      <c r="N2206" s="2">
        <v>0.61461954699999999</v>
      </c>
      <c r="O2206" s="2">
        <v>0.49422309399999997</v>
      </c>
      <c r="P2206" s="2">
        <v>1.729838604</v>
      </c>
      <c r="Q2206" s="2">
        <v>1.83670351</v>
      </c>
      <c r="R2206" s="2">
        <v>0.104177694</v>
      </c>
      <c r="S2206" s="2">
        <v>4.177694E-3</v>
      </c>
      <c r="T2206" s="2">
        <v>1.726698759</v>
      </c>
      <c r="U2206" s="2">
        <v>1.8366987589999999</v>
      </c>
      <c r="V2206" s="2">
        <v>1.5709783159999999</v>
      </c>
      <c r="W2206" s="2">
        <v>1.60594536</v>
      </c>
      <c r="X2206">
        <f t="shared" si="102"/>
        <v>1</v>
      </c>
      <c r="Y2206">
        <f t="shared" si="103"/>
        <v>0</v>
      </c>
      <c r="Z2206">
        <f t="shared" si="104"/>
        <v>0</v>
      </c>
    </row>
    <row r="2207" spans="1:26" ht="15.75" customHeight="1" x14ac:dyDescent="0.2">
      <c r="A2207" s="2" t="s">
        <v>36</v>
      </c>
      <c r="B2207" s="2" t="s">
        <v>24</v>
      </c>
      <c r="C2207" s="2" t="s">
        <v>32</v>
      </c>
      <c r="D2207" s="2" t="s">
        <v>33</v>
      </c>
      <c r="E2207" s="2">
        <v>179</v>
      </c>
      <c r="F2207" s="2">
        <v>231</v>
      </c>
      <c r="G2207" s="2">
        <v>399</v>
      </c>
      <c r="H2207" s="2">
        <v>1034</v>
      </c>
      <c r="I2207" s="2">
        <v>1949</v>
      </c>
      <c r="J2207" s="2">
        <v>2.2999999999999998</v>
      </c>
      <c r="K2207" s="2">
        <v>4</v>
      </c>
      <c r="L2207" s="2">
        <v>8.73</v>
      </c>
      <c r="M2207" s="2">
        <v>12.84</v>
      </c>
      <c r="N2207" s="2">
        <v>4.6716275219999996</v>
      </c>
      <c r="O2207" s="2">
        <v>4.5635823020000004</v>
      </c>
      <c r="P2207" s="2">
        <v>2.6606459669999998</v>
      </c>
      <c r="Q2207" s="2">
        <v>2.5934972310000002</v>
      </c>
      <c r="R2207" s="2">
        <v>0.88537091999999995</v>
      </c>
      <c r="S2207" s="2">
        <v>0.98537092000000004</v>
      </c>
      <c r="T2207" s="2">
        <v>2.5090148060000002</v>
      </c>
      <c r="U2207" s="2">
        <v>2.3990148059999998</v>
      </c>
      <c r="V2207" s="2">
        <v>0.58142970199999999</v>
      </c>
      <c r="W2207" s="2">
        <v>0.61639674600000005</v>
      </c>
      <c r="X2207">
        <f t="shared" si="102"/>
        <v>1</v>
      </c>
      <c r="Y2207">
        <f t="shared" si="103"/>
        <v>0</v>
      </c>
      <c r="Z2207">
        <f t="shared" si="104"/>
        <v>1</v>
      </c>
    </row>
    <row r="2208" spans="1:26" ht="15.75" customHeight="1" x14ac:dyDescent="0.2">
      <c r="A2208" s="2" t="s">
        <v>36</v>
      </c>
      <c r="B2208" s="2" t="s">
        <v>24</v>
      </c>
      <c r="C2208" s="2" t="s">
        <v>28</v>
      </c>
      <c r="D2208" s="2" t="s">
        <v>29</v>
      </c>
      <c r="E2208" s="2">
        <v>190</v>
      </c>
      <c r="F2208" s="2">
        <v>231</v>
      </c>
      <c r="G2208" s="2">
        <v>373</v>
      </c>
      <c r="H2208" s="2">
        <v>1213</v>
      </c>
      <c r="I2208" s="2">
        <v>2274</v>
      </c>
      <c r="J2208" s="2">
        <v>2.2999999999999998</v>
      </c>
      <c r="K2208" s="2">
        <v>3.76</v>
      </c>
      <c r="L2208" s="2">
        <v>9.7200000000000006</v>
      </c>
      <c r="M2208" s="2">
        <v>13.87</v>
      </c>
      <c r="N2208" s="2">
        <v>1.2342020659999999</v>
      </c>
      <c r="O2208" s="2">
        <v>1.2478801390000001</v>
      </c>
      <c r="P2208" s="2">
        <v>1.8968647080000001</v>
      </c>
      <c r="Q2208" s="2">
        <v>1.874121304</v>
      </c>
      <c r="R2208" s="2">
        <v>1.1336176600000001</v>
      </c>
      <c r="S2208" s="2">
        <v>1.2336176599999999</v>
      </c>
      <c r="T2208" s="2">
        <v>1.5208572330000001</v>
      </c>
      <c r="U2208" s="2">
        <v>1.410857233</v>
      </c>
      <c r="V2208" s="2">
        <v>0.33318296200000003</v>
      </c>
      <c r="W2208" s="2">
        <v>0.36815000599999997</v>
      </c>
      <c r="X2208">
        <f t="shared" si="102"/>
        <v>1</v>
      </c>
      <c r="Y2208">
        <f t="shared" si="103"/>
        <v>0</v>
      </c>
      <c r="Z2208">
        <f t="shared" si="104"/>
        <v>1</v>
      </c>
    </row>
    <row r="2209" spans="1:26" ht="15.75" customHeight="1" x14ac:dyDescent="0.2">
      <c r="A2209" s="2" t="s">
        <v>36</v>
      </c>
      <c r="B2209" s="2" t="s">
        <v>24</v>
      </c>
      <c r="C2209" s="2" t="s">
        <v>26</v>
      </c>
      <c r="D2209" s="2" t="s">
        <v>26</v>
      </c>
      <c r="E2209" s="2">
        <v>134</v>
      </c>
      <c r="F2209" s="2">
        <v>223</v>
      </c>
      <c r="G2209" s="2">
        <v>402</v>
      </c>
      <c r="H2209" s="2">
        <v>988</v>
      </c>
      <c r="I2209" s="2">
        <v>2894</v>
      </c>
      <c r="J2209" s="2">
        <v>2.21</v>
      </c>
      <c r="K2209" s="2">
        <v>4.04</v>
      </c>
      <c r="L2209" s="2">
        <v>8.4499999999999993</v>
      </c>
      <c r="M2209" s="2">
        <v>15.46</v>
      </c>
      <c r="N2209" s="2">
        <v>0.40994945100000002</v>
      </c>
      <c r="O2209" s="2">
        <v>0.57118912600000005</v>
      </c>
      <c r="P2209" s="2">
        <v>2.914742527</v>
      </c>
      <c r="Q2209" s="2">
        <v>2.8417434400000001</v>
      </c>
      <c r="R2209" s="2">
        <v>0.85393960800000002</v>
      </c>
      <c r="S2209" s="2">
        <v>0.95393960799999999</v>
      </c>
      <c r="T2209" s="2">
        <v>2.7868460929999999</v>
      </c>
      <c r="U2209" s="2">
        <v>2.676846093</v>
      </c>
      <c r="V2209" s="2">
        <v>0.61286101400000004</v>
      </c>
      <c r="W2209" s="2">
        <v>0.64782805799999998</v>
      </c>
      <c r="X2209">
        <f t="shared" si="102"/>
        <v>1</v>
      </c>
      <c r="Y2209">
        <f t="shared" si="103"/>
        <v>0</v>
      </c>
      <c r="Z2209">
        <f t="shared" si="104"/>
        <v>0</v>
      </c>
    </row>
    <row r="2210" spans="1:26" ht="15.75" customHeight="1" x14ac:dyDescent="0.2">
      <c r="A2210" s="2" t="s">
        <v>36</v>
      </c>
      <c r="B2210" s="2" t="s">
        <v>24</v>
      </c>
      <c r="C2210" s="2" t="s">
        <v>30</v>
      </c>
      <c r="D2210" s="2" t="s">
        <v>31</v>
      </c>
      <c r="E2210" s="2">
        <v>158</v>
      </c>
      <c r="F2210" s="2">
        <v>221</v>
      </c>
      <c r="G2210" s="2">
        <v>636</v>
      </c>
      <c r="H2210" s="2">
        <v>1350</v>
      </c>
      <c r="I2210" s="2">
        <v>2462</v>
      </c>
      <c r="J2210" s="2">
        <v>2.1800000000000002</v>
      </c>
      <c r="K2210" s="2">
        <v>6.04</v>
      </c>
      <c r="L2210" s="2">
        <v>10.4</v>
      </c>
      <c r="M2210" s="2">
        <v>14.4</v>
      </c>
      <c r="N2210" s="2">
        <v>3.0728448149999998</v>
      </c>
      <c r="O2210" s="2">
        <v>2.9840369340000001</v>
      </c>
      <c r="P2210" s="2">
        <v>1.420930442</v>
      </c>
      <c r="Q2210" s="2">
        <v>1.275677524</v>
      </c>
      <c r="R2210" s="2">
        <v>1.1482434509999999</v>
      </c>
      <c r="S2210" s="2">
        <v>1.048243451</v>
      </c>
      <c r="T2210" s="2">
        <v>0.83700674799999997</v>
      </c>
      <c r="U2210" s="2">
        <v>0.72700674799999998</v>
      </c>
      <c r="V2210" s="2">
        <v>2.615044073</v>
      </c>
      <c r="W2210" s="2">
        <v>2.650011117</v>
      </c>
      <c r="X2210">
        <f t="shared" si="102"/>
        <v>1</v>
      </c>
      <c r="Y2210">
        <f t="shared" si="103"/>
        <v>0</v>
      </c>
      <c r="Z2210">
        <f t="shared" si="104"/>
        <v>1</v>
      </c>
    </row>
    <row r="2211" spans="1:26" ht="15.75" customHeight="1" x14ac:dyDescent="0.2">
      <c r="A2211" s="2" t="s">
        <v>36</v>
      </c>
      <c r="B2211" s="2" t="s">
        <v>24</v>
      </c>
      <c r="C2211" s="2" t="s">
        <v>27</v>
      </c>
      <c r="D2211" s="2" t="s">
        <v>27</v>
      </c>
      <c r="E2211" s="2">
        <v>163</v>
      </c>
      <c r="F2211" s="2">
        <v>206</v>
      </c>
      <c r="G2211" s="2">
        <v>448</v>
      </c>
      <c r="H2211" s="2">
        <v>1961</v>
      </c>
      <c r="I2211" s="2">
        <v>2838</v>
      </c>
      <c r="J2211" s="2">
        <v>2.02</v>
      </c>
      <c r="K2211" s="2">
        <v>4.46</v>
      </c>
      <c r="L2211" s="2">
        <v>12.88</v>
      </c>
      <c r="M2211" s="2">
        <v>15.33</v>
      </c>
      <c r="N2211" s="2">
        <v>0.137023489</v>
      </c>
      <c r="O2211" s="2">
        <v>9.2814463E-2</v>
      </c>
      <c r="P2211" s="2">
        <v>1.69333639</v>
      </c>
      <c r="Q2211" s="2">
        <v>1.8265016279999999</v>
      </c>
      <c r="R2211" s="2">
        <v>0.43209302300000002</v>
      </c>
      <c r="S2211" s="2">
        <v>0.53209302300000005</v>
      </c>
      <c r="T2211" s="2">
        <v>1.637279374</v>
      </c>
      <c r="U2211" s="2">
        <v>1.7472793740000001</v>
      </c>
      <c r="V2211" s="2">
        <v>1.0347075990000001</v>
      </c>
      <c r="W2211" s="2">
        <v>1.0696746429999999</v>
      </c>
      <c r="X2211">
        <f t="shared" si="102"/>
        <v>1</v>
      </c>
      <c r="Y2211">
        <f t="shared" si="103"/>
        <v>0</v>
      </c>
      <c r="Z2211">
        <f t="shared" si="104"/>
        <v>0</v>
      </c>
    </row>
    <row r="2212" spans="1:26" ht="15.75" customHeight="1" x14ac:dyDescent="0.2">
      <c r="A2212" s="2" t="s">
        <v>36</v>
      </c>
      <c r="B2212" s="2" t="s">
        <v>24</v>
      </c>
      <c r="C2212" s="2" t="s">
        <v>30</v>
      </c>
      <c r="D2212" s="2" t="s">
        <v>31</v>
      </c>
      <c r="E2212" s="2">
        <v>178</v>
      </c>
      <c r="F2212" s="2">
        <v>238</v>
      </c>
      <c r="G2212" s="2">
        <v>491</v>
      </c>
      <c r="H2212" s="2">
        <v>1177</v>
      </c>
      <c r="I2212" s="2">
        <v>1873</v>
      </c>
      <c r="J2212" s="2">
        <v>2.38</v>
      </c>
      <c r="K2212" s="2">
        <v>4.84</v>
      </c>
      <c r="L2212" s="2">
        <v>9.5299999999999994</v>
      </c>
      <c r="M2212" s="2">
        <v>12.57</v>
      </c>
      <c r="N2212" s="2">
        <v>3.4892956860000002</v>
      </c>
      <c r="O2212" s="2">
        <v>3.4457301619999998</v>
      </c>
      <c r="P2212" s="2">
        <v>1.709924673</v>
      </c>
      <c r="Q2212" s="2">
        <v>1.606352121</v>
      </c>
      <c r="R2212" s="2">
        <v>5.2165397000000002E-2</v>
      </c>
      <c r="S2212" s="2">
        <v>0.15216539700000001</v>
      </c>
      <c r="T2212" s="2">
        <v>1.7091287719999999</v>
      </c>
      <c r="U2212" s="2">
        <v>1.599128772</v>
      </c>
      <c r="V2212" s="2">
        <v>1.4146352250000001</v>
      </c>
      <c r="W2212" s="2">
        <v>1.4496022690000001</v>
      </c>
      <c r="X2212">
        <f t="shared" si="102"/>
        <v>1</v>
      </c>
      <c r="Y2212">
        <f t="shared" si="103"/>
        <v>0</v>
      </c>
      <c r="Z2212">
        <f t="shared" si="104"/>
        <v>1</v>
      </c>
    </row>
    <row r="2213" spans="1:26" ht="15.75" customHeight="1" x14ac:dyDescent="0.2">
      <c r="A2213" s="2" t="s">
        <v>36</v>
      </c>
      <c r="B2213" s="2" t="s">
        <v>24</v>
      </c>
      <c r="C2213" s="2" t="s">
        <v>26</v>
      </c>
      <c r="D2213" s="2" t="s">
        <v>26</v>
      </c>
      <c r="E2213" s="2">
        <v>204</v>
      </c>
      <c r="F2213" s="2">
        <v>223</v>
      </c>
      <c r="G2213" s="2">
        <v>436</v>
      </c>
      <c r="H2213" s="2">
        <v>1075</v>
      </c>
      <c r="I2213" s="2">
        <v>2830</v>
      </c>
      <c r="J2213" s="2">
        <v>2.21</v>
      </c>
      <c r="K2213" s="2">
        <v>4.3499999999999996</v>
      </c>
      <c r="L2213" s="2">
        <v>8.9700000000000006</v>
      </c>
      <c r="M2213" s="2">
        <v>15.31</v>
      </c>
      <c r="N2213" s="2">
        <v>0.31079763900000001</v>
      </c>
      <c r="O2213" s="2">
        <v>0.29137325400000003</v>
      </c>
      <c r="P2213" s="2">
        <v>2.335582729</v>
      </c>
      <c r="Q2213" s="2">
        <v>2.255103187</v>
      </c>
      <c r="R2213" s="2">
        <v>0.54138564300000003</v>
      </c>
      <c r="S2213" s="2">
        <v>0.64138564300000001</v>
      </c>
      <c r="T2213" s="2">
        <v>2.2719701300000001</v>
      </c>
      <c r="U2213" s="2">
        <v>2.1619701299999998</v>
      </c>
      <c r="V2213" s="2">
        <v>0.92541497900000003</v>
      </c>
      <c r="W2213" s="2">
        <v>0.96038202299999997</v>
      </c>
      <c r="X2213">
        <f t="shared" si="102"/>
        <v>1</v>
      </c>
      <c r="Y2213">
        <f t="shared" si="103"/>
        <v>0</v>
      </c>
      <c r="Z2213">
        <f t="shared" si="104"/>
        <v>0</v>
      </c>
    </row>
    <row r="2214" spans="1:26" ht="15.75" customHeight="1" x14ac:dyDescent="0.2">
      <c r="A2214" s="2" t="s">
        <v>36</v>
      </c>
      <c r="B2214" s="2" t="s">
        <v>24</v>
      </c>
      <c r="C2214" s="2" t="s">
        <v>26</v>
      </c>
      <c r="D2214" s="2" t="s">
        <v>26</v>
      </c>
      <c r="E2214" s="2">
        <v>180</v>
      </c>
      <c r="F2214" s="2">
        <v>268</v>
      </c>
      <c r="G2214" s="2">
        <v>482</v>
      </c>
      <c r="H2214" s="2">
        <v>960</v>
      </c>
      <c r="I2214" s="2">
        <v>2876</v>
      </c>
      <c r="J2214" s="2">
        <v>2.69</v>
      </c>
      <c r="K2214" s="2">
        <v>4.76</v>
      </c>
      <c r="L2214" s="2">
        <v>8.2799999999999994</v>
      </c>
      <c r="M2214" s="2">
        <v>15.41</v>
      </c>
      <c r="N2214" s="2">
        <v>0.52856267300000004</v>
      </c>
      <c r="O2214" s="2">
        <v>0.51128552500000002</v>
      </c>
      <c r="P2214" s="2">
        <v>2.958535092</v>
      </c>
      <c r="Q2214" s="2">
        <v>2.8548934969999999</v>
      </c>
      <c r="R2214" s="2">
        <v>0.128263718</v>
      </c>
      <c r="S2214" s="2">
        <v>0.228263718</v>
      </c>
      <c r="T2214" s="2">
        <v>2.9557534250000002</v>
      </c>
      <c r="U2214" s="2">
        <v>2.8457534249999998</v>
      </c>
      <c r="V2214" s="2">
        <v>1.3385369039999999</v>
      </c>
      <c r="W2214" s="2">
        <v>1.373503948</v>
      </c>
      <c r="X2214">
        <f t="shared" si="102"/>
        <v>1</v>
      </c>
      <c r="Y2214">
        <f t="shared" si="103"/>
        <v>0</v>
      </c>
      <c r="Z2214">
        <f t="shared" si="104"/>
        <v>0</v>
      </c>
    </row>
    <row r="2215" spans="1:26" ht="15.75" customHeight="1" x14ac:dyDescent="0.2">
      <c r="A2215" s="2" t="s">
        <v>36</v>
      </c>
      <c r="B2215" s="2" t="s">
        <v>24</v>
      </c>
      <c r="C2215" s="2" t="s">
        <v>26</v>
      </c>
      <c r="D2215" s="2" t="s">
        <v>26</v>
      </c>
      <c r="E2215" s="2">
        <v>242</v>
      </c>
      <c r="F2215" s="2">
        <v>184</v>
      </c>
      <c r="G2215" s="2">
        <v>435</v>
      </c>
      <c r="H2215" s="2">
        <v>1012</v>
      </c>
      <c r="I2215" s="2">
        <v>2834</v>
      </c>
      <c r="J2215" s="2">
        <v>1.77</v>
      </c>
      <c r="K2215" s="2">
        <v>4.34</v>
      </c>
      <c r="L2215" s="2">
        <v>8.6</v>
      </c>
      <c r="M2215" s="2">
        <v>15.32</v>
      </c>
      <c r="N2215" s="2">
        <v>7.7617187000000004E-2</v>
      </c>
      <c r="O2215" s="2">
        <v>0.23579924699999999</v>
      </c>
      <c r="P2215" s="2">
        <v>2.6957224279999998</v>
      </c>
      <c r="Q2215" s="2">
        <v>2.6112389330000001</v>
      </c>
      <c r="R2215" s="2">
        <v>0.55054279699999997</v>
      </c>
      <c r="S2215" s="2">
        <v>0.65054279699999995</v>
      </c>
      <c r="T2215" s="2">
        <v>2.6389054609999998</v>
      </c>
      <c r="U2215" s="2">
        <v>2.5289054609999999</v>
      </c>
      <c r="V2215" s="2">
        <v>0.916257824</v>
      </c>
      <c r="W2215" s="2">
        <v>0.95122486900000003</v>
      </c>
      <c r="X2215">
        <f t="shared" si="102"/>
        <v>1</v>
      </c>
      <c r="Y2215">
        <f t="shared" si="103"/>
        <v>0</v>
      </c>
      <c r="Z2215">
        <f t="shared" si="104"/>
        <v>0</v>
      </c>
    </row>
    <row r="2216" spans="1:26" ht="15.75" customHeight="1" x14ac:dyDescent="0.2">
      <c r="A2216" s="2" t="s">
        <v>36</v>
      </c>
      <c r="B2216" s="2" t="s">
        <v>24</v>
      </c>
      <c r="C2216" s="2" t="s">
        <v>25</v>
      </c>
      <c r="D2216" s="2" t="s">
        <v>25</v>
      </c>
      <c r="E2216" s="2">
        <v>206</v>
      </c>
      <c r="F2216" s="2">
        <v>217</v>
      </c>
      <c r="G2216" s="2">
        <v>824</v>
      </c>
      <c r="H2216" s="2">
        <v>1823</v>
      </c>
      <c r="I2216" s="2">
        <v>2986</v>
      </c>
      <c r="J2216" s="2">
        <v>2.14</v>
      </c>
      <c r="K2216" s="2">
        <v>7.41</v>
      </c>
      <c r="L2216" s="2">
        <v>12.39</v>
      </c>
      <c r="M2216" s="2">
        <v>15.66</v>
      </c>
      <c r="N2216" s="2">
        <v>0.79096101299999999</v>
      </c>
      <c r="O2216" s="2">
        <v>1.208570074</v>
      </c>
      <c r="P2216" s="2">
        <v>2.7674479060000001</v>
      </c>
      <c r="Q2216" s="2">
        <v>2.725855213</v>
      </c>
      <c r="R2216" s="2">
        <v>2.5174033279999999</v>
      </c>
      <c r="S2216" s="2">
        <v>2.4174033279999998</v>
      </c>
      <c r="T2216" s="2">
        <v>1.1495426909999999</v>
      </c>
      <c r="U2216" s="2">
        <v>1.259542691</v>
      </c>
      <c r="V2216" s="2">
        <v>3.9842039499999999</v>
      </c>
      <c r="W2216" s="2">
        <v>4.0191709940000004</v>
      </c>
      <c r="X2216">
        <f t="shared" si="102"/>
        <v>1</v>
      </c>
      <c r="Y2216">
        <f t="shared" si="103"/>
        <v>0</v>
      </c>
      <c r="Z2216">
        <f t="shared" si="104"/>
        <v>0</v>
      </c>
    </row>
    <row r="2217" spans="1:26" ht="15.75" customHeight="1" x14ac:dyDescent="0.2">
      <c r="A2217" s="2" t="s">
        <v>36</v>
      </c>
      <c r="B2217" s="2" t="s">
        <v>24</v>
      </c>
      <c r="C2217" s="2" t="s">
        <v>25</v>
      </c>
      <c r="D2217" s="2" t="s">
        <v>25</v>
      </c>
      <c r="E2217" s="2">
        <v>165</v>
      </c>
      <c r="F2217" s="2">
        <v>245</v>
      </c>
      <c r="G2217" s="2">
        <v>864</v>
      </c>
      <c r="H2217" s="2">
        <v>1707</v>
      </c>
      <c r="I2217" s="2">
        <v>3021</v>
      </c>
      <c r="J2217" s="2">
        <v>2.4500000000000002</v>
      </c>
      <c r="K2217" s="2">
        <v>7.67</v>
      </c>
      <c r="L2217" s="2">
        <v>11.95</v>
      </c>
      <c r="M2217" s="2">
        <v>15.73</v>
      </c>
      <c r="N2217" s="2">
        <v>0.30908893900000001</v>
      </c>
      <c r="O2217" s="2">
        <v>0.71223623899999999</v>
      </c>
      <c r="P2217" s="2">
        <v>2.8713613200000001</v>
      </c>
      <c r="Q2217" s="2">
        <v>2.8046855869999998</v>
      </c>
      <c r="R2217" s="2">
        <v>2.782492918</v>
      </c>
      <c r="S2217" s="2">
        <v>2.6824929179999999</v>
      </c>
      <c r="T2217" s="2">
        <v>0.70883636400000005</v>
      </c>
      <c r="U2217" s="2">
        <v>0.81883636400000004</v>
      </c>
      <c r="V2217" s="2">
        <v>4.24929354</v>
      </c>
      <c r="W2217" s="2">
        <v>4.2842605840000001</v>
      </c>
      <c r="X2217">
        <f t="shared" si="102"/>
        <v>1</v>
      </c>
      <c r="Y2217">
        <f t="shared" si="103"/>
        <v>0</v>
      </c>
      <c r="Z2217">
        <f t="shared" si="104"/>
        <v>0</v>
      </c>
    </row>
    <row r="2218" spans="1:26" ht="15.75" customHeight="1" x14ac:dyDescent="0.2">
      <c r="A2218" s="2" t="s">
        <v>36</v>
      </c>
      <c r="B2218" s="2" t="s">
        <v>24</v>
      </c>
      <c r="C2218" s="2" t="s">
        <v>25</v>
      </c>
      <c r="D2218" s="2" t="s">
        <v>25</v>
      </c>
      <c r="E2218" s="2">
        <v>208</v>
      </c>
      <c r="F2218" s="2">
        <v>215</v>
      </c>
      <c r="G2218" s="2">
        <v>862</v>
      </c>
      <c r="H2218" s="2">
        <v>1661</v>
      </c>
      <c r="I2218" s="2">
        <v>2587</v>
      </c>
      <c r="J2218" s="2">
        <v>2.12</v>
      </c>
      <c r="K2218" s="2">
        <v>7.66</v>
      </c>
      <c r="L2218" s="2">
        <v>11.77</v>
      </c>
      <c r="M2218" s="2">
        <v>14.72</v>
      </c>
      <c r="N2218" s="2">
        <v>0.12946534500000001</v>
      </c>
      <c r="O2218" s="2">
        <v>0.54146771699999996</v>
      </c>
      <c r="P2218" s="2">
        <v>2.8172989560000001</v>
      </c>
      <c r="Q2218" s="2">
        <v>2.7426861869999999</v>
      </c>
      <c r="R2218" s="2">
        <v>2.7671057289999998</v>
      </c>
      <c r="S2218" s="2">
        <v>2.6671057290000002</v>
      </c>
      <c r="T2218" s="2">
        <v>0.52943298999999999</v>
      </c>
      <c r="U2218" s="2">
        <v>0.63943298999999998</v>
      </c>
      <c r="V2218" s="2">
        <v>4.2339063509999999</v>
      </c>
      <c r="W2218" s="2">
        <v>4.268873396</v>
      </c>
      <c r="X2218">
        <f t="shared" si="102"/>
        <v>1</v>
      </c>
      <c r="Y2218">
        <f t="shared" si="103"/>
        <v>0</v>
      </c>
      <c r="Z2218">
        <f t="shared" si="104"/>
        <v>0</v>
      </c>
    </row>
    <row r="2219" spans="1:26" ht="15.75" customHeight="1" x14ac:dyDescent="0.2">
      <c r="A2219" s="2" t="s">
        <v>36</v>
      </c>
      <c r="B2219" s="2" t="s">
        <v>24</v>
      </c>
      <c r="C2219" s="2" t="s">
        <v>28</v>
      </c>
      <c r="D2219" s="2" t="s">
        <v>29</v>
      </c>
      <c r="E2219" s="2">
        <v>188</v>
      </c>
      <c r="F2219" s="2">
        <v>258</v>
      </c>
      <c r="G2219" s="2">
        <v>452</v>
      </c>
      <c r="H2219" s="2">
        <v>1183</v>
      </c>
      <c r="I2219" s="2">
        <v>2370</v>
      </c>
      <c r="J2219" s="2">
        <v>2.59</v>
      </c>
      <c r="K2219" s="2">
        <v>4.5</v>
      </c>
      <c r="L2219" s="2">
        <v>9.56</v>
      </c>
      <c r="M2219" s="2">
        <v>14.15</v>
      </c>
      <c r="N2219" s="2">
        <v>0.90917296199999997</v>
      </c>
      <c r="O2219" s="2">
        <v>0.82349919599999999</v>
      </c>
      <c r="P2219" s="2">
        <v>1.7225632799999999</v>
      </c>
      <c r="Q2219" s="2">
        <v>1.642841497</v>
      </c>
      <c r="R2219" s="2">
        <v>0.39289346400000003</v>
      </c>
      <c r="S2219" s="2">
        <v>0.492893464</v>
      </c>
      <c r="T2219" s="2">
        <v>1.677158006</v>
      </c>
      <c r="U2219" s="2">
        <v>1.5671580060000001</v>
      </c>
      <c r="V2219" s="2">
        <v>1.0739071579999999</v>
      </c>
      <c r="W2219" s="2">
        <v>1.108874202</v>
      </c>
      <c r="X2219">
        <f t="shared" si="102"/>
        <v>1</v>
      </c>
      <c r="Y2219">
        <f t="shared" si="103"/>
        <v>0</v>
      </c>
      <c r="Z2219">
        <f t="shared" si="104"/>
        <v>1</v>
      </c>
    </row>
    <row r="2220" spans="1:26" ht="15.75" customHeight="1" x14ac:dyDescent="0.2">
      <c r="A2220" s="2" t="s">
        <v>36</v>
      </c>
      <c r="B2220" s="2" t="s">
        <v>24</v>
      </c>
      <c r="C2220" s="2" t="s">
        <v>30</v>
      </c>
      <c r="D2220" s="2" t="s">
        <v>31</v>
      </c>
      <c r="E2220" s="2">
        <v>170</v>
      </c>
      <c r="F2220" s="2">
        <v>226</v>
      </c>
      <c r="G2220" s="2">
        <v>476</v>
      </c>
      <c r="H2220" s="2">
        <v>1212</v>
      </c>
      <c r="I2220" s="2">
        <v>2012</v>
      </c>
      <c r="J2220" s="2">
        <v>2.2400000000000002</v>
      </c>
      <c r="K2220" s="2">
        <v>4.71</v>
      </c>
      <c r="L2220" s="2">
        <v>9.7100000000000009</v>
      </c>
      <c r="M2220" s="2">
        <v>13.05</v>
      </c>
      <c r="N2220" s="2">
        <v>3.2925302400000001</v>
      </c>
      <c r="O2220" s="2">
        <v>3.252782523</v>
      </c>
      <c r="P2220" s="2">
        <v>1.5368055810000001</v>
      </c>
      <c r="Q2220" s="2">
        <v>1.4437406509999999</v>
      </c>
      <c r="R2220" s="2">
        <v>0.18126436800000001</v>
      </c>
      <c r="S2220" s="2">
        <v>0.28126436799999999</v>
      </c>
      <c r="T2220" s="2">
        <v>1.5260781839999999</v>
      </c>
      <c r="U2220" s="2">
        <v>1.4160781840000001</v>
      </c>
      <c r="V2220" s="2">
        <v>1.2855362539999999</v>
      </c>
      <c r="W2220" s="2">
        <v>1.320503298</v>
      </c>
      <c r="X2220">
        <f t="shared" si="102"/>
        <v>1</v>
      </c>
      <c r="Y2220">
        <f t="shared" si="103"/>
        <v>0</v>
      </c>
      <c r="Z2220">
        <f t="shared" si="104"/>
        <v>1</v>
      </c>
    </row>
    <row r="2221" spans="1:26" ht="15.75" customHeight="1" x14ac:dyDescent="0.2">
      <c r="A2221" s="2" t="s">
        <v>36</v>
      </c>
      <c r="B2221" s="2" t="s">
        <v>24</v>
      </c>
      <c r="C2221" s="2" t="s">
        <v>32</v>
      </c>
      <c r="D2221" s="2" t="s">
        <v>33</v>
      </c>
      <c r="E2221" s="2">
        <v>181</v>
      </c>
      <c r="F2221" s="2">
        <v>217</v>
      </c>
      <c r="G2221" s="2">
        <v>517</v>
      </c>
      <c r="H2221" s="2">
        <v>1031</v>
      </c>
      <c r="I2221" s="2">
        <v>2137</v>
      </c>
      <c r="J2221" s="2">
        <v>2.15</v>
      </c>
      <c r="K2221" s="2">
        <v>5.07</v>
      </c>
      <c r="L2221" s="2">
        <v>8.7100000000000009</v>
      </c>
      <c r="M2221" s="2">
        <v>13.45</v>
      </c>
      <c r="N2221" s="2">
        <v>3.9123478330000001</v>
      </c>
      <c r="O2221" s="2">
        <v>3.7383207899999999</v>
      </c>
      <c r="P2221" s="2">
        <v>2.5346755540000001</v>
      </c>
      <c r="Q2221" s="2">
        <v>2.4197595719999998</v>
      </c>
      <c r="R2221" s="2">
        <v>0.175789261</v>
      </c>
      <c r="S2221" s="2">
        <v>7.5789260999999997E-2</v>
      </c>
      <c r="T2221" s="2">
        <v>2.5285723839999998</v>
      </c>
      <c r="U2221" s="2">
        <v>2.418572384</v>
      </c>
      <c r="V2221" s="2">
        <v>1.6425898830000001</v>
      </c>
      <c r="W2221" s="2">
        <v>1.6775569269999999</v>
      </c>
      <c r="X2221">
        <f t="shared" si="102"/>
        <v>1</v>
      </c>
      <c r="Y2221">
        <f t="shared" si="103"/>
        <v>0</v>
      </c>
      <c r="Z2221">
        <f t="shared" si="104"/>
        <v>1</v>
      </c>
    </row>
    <row r="2222" spans="1:26" ht="15.75" customHeight="1" x14ac:dyDescent="0.2">
      <c r="A2222" s="2" t="s">
        <v>36</v>
      </c>
      <c r="B2222" s="2" t="s">
        <v>24</v>
      </c>
      <c r="C2222" s="2" t="s">
        <v>26</v>
      </c>
      <c r="D2222" s="2" t="s">
        <v>26</v>
      </c>
      <c r="E2222" s="2">
        <v>201</v>
      </c>
      <c r="F2222" s="2">
        <v>256</v>
      </c>
      <c r="G2222" s="2">
        <v>483</v>
      </c>
      <c r="H2222" s="2">
        <v>1144</v>
      </c>
      <c r="I2222" s="2">
        <v>2791</v>
      </c>
      <c r="J2222" s="2">
        <v>2.57</v>
      </c>
      <c r="K2222" s="2">
        <v>4.7699999999999996</v>
      </c>
      <c r="L2222" s="2">
        <v>9.35</v>
      </c>
      <c r="M2222" s="2">
        <v>15.22</v>
      </c>
      <c r="N2222" s="2">
        <v>0.79187098199999995</v>
      </c>
      <c r="O2222" s="2">
        <v>0.65941936800000001</v>
      </c>
      <c r="P2222" s="2">
        <v>1.890770861</v>
      </c>
      <c r="Q2222" s="2">
        <v>1.7903183309999999</v>
      </c>
      <c r="R2222" s="2">
        <v>0.11652114600000001</v>
      </c>
      <c r="S2222" s="2">
        <v>0.216521146</v>
      </c>
      <c r="T2222" s="2">
        <v>1.8871770640000001</v>
      </c>
      <c r="U2222" s="2">
        <v>1.777177064</v>
      </c>
      <c r="V2222" s="2">
        <v>1.3502794760000001</v>
      </c>
      <c r="W2222" s="2">
        <v>1.3852465199999999</v>
      </c>
      <c r="X2222">
        <f t="shared" si="102"/>
        <v>1</v>
      </c>
      <c r="Y2222">
        <f t="shared" si="103"/>
        <v>0</v>
      </c>
      <c r="Z2222">
        <f t="shared" si="104"/>
        <v>0</v>
      </c>
    </row>
    <row r="2223" spans="1:26" ht="15.75" customHeight="1" x14ac:dyDescent="0.2">
      <c r="A2223" s="2" t="s">
        <v>36</v>
      </c>
      <c r="B2223" s="2" t="s">
        <v>24</v>
      </c>
      <c r="C2223" s="2" t="s">
        <v>32</v>
      </c>
      <c r="D2223" s="2" t="s">
        <v>33</v>
      </c>
      <c r="E2223" s="2">
        <v>155</v>
      </c>
      <c r="F2223" s="2">
        <v>238</v>
      </c>
      <c r="G2223" s="2">
        <v>618</v>
      </c>
      <c r="H2223" s="2">
        <v>1136</v>
      </c>
      <c r="I2223" s="2">
        <v>2302</v>
      </c>
      <c r="J2223" s="2">
        <v>2.37</v>
      </c>
      <c r="K2223" s="2">
        <v>5.89</v>
      </c>
      <c r="L2223" s="2">
        <v>9.31</v>
      </c>
      <c r="M2223" s="2">
        <v>13.95</v>
      </c>
      <c r="N2223" s="2">
        <v>2.9241972440000001</v>
      </c>
      <c r="O2223" s="2">
        <v>2.7271111729999999</v>
      </c>
      <c r="P2223" s="2">
        <v>2.1764631269999999</v>
      </c>
      <c r="Q2223" s="2">
        <v>2.0330853019999999</v>
      </c>
      <c r="R2223" s="2">
        <v>1.0042764769999999</v>
      </c>
      <c r="S2223" s="2">
        <v>0.90427647700000002</v>
      </c>
      <c r="T2223" s="2">
        <v>1.930911831</v>
      </c>
      <c r="U2223" s="2">
        <v>1.8209118310000001</v>
      </c>
      <c r="V2223" s="2">
        <v>2.4710770989999999</v>
      </c>
      <c r="W2223" s="2">
        <v>2.506044143</v>
      </c>
      <c r="X2223">
        <f t="shared" si="102"/>
        <v>1</v>
      </c>
      <c r="Y2223">
        <f t="shared" si="103"/>
        <v>0</v>
      </c>
      <c r="Z2223">
        <f t="shared" si="104"/>
        <v>1</v>
      </c>
    </row>
    <row r="2224" spans="1:26" ht="15.75" customHeight="1" x14ac:dyDescent="0.2">
      <c r="A2224" s="2" t="s">
        <v>36</v>
      </c>
      <c r="B2224" s="2" t="s">
        <v>24</v>
      </c>
      <c r="C2224" s="2" t="s">
        <v>28</v>
      </c>
      <c r="D2224" s="2" t="s">
        <v>29</v>
      </c>
      <c r="E2224" s="2">
        <v>210</v>
      </c>
      <c r="F2224" s="2">
        <v>211</v>
      </c>
      <c r="G2224" s="2">
        <v>459</v>
      </c>
      <c r="H2224" s="2">
        <v>1443</v>
      </c>
      <c r="I2224" s="2">
        <v>2538</v>
      </c>
      <c r="J2224" s="2">
        <v>2.08</v>
      </c>
      <c r="K2224" s="2">
        <v>4.5599999999999996</v>
      </c>
      <c r="L2224" s="2">
        <v>10.84</v>
      </c>
      <c r="M2224" s="2">
        <v>14.6</v>
      </c>
      <c r="N2224" s="2">
        <v>2.1833425640000002</v>
      </c>
      <c r="O2224" s="2">
        <v>2.0971113529999998</v>
      </c>
      <c r="P2224" s="2">
        <v>0.52273993200000002</v>
      </c>
      <c r="Q2224" s="2">
        <v>0.52273801900000005</v>
      </c>
      <c r="R2224" s="2">
        <v>0.33286068600000002</v>
      </c>
      <c r="S2224" s="2">
        <v>0.43286068599999999</v>
      </c>
      <c r="T2224" s="2">
        <v>0.40306426299999998</v>
      </c>
      <c r="U2224" s="2">
        <v>0.29306426299999999</v>
      </c>
      <c r="V2224" s="2">
        <v>1.133939936</v>
      </c>
      <c r="W2224" s="2">
        <v>1.16890698</v>
      </c>
      <c r="X2224">
        <f t="shared" si="102"/>
        <v>1</v>
      </c>
      <c r="Y2224">
        <f t="shared" si="103"/>
        <v>0</v>
      </c>
      <c r="Z2224">
        <f t="shared" si="104"/>
        <v>1</v>
      </c>
    </row>
    <row r="2225" spans="1:26" ht="15.75" customHeight="1" x14ac:dyDescent="0.2">
      <c r="A2225" s="2" t="s">
        <v>36</v>
      </c>
      <c r="B2225" s="2" t="s">
        <v>24</v>
      </c>
      <c r="C2225" s="2" t="s">
        <v>32</v>
      </c>
      <c r="D2225" s="2" t="s">
        <v>33</v>
      </c>
      <c r="E2225" s="2">
        <v>140</v>
      </c>
      <c r="F2225" s="2">
        <v>222</v>
      </c>
      <c r="G2225" s="2">
        <v>599</v>
      </c>
      <c r="H2225" s="2">
        <v>1291</v>
      </c>
      <c r="I2225" s="2">
        <v>2614</v>
      </c>
      <c r="J2225" s="2">
        <v>2.2000000000000002</v>
      </c>
      <c r="K2225" s="2">
        <v>5.75</v>
      </c>
      <c r="L2225" s="2">
        <v>10.119999999999999</v>
      </c>
      <c r="M2225" s="2">
        <v>14.79</v>
      </c>
      <c r="N2225" s="2">
        <v>2.4435349610000001</v>
      </c>
      <c r="O2225" s="2">
        <v>2.3520069769999998</v>
      </c>
      <c r="P2225" s="2">
        <v>1.4125019320000001</v>
      </c>
      <c r="Q2225" s="2">
        <v>1.264437711</v>
      </c>
      <c r="R2225" s="2">
        <v>0.85824693900000004</v>
      </c>
      <c r="S2225" s="2">
        <v>0.75824693899999995</v>
      </c>
      <c r="T2225" s="2">
        <v>1.1218618</v>
      </c>
      <c r="U2225" s="2">
        <v>1.0118617999999999</v>
      </c>
      <c r="V2225" s="2">
        <v>2.3250475609999999</v>
      </c>
      <c r="W2225" s="2">
        <v>2.3600146049999999</v>
      </c>
      <c r="X2225">
        <f t="shared" si="102"/>
        <v>1</v>
      </c>
      <c r="Y2225">
        <f t="shared" si="103"/>
        <v>0</v>
      </c>
      <c r="Z2225">
        <f t="shared" si="104"/>
        <v>1</v>
      </c>
    </row>
    <row r="2226" spans="1:26" ht="15.75" customHeight="1" x14ac:dyDescent="0.2">
      <c r="A2226" s="2" t="s">
        <v>36</v>
      </c>
      <c r="B2226" s="2" t="s">
        <v>24</v>
      </c>
      <c r="C2226" s="2" t="s">
        <v>25</v>
      </c>
      <c r="D2226" s="2" t="s">
        <v>25</v>
      </c>
      <c r="E2226" s="2">
        <v>225</v>
      </c>
      <c r="F2226" s="2">
        <v>234</v>
      </c>
      <c r="G2226" s="2">
        <v>867</v>
      </c>
      <c r="H2226" s="2">
        <v>1643</v>
      </c>
      <c r="I2226" s="2">
        <v>2724</v>
      </c>
      <c r="J2226" s="2">
        <v>2.33</v>
      </c>
      <c r="K2226" s="2">
        <v>7.69</v>
      </c>
      <c r="L2226" s="2">
        <v>11.69</v>
      </c>
      <c r="M2226" s="2">
        <v>15.06</v>
      </c>
      <c r="N2226" s="2">
        <v>6.3105333E-2</v>
      </c>
      <c r="O2226" s="2">
        <v>0.45959170599999999</v>
      </c>
      <c r="P2226" s="2">
        <v>2.8388177090000002</v>
      </c>
      <c r="Q2226" s="2">
        <v>2.7605203999999999</v>
      </c>
      <c r="R2226" s="2">
        <v>2.8022391230000001</v>
      </c>
      <c r="S2226" s="2">
        <v>2.702239123</v>
      </c>
      <c r="T2226" s="2">
        <v>0.45424870499999997</v>
      </c>
      <c r="U2226" s="2">
        <v>0.56424870500000002</v>
      </c>
      <c r="V2226" s="2">
        <v>4.2690397449999997</v>
      </c>
      <c r="W2226" s="2">
        <v>4.3040067889999998</v>
      </c>
      <c r="X2226">
        <f t="shared" si="102"/>
        <v>1</v>
      </c>
      <c r="Y2226">
        <f t="shared" si="103"/>
        <v>0</v>
      </c>
      <c r="Z2226">
        <f t="shared" si="104"/>
        <v>0</v>
      </c>
    </row>
    <row r="2227" spans="1:26" ht="15.75" customHeight="1" x14ac:dyDescent="0.2">
      <c r="A2227" s="2" t="s">
        <v>36</v>
      </c>
      <c r="B2227" s="2" t="s">
        <v>24</v>
      </c>
      <c r="C2227" s="2" t="s">
        <v>27</v>
      </c>
      <c r="D2227" s="2" t="s">
        <v>27</v>
      </c>
      <c r="E2227" s="2">
        <v>223</v>
      </c>
      <c r="F2227" s="2">
        <v>210</v>
      </c>
      <c r="G2227" s="2">
        <v>443</v>
      </c>
      <c r="H2227" s="2">
        <v>2562</v>
      </c>
      <c r="I2227" s="2">
        <v>3206</v>
      </c>
      <c r="J2227" s="2">
        <v>2.06</v>
      </c>
      <c r="K2227" s="2">
        <v>4.42</v>
      </c>
      <c r="L2227" s="2">
        <v>14.66</v>
      </c>
      <c r="M2227" s="2">
        <v>16.11</v>
      </c>
      <c r="N2227" s="2">
        <v>1.669088208</v>
      </c>
      <c r="O2227" s="2">
        <v>1.700808597</v>
      </c>
      <c r="P2227" s="2">
        <v>3.4514772909999998</v>
      </c>
      <c r="Q2227" s="2">
        <v>3.5751650129999999</v>
      </c>
      <c r="R2227" s="2">
        <v>0.47446601900000002</v>
      </c>
      <c r="S2227" s="2">
        <v>0.57446601900000005</v>
      </c>
      <c r="T2227" s="2">
        <v>3.418709915</v>
      </c>
      <c r="U2227" s="2">
        <v>3.5287099149999999</v>
      </c>
      <c r="V2227" s="2">
        <v>0.99233460200000001</v>
      </c>
      <c r="W2227" s="2">
        <v>1.027301647</v>
      </c>
      <c r="X2227">
        <f t="shared" si="102"/>
        <v>1</v>
      </c>
      <c r="Y2227">
        <f t="shared" si="103"/>
        <v>0</v>
      </c>
      <c r="Z2227">
        <f t="shared" si="104"/>
        <v>0</v>
      </c>
    </row>
    <row r="2228" spans="1:26" ht="15.75" customHeight="1" x14ac:dyDescent="0.2">
      <c r="A2228" s="2" t="s">
        <v>36</v>
      </c>
      <c r="B2228" s="2" t="s">
        <v>24</v>
      </c>
      <c r="C2228" s="2" t="s">
        <v>30</v>
      </c>
      <c r="D2228" s="2" t="s">
        <v>31</v>
      </c>
      <c r="E2228" s="2">
        <v>151</v>
      </c>
      <c r="F2228" s="2">
        <v>251</v>
      </c>
      <c r="G2228" s="2">
        <v>717</v>
      </c>
      <c r="H2228" s="2">
        <v>1381</v>
      </c>
      <c r="I2228" s="2">
        <v>2720</v>
      </c>
      <c r="J2228" s="2">
        <v>2.5099999999999998</v>
      </c>
      <c r="K2228" s="2">
        <v>6.65</v>
      </c>
      <c r="L2228" s="2">
        <v>10.55</v>
      </c>
      <c r="M2228" s="2">
        <v>15.05</v>
      </c>
      <c r="N2228" s="2">
        <v>3.3300753670000001</v>
      </c>
      <c r="O2228" s="2">
        <v>3.2270777919999998</v>
      </c>
      <c r="P2228" s="2">
        <v>1.8881204490000001</v>
      </c>
      <c r="Q2228" s="2">
        <v>1.7561497239999999</v>
      </c>
      <c r="R2228" s="2">
        <v>1.758268991</v>
      </c>
      <c r="S2228" s="2">
        <v>1.6582689909999999</v>
      </c>
      <c r="T2228" s="2">
        <v>0.68810535799999994</v>
      </c>
      <c r="U2228" s="2">
        <v>0.57810535799999996</v>
      </c>
      <c r="V2228" s="2">
        <v>3.2250696130000001</v>
      </c>
      <c r="W2228" s="2">
        <v>3.2600366570000001</v>
      </c>
      <c r="X2228">
        <f t="shared" si="102"/>
        <v>1</v>
      </c>
      <c r="Y2228">
        <f t="shared" si="103"/>
        <v>0</v>
      </c>
      <c r="Z2228">
        <f t="shared" si="104"/>
        <v>1</v>
      </c>
    </row>
    <row r="2229" spans="1:26" ht="15.75" customHeight="1" x14ac:dyDescent="0.2">
      <c r="A2229" s="2" t="s">
        <v>36</v>
      </c>
      <c r="B2229" s="2" t="s">
        <v>24</v>
      </c>
      <c r="C2229" s="2" t="s">
        <v>25</v>
      </c>
      <c r="D2229" s="2" t="s">
        <v>25</v>
      </c>
      <c r="E2229" s="2">
        <v>187</v>
      </c>
      <c r="F2229" s="2">
        <v>238</v>
      </c>
      <c r="G2229" s="2">
        <v>884</v>
      </c>
      <c r="H2229" s="2">
        <v>1485</v>
      </c>
      <c r="I2229" s="2">
        <v>2308</v>
      </c>
      <c r="J2229" s="2">
        <v>2.37</v>
      </c>
      <c r="K2229" s="2">
        <v>7.81</v>
      </c>
      <c r="L2229" s="2">
        <v>11.03</v>
      </c>
      <c r="M2229" s="2">
        <v>13.97</v>
      </c>
      <c r="N2229" s="2">
        <v>0.63032075399999998</v>
      </c>
      <c r="O2229" s="2">
        <v>0.223339713</v>
      </c>
      <c r="P2229" s="2">
        <v>2.9233044650000002</v>
      </c>
      <c r="Q2229" s="2">
        <v>2.8174068980000002</v>
      </c>
      <c r="R2229" s="2">
        <v>2.9155127150000002</v>
      </c>
      <c r="S2229" s="2">
        <v>2.8155127150000001</v>
      </c>
      <c r="T2229" s="2">
        <v>0.21329463000000001</v>
      </c>
      <c r="U2229" s="2">
        <v>0.10329463</v>
      </c>
      <c r="V2229" s="2">
        <v>4.3823133370000003</v>
      </c>
      <c r="W2229" s="2">
        <v>4.4172803810000003</v>
      </c>
      <c r="X2229">
        <f t="shared" si="102"/>
        <v>1</v>
      </c>
      <c r="Y2229">
        <f t="shared" si="103"/>
        <v>0</v>
      </c>
      <c r="Z2229">
        <f t="shared" si="104"/>
        <v>0</v>
      </c>
    </row>
    <row r="2230" spans="1:26" ht="15.75" customHeight="1" x14ac:dyDescent="0.2">
      <c r="A2230" s="2" t="s">
        <v>36</v>
      </c>
      <c r="B2230" s="2" t="s">
        <v>24</v>
      </c>
      <c r="C2230" s="2" t="s">
        <v>30</v>
      </c>
      <c r="D2230" s="2" t="s">
        <v>31</v>
      </c>
      <c r="E2230" s="2">
        <v>196</v>
      </c>
      <c r="F2230" s="2">
        <v>220</v>
      </c>
      <c r="G2230" s="2">
        <v>503</v>
      </c>
      <c r="H2230" s="2">
        <v>1252</v>
      </c>
      <c r="I2230" s="2">
        <v>2304</v>
      </c>
      <c r="J2230" s="2">
        <v>2.1800000000000002</v>
      </c>
      <c r="K2230" s="2">
        <v>4.95</v>
      </c>
      <c r="L2230" s="2">
        <v>9.92</v>
      </c>
      <c r="M2230" s="2">
        <v>13.96</v>
      </c>
      <c r="N2230" s="2">
        <v>3.1218988209999998</v>
      </c>
      <c r="O2230" s="2">
        <v>3.0726248740000002</v>
      </c>
      <c r="P2230" s="2">
        <v>1.3210537280000001</v>
      </c>
      <c r="Q2230" s="2">
        <v>1.210501493</v>
      </c>
      <c r="R2230" s="2">
        <v>5.8092016000000003E-2</v>
      </c>
      <c r="S2230" s="2">
        <v>4.1907984000000002E-2</v>
      </c>
      <c r="T2230" s="2">
        <v>1.319775841</v>
      </c>
      <c r="U2230" s="2">
        <v>1.2097758409999999</v>
      </c>
      <c r="V2230" s="2">
        <v>1.5248926380000001</v>
      </c>
      <c r="W2230" s="2">
        <v>1.5598596819999999</v>
      </c>
      <c r="X2230">
        <f t="shared" si="102"/>
        <v>1</v>
      </c>
      <c r="Y2230">
        <f t="shared" si="103"/>
        <v>0</v>
      </c>
      <c r="Z2230">
        <f t="shared" si="104"/>
        <v>1</v>
      </c>
    </row>
    <row r="2231" spans="1:26" ht="15.75" customHeight="1" x14ac:dyDescent="0.2">
      <c r="A2231" s="2" t="s">
        <v>36</v>
      </c>
      <c r="B2231" s="2" t="s">
        <v>24</v>
      </c>
      <c r="C2231" s="2" t="s">
        <v>25</v>
      </c>
      <c r="D2231" s="2" t="s">
        <v>25</v>
      </c>
      <c r="E2231" s="2">
        <v>150</v>
      </c>
      <c r="F2231" s="2">
        <v>236</v>
      </c>
      <c r="G2231" s="2">
        <v>880</v>
      </c>
      <c r="H2231" s="2">
        <v>1587</v>
      </c>
      <c r="I2231" s="2">
        <v>2900</v>
      </c>
      <c r="J2231" s="2">
        <v>2.35</v>
      </c>
      <c r="K2231" s="2">
        <v>7.78</v>
      </c>
      <c r="L2231" s="2">
        <v>11.47</v>
      </c>
      <c r="M2231" s="2">
        <v>15.47</v>
      </c>
      <c r="N2231" s="2">
        <v>0.73930492599999997</v>
      </c>
      <c r="O2231" s="2">
        <v>0.58321563099999996</v>
      </c>
      <c r="P2231" s="2">
        <v>3.155625449</v>
      </c>
      <c r="Q2231" s="2">
        <v>3.0286088059999998</v>
      </c>
      <c r="R2231" s="2">
        <v>3.1551520129999999</v>
      </c>
      <c r="S2231" s="2">
        <v>3.025152013</v>
      </c>
      <c r="T2231" s="2">
        <v>5.4660276000000001E-2</v>
      </c>
      <c r="U2231" s="2">
        <v>0.144660276</v>
      </c>
      <c r="V2231" s="2">
        <v>4.4624269539999997</v>
      </c>
      <c r="W2231" s="2">
        <v>4.4384366220000002</v>
      </c>
      <c r="X2231">
        <f t="shared" si="102"/>
        <v>1</v>
      </c>
      <c r="Y2231">
        <f t="shared" si="103"/>
        <v>0</v>
      </c>
      <c r="Z2231">
        <f t="shared" si="104"/>
        <v>0</v>
      </c>
    </row>
    <row r="2232" spans="1:26" ht="15.75" customHeight="1" x14ac:dyDescent="0.2">
      <c r="A2232" s="2" t="s">
        <v>36</v>
      </c>
      <c r="B2232" s="2" t="s">
        <v>24</v>
      </c>
      <c r="C2232" s="2" t="s">
        <v>26</v>
      </c>
      <c r="D2232" s="2" t="s">
        <v>26</v>
      </c>
      <c r="E2232" s="2">
        <v>111</v>
      </c>
      <c r="F2232" s="2">
        <v>124</v>
      </c>
      <c r="G2232" s="2">
        <v>394</v>
      </c>
      <c r="H2232" s="2">
        <v>1066</v>
      </c>
      <c r="I2232" s="2">
        <v>2951</v>
      </c>
      <c r="J2232" s="2">
        <v>1.06</v>
      </c>
      <c r="K2232" s="2">
        <v>3.95</v>
      </c>
      <c r="L2232" s="2">
        <v>8.91</v>
      </c>
      <c r="M2232" s="2">
        <v>15.58</v>
      </c>
      <c r="N2232" s="2">
        <v>0.66966270999999999</v>
      </c>
      <c r="O2232" s="2">
        <v>0.70603835999999998</v>
      </c>
      <c r="P2232" s="2">
        <v>2.689105321</v>
      </c>
      <c r="Q2232" s="2">
        <v>2.810404503</v>
      </c>
      <c r="R2232" s="2">
        <v>0.66584619700000003</v>
      </c>
      <c r="S2232" s="2">
        <v>0.79584619700000003</v>
      </c>
      <c r="T2232" s="2">
        <v>2.6053668210000001</v>
      </c>
      <c r="U2232" s="2">
        <v>2.6953668209999999</v>
      </c>
      <c r="V2232" s="2">
        <v>0.64142874299999997</v>
      </c>
      <c r="W2232" s="2">
        <v>0.61743841099999996</v>
      </c>
      <c r="X2232">
        <f t="shared" si="102"/>
        <v>1</v>
      </c>
      <c r="Y2232">
        <f t="shared" si="103"/>
        <v>0</v>
      </c>
      <c r="Z2232">
        <f t="shared" si="104"/>
        <v>0</v>
      </c>
    </row>
    <row r="2233" spans="1:26" ht="15.75" customHeight="1" x14ac:dyDescent="0.2">
      <c r="A2233" s="2" t="s">
        <v>36</v>
      </c>
      <c r="B2233" s="2" t="s">
        <v>24</v>
      </c>
      <c r="C2233" s="2" t="s">
        <v>27</v>
      </c>
      <c r="D2233" s="2" t="s">
        <v>27</v>
      </c>
      <c r="E2233" s="2">
        <v>90</v>
      </c>
      <c r="F2233" s="2">
        <v>208</v>
      </c>
      <c r="G2233" s="2">
        <v>443</v>
      </c>
      <c r="H2233" s="2">
        <v>2262</v>
      </c>
      <c r="I2233" s="2">
        <v>3297</v>
      </c>
      <c r="J2233" s="2">
        <v>2.04</v>
      </c>
      <c r="K2233" s="2">
        <v>4.41</v>
      </c>
      <c r="L2233" s="2">
        <v>13.83</v>
      </c>
      <c r="M2233" s="2">
        <v>16.28</v>
      </c>
      <c r="N2233" s="2">
        <v>0.34803198899999999</v>
      </c>
      <c r="O2233" s="2">
        <v>0.50198593599999997</v>
      </c>
      <c r="P2233" s="2">
        <v>2.3231459910000001</v>
      </c>
      <c r="Q2233" s="2">
        <v>2.2493248079999999</v>
      </c>
      <c r="R2233" s="2">
        <v>0.20749896000000001</v>
      </c>
      <c r="S2233" s="2">
        <v>0.33749896000000001</v>
      </c>
      <c r="T2233" s="2">
        <v>2.31386073</v>
      </c>
      <c r="U2233" s="2">
        <v>2.2238607300000002</v>
      </c>
      <c r="V2233" s="2">
        <v>1.0997759810000001</v>
      </c>
      <c r="W2233" s="2">
        <v>1.075785649</v>
      </c>
      <c r="X2233">
        <f t="shared" si="102"/>
        <v>1</v>
      </c>
      <c r="Y2233">
        <f t="shared" si="103"/>
        <v>0</v>
      </c>
      <c r="Z2233">
        <f t="shared" si="104"/>
        <v>0</v>
      </c>
    </row>
    <row r="2234" spans="1:26" ht="15.75" customHeight="1" x14ac:dyDescent="0.2">
      <c r="A2234" s="2" t="s">
        <v>36</v>
      </c>
      <c r="B2234" s="2" t="s">
        <v>24</v>
      </c>
      <c r="C2234" s="2" t="s">
        <v>28</v>
      </c>
      <c r="D2234" s="2" t="s">
        <v>29</v>
      </c>
      <c r="E2234" s="2">
        <v>146</v>
      </c>
      <c r="F2234" s="2">
        <v>247</v>
      </c>
      <c r="G2234" s="2">
        <v>356</v>
      </c>
      <c r="H2234" s="2">
        <v>1029</v>
      </c>
      <c r="I2234" s="2">
        <v>2153</v>
      </c>
      <c r="J2234" s="2">
        <v>2.4700000000000002</v>
      </c>
      <c r="K2234" s="2">
        <v>3.59</v>
      </c>
      <c r="L2234" s="2">
        <v>8.6999999999999993</v>
      </c>
      <c r="M2234" s="2">
        <v>13.5</v>
      </c>
      <c r="N2234" s="2">
        <v>0.74138487099999995</v>
      </c>
      <c r="O2234" s="2">
        <v>0.84039633999999996</v>
      </c>
      <c r="P2234" s="2">
        <v>3.0028878639999999</v>
      </c>
      <c r="Q2234" s="2">
        <v>3.1332131489999999</v>
      </c>
      <c r="R2234" s="2">
        <v>1.0256813929999999</v>
      </c>
      <c r="S2234" s="2">
        <v>1.1556813930000001</v>
      </c>
      <c r="T2234" s="2">
        <v>2.8222886460000001</v>
      </c>
      <c r="U2234" s="2">
        <v>2.9122886459999999</v>
      </c>
      <c r="V2234" s="2">
        <v>0.281593547</v>
      </c>
      <c r="W2234" s="2">
        <v>0.257603215</v>
      </c>
      <c r="X2234">
        <f t="shared" si="102"/>
        <v>1</v>
      </c>
      <c r="Y2234">
        <f t="shared" si="103"/>
        <v>0</v>
      </c>
      <c r="Z2234">
        <f t="shared" si="104"/>
        <v>1</v>
      </c>
    </row>
    <row r="2235" spans="1:26" ht="15.75" customHeight="1" x14ac:dyDescent="0.2">
      <c r="A2235" s="2" t="s">
        <v>36</v>
      </c>
      <c r="B2235" s="2" t="s">
        <v>24</v>
      </c>
      <c r="C2235" s="2" t="s">
        <v>30</v>
      </c>
      <c r="D2235" s="2" t="s">
        <v>31</v>
      </c>
      <c r="E2235" s="2">
        <v>163</v>
      </c>
      <c r="F2235" s="2">
        <v>287</v>
      </c>
      <c r="G2235" s="2">
        <v>635</v>
      </c>
      <c r="H2235" s="2">
        <v>1474</v>
      </c>
      <c r="I2235" s="2">
        <v>2696</v>
      </c>
      <c r="J2235" s="2">
        <v>2.9</v>
      </c>
      <c r="K2235" s="2">
        <v>6.03</v>
      </c>
      <c r="L2235" s="2">
        <v>10.98</v>
      </c>
      <c r="M2235" s="2">
        <v>14.99</v>
      </c>
      <c r="N2235" s="2">
        <v>3.3295237900000001</v>
      </c>
      <c r="O2235" s="2">
        <v>3.3191582080000002</v>
      </c>
      <c r="P2235" s="2">
        <v>1.511053231</v>
      </c>
      <c r="Q2235" s="2">
        <v>1.4279896809999999</v>
      </c>
      <c r="R2235" s="2">
        <v>1.41044316</v>
      </c>
      <c r="S2235" s="2">
        <v>1.2804431599999999</v>
      </c>
      <c r="T2235" s="2">
        <v>0.54215492099999996</v>
      </c>
      <c r="U2235" s="2">
        <v>0.63215492100000004</v>
      </c>
      <c r="V2235" s="2">
        <v>2.7177180999999999</v>
      </c>
      <c r="W2235" s="2">
        <v>2.693727768</v>
      </c>
      <c r="X2235">
        <f t="shared" si="102"/>
        <v>1</v>
      </c>
      <c r="Y2235">
        <f t="shared" si="103"/>
        <v>0</v>
      </c>
      <c r="Z2235">
        <f t="shared" si="104"/>
        <v>1</v>
      </c>
    </row>
    <row r="2236" spans="1:26" ht="15.75" customHeight="1" x14ac:dyDescent="0.2">
      <c r="A2236" s="2" t="s">
        <v>36</v>
      </c>
      <c r="B2236" s="2" t="s">
        <v>24</v>
      </c>
      <c r="C2236" s="2" t="s">
        <v>26</v>
      </c>
      <c r="D2236" s="2" t="s">
        <v>26</v>
      </c>
      <c r="E2236" s="2">
        <v>128</v>
      </c>
      <c r="F2236" s="2">
        <v>227</v>
      </c>
      <c r="G2236" s="2">
        <v>422</v>
      </c>
      <c r="H2236" s="2">
        <v>740</v>
      </c>
      <c r="I2236" s="2">
        <v>3131</v>
      </c>
      <c r="J2236" s="2">
        <v>2.2599999999999998</v>
      </c>
      <c r="K2236" s="2">
        <v>4.22</v>
      </c>
      <c r="L2236" s="2">
        <v>6.82</v>
      </c>
      <c r="M2236" s="2">
        <v>15.96</v>
      </c>
      <c r="N2236" s="2">
        <v>1.4820779120000001</v>
      </c>
      <c r="O2236" s="2">
        <v>1.517944781</v>
      </c>
      <c r="P2236" s="2">
        <v>4.7193442729999999</v>
      </c>
      <c r="Q2236" s="2">
        <v>4.8216657569999999</v>
      </c>
      <c r="R2236" s="2">
        <v>0.40337298799999999</v>
      </c>
      <c r="S2236" s="2">
        <v>0.53337298799999999</v>
      </c>
      <c r="T2236" s="2">
        <v>4.7020740740000004</v>
      </c>
      <c r="U2236" s="2">
        <v>4.7920740740000003</v>
      </c>
      <c r="V2236" s="2">
        <v>0.90390195200000001</v>
      </c>
      <c r="W2236" s="2">
        <v>0.87991162000000001</v>
      </c>
      <c r="X2236">
        <f t="shared" si="102"/>
        <v>1</v>
      </c>
      <c r="Y2236">
        <f t="shared" si="103"/>
        <v>0</v>
      </c>
      <c r="Z2236">
        <f t="shared" si="104"/>
        <v>0</v>
      </c>
    </row>
    <row r="2237" spans="1:26" ht="15.75" customHeight="1" x14ac:dyDescent="0.2">
      <c r="A2237" s="2" t="s">
        <v>36</v>
      </c>
      <c r="B2237" s="2" t="s">
        <v>24</v>
      </c>
      <c r="C2237" s="2" t="s">
        <v>28</v>
      </c>
      <c r="D2237" s="2" t="s">
        <v>29</v>
      </c>
      <c r="E2237" s="2">
        <v>148</v>
      </c>
      <c r="F2237" s="2">
        <v>243</v>
      </c>
      <c r="G2237" s="2">
        <v>318</v>
      </c>
      <c r="H2237" s="2">
        <v>1262</v>
      </c>
      <c r="I2237" s="2">
        <v>2147</v>
      </c>
      <c r="J2237" s="2">
        <v>2.4300000000000002</v>
      </c>
      <c r="K2237" s="2">
        <v>3.22</v>
      </c>
      <c r="L2237" s="2">
        <v>9.9700000000000006</v>
      </c>
      <c r="M2237" s="2">
        <v>13.48</v>
      </c>
      <c r="N2237" s="2">
        <v>1.9494513819999999</v>
      </c>
      <c r="O2237" s="2">
        <v>1.9947316660000001</v>
      </c>
      <c r="P2237" s="2">
        <v>2.0906378989999999</v>
      </c>
      <c r="Q2237" s="2">
        <v>2.2449143920000001</v>
      </c>
      <c r="R2237" s="2">
        <v>1.40405267</v>
      </c>
      <c r="S2237" s="2">
        <v>1.5340526699999999</v>
      </c>
      <c r="T2237" s="2">
        <v>1.549000621</v>
      </c>
      <c r="U2237" s="2">
        <v>1.6390006210000001</v>
      </c>
      <c r="V2237" s="2">
        <v>-9.6777730000000006E-2</v>
      </c>
      <c r="W2237" s="2">
        <v>-0.120768062</v>
      </c>
      <c r="X2237">
        <f t="shared" si="102"/>
        <v>1</v>
      </c>
      <c r="Y2237">
        <f t="shared" si="103"/>
        <v>0</v>
      </c>
      <c r="Z2237">
        <f t="shared" si="104"/>
        <v>1</v>
      </c>
    </row>
    <row r="2238" spans="1:26" ht="15.75" customHeight="1" x14ac:dyDescent="0.2">
      <c r="A2238" s="2" t="s">
        <v>36</v>
      </c>
      <c r="B2238" s="2" t="s">
        <v>24</v>
      </c>
      <c r="C2238" s="2" t="s">
        <v>32</v>
      </c>
      <c r="D2238" s="2" t="s">
        <v>33</v>
      </c>
      <c r="E2238" s="2">
        <v>100</v>
      </c>
      <c r="F2238" s="2">
        <v>250</v>
      </c>
      <c r="G2238" s="2">
        <v>559</v>
      </c>
      <c r="H2238" s="2">
        <v>1225</v>
      </c>
      <c r="I2238" s="2">
        <v>2752</v>
      </c>
      <c r="J2238" s="2">
        <v>2.5099999999999998</v>
      </c>
      <c r="K2238" s="2">
        <v>5.42</v>
      </c>
      <c r="L2238" s="2">
        <v>9.7799999999999994</v>
      </c>
      <c r="M2238" s="2">
        <v>15.13</v>
      </c>
      <c r="N2238" s="2">
        <v>2.7063251849999999</v>
      </c>
      <c r="O2238" s="2">
        <v>2.7961754330000002</v>
      </c>
      <c r="P2238" s="2">
        <v>1.912339295</v>
      </c>
      <c r="Q2238" s="2">
        <v>1.946230334</v>
      </c>
      <c r="R2238" s="2">
        <v>0.79673901499999999</v>
      </c>
      <c r="S2238" s="2">
        <v>0.66673901499999999</v>
      </c>
      <c r="T2238" s="2">
        <v>1.7384615379999999</v>
      </c>
      <c r="U2238" s="2">
        <v>1.828461538</v>
      </c>
      <c r="V2238" s="2">
        <v>2.1040139560000002</v>
      </c>
      <c r="W2238" s="2">
        <v>2.0800236239999998</v>
      </c>
      <c r="X2238">
        <f t="shared" si="102"/>
        <v>1</v>
      </c>
      <c r="Y2238">
        <f t="shared" si="103"/>
        <v>0</v>
      </c>
      <c r="Z2238">
        <f t="shared" si="104"/>
        <v>1</v>
      </c>
    </row>
    <row r="2239" spans="1:26" ht="15.75" customHeight="1" x14ac:dyDescent="0.2">
      <c r="A2239" s="2" t="s">
        <v>36</v>
      </c>
      <c r="B2239" s="2" t="s">
        <v>24</v>
      </c>
      <c r="C2239" s="2" t="s">
        <v>32</v>
      </c>
      <c r="D2239" s="2" t="s">
        <v>33</v>
      </c>
      <c r="E2239" s="2">
        <v>152</v>
      </c>
      <c r="F2239" s="2">
        <v>251</v>
      </c>
      <c r="G2239" s="2">
        <v>597</v>
      </c>
      <c r="H2239" s="2">
        <v>1240</v>
      </c>
      <c r="I2239" s="2">
        <v>3052</v>
      </c>
      <c r="J2239" s="2">
        <v>2.52</v>
      </c>
      <c r="K2239" s="2">
        <v>5.73</v>
      </c>
      <c r="L2239" s="2">
        <v>9.86</v>
      </c>
      <c r="M2239" s="2">
        <v>15.8</v>
      </c>
      <c r="N2239" s="2">
        <v>2.4569815990000001</v>
      </c>
      <c r="O2239" s="2">
        <v>2.5357968409999998</v>
      </c>
      <c r="P2239" s="2">
        <v>1.997523283</v>
      </c>
      <c r="Q2239" s="2">
        <v>2.0066473089999999</v>
      </c>
      <c r="R2239" s="2">
        <v>1.106831812</v>
      </c>
      <c r="S2239" s="2">
        <v>0.97683181200000002</v>
      </c>
      <c r="T2239" s="2">
        <v>1.6628357119999999</v>
      </c>
      <c r="U2239" s="2">
        <v>1.752835712</v>
      </c>
      <c r="V2239" s="2">
        <v>2.414106753</v>
      </c>
      <c r="W2239" s="2">
        <v>2.3901164210000001</v>
      </c>
      <c r="X2239">
        <f t="shared" si="102"/>
        <v>1</v>
      </c>
      <c r="Y2239">
        <f t="shared" si="103"/>
        <v>0</v>
      </c>
      <c r="Z2239">
        <f t="shared" si="104"/>
        <v>1</v>
      </c>
    </row>
    <row r="2240" spans="1:26" ht="15.75" customHeight="1" x14ac:dyDescent="0.2">
      <c r="A2240" s="2" t="s">
        <v>36</v>
      </c>
      <c r="B2240" s="2" t="s">
        <v>24</v>
      </c>
      <c r="C2240" s="2" t="s">
        <v>25</v>
      </c>
      <c r="D2240" s="2" t="s">
        <v>25</v>
      </c>
      <c r="E2240" s="2">
        <v>156</v>
      </c>
      <c r="F2240" s="2">
        <v>243</v>
      </c>
      <c r="G2240" s="2">
        <v>850</v>
      </c>
      <c r="H2240" s="2">
        <v>1764</v>
      </c>
      <c r="I2240" s="2">
        <v>2883</v>
      </c>
      <c r="J2240" s="2">
        <v>2.42</v>
      </c>
      <c r="K2240" s="2">
        <v>7.58</v>
      </c>
      <c r="L2240" s="2">
        <v>12.17</v>
      </c>
      <c r="M2240" s="2">
        <v>15.43</v>
      </c>
      <c r="N2240" s="2">
        <v>0.52707501000000001</v>
      </c>
      <c r="O2240" s="2">
        <v>0.42512069600000002</v>
      </c>
      <c r="P2240" s="2">
        <v>3.027768966</v>
      </c>
      <c r="Q2240" s="2">
        <v>2.882141453</v>
      </c>
      <c r="R2240" s="2">
        <v>2.9575679199999998</v>
      </c>
      <c r="S2240" s="2">
        <v>2.8275679199999999</v>
      </c>
      <c r="T2240" s="2">
        <v>0.64821054499999997</v>
      </c>
      <c r="U2240" s="2">
        <v>0.558210545</v>
      </c>
      <c r="V2240" s="2">
        <v>4.264842861</v>
      </c>
      <c r="W2240" s="2">
        <v>4.2408525289999996</v>
      </c>
      <c r="X2240">
        <f t="shared" si="102"/>
        <v>1</v>
      </c>
      <c r="Y2240">
        <f t="shared" si="103"/>
        <v>0</v>
      </c>
      <c r="Z2240">
        <f t="shared" si="104"/>
        <v>0</v>
      </c>
    </row>
    <row r="2241" spans="1:26" ht="15.75" customHeight="1" x14ac:dyDescent="0.2">
      <c r="A2241" s="2" t="s">
        <v>36</v>
      </c>
      <c r="B2241" s="2" t="s">
        <v>24</v>
      </c>
      <c r="C2241" s="2" t="s">
        <v>32</v>
      </c>
      <c r="D2241" s="2" t="s">
        <v>33</v>
      </c>
      <c r="E2241" s="2">
        <v>120</v>
      </c>
      <c r="F2241" s="2">
        <v>231</v>
      </c>
      <c r="G2241" s="2">
        <v>817</v>
      </c>
      <c r="H2241" s="2">
        <v>1391</v>
      </c>
      <c r="I2241" s="2">
        <v>2892</v>
      </c>
      <c r="J2241" s="2">
        <v>2.29</v>
      </c>
      <c r="K2241" s="2">
        <v>7.36</v>
      </c>
      <c r="L2241" s="2">
        <v>10.6</v>
      </c>
      <c r="M2241" s="2">
        <v>15.45</v>
      </c>
      <c r="N2241" s="2">
        <v>1.2769687110000001</v>
      </c>
      <c r="O2241" s="2">
        <v>1.2302552499999999</v>
      </c>
      <c r="P2241" s="2">
        <v>2.890049877</v>
      </c>
      <c r="Q2241" s="2">
        <v>2.7983138759999999</v>
      </c>
      <c r="R2241" s="2">
        <v>2.739836774</v>
      </c>
      <c r="S2241" s="2">
        <v>2.6098367740000001</v>
      </c>
      <c r="T2241" s="2">
        <v>0.91961010499999996</v>
      </c>
      <c r="U2241" s="2">
        <v>1.0096101049999999</v>
      </c>
      <c r="V2241" s="2">
        <v>4.0471117139999997</v>
      </c>
      <c r="W2241" s="2">
        <v>4.0231213820000002</v>
      </c>
      <c r="X2241">
        <f t="shared" si="102"/>
        <v>1</v>
      </c>
      <c r="Y2241">
        <f t="shared" si="103"/>
        <v>0</v>
      </c>
      <c r="Z2241">
        <f t="shared" si="104"/>
        <v>1</v>
      </c>
    </row>
    <row r="2242" spans="1:26" ht="15.75" customHeight="1" x14ac:dyDescent="0.2">
      <c r="A2242" s="2" t="s">
        <v>36</v>
      </c>
      <c r="B2242" s="2" t="s">
        <v>24</v>
      </c>
      <c r="C2242" s="2" t="s">
        <v>32</v>
      </c>
      <c r="D2242" s="2" t="s">
        <v>33</v>
      </c>
      <c r="E2242" s="2">
        <v>173</v>
      </c>
      <c r="F2242" s="2">
        <v>251</v>
      </c>
      <c r="G2242" s="2">
        <v>714</v>
      </c>
      <c r="H2242" s="2">
        <v>1171</v>
      </c>
      <c r="I2242" s="2">
        <v>2690</v>
      </c>
      <c r="J2242" s="2">
        <v>2.5099999999999998</v>
      </c>
      <c r="K2242" s="2">
        <v>6.63</v>
      </c>
      <c r="L2242" s="2">
        <v>9.5</v>
      </c>
      <c r="M2242" s="2">
        <v>14.98</v>
      </c>
      <c r="N2242" s="2">
        <v>2.418084484</v>
      </c>
      <c r="O2242" s="2">
        <v>2.4315641619999999</v>
      </c>
      <c r="P2242" s="2">
        <v>2.8495926960000002</v>
      </c>
      <c r="Q2242" s="2">
        <v>2.8260818849999998</v>
      </c>
      <c r="R2242" s="2">
        <v>2.008691099</v>
      </c>
      <c r="S2242" s="2">
        <v>1.8786910990000001</v>
      </c>
      <c r="T2242" s="2">
        <v>2.0212220570000001</v>
      </c>
      <c r="U2242" s="2">
        <v>2.111222057</v>
      </c>
      <c r="V2242" s="2">
        <v>3.3159660400000002</v>
      </c>
      <c r="W2242" s="2">
        <v>3.2919757079999998</v>
      </c>
      <c r="X2242">
        <f t="shared" si="102"/>
        <v>1</v>
      </c>
      <c r="Y2242">
        <f t="shared" si="103"/>
        <v>0</v>
      </c>
      <c r="Z2242">
        <f t="shared" si="104"/>
        <v>1</v>
      </c>
    </row>
    <row r="2243" spans="1:26" ht="15.75" customHeight="1" x14ac:dyDescent="0.2">
      <c r="A2243" s="2" t="s">
        <v>36</v>
      </c>
      <c r="B2243" s="2" t="s">
        <v>24</v>
      </c>
      <c r="C2243" s="2" t="s">
        <v>25</v>
      </c>
      <c r="D2243" s="2" t="s">
        <v>25</v>
      </c>
      <c r="E2243" s="2">
        <v>100</v>
      </c>
      <c r="F2243" s="2">
        <v>236</v>
      </c>
      <c r="G2243" s="2">
        <v>818</v>
      </c>
      <c r="H2243" s="2">
        <v>1719</v>
      </c>
      <c r="I2243" s="2">
        <v>2972</v>
      </c>
      <c r="J2243" s="2">
        <v>2.35</v>
      </c>
      <c r="K2243" s="2">
        <v>7.36</v>
      </c>
      <c r="L2243" s="2">
        <v>12</v>
      </c>
      <c r="M2243" s="2">
        <v>15.62</v>
      </c>
      <c r="N2243" s="2">
        <v>0.25173972500000003</v>
      </c>
      <c r="O2243" s="2">
        <v>0.17085530099999999</v>
      </c>
      <c r="P2243" s="2">
        <v>2.7830439789999999</v>
      </c>
      <c r="Q2243" s="2">
        <v>2.6404129470000002</v>
      </c>
      <c r="R2243" s="2">
        <v>2.7421072839999998</v>
      </c>
      <c r="S2243" s="2">
        <v>2.6121072839999999</v>
      </c>
      <c r="T2243" s="2">
        <v>0.47558535699999999</v>
      </c>
      <c r="U2243" s="2">
        <v>0.38558535700000002</v>
      </c>
      <c r="V2243" s="2">
        <v>4.0493822249999996</v>
      </c>
      <c r="W2243" s="2">
        <v>4.0253918930000001</v>
      </c>
      <c r="X2243">
        <f t="shared" ref="X2243:X2306" si="105">IF(B2243="normal",1,0)</f>
        <v>1</v>
      </c>
      <c r="Y2243">
        <f t="shared" ref="Y2243:Y2306" si="106">IF(A2243="lecture",1,0)</f>
        <v>0</v>
      </c>
      <c r="Z2243">
        <f t="shared" ref="Z2243:Z2306" si="107">IF(ISNUMBER(FIND("~",D2243)),1,0)</f>
        <v>0</v>
      </c>
    </row>
    <row r="2244" spans="1:26" ht="15.75" customHeight="1" x14ac:dyDescent="0.2">
      <c r="A2244" s="2" t="s">
        <v>36</v>
      </c>
      <c r="B2244" s="2" t="s">
        <v>24</v>
      </c>
      <c r="C2244" s="2" t="s">
        <v>25</v>
      </c>
      <c r="D2244" s="2" t="s">
        <v>25</v>
      </c>
      <c r="E2244" s="2">
        <v>114</v>
      </c>
      <c r="F2244" s="2">
        <v>238</v>
      </c>
      <c r="G2244" s="2">
        <v>833</v>
      </c>
      <c r="H2244" s="2">
        <v>1708</v>
      </c>
      <c r="I2244" s="2">
        <v>2917</v>
      </c>
      <c r="J2244" s="2">
        <v>2.38</v>
      </c>
      <c r="K2244" s="2">
        <v>7.47</v>
      </c>
      <c r="L2244" s="2">
        <v>11.95</v>
      </c>
      <c r="M2244" s="2">
        <v>15.51</v>
      </c>
      <c r="N2244" s="2">
        <v>0.32929506200000003</v>
      </c>
      <c r="O2244" s="2">
        <v>0.19071390999999999</v>
      </c>
      <c r="P2244" s="2">
        <v>2.8786773829999999</v>
      </c>
      <c r="Q2244" s="2">
        <v>2.7375059300000002</v>
      </c>
      <c r="R2244" s="2">
        <v>2.8459649119999999</v>
      </c>
      <c r="S2244" s="2">
        <v>2.715964912</v>
      </c>
      <c r="T2244" s="2">
        <v>0.43274379699999999</v>
      </c>
      <c r="U2244" s="2">
        <v>0.34274379700000002</v>
      </c>
      <c r="V2244" s="2">
        <v>4.1532398529999996</v>
      </c>
      <c r="W2244" s="2">
        <v>4.1292495210000002</v>
      </c>
      <c r="X2244">
        <f t="shared" si="105"/>
        <v>1</v>
      </c>
      <c r="Y2244">
        <f t="shared" si="106"/>
        <v>0</v>
      </c>
      <c r="Z2244">
        <f t="shared" si="107"/>
        <v>0</v>
      </c>
    </row>
    <row r="2245" spans="1:26" ht="15.75" customHeight="1" x14ac:dyDescent="0.2">
      <c r="A2245" s="2" t="s">
        <v>36</v>
      </c>
      <c r="B2245" s="2" t="s">
        <v>24</v>
      </c>
      <c r="C2245" s="2" t="s">
        <v>27</v>
      </c>
      <c r="D2245" s="2" t="s">
        <v>27</v>
      </c>
      <c r="E2245" s="2">
        <v>100</v>
      </c>
      <c r="F2245" s="2">
        <v>238</v>
      </c>
      <c r="G2245" s="2">
        <v>493</v>
      </c>
      <c r="H2245" s="2">
        <v>2377</v>
      </c>
      <c r="I2245" s="2">
        <v>2988</v>
      </c>
      <c r="J2245" s="2">
        <v>2.38</v>
      </c>
      <c r="K2245" s="2">
        <v>4.8600000000000003</v>
      </c>
      <c r="L2245" s="2">
        <v>14.16</v>
      </c>
      <c r="M2245" s="2">
        <v>15.66</v>
      </c>
      <c r="N2245" s="2">
        <v>0.204451049</v>
      </c>
      <c r="O2245" s="2">
        <v>8.3121956999999996E-2</v>
      </c>
      <c r="P2245" s="2">
        <v>2.6534069119999999</v>
      </c>
      <c r="Q2245" s="2">
        <v>2.5551230729999999</v>
      </c>
      <c r="R2245" s="2">
        <v>0.23531937999999999</v>
      </c>
      <c r="S2245" s="2">
        <v>0.10531938</v>
      </c>
      <c r="T2245" s="2">
        <v>2.6429515760000002</v>
      </c>
      <c r="U2245" s="2">
        <v>2.5529515759999999</v>
      </c>
      <c r="V2245" s="2">
        <v>1.5425943209999999</v>
      </c>
      <c r="W2245" s="2">
        <v>1.518603989</v>
      </c>
      <c r="X2245">
        <f t="shared" si="105"/>
        <v>1</v>
      </c>
      <c r="Y2245">
        <f t="shared" si="106"/>
        <v>0</v>
      </c>
      <c r="Z2245">
        <f t="shared" si="107"/>
        <v>0</v>
      </c>
    </row>
    <row r="2246" spans="1:26" ht="15.75" customHeight="1" x14ac:dyDescent="0.2">
      <c r="A2246" s="2" t="s">
        <v>36</v>
      </c>
      <c r="B2246" s="2" t="s">
        <v>24</v>
      </c>
      <c r="C2246" s="2" t="s">
        <v>30</v>
      </c>
      <c r="D2246" s="2" t="s">
        <v>31</v>
      </c>
      <c r="E2246" s="2">
        <v>121</v>
      </c>
      <c r="F2246" s="2">
        <v>272</v>
      </c>
      <c r="G2246" s="2">
        <v>834</v>
      </c>
      <c r="H2246" s="2">
        <v>1496</v>
      </c>
      <c r="I2246" s="2">
        <v>3331</v>
      </c>
      <c r="J2246" s="2">
        <v>2.73</v>
      </c>
      <c r="K2246" s="2">
        <v>7.47</v>
      </c>
      <c r="L2246" s="2">
        <v>11.08</v>
      </c>
      <c r="M2246" s="2">
        <v>16.350000000000001</v>
      </c>
      <c r="N2246" s="2">
        <v>4.0493549570000003</v>
      </c>
      <c r="O2246" s="2">
        <v>3.9857831209999999</v>
      </c>
      <c r="P2246" s="2">
        <v>2.884716225</v>
      </c>
      <c r="Q2246" s="2">
        <v>2.7722300999999998</v>
      </c>
      <c r="R2246" s="2">
        <v>2.8504545999999999</v>
      </c>
      <c r="S2246" s="2">
        <v>2.7204546000000001</v>
      </c>
      <c r="T2246" s="2">
        <v>0.443279005</v>
      </c>
      <c r="U2246" s="2">
        <v>0.53327900500000003</v>
      </c>
      <c r="V2246" s="2">
        <v>4.1577295400000001</v>
      </c>
      <c r="W2246" s="2">
        <v>4.1337392079999997</v>
      </c>
      <c r="X2246">
        <f t="shared" si="105"/>
        <v>1</v>
      </c>
      <c r="Y2246">
        <f t="shared" si="106"/>
        <v>0</v>
      </c>
      <c r="Z2246">
        <f t="shared" si="107"/>
        <v>1</v>
      </c>
    </row>
    <row r="2247" spans="1:26" ht="15.75" customHeight="1" x14ac:dyDescent="0.2">
      <c r="A2247" s="2" t="s">
        <v>36</v>
      </c>
      <c r="B2247" s="2" t="s">
        <v>24</v>
      </c>
      <c r="C2247" s="2" t="s">
        <v>28</v>
      </c>
      <c r="D2247" s="2" t="s">
        <v>29</v>
      </c>
      <c r="E2247" s="2">
        <v>91</v>
      </c>
      <c r="F2247" s="2">
        <v>225</v>
      </c>
      <c r="G2247" s="2">
        <v>285</v>
      </c>
      <c r="H2247" s="2">
        <v>1157</v>
      </c>
      <c r="I2247" s="2">
        <v>2454</v>
      </c>
      <c r="J2247" s="2">
        <v>2.23</v>
      </c>
      <c r="K2247" s="2">
        <v>2.88</v>
      </c>
      <c r="L2247" s="2">
        <v>9.42</v>
      </c>
      <c r="M2247" s="2">
        <v>14.38</v>
      </c>
      <c r="N2247" s="2">
        <v>1.750937669</v>
      </c>
      <c r="O2247" s="2">
        <v>1.8344932110000001</v>
      </c>
      <c r="P2247" s="2">
        <v>2.7265041139999999</v>
      </c>
      <c r="Q2247" s="2">
        <v>2.8791314180000001</v>
      </c>
      <c r="R2247" s="2">
        <v>1.743028504</v>
      </c>
      <c r="S2247" s="2">
        <v>1.8730285040000001</v>
      </c>
      <c r="T2247" s="2">
        <v>2.0965868259999998</v>
      </c>
      <c r="U2247" s="2">
        <v>2.1865868260000001</v>
      </c>
      <c r="V2247" s="2">
        <v>-0.43575356300000001</v>
      </c>
      <c r="W2247" s="2">
        <v>-0.45974389500000001</v>
      </c>
      <c r="X2247">
        <f t="shared" si="105"/>
        <v>1</v>
      </c>
      <c r="Y2247">
        <f t="shared" si="106"/>
        <v>0</v>
      </c>
      <c r="Z2247">
        <f t="shared" si="107"/>
        <v>1</v>
      </c>
    </row>
    <row r="2248" spans="1:26" ht="15.75" customHeight="1" x14ac:dyDescent="0.2">
      <c r="A2248" s="2" t="s">
        <v>36</v>
      </c>
      <c r="B2248" s="2" t="s">
        <v>24</v>
      </c>
      <c r="C2248" s="2" t="s">
        <v>28</v>
      </c>
      <c r="D2248" s="2" t="s">
        <v>29</v>
      </c>
      <c r="E2248" s="2">
        <v>137</v>
      </c>
      <c r="F2248" s="2">
        <v>264</v>
      </c>
      <c r="G2248" s="2">
        <v>300</v>
      </c>
      <c r="H2248" s="2">
        <v>1277</v>
      </c>
      <c r="I2248" s="2">
        <v>2090</v>
      </c>
      <c r="J2248" s="2">
        <v>2.66</v>
      </c>
      <c r="K2248" s="2">
        <v>3.03</v>
      </c>
      <c r="L2248" s="2">
        <v>10.039999999999999</v>
      </c>
      <c r="M2248" s="2">
        <v>13.31</v>
      </c>
      <c r="N2248" s="2">
        <v>2.1107738149999999</v>
      </c>
      <c r="O2248" s="2">
        <v>2.1627019160000001</v>
      </c>
      <c r="P2248" s="2">
        <v>2.1672040579999998</v>
      </c>
      <c r="Q2248" s="2">
        <v>2.3238112339999999</v>
      </c>
      <c r="R2248" s="2">
        <v>1.587721575</v>
      </c>
      <c r="S2248" s="2">
        <v>1.7177215749999999</v>
      </c>
      <c r="T2248" s="2">
        <v>1.4750978370000001</v>
      </c>
      <c r="U2248" s="2">
        <v>1.5650978369999999</v>
      </c>
      <c r="V2248" s="2">
        <v>-0.280446635</v>
      </c>
      <c r="W2248" s="2">
        <v>-0.304436967</v>
      </c>
      <c r="X2248">
        <f t="shared" si="105"/>
        <v>1</v>
      </c>
      <c r="Y2248">
        <f t="shared" si="106"/>
        <v>0</v>
      </c>
      <c r="Z2248">
        <f t="shared" si="107"/>
        <v>1</v>
      </c>
    </row>
    <row r="2249" spans="1:26" ht="15.75" customHeight="1" x14ac:dyDescent="0.2">
      <c r="A2249" s="2" t="s">
        <v>36</v>
      </c>
      <c r="B2249" s="2" t="s">
        <v>24</v>
      </c>
      <c r="C2249" s="2" t="s">
        <v>32</v>
      </c>
      <c r="D2249" s="2" t="s">
        <v>33</v>
      </c>
      <c r="E2249" s="2">
        <v>139</v>
      </c>
      <c r="F2249" s="2">
        <v>254</v>
      </c>
      <c r="G2249" s="2">
        <v>643</v>
      </c>
      <c r="H2249" s="2">
        <v>1346</v>
      </c>
      <c r="I2249" s="2">
        <v>2980</v>
      </c>
      <c r="J2249" s="2">
        <v>2.5499999999999998</v>
      </c>
      <c r="K2249" s="2">
        <v>6.09</v>
      </c>
      <c r="L2249" s="2">
        <v>10.38</v>
      </c>
      <c r="M2249" s="2">
        <v>15.64</v>
      </c>
      <c r="N2249" s="2">
        <v>1.815806126</v>
      </c>
      <c r="O2249" s="2">
        <v>1.896804776</v>
      </c>
      <c r="P2249" s="2">
        <v>1.860046313</v>
      </c>
      <c r="Q2249" s="2">
        <v>1.8183496480000001</v>
      </c>
      <c r="R2249" s="2">
        <v>1.4726776800000001</v>
      </c>
      <c r="S2249" s="2">
        <v>1.34267768</v>
      </c>
      <c r="T2249" s="2">
        <v>1.136218615</v>
      </c>
      <c r="U2249" s="2">
        <v>1.2262186150000001</v>
      </c>
      <c r="V2249" s="2">
        <v>2.77995262</v>
      </c>
      <c r="W2249" s="2">
        <v>2.7559622880000001</v>
      </c>
      <c r="X2249">
        <f t="shared" si="105"/>
        <v>1</v>
      </c>
      <c r="Y2249">
        <f t="shared" si="106"/>
        <v>0</v>
      </c>
      <c r="Z2249">
        <f t="shared" si="107"/>
        <v>1</v>
      </c>
    </row>
    <row r="2250" spans="1:26" ht="15.75" customHeight="1" x14ac:dyDescent="0.2">
      <c r="A2250" s="2" t="s">
        <v>36</v>
      </c>
      <c r="B2250" s="2" t="s">
        <v>24</v>
      </c>
      <c r="C2250" s="2" t="s">
        <v>26</v>
      </c>
      <c r="D2250" s="2" t="s">
        <v>26</v>
      </c>
      <c r="E2250" s="2">
        <v>144</v>
      </c>
      <c r="F2250" s="2">
        <v>247</v>
      </c>
      <c r="G2250" s="2">
        <v>436</v>
      </c>
      <c r="H2250" s="2">
        <v>873</v>
      </c>
      <c r="I2250" s="2">
        <v>3000</v>
      </c>
      <c r="J2250" s="2">
        <v>2.4700000000000002</v>
      </c>
      <c r="K2250" s="2">
        <v>4.3499999999999996</v>
      </c>
      <c r="L2250" s="2">
        <v>7.73</v>
      </c>
      <c r="M2250" s="2">
        <v>15.69</v>
      </c>
      <c r="N2250" s="2">
        <v>0.58422913799999998</v>
      </c>
      <c r="O2250" s="2">
        <v>0.60059299700000002</v>
      </c>
      <c r="P2250" s="2">
        <v>3.8004982269999998</v>
      </c>
      <c r="Q2250" s="2">
        <v>3.9015950880000001</v>
      </c>
      <c r="R2250" s="2">
        <v>0.274437178</v>
      </c>
      <c r="S2250" s="2">
        <v>0.40443717800000001</v>
      </c>
      <c r="T2250" s="2">
        <v>3.7905766060000001</v>
      </c>
      <c r="U2250" s="2">
        <v>3.880576606</v>
      </c>
      <c r="V2250" s="2">
        <v>1.032837762</v>
      </c>
      <c r="W2250" s="2">
        <v>1.0088474300000001</v>
      </c>
      <c r="X2250">
        <f t="shared" si="105"/>
        <v>1</v>
      </c>
      <c r="Y2250">
        <f t="shared" si="106"/>
        <v>0</v>
      </c>
      <c r="Z2250">
        <f t="shared" si="107"/>
        <v>0</v>
      </c>
    </row>
    <row r="2251" spans="1:26" ht="15.75" customHeight="1" x14ac:dyDescent="0.2">
      <c r="A2251" s="2" t="s">
        <v>36</v>
      </c>
      <c r="B2251" s="2" t="s">
        <v>24</v>
      </c>
      <c r="C2251" s="2" t="s">
        <v>25</v>
      </c>
      <c r="D2251" s="2" t="s">
        <v>25</v>
      </c>
      <c r="E2251" s="2">
        <v>153</v>
      </c>
      <c r="F2251" s="2">
        <v>232</v>
      </c>
      <c r="G2251" s="2">
        <v>736</v>
      </c>
      <c r="H2251" s="2">
        <v>1618</v>
      </c>
      <c r="I2251" s="2">
        <v>2957</v>
      </c>
      <c r="J2251" s="2">
        <v>2.31</v>
      </c>
      <c r="K2251" s="2">
        <v>6.79</v>
      </c>
      <c r="L2251" s="2">
        <v>11.6</v>
      </c>
      <c r="M2251" s="2">
        <v>15.59</v>
      </c>
      <c r="N2251" s="2">
        <v>0.44774575300000002</v>
      </c>
      <c r="O2251" s="2">
        <v>0.58060561600000005</v>
      </c>
      <c r="P2251" s="2">
        <v>2.1703488819999999</v>
      </c>
      <c r="Q2251" s="2">
        <v>2.0391051560000002</v>
      </c>
      <c r="R2251" s="2">
        <v>2.1690504449999999</v>
      </c>
      <c r="S2251" s="2">
        <v>2.039050445</v>
      </c>
      <c r="T2251" s="2">
        <v>7.5062878E-2</v>
      </c>
      <c r="U2251" s="2">
        <v>1.4937122000000001E-2</v>
      </c>
      <c r="V2251" s="2">
        <v>3.4763253860000001</v>
      </c>
      <c r="W2251" s="2">
        <v>3.4523350540000002</v>
      </c>
      <c r="X2251">
        <f t="shared" si="105"/>
        <v>1</v>
      </c>
      <c r="Y2251">
        <f t="shared" si="106"/>
        <v>0</v>
      </c>
      <c r="Z2251">
        <f t="shared" si="107"/>
        <v>0</v>
      </c>
    </row>
    <row r="2252" spans="1:26" ht="15.75" customHeight="1" x14ac:dyDescent="0.2">
      <c r="A2252" s="2" t="s">
        <v>36</v>
      </c>
      <c r="B2252" s="2" t="s">
        <v>24</v>
      </c>
      <c r="C2252" s="2" t="s">
        <v>30</v>
      </c>
      <c r="D2252" s="2" t="s">
        <v>31</v>
      </c>
      <c r="E2252" s="2">
        <v>154</v>
      </c>
      <c r="F2252" s="2">
        <v>233</v>
      </c>
      <c r="G2252" s="2">
        <v>612</v>
      </c>
      <c r="H2252" s="2">
        <v>1171</v>
      </c>
      <c r="I2252" s="2">
        <v>2478</v>
      </c>
      <c r="J2252" s="2">
        <v>2.3199999999999998</v>
      </c>
      <c r="K2252" s="2">
        <v>5.85</v>
      </c>
      <c r="L2252" s="2">
        <v>9.5</v>
      </c>
      <c r="M2252" s="2">
        <v>14.44</v>
      </c>
      <c r="N2252" s="2">
        <v>4.6771031489999997</v>
      </c>
      <c r="O2252" s="2">
        <v>4.6912676089999996</v>
      </c>
      <c r="P2252" s="2">
        <v>2.3686308610000002</v>
      </c>
      <c r="Q2252" s="2">
        <v>2.3831137509999998</v>
      </c>
      <c r="R2252" s="2">
        <v>1.2320098479999999</v>
      </c>
      <c r="S2252" s="2">
        <v>1.102009848</v>
      </c>
      <c r="T2252" s="2">
        <v>2.023008623</v>
      </c>
      <c r="U2252" s="2">
        <v>2.1130086229999998</v>
      </c>
      <c r="V2252" s="2">
        <v>2.5392847889999999</v>
      </c>
      <c r="W2252" s="2">
        <v>2.515294457</v>
      </c>
      <c r="X2252">
        <f t="shared" si="105"/>
        <v>1</v>
      </c>
      <c r="Y2252">
        <f t="shared" si="106"/>
        <v>0</v>
      </c>
      <c r="Z2252">
        <f t="shared" si="107"/>
        <v>1</v>
      </c>
    </row>
    <row r="2253" spans="1:26" ht="15.75" customHeight="1" x14ac:dyDescent="0.2">
      <c r="A2253" s="2" t="s">
        <v>36</v>
      </c>
      <c r="B2253" s="2" t="s">
        <v>24</v>
      </c>
      <c r="C2253" s="2" t="s">
        <v>27</v>
      </c>
      <c r="D2253" s="2" t="s">
        <v>27</v>
      </c>
      <c r="E2253" s="2">
        <v>107</v>
      </c>
      <c r="F2253" s="2">
        <v>239</v>
      </c>
      <c r="G2253" s="2">
        <v>447</v>
      </c>
      <c r="H2253" s="2">
        <v>2185</v>
      </c>
      <c r="I2253" s="2">
        <v>3066</v>
      </c>
      <c r="J2253" s="2">
        <v>2.38</v>
      </c>
      <c r="K2253" s="2">
        <v>4.45</v>
      </c>
      <c r="L2253" s="2">
        <v>13.6</v>
      </c>
      <c r="M2253" s="2">
        <v>15.82</v>
      </c>
      <c r="N2253" s="2">
        <v>0.49568707699999998</v>
      </c>
      <c r="O2253" s="2">
        <v>0.62352869499999997</v>
      </c>
      <c r="P2253" s="2">
        <v>2.0896751650000001</v>
      </c>
      <c r="Q2253" s="2">
        <v>2.0152831020000002</v>
      </c>
      <c r="R2253" s="2">
        <v>0.171159119</v>
      </c>
      <c r="S2253" s="2">
        <v>0.30115911899999998</v>
      </c>
      <c r="T2253" s="2">
        <v>2.0826538000000001</v>
      </c>
      <c r="U2253" s="2">
        <v>1.9926538</v>
      </c>
      <c r="V2253" s="2">
        <v>1.136115821</v>
      </c>
      <c r="W2253" s="2">
        <v>1.1121254890000001</v>
      </c>
      <c r="X2253">
        <f t="shared" si="105"/>
        <v>1</v>
      </c>
      <c r="Y2253">
        <f t="shared" si="106"/>
        <v>0</v>
      </c>
      <c r="Z2253">
        <f t="shared" si="107"/>
        <v>0</v>
      </c>
    </row>
    <row r="2254" spans="1:26" ht="15.75" customHeight="1" x14ac:dyDescent="0.2">
      <c r="A2254" s="2" t="s">
        <v>36</v>
      </c>
      <c r="B2254" s="2" t="s">
        <v>24</v>
      </c>
      <c r="C2254" s="2" t="s">
        <v>30</v>
      </c>
      <c r="D2254" s="2" t="s">
        <v>31</v>
      </c>
      <c r="E2254" s="2">
        <v>170</v>
      </c>
      <c r="F2254" s="2">
        <v>255</v>
      </c>
      <c r="G2254" s="2">
        <v>731</v>
      </c>
      <c r="H2254" s="2">
        <v>1470</v>
      </c>
      <c r="I2254" s="2">
        <v>2974</v>
      </c>
      <c r="J2254" s="2">
        <v>2.56</v>
      </c>
      <c r="K2254" s="2">
        <v>6.75</v>
      </c>
      <c r="L2254" s="2">
        <v>10.96</v>
      </c>
      <c r="M2254" s="2">
        <v>15.63</v>
      </c>
      <c r="N2254" s="2">
        <v>3.6931061569999999</v>
      </c>
      <c r="O2254" s="2">
        <v>3.6544743089999998</v>
      </c>
      <c r="P2254" s="2">
        <v>2.2051273760000001</v>
      </c>
      <c r="Q2254" s="2">
        <v>2.1056708070000001</v>
      </c>
      <c r="R2254" s="2">
        <v>2.1328353770000001</v>
      </c>
      <c r="S2254" s="2">
        <v>2.0028353769999998</v>
      </c>
      <c r="T2254" s="2">
        <v>0.56000000000000005</v>
      </c>
      <c r="U2254" s="2">
        <v>0.65</v>
      </c>
      <c r="V2254" s="2">
        <v>3.4401103179999999</v>
      </c>
      <c r="W2254" s="2">
        <v>3.416119986</v>
      </c>
      <c r="X2254">
        <f t="shared" si="105"/>
        <v>1</v>
      </c>
      <c r="Y2254">
        <f t="shared" si="106"/>
        <v>0</v>
      </c>
      <c r="Z2254">
        <f t="shared" si="107"/>
        <v>1</v>
      </c>
    </row>
    <row r="2255" spans="1:26" ht="15.75" customHeight="1" x14ac:dyDescent="0.2">
      <c r="A2255" s="2" t="s">
        <v>36</v>
      </c>
      <c r="B2255" s="2" t="s">
        <v>24</v>
      </c>
      <c r="C2255" s="2" t="s">
        <v>27</v>
      </c>
      <c r="D2255" s="2" t="s">
        <v>27</v>
      </c>
      <c r="E2255" s="2">
        <v>90</v>
      </c>
      <c r="F2255" s="2">
        <v>251</v>
      </c>
      <c r="G2255" s="2">
        <v>458</v>
      </c>
      <c r="H2255" s="2">
        <v>2261</v>
      </c>
      <c r="I2255" s="2">
        <v>3235</v>
      </c>
      <c r="J2255" s="2">
        <v>2.5099999999999998</v>
      </c>
      <c r="K2255" s="2">
        <v>4.55</v>
      </c>
      <c r="L2255" s="2">
        <v>13.83</v>
      </c>
      <c r="M2255" s="2">
        <v>16.16</v>
      </c>
      <c r="N2255" s="2">
        <v>0.252990308</v>
      </c>
      <c r="O2255" s="2">
        <v>0.39428851199999998</v>
      </c>
      <c r="P2255" s="2">
        <v>2.3111410079999999</v>
      </c>
      <c r="Q2255" s="2">
        <v>2.2293595829999999</v>
      </c>
      <c r="R2255" s="2">
        <v>7.4840755999999994E-2</v>
      </c>
      <c r="S2255" s="2">
        <v>0.20484075600000001</v>
      </c>
      <c r="T2255" s="2">
        <v>2.309928921</v>
      </c>
      <c r="U2255" s="2">
        <v>2.2199289210000002</v>
      </c>
      <c r="V2255" s="2">
        <v>1.232434185</v>
      </c>
      <c r="W2255" s="2">
        <v>1.2084438529999999</v>
      </c>
      <c r="X2255">
        <f t="shared" si="105"/>
        <v>1</v>
      </c>
      <c r="Y2255">
        <f t="shared" si="106"/>
        <v>0</v>
      </c>
      <c r="Z2255">
        <f t="shared" si="107"/>
        <v>0</v>
      </c>
    </row>
    <row r="2256" spans="1:26" ht="15.75" customHeight="1" x14ac:dyDescent="0.2">
      <c r="A2256" s="2" t="s">
        <v>36</v>
      </c>
      <c r="B2256" s="2" t="s">
        <v>24</v>
      </c>
      <c r="C2256" s="2" t="s">
        <v>26</v>
      </c>
      <c r="D2256" s="2" t="s">
        <v>26</v>
      </c>
      <c r="E2256" s="2">
        <v>108</v>
      </c>
      <c r="F2256" s="2">
        <v>253</v>
      </c>
      <c r="G2256" s="2">
        <v>450</v>
      </c>
      <c r="H2256" s="2">
        <v>916</v>
      </c>
      <c r="I2256" s="2">
        <v>3132</v>
      </c>
      <c r="J2256" s="2">
        <v>2.54</v>
      </c>
      <c r="K2256" s="2">
        <v>4.4800000000000004</v>
      </c>
      <c r="L2256" s="2">
        <v>8.01</v>
      </c>
      <c r="M2256" s="2">
        <v>15.96</v>
      </c>
      <c r="N2256" s="2">
        <v>0.386055229</v>
      </c>
      <c r="O2256" s="2">
        <v>0.34294538400000002</v>
      </c>
      <c r="P2256" s="2">
        <v>3.5119063320000001</v>
      </c>
      <c r="Q2256" s="2">
        <v>3.6093674529999999</v>
      </c>
      <c r="R2256" s="2">
        <v>0.14398340200000001</v>
      </c>
      <c r="S2256" s="2">
        <v>0.27398340199999999</v>
      </c>
      <c r="T2256" s="2">
        <v>3.5089535289999998</v>
      </c>
      <c r="U2256" s="2">
        <v>3.5989535290000001</v>
      </c>
      <c r="V2256" s="2">
        <v>1.163291538</v>
      </c>
      <c r="W2256" s="2">
        <v>1.1393012060000001</v>
      </c>
      <c r="X2256">
        <f t="shared" si="105"/>
        <v>1</v>
      </c>
      <c r="Y2256">
        <f t="shared" si="106"/>
        <v>0</v>
      </c>
      <c r="Z2256">
        <f t="shared" si="107"/>
        <v>0</v>
      </c>
    </row>
    <row r="2257" spans="1:26" ht="15.75" customHeight="1" x14ac:dyDescent="0.2">
      <c r="A2257" s="2" t="s">
        <v>36</v>
      </c>
      <c r="B2257" s="2" t="s">
        <v>24</v>
      </c>
      <c r="C2257" s="2" t="s">
        <v>27</v>
      </c>
      <c r="D2257" s="2" t="s">
        <v>27</v>
      </c>
      <c r="E2257" s="2">
        <v>80</v>
      </c>
      <c r="F2257" s="2">
        <v>244</v>
      </c>
      <c r="G2257" s="2">
        <v>496</v>
      </c>
      <c r="H2257" s="2">
        <v>2226</v>
      </c>
      <c r="I2257" s="2">
        <v>3022</v>
      </c>
      <c r="J2257" s="2">
        <v>2.44</v>
      </c>
      <c r="K2257" s="2">
        <v>4.88</v>
      </c>
      <c r="L2257" s="2">
        <v>13.73</v>
      </c>
      <c r="M2257" s="2">
        <v>15.73</v>
      </c>
      <c r="N2257" s="2">
        <v>0.354208103</v>
      </c>
      <c r="O2257" s="2">
        <v>0.35557436999999997</v>
      </c>
      <c r="P2257" s="2">
        <v>2.2212685520000002</v>
      </c>
      <c r="Q2257" s="2">
        <v>2.119905095</v>
      </c>
      <c r="R2257" s="2">
        <v>0.26149314499999998</v>
      </c>
      <c r="S2257" s="2">
        <v>0.13149314500000001</v>
      </c>
      <c r="T2257" s="2">
        <v>2.205823047</v>
      </c>
      <c r="U2257" s="2">
        <v>2.1158230470000001</v>
      </c>
      <c r="V2257" s="2">
        <v>1.568768086</v>
      </c>
      <c r="W2257" s="2">
        <v>1.5447777540000001</v>
      </c>
      <c r="X2257">
        <f t="shared" si="105"/>
        <v>1</v>
      </c>
      <c r="Y2257">
        <f t="shared" si="106"/>
        <v>0</v>
      </c>
      <c r="Z2257">
        <f t="shared" si="107"/>
        <v>0</v>
      </c>
    </row>
    <row r="2258" spans="1:26" ht="15.75" customHeight="1" x14ac:dyDescent="0.2">
      <c r="A2258" s="2" t="s">
        <v>36</v>
      </c>
      <c r="B2258" s="2" t="s">
        <v>24</v>
      </c>
      <c r="C2258" s="2" t="s">
        <v>30</v>
      </c>
      <c r="D2258" s="2" t="s">
        <v>31</v>
      </c>
      <c r="E2258" s="2">
        <v>112</v>
      </c>
      <c r="F2258" s="2">
        <v>279</v>
      </c>
      <c r="G2258" s="2">
        <v>570</v>
      </c>
      <c r="H2258" s="2">
        <v>1344</v>
      </c>
      <c r="I2258" s="2">
        <v>2407</v>
      </c>
      <c r="J2258" s="2">
        <v>2.81</v>
      </c>
      <c r="K2258" s="2">
        <v>5.51</v>
      </c>
      <c r="L2258" s="2">
        <v>10.38</v>
      </c>
      <c r="M2258" s="2">
        <v>14.25</v>
      </c>
      <c r="N2258" s="2">
        <v>3.7420032619999999</v>
      </c>
      <c r="O2258" s="2">
        <v>3.761511874</v>
      </c>
      <c r="P2258" s="2">
        <v>1.450151929</v>
      </c>
      <c r="Q2258" s="2">
        <v>1.4496384959999999</v>
      </c>
      <c r="R2258" s="2">
        <v>0.89293373700000001</v>
      </c>
      <c r="S2258" s="2">
        <v>0.762933737</v>
      </c>
      <c r="T2258" s="2">
        <v>1.142632906</v>
      </c>
      <c r="U2258" s="2">
        <v>1.2326329060000001</v>
      </c>
      <c r="V2258" s="2">
        <v>2.2002086780000001</v>
      </c>
      <c r="W2258" s="2">
        <v>2.1762183460000002</v>
      </c>
      <c r="X2258">
        <f t="shared" si="105"/>
        <v>1</v>
      </c>
      <c r="Y2258">
        <f t="shared" si="106"/>
        <v>0</v>
      </c>
      <c r="Z2258">
        <f t="shared" si="107"/>
        <v>1</v>
      </c>
    </row>
    <row r="2259" spans="1:26" ht="15.75" customHeight="1" x14ac:dyDescent="0.2">
      <c r="A2259" s="2" t="s">
        <v>36</v>
      </c>
      <c r="B2259" s="2" t="s">
        <v>24</v>
      </c>
      <c r="C2259" s="2" t="s">
        <v>27</v>
      </c>
      <c r="D2259" s="2" t="s">
        <v>27</v>
      </c>
      <c r="E2259" s="2">
        <v>109</v>
      </c>
      <c r="F2259" s="2">
        <v>261</v>
      </c>
      <c r="G2259" s="2">
        <v>440</v>
      </c>
      <c r="H2259" s="2">
        <v>2317</v>
      </c>
      <c r="I2259" s="2">
        <v>3276</v>
      </c>
      <c r="J2259" s="2">
        <v>2.62</v>
      </c>
      <c r="K2259" s="2">
        <v>4.3899999999999997</v>
      </c>
      <c r="L2259" s="2">
        <v>13.99</v>
      </c>
      <c r="M2259" s="2">
        <v>16.239999999999998</v>
      </c>
      <c r="N2259" s="2">
        <v>0.31678732500000001</v>
      </c>
      <c r="O2259" s="2">
        <v>0.47256460099999997</v>
      </c>
      <c r="P2259" s="2">
        <v>2.485985447</v>
      </c>
      <c r="Q2259" s="2">
        <v>2.412613495</v>
      </c>
      <c r="R2259" s="2">
        <v>0.23483333300000001</v>
      </c>
      <c r="S2259" s="2">
        <v>0.36483333299999998</v>
      </c>
      <c r="T2259" s="2">
        <v>2.4748690770000001</v>
      </c>
      <c r="U2259" s="2">
        <v>2.3848690769999998</v>
      </c>
      <c r="V2259" s="2">
        <v>1.072441607</v>
      </c>
      <c r="W2259" s="2">
        <v>1.0484512749999999</v>
      </c>
      <c r="X2259">
        <f t="shared" si="105"/>
        <v>1</v>
      </c>
      <c r="Y2259">
        <f t="shared" si="106"/>
        <v>0</v>
      </c>
      <c r="Z2259">
        <f t="shared" si="107"/>
        <v>0</v>
      </c>
    </row>
    <row r="2260" spans="1:26" ht="15.75" customHeight="1" x14ac:dyDescent="0.2">
      <c r="A2260" s="2" t="s">
        <v>36</v>
      </c>
      <c r="B2260" s="2" t="s">
        <v>24</v>
      </c>
      <c r="C2260" s="2" t="s">
        <v>26</v>
      </c>
      <c r="D2260" s="2" t="s">
        <v>26</v>
      </c>
      <c r="E2260" s="2">
        <v>100</v>
      </c>
      <c r="F2260" s="2">
        <v>109</v>
      </c>
      <c r="G2260" s="2">
        <v>366</v>
      </c>
      <c r="H2260" s="2">
        <v>1059</v>
      </c>
      <c r="I2260" s="2">
        <v>2901</v>
      </c>
      <c r="J2260" s="2">
        <v>0.88</v>
      </c>
      <c r="K2260" s="2">
        <v>3.69</v>
      </c>
      <c r="L2260" s="2">
        <v>8.8699999999999992</v>
      </c>
      <c r="M2260" s="2">
        <v>15.47</v>
      </c>
      <c r="N2260" s="2">
        <v>0.77887951300000002</v>
      </c>
      <c r="O2260" s="2">
        <v>0.85289462699999996</v>
      </c>
      <c r="P2260" s="2">
        <v>2.8055349280000001</v>
      </c>
      <c r="Q2260" s="2">
        <v>2.9349460889999999</v>
      </c>
      <c r="R2260" s="2">
        <v>0.92816449300000003</v>
      </c>
      <c r="S2260" s="2">
        <v>1.058164493</v>
      </c>
      <c r="T2260" s="2">
        <v>2.6475530040000002</v>
      </c>
      <c r="U2260" s="2">
        <v>2.737553004</v>
      </c>
      <c r="V2260" s="2">
        <v>0.37911044700000002</v>
      </c>
      <c r="W2260" s="2">
        <v>0.35512011500000001</v>
      </c>
      <c r="X2260">
        <f t="shared" si="105"/>
        <v>1</v>
      </c>
      <c r="Y2260">
        <f t="shared" si="106"/>
        <v>0</v>
      </c>
      <c r="Z2260">
        <f t="shared" si="107"/>
        <v>0</v>
      </c>
    </row>
    <row r="2261" spans="1:26" ht="15.75" customHeight="1" x14ac:dyDescent="0.2">
      <c r="A2261" s="2" t="s">
        <v>36</v>
      </c>
      <c r="B2261" s="2" t="s">
        <v>24</v>
      </c>
      <c r="C2261" s="2" t="s">
        <v>30</v>
      </c>
      <c r="D2261" s="2" t="s">
        <v>31</v>
      </c>
      <c r="E2261" s="2">
        <v>138</v>
      </c>
      <c r="F2261" s="2">
        <v>234</v>
      </c>
      <c r="G2261" s="2">
        <v>730</v>
      </c>
      <c r="H2261" s="2">
        <v>1369</v>
      </c>
      <c r="I2261" s="2">
        <v>1856</v>
      </c>
      <c r="J2261" s="2">
        <v>2.33</v>
      </c>
      <c r="K2261" s="2">
        <v>6.75</v>
      </c>
      <c r="L2261" s="2">
        <v>10.5</v>
      </c>
      <c r="M2261" s="2">
        <v>12.51</v>
      </c>
      <c r="N2261" s="2">
        <v>4.0840169890000002</v>
      </c>
      <c r="O2261" s="2">
        <v>4.0551204570000001</v>
      </c>
      <c r="P2261" s="2">
        <v>2.3597223879999998</v>
      </c>
      <c r="Q2261" s="2">
        <v>2.2858486340000002</v>
      </c>
      <c r="R2261" s="2">
        <v>2.125576208</v>
      </c>
      <c r="S2261" s="2">
        <v>1.9955762079999999</v>
      </c>
      <c r="T2261" s="2">
        <v>1.02480024</v>
      </c>
      <c r="U2261" s="2">
        <v>1.1148002400000001</v>
      </c>
      <c r="V2261" s="2">
        <v>3.4328511490000002</v>
      </c>
      <c r="W2261" s="2">
        <v>3.4088608169999999</v>
      </c>
      <c r="X2261">
        <f t="shared" si="105"/>
        <v>1</v>
      </c>
      <c r="Y2261">
        <f t="shared" si="106"/>
        <v>0</v>
      </c>
      <c r="Z2261">
        <f t="shared" si="107"/>
        <v>1</v>
      </c>
    </row>
    <row r="2262" spans="1:26" ht="15.75" customHeight="1" x14ac:dyDescent="0.2">
      <c r="A2262" s="2" t="s">
        <v>36</v>
      </c>
      <c r="B2262" s="2" t="s">
        <v>24</v>
      </c>
      <c r="C2262" s="2" t="s">
        <v>32</v>
      </c>
      <c r="D2262" s="2" t="s">
        <v>33</v>
      </c>
      <c r="E2262" s="2">
        <v>124</v>
      </c>
      <c r="F2262" s="2">
        <v>260</v>
      </c>
      <c r="G2262" s="2">
        <v>775</v>
      </c>
      <c r="H2262" s="2">
        <v>1756</v>
      </c>
      <c r="I2262" s="2">
        <v>3452</v>
      </c>
      <c r="J2262" s="2">
        <v>2.61</v>
      </c>
      <c r="K2262" s="2">
        <v>7.07</v>
      </c>
      <c r="L2262" s="2">
        <v>12.14</v>
      </c>
      <c r="M2262" s="2">
        <v>16.57</v>
      </c>
      <c r="N2262" s="2">
        <v>0.29239663599999999</v>
      </c>
      <c r="O2262" s="2">
        <v>0.40042881600000002</v>
      </c>
      <c r="P2262" s="2">
        <v>2.5243969910000001</v>
      </c>
      <c r="Q2262" s="2">
        <v>2.3769095259999999</v>
      </c>
      <c r="R2262" s="2">
        <v>2.4469835469999999</v>
      </c>
      <c r="S2262" s="2">
        <v>2.316983547</v>
      </c>
      <c r="T2262" s="2">
        <v>0.620364158</v>
      </c>
      <c r="U2262" s="2">
        <v>0.53036415800000003</v>
      </c>
      <c r="V2262" s="2">
        <v>3.754258487</v>
      </c>
      <c r="W2262" s="2">
        <v>3.7302681550000001</v>
      </c>
      <c r="X2262">
        <f t="shared" si="105"/>
        <v>1</v>
      </c>
      <c r="Y2262">
        <f t="shared" si="106"/>
        <v>0</v>
      </c>
      <c r="Z2262">
        <f t="shared" si="107"/>
        <v>1</v>
      </c>
    </row>
    <row r="2263" spans="1:26" ht="15.75" customHeight="1" x14ac:dyDescent="0.2">
      <c r="A2263" s="2" t="s">
        <v>36</v>
      </c>
      <c r="B2263" s="2" t="s">
        <v>24</v>
      </c>
      <c r="C2263" s="2" t="s">
        <v>28</v>
      </c>
      <c r="D2263" s="2" t="s">
        <v>29</v>
      </c>
      <c r="E2263" s="2">
        <v>125</v>
      </c>
      <c r="F2263" s="2">
        <v>241</v>
      </c>
      <c r="G2263" s="2">
        <v>353</v>
      </c>
      <c r="H2263" s="2">
        <v>1015</v>
      </c>
      <c r="I2263" s="2">
        <v>2142</v>
      </c>
      <c r="J2263" s="2">
        <v>2.41</v>
      </c>
      <c r="K2263" s="2">
        <v>3.56</v>
      </c>
      <c r="L2263" s="2">
        <v>8.6199999999999992</v>
      </c>
      <c r="M2263" s="2">
        <v>13.47</v>
      </c>
      <c r="N2263" s="2">
        <v>0.73069047300000001</v>
      </c>
      <c r="O2263" s="2">
        <v>0.83896927399999999</v>
      </c>
      <c r="P2263" s="2">
        <v>3.0899687560000002</v>
      </c>
      <c r="Q2263" s="2">
        <v>3.2203470080000001</v>
      </c>
      <c r="R2263" s="2">
        <v>1.058374406</v>
      </c>
      <c r="S2263" s="2">
        <v>1.1883744060000001</v>
      </c>
      <c r="T2263" s="2">
        <v>2.9030588239999999</v>
      </c>
      <c r="U2263" s="2">
        <v>2.9930588239999998</v>
      </c>
      <c r="V2263" s="2">
        <v>0.24890053500000001</v>
      </c>
      <c r="W2263" s="2">
        <v>0.224910203</v>
      </c>
      <c r="X2263">
        <f t="shared" si="105"/>
        <v>1</v>
      </c>
      <c r="Y2263">
        <f t="shared" si="106"/>
        <v>0</v>
      </c>
      <c r="Z2263">
        <f t="shared" si="107"/>
        <v>1</v>
      </c>
    </row>
    <row r="2264" spans="1:26" ht="15.75" customHeight="1" x14ac:dyDescent="0.2">
      <c r="A2264" s="2" t="s">
        <v>36</v>
      </c>
      <c r="B2264" s="2" t="s">
        <v>24</v>
      </c>
      <c r="C2264" s="2" t="s">
        <v>28</v>
      </c>
      <c r="D2264" s="2" t="s">
        <v>29</v>
      </c>
      <c r="E2264" s="2">
        <v>149</v>
      </c>
      <c r="F2264" s="2">
        <v>262</v>
      </c>
      <c r="G2264" s="2">
        <v>308</v>
      </c>
      <c r="H2264" s="2">
        <v>1193</v>
      </c>
      <c r="I2264" s="2">
        <v>2154</v>
      </c>
      <c r="J2264" s="2">
        <v>2.63</v>
      </c>
      <c r="K2264" s="2">
        <v>3.11</v>
      </c>
      <c r="L2264" s="2">
        <v>9.61</v>
      </c>
      <c r="M2264" s="2">
        <v>13.51</v>
      </c>
      <c r="N2264" s="2">
        <v>1.7182545220000001</v>
      </c>
      <c r="O2264" s="2">
        <v>1.783208895</v>
      </c>
      <c r="P2264" s="2">
        <v>2.4324239919999999</v>
      </c>
      <c r="Q2264" s="2">
        <v>2.5840746800000001</v>
      </c>
      <c r="R2264" s="2">
        <v>1.5091358020000001</v>
      </c>
      <c r="S2264" s="2">
        <v>1.639135802</v>
      </c>
      <c r="T2264" s="2">
        <v>1.9076675830000001</v>
      </c>
      <c r="U2264" s="2">
        <v>1.9976675829999999</v>
      </c>
      <c r="V2264" s="2">
        <v>-0.201860862</v>
      </c>
      <c r="W2264" s="2">
        <v>-0.22585119400000001</v>
      </c>
      <c r="X2264">
        <f t="shared" si="105"/>
        <v>1</v>
      </c>
      <c r="Y2264">
        <f t="shared" si="106"/>
        <v>0</v>
      </c>
      <c r="Z2264">
        <f t="shared" si="107"/>
        <v>1</v>
      </c>
    </row>
    <row r="2265" spans="1:26" ht="15.75" customHeight="1" x14ac:dyDescent="0.2">
      <c r="A2265" s="2" t="s">
        <v>36</v>
      </c>
      <c r="B2265" s="2" t="s">
        <v>24</v>
      </c>
      <c r="C2265" s="2" t="s">
        <v>26</v>
      </c>
      <c r="D2265" s="2" t="s">
        <v>26</v>
      </c>
      <c r="E2265" s="2">
        <v>128</v>
      </c>
      <c r="F2265" s="2">
        <v>242</v>
      </c>
      <c r="G2265" s="2">
        <v>370</v>
      </c>
      <c r="H2265" s="2">
        <v>990</v>
      </c>
      <c r="I2265" s="2">
        <v>3135</v>
      </c>
      <c r="J2265" s="2">
        <v>2.42</v>
      </c>
      <c r="K2265" s="2">
        <v>3.73</v>
      </c>
      <c r="L2265" s="2">
        <v>8.4700000000000006</v>
      </c>
      <c r="M2265" s="2">
        <v>15.97</v>
      </c>
      <c r="N2265" s="2">
        <v>0.51653584699999999</v>
      </c>
      <c r="O2265" s="2">
        <v>0.63398481399999995</v>
      </c>
      <c r="P2265" s="2">
        <v>3.1815985229999999</v>
      </c>
      <c r="Q2265" s="2">
        <v>3.3058535469999999</v>
      </c>
      <c r="R2265" s="2">
        <v>0.88939207600000003</v>
      </c>
      <c r="S2265" s="2">
        <v>1.0193920759999999</v>
      </c>
      <c r="T2265" s="2">
        <v>3.0547587300000001</v>
      </c>
      <c r="U2265" s="2">
        <v>3.1447587299999999</v>
      </c>
      <c r="V2265" s="2">
        <v>0.41788286499999999</v>
      </c>
      <c r="W2265" s="2">
        <v>0.39389253299999999</v>
      </c>
      <c r="X2265">
        <f t="shared" si="105"/>
        <v>1</v>
      </c>
      <c r="Y2265">
        <f t="shared" si="106"/>
        <v>0</v>
      </c>
      <c r="Z2265">
        <f t="shared" si="107"/>
        <v>0</v>
      </c>
    </row>
    <row r="2266" spans="1:26" ht="15.75" customHeight="1" x14ac:dyDescent="0.2">
      <c r="A2266" s="2" t="s">
        <v>36</v>
      </c>
      <c r="B2266" s="2" t="s">
        <v>24</v>
      </c>
      <c r="C2266" s="2" t="s">
        <v>25</v>
      </c>
      <c r="D2266" s="2" t="s">
        <v>25</v>
      </c>
      <c r="E2266" s="2">
        <v>170</v>
      </c>
      <c r="F2266" s="2">
        <v>240</v>
      </c>
      <c r="G2266" s="2">
        <v>634</v>
      </c>
      <c r="H2266" s="2">
        <v>1498</v>
      </c>
      <c r="I2266" s="2">
        <v>2554</v>
      </c>
      <c r="J2266" s="2">
        <v>2.39</v>
      </c>
      <c r="K2266" s="2">
        <v>6.02</v>
      </c>
      <c r="L2266" s="2">
        <v>11.08</v>
      </c>
      <c r="M2266" s="2">
        <v>14.64</v>
      </c>
      <c r="N2266" s="2">
        <v>1.370738883</v>
      </c>
      <c r="O2266" s="2">
        <v>1.4987850540000001</v>
      </c>
      <c r="P2266" s="2">
        <v>1.4663380239999999</v>
      </c>
      <c r="Q2266" s="2">
        <v>1.374630775</v>
      </c>
      <c r="R2266" s="2">
        <v>1.400033415</v>
      </c>
      <c r="S2266" s="2">
        <v>1.2700334150000001</v>
      </c>
      <c r="T2266" s="2">
        <v>0.43595141700000001</v>
      </c>
      <c r="U2266" s="2">
        <v>0.52595141700000003</v>
      </c>
      <c r="V2266" s="2">
        <v>2.7073083549999999</v>
      </c>
      <c r="W2266" s="2">
        <v>2.683318023</v>
      </c>
      <c r="X2266">
        <f t="shared" si="105"/>
        <v>1</v>
      </c>
      <c r="Y2266">
        <f t="shared" si="106"/>
        <v>0</v>
      </c>
      <c r="Z2266">
        <f t="shared" si="107"/>
        <v>0</v>
      </c>
    </row>
    <row r="2267" spans="1:26" ht="15.75" customHeight="1" x14ac:dyDescent="0.2">
      <c r="A2267" s="2" t="s">
        <v>36</v>
      </c>
      <c r="B2267" s="2" t="s">
        <v>24</v>
      </c>
      <c r="C2267" s="2" t="s">
        <v>30</v>
      </c>
      <c r="D2267" s="2" t="s">
        <v>31</v>
      </c>
      <c r="E2267" s="2">
        <v>159</v>
      </c>
      <c r="F2267" s="2">
        <v>238</v>
      </c>
      <c r="G2267" s="2">
        <v>936</v>
      </c>
      <c r="H2267" s="2">
        <v>1731</v>
      </c>
      <c r="I2267" s="2">
        <v>3293</v>
      </c>
      <c r="J2267" s="2">
        <v>2.37</v>
      </c>
      <c r="K2267" s="2">
        <v>8.14</v>
      </c>
      <c r="L2267" s="2">
        <v>12.04</v>
      </c>
      <c r="M2267" s="2">
        <v>16.28</v>
      </c>
      <c r="N2267" s="2">
        <v>3.9682359749999998</v>
      </c>
      <c r="O2267" s="2">
        <v>3.8652337550000002</v>
      </c>
      <c r="P2267" s="2">
        <v>3.5538516609999999</v>
      </c>
      <c r="Q2267" s="2">
        <v>3.4127314549999999</v>
      </c>
      <c r="R2267" s="2">
        <v>3.5151104969999998</v>
      </c>
      <c r="S2267" s="2">
        <v>3.3851104969999999</v>
      </c>
      <c r="T2267" s="2">
        <v>0.52331617399999997</v>
      </c>
      <c r="U2267" s="2">
        <v>0.433316174</v>
      </c>
      <c r="V2267" s="2">
        <v>4.8223854380000004</v>
      </c>
      <c r="W2267" s="2">
        <v>4.7983951060000001</v>
      </c>
      <c r="X2267">
        <f t="shared" si="105"/>
        <v>1</v>
      </c>
      <c r="Y2267">
        <f t="shared" si="106"/>
        <v>0</v>
      </c>
      <c r="Z2267">
        <f t="shared" si="107"/>
        <v>1</v>
      </c>
    </row>
    <row r="2268" spans="1:26" ht="15.75" customHeight="1" x14ac:dyDescent="0.2">
      <c r="A2268" s="2" t="s">
        <v>36</v>
      </c>
      <c r="B2268" s="2" t="s">
        <v>24</v>
      </c>
      <c r="C2268" s="2" t="s">
        <v>28</v>
      </c>
      <c r="D2268" s="2" t="s">
        <v>29</v>
      </c>
      <c r="E2268" s="2">
        <v>120</v>
      </c>
      <c r="F2268" s="2">
        <v>260</v>
      </c>
      <c r="G2268" s="2">
        <v>417</v>
      </c>
      <c r="H2268" s="2">
        <v>1072</v>
      </c>
      <c r="I2268" s="2">
        <v>2121</v>
      </c>
      <c r="J2268" s="2">
        <v>2.61</v>
      </c>
      <c r="K2268" s="2">
        <v>4.17</v>
      </c>
      <c r="L2268" s="2">
        <v>8.9499999999999993</v>
      </c>
      <c r="M2268" s="2">
        <v>13.4</v>
      </c>
      <c r="N2268" s="2">
        <v>0.64900447999999999</v>
      </c>
      <c r="O2268" s="2">
        <v>0.64274925800000005</v>
      </c>
      <c r="P2268" s="2">
        <v>2.6119278829999999</v>
      </c>
      <c r="Q2268" s="2">
        <v>2.7252955879999998</v>
      </c>
      <c r="R2268" s="2">
        <v>0.44978962099999997</v>
      </c>
      <c r="S2268" s="2">
        <v>0.57978962099999998</v>
      </c>
      <c r="T2268" s="2">
        <v>2.5729081909999998</v>
      </c>
      <c r="U2268" s="2">
        <v>2.6629081910000001</v>
      </c>
      <c r="V2268" s="2">
        <v>0.85748531900000002</v>
      </c>
      <c r="W2268" s="2">
        <v>0.83349498700000002</v>
      </c>
      <c r="X2268">
        <f t="shared" si="105"/>
        <v>1</v>
      </c>
      <c r="Y2268">
        <f t="shared" si="106"/>
        <v>0</v>
      </c>
      <c r="Z2268">
        <f t="shared" si="107"/>
        <v>1</v>
      </c>
    </row>
    <row r="2269" spans="1:26" ht="15.75" customHeight="1" x14ac:dyDescent="0.2">
      <c r="A2269" s="2" t="s">
        <v>36</v>
      </c>
      <c r="B2269" s="2" t="s">
        <v>24</v>
      </c>
      <c r="C2269" s="2" t="s">
        <v>28</v>
      </c>
      <c r="D2269" s="2" t="s">
        <v>29</v>
      </c>
      <c r="E2269" s="2">
        <v>112</v>
      </c>
      <c r="F2269" s="2">
        <v>254</v>
      </c>
      <c r="G2269" s="2">
        <v>330</v>
      </c>
      <c r="H2269" s="2">
        <v>1320</v>
      </c>
      <c r="I2269" s="2">
        <v>1966</v>
      </c>
      <c r="J2269" s="2">
        <v>2.54</v>
      </c>
      <c r="K2269" s="2">
        <v>3.34</v>
      </c>
      <c r="L2269" s="2">
        <v>10.26</v>
      </c>
      <c r="M2269" s="2">
        <v>12.9</v>
      </c>
      <c r="N2269" s="2">
        <v>2.1492489579999998</v>
      </c>
      <c r="O2269" s="2">
        <v>2.1792527210000001</v>
      </c>
      <c r="P2269" s="2">
        <v>1.7988236129999999</v>
      </c>
      <c r="Q2269" s="2">
        <v>1.954817357</v>
      </c>
      <c r="R2269" s="2">
        <v>1.2832105949999999</v>
      </c>
      <c r="S2269" s="2">
        <v>1.413210595</v>
      </c>
      <c r="T2269" s="2">
        <v>1.260609756</v>
      </c>
      <c r="U2269" s="2">
        <v>1.3506097560000001</v>
      </c>
      <c r="V2269" s="2">
        <v>2.4064345000000001E-2</v>
      </c>
      <c r="W2269" s="3" t="s">
        <v>38</v>
      </c>
      <c r="X2269">
        <f t="shared" si="105"/>
        <v>1</v>
      </c>
      <c r="Y2269">
        <f t="shared" si="106"/>
        <v>0</v>
      </c>
      <c r="Z2269">
        <f t="shared" si="107"/>
        <v>1</v>
      </c>
    </row>
    <row r="2270" spans="1:26" ht="15.75" customHeight="1" x14ac:dyDescent="0.2">
      <c r="A2270" s="2" t="s">
        <v>36</v>
      </c>
      <c r="B2270" s="2" t="s">
        <v>24</v>
      </c>
      <c r="C2270" s="2" t="s">
        <v>32</v>
      </c>
      <c r="D2270" s="2" t="s">
        <v>33</v>
      </c>
      <c r="E2270" s="2">
        <v>149</v>
      </c>
      <c r="F2270" s="2">
        <v>245</v>
      </c>
      <c r="G2270" s="2">
        <v>792</v>
      </c>
      <c r="H2270" s="2">
        <v>1635</v>
      </c>
      <c r="I2270" s="2">
        <v>3389</v>
      </c>
      <c r="J2270" s="2">
        <v>2.4500000000000002</v>
      </c>
      <c r="K2270" s="2">
        <v>7.19</v>
      </c>
      <c r="L2270" s="2">
        <v>11.66</v>
      </c>
      <c r="M2270" s="2">
        <v>16.46</v>
      </c>
      <c r="N2270" s="2">
        <v>0.201818303</v>
      </c>
      <c r="O2270" s="2">
        <v>0.21383246</v>
      </c>
      <c r="P2270" s="2">
        <v>2.5718924460000001</v>
      </c>
      <c r="Q2270" s="2">
        <v>2.4385310859999998</v>
      </c>
      <c r="R2270" s="2">
        <v>2.567981107</v>
      </c>
      <c r="S2270" s="2">
        <v>2.4379811070000001</v>
      </c>
      <c r="T2270" s="2">
        <v>0.141787834</v>
      </c>
      <c r="U2270" s="2">
        <v>5.1787833999999998E-2</v>
      </c>
      <c r="V2270" s="2">
        <v>3.8752560470000001</v>
      </c>
      <c r="W2270" s="2">
        <v>3.8512657149999998</v>
      </c>
      <c r="X2270">
        <f t="shared" si="105"/>
        <v>1</v>
      </c>
      <c r="Y2270">
        <f t="shared" si="106"/>
        <v>0</v>
      </c>
      <c r="Z2270">
        <f t="shared" si="107"/>
        <v>1</v>
      </c>
    </row>
    <row r="2271" spans="1:26" ht="15.75" customHeight="1" x14ac:dyDescent="0.2">
      <c r="A2271" s="2" t="s">
        <v>36</v>
      </c>
      <c r="B2271" s="2" t="s">
        <v>24</v>
      </c>
      <c r="C2271" s="2" t="s">
        <v>25</v>
      </c>
      <c r="D2271" s="2" t="s">
        <v>25</v>
      </c>
      <c r="E2271" s="2">
        <v>120</v>
      </c>
      <c r="F2271" s="2">
        <v>241</v>
      </c>
      <c r="G2271" s="2">
        <v>818</v>
      </c>
      <c r="H2271" s="2">
        <v>1682</v>
      </c>
      <c r="I2271" s="2">
        <v>3036</v>
      </c>
      <c r="J2271" s="2">
        <v>2.41</v>
      </c>
      <c r="K2271" s="2">
        <v>7.36</v>
      </c>
      <c r="L2271" s="2">
        <v>11.85</v>
      </c>
      <c r="M2271" s="2">
        <v>15.76</v>
      </c>
      <c r="N2271" s="2">
        <v>0.214488451</v>
      </c>
      <c r="O2271" s="2">
        <v>5.0026803000000002E-2</v>
      </c>
      <c r="P2271" s="2">
        <v>2.764517718</v>
      </c>
      <c r="Q2271" s="2">
        <v>2.6256548099999999</v>
      </c>
      <c r="R2271" s="2">
        <v>2.7443772499999999</v>
      </c>
      <c r="S2271" s="2">
        <v>2.61437725</v>
      </c>
      <c r="T2271" s="2">
        <v>0.33309417000000002</v>
      </c>
      <c r="U2271" s="2">
        <v>0.24309417</v>
      </c>
      <c r="V2271" s="2">
        <v>4.0516521900000004</v>
      </c>
      <c r="W2271" s="2">
        <v>4.0276618580000001</v>
      </c>
      <c r="X2271">
        <f t="shared" si="105"/>
        <v>1</v>
      </c>
      <c r="Y2271">
        <f t="shared" si="106"/>
        <v>0</v>
      </c>
      <c r="Z2271">
        <f t="shared" si="107"/>
        <v>0</v>
      </c>
    </row>
    <row r="2272" spans="1:26" ht="15.75" customHeight="1" x14ac:dyDescent="0.2">
      <c r="A2272" s="2" t="s">
        <v>36</v>
      </c>
      <c r="B2272" s="2" t="s">
        <v>24</v>
      </c>
      <c r="C2272" s="2" t="s">
        <v>27</v>
      </c>
      <c r="D2272" s="2" t="s">
        <v>27</v>
      </c>
      <c r="E2272" s="2">
        <v>107</v>
      </c>
      <c r="F2272" s="2">
        <v>262</v>
      </c>
      <c r="G2272" s="2">
        <v>514</v>
      </c>
      <c r="H2272" s="2">
        <v>2335</v>
      </c>
      <c r="I2272" s="2">
        <v>3115</v>
      </c>
      <c r="J2272" s="2">
        <v>2.63</v>
      </c>
      <c r="K2272" s="2">
        <v>5.04</v>
      </c>
      <c r="L2272" s="2">
        <v>14.04</v>
      </c>
      <c r="M2272" s="2">
        <v>15.93</v>
      </c>
      <c r="N2272" s="2">
        <v>0.33751208799999999</v>
      </c>
      <c r="O2272" s="2">
        <v>0.19054775400000001</v>
      </c>
      <c r="P2272" s="2">
        <v>2.5586942029999999</v>
      </c>
      <c r="Q2272" s="2">
        <v>2.4513347379999999</v>
      </c>
      <c r="R2272" s="2">
        <v>0.41720253299999999</v>
      </c>
      <c r="S2272" s="2">
        <v>0.28720253299999998</v>
      </c>
      <c r="T2272" s="2">
        <v>2.5244520339999998</v>
      </c>
      <c r="U2272" s="2">
        <v>2.434452034</v>
      </c>
      <c r="V2272" s="2">
        <v>1.724477474</v>
      </c>
      <c r="W2272" s="2">
        <v>1.7004871420000001</v>
      </c>
      <c r="X2272">
        <f t="shared" si="105"/>
        <v>1</v>
      </c>
      <c r="Y2272">
        <f t="shared" si="106"/>
        <v>0</v>
      </c>
      <c r="Z2272">
        <f t="shared" si="107"/>
        <v>0</v>
      </c>
    </row>
    <row r="2273" spans="1:26" ht="15.75" customHeight="1" x14ac:dyDescent="0.2">
      <c r="A2273" s="2" t="s">
        <v>36</v>
      </c>
      <c r="B2273" s="2" t="s">
        <v>24</v>
      </c>
      <c r="C2273" s="2" t="s">
        <v>32</v>
      </c>
      <c r="D2273" s="2" t="s">
        <v>33</v>
      </c>
      <c r="E2273" s="2">
        <v>139</v>
      </c>
      <c r="F2273" s="2">
        <v>280</v>
      </c>
      <c r="G2273" s="2">
        <v>427</v>
      </c>
      <c r="H2273" s="2">
        <v>963</v>
      </c>
      <c r="I2273" s="2">
        <v>2469</v>
      </c>
      <c r="J2273" s="2">
        <v>2.82</v>
      </c>
      <c r="K2273" s="2">
        <v>4.2699999999999996</v>
      </c>
      <c r="L2273" s="2">
        <v>8.3000000000000007</v>
      </c>
      <c r="M2273" s="2">
        <v>14.42</v>
      </c>
      <c r="N2273" s="2">
        <v>4.5779452620000001</v>
      </c>
      <c r="O2273" s="2">
        <v>4.6641885380000003</v>
      </c>
      <c r="P2273" s="2">
        <v>3.2346712449999999</v>
      </c>
      <c r="Q2273" s="2">
        <v>3.3404939699999998</v>
      </c>
      <c r="R2273" s="2">
        <v>0.35407624599999998</v>
      </c>
      <c r="S2273" s="2">
        <v>0.48407624599999999</v>
      </c>
      <c r="T2273" s="2">
        <v>3.215233751</v>
      </c>
      <c r="U2273" s="2">
        <v>3.3052337509999998</v>
      </c>
      <c r="V2273" s="2">
        <v>0.95319869400000001</v>
      </c>
      <c r="W2273" s="2">
        <v>0.92920836200000001</v>
      </c>
      <c r="X2273">
        <f t="shared" si="105"/>
        <v>1</v>
      </c>
      <c r="Y2273">
        <f t="shared" si="106"/>
        <v>0</v>
      </c>
      <c r="Z2273">
        <f t="shared" si="107"/>
        <v>1</v>
      </c>
    </row>
    <row r="2274" spans="1:26" ht="15.75" customHeight="1" x14ac:dyDescent="0.2">
      <c r="A2274" s="2" t="s">
        <v>36</v>
      </c>
      <c r="B2274" s="2" t="s">
        <v>24</v>
      </c>
      <c r="C2274" s="2" t="s">
        <v>28</v>
      </c>
      <c r="D2274" s="2" t="s">
        <v>29</v>
      </c>
      <c r="E2274" s="2">
        <v>110</v>
      </c>
      <c r="F2274" s="2">
        <v>262</v>
      </c>
      <c r="G2274" s="2">
        <v>457</v>
      </c>
      <c r="H2274" s="2">
        <v>924</v>
      </c>
      <c r="I2274" s="2">
        <v>2046</v>
      </c>
      <c r="J2274" s="2">
        <v>2.63</v>
      </c>
      <c r="K2274" s="2">
        <v>4.54</v>
      </c>
      <c r="L2274" s="2">
        <v>8.06</v>
      </c>
      <c r="M2274" s="2">
        <v>13.16</v>
      </c>
      <c r="N2274" s="2">
        <v>0.40083588599999997</v>
      </c>
      <c r="O2274" s="2">
        <v>0.33171730799999999</v>
      </c>
      <c r="P2274" s="2">
        <v>3.4634379810000002</v>
      </c>
      <c r="Q2274" s="2">
        <v>3.558745418</v>
      </c>
      <c r="R2274" s="2">
        <v>8.0835746999999999E-2</v>
      </c>
      <c r="S2274" s="2">
        <v>0.21083574699999999</v>
      </c>
      <c r="T2274" s="2">
        <v>3.4624945089999999</v>
      </c>
      <c r="U2274" s="2">
        <v>3.5524945090000002</v>
      </c>
      <c r="V2274" s="2">
        <v>1.2264391939999999</v>
      </c>
      <c r="W2274" s="2">
        <v>1.202448862</v>
      </c>
      <c r="X2274">
        <f t="shared" si="105"/>
        <v>1</v>
      </c>
      <c r="Y2274">
        <f t="shared" si="106"/>
        <v>0</v>
      </c>
      <c r="Z2274">
        <f t="shared" si="107"/>
        <v>1</v>
      </c>
    </row>
    <row r="2275" spans="1:26" ht="15.75" customHeight="1" x14ac:dyDescent="0.2">
      <c r="A2275" s="2" t="s">
        <v>36</v>
      </c>
      <c r="B2275" s="2" t="s">
        <v>24</v>
      </c>
      <c r="C2275" s="2" t="s">
        <v>27</v>
      </c>
      <c r="D2275" s="2" t="s">
        <v>27</v>
      </c>
      <c r="E2275" s="2">
        <v>209</v>
      </c>
      <c r="F2275" s="2">
        <v>244</v>
      </c>
      <c r="G2275" s="2">
        <v>472</v>
      </c>
      <c r="H2275" s="2">
        <v>2462</v>
      </c>
      <c r="I2275" s="2">
        <v>3273</v>
      </c>
      <c r="J2275" s="2">
        <v>2.44</v>
      </c>
      <c r="K2275" s="2">
        <v>4.67</v>
      </c>
      <c r="L2275" s="2">
        <v>14.4</v>
      </c>
      <c r="M2275" s="2">
        <v>16.239999999999998</v>
      </c>
      <c r="N2275" s="2">
        <v>0.36775343199999999</v>
      </c>
      <c r="O2275" s="2">
        <v>0.36275010600000002</v>
      </c>
      <c r="P2275" s="2">
        <v>2.8772726529999999</v>
      </c>
      <c r="Q2275" s="2">
        <v>2.7878362320000001</v>
      </c>
      <c r="R2275" s="2">
        <v>5.3256578999999998E-2</v>
      </c>
      <c r="S2275" s="2">
        <v>7.6743421000000006E-2</v>
      </c>
      <c r="T2275" s="2">
        <v>2.8767797380000002</v>
      </c>
      <c r="U2275" s="2">
        <v>2.7867797379999999</v>
      </c>
      <c r="V2275" s="2">
        <v>1.360531519</v>
      </c>
      <c r="W2275" s="2">
        <v>1.3365411869999999</v>
      </c>
      <c r="X2275">
        <f t="shared" si="105"/>
        <v>1</v>
      </c>
      <c r="Y2275">
        <f t="shared" si="106"/>
        <v>0</v>
      </c>
      <c r="Z2275">
        <f t="shared" si="107"/>
        <v>0</v>
      </c>
    </row>
    <row r="2276" spans="1:26" ht="15.75" customHeight="1" x14ac:dyDescent="0.2">
      <c r="A2276" s="2" t="s">
        <v>36</v>
      </c>
      <c r="B2276" s="2" t="s">
        <v>24</v>
      </c>
      <c r="C2276" s="2" t="s">
        <v>26</v>
      </c>
      <c r="D2276" s="2" t="s">
        <v>26</v>
      </c>
      <c r="E2276" s="2">
        <v>133</v>
      </c>
      <c r="F2276" s="2">
        <v>232</v>
      </c>
      <c r="G2276" s="2">
        <v>414</v>
      </c>
      <c r="H2276" s="2">
        <v>840</v>
      </c>
      <c r="I2276" s="2">
        <v>2865</v>
      </c>
      <c r="J2276" s="2">
        <v>2.31</v>
      </c>
      <c r="K2276" s="2">
        <v>4.1500000000000004</v>
      </c>
      <c r="L2276" s="2">
        <v>7.51</v>
      </c>
      <c r="M2276" s="2">
        <v>15.39</v>
      </c>
      <c r="N2276" s="2">
        <v>0.79024285500000002</v>
      </c>
      <c r="O2276" s="2">
        <v>0.84148579899999998</v>
      </c>
      <c r="P2276" s="2">
        <v>4.0346471800000003</v>
      </c>
      <c r="Q2276" s="2">
        <v>4.1409216899999999</v>
      </c>
      <c r="R2276" s="2">
        <v>0.471517619</v>
      </c>
      <c r="S2276" s="2">
        <v>0.601517619</v>
      </c>
      <c r="T2276" s="2">
        <v>4.0069999999999997</v>
      </c>
      <c r="U2276" s="2">
        <v>4.0970000000000004</v>
      </c>
      <c r="V2276" s="2">
        <v>0.83575732199999997</v>
      </c>
      <c r="W2276" s="2">
        <v>0.81176698899999999</v>
      </c>
      <c r="X2276">
        <f t="shared" si="105"/>
        <v>1</v>
      </c>
      <c r="Y2276">
        <f t="shared" si="106"/>
        <v>0</v>
      </c>
      <c r="Z2276">
        <f t="shared" si="107"/>
        <v>0</v>
      </c>
    </row>
    <row r="2277" spans="1:26" ht="15.75" customHeight="1" x14ac:dyDescent="0.2">
      <c r="A2277" s="2" t="s">
        <v>36</v>
      </c>
      <c r="B2277" s="2" t="s">
        <v>24</v>
      </c>
      <c r="C2277" s="2" t="s">
        <v>27</v>
      </c>
      <c r="D2277" s="2" t="s">
        <v>27</v>
      </c>
      <c r="E2277" s="2">
        <v>88</v>
      </c>
      <c r="F2277" s="2">
        <v>230</v>
      </c>
      <c r="G2277" s="2">
        <v>458</v>
      </c>
      <c r="H2277" s="2">
        <v>2340</v>
      </c>
      <c r="I2277" s="2">
        <v>3154</v>
      </c>
      <c r="J2277" s="2">
        <v>2.29</v>
      </c>
      <c r="K2277" s="2">
        <v>4.55</v>
      </c>
      <c r="L2277" s="2">
        <v>14.06</v>
      </c>
      <c r="M2277" s="2">
        <v>16.010000000000002</v>
      </c>
      <c r="N2277" s="2">
        <v>0.15489219400000001</v>
      </c>
      <c r="O2277" s="2">
        <v>0.30246888599999999</v>
      </c>
      <c r="P2277" s="2">
        <v>2.5415907849999999</v>
      </c>
      <c r="Q2277" s="2">
        <v>2.4588736779999998</v>
      </c>
      <c r="R2277" s="2">
        <v>7.1844500000000006E-2</v>
      </c>
      <c r="S2277" s="2">
        <v>0.20184450000000001</v>
      </c>
      <c r="T2277" s="2">
        <v>2.5405751489999999</v>
      </c>
      <c r="U2277" s="2">
        <v>2.4505751490000001</v>
      </c>
      <c r="V2277" s="2">
        <v>1.2354304410000001</v>
      </c>
      <c r="W2277" s="2">
        <v>1.211440109</v>
      </c>
      <c r="X2277">
        <f t="shared" si="105"/>
        <v>1</v>
      </c>
      <c r="Y2277">
        <f t="shared" si="106"/>
        <v>0</v>
      </c>
      <c r="Z2277">
        <f t="shared" si="107"/>
        <v>0</v>
      </c>
    </row>
    <row r="2278" spans="1:26" ht="15.75" customHeight="1" x14ac:dyDescent="0.2">
      <c r="A2278" s="2" t="s">
        <v>36</v>
      </c>
      <c r="B2278" s="2" t="s">
        <v>24</v>
      </c>
      <c r="C2278" s="2" t="s">
        <v>27</v>
      </c>
      <c r="D2278" s="2" t="s">
        <v>27</v>
      </c>
      <c r="E2278" s="2">
        <v>101</v>
      </c>
      <c r="F2278" s="2">
        <v>270</v>
      </c>
      <c r="G2278" s="2">
        <v>524</v>
      </c>
      <c r="H2278" s="2">
        <v>2332</v>
      </c>
      <c r="I2278" s="2">
        <v>3227</v>
      </c>
      <c r="J2278" s="2">
        <v>2.71</v>
      </c>
      <c r="K2278" s="2">
        <v>5.13</v>
      </c>
      <c r="L2278" s="2">
        <v>14.04</v>
      </c>
      <c r="M2278" s="2">
        <v>16.149999999999999</v>
      </c>
      <c r="N2278" s="2">
        <v>0.42562678300000001</v>
      </c>
      <c r="O2278" s="2">
        <v>0.27892949900000003</v>
      </c>
      <c r="P2278" s="2">
        <v>2.5671260949999999</v>
      </c>
      <c r="Q2278" s="2">
        <v>2.4557391489999998</v>
      </c>
      <c r="R2278" s="2">
        <v>0.50557165900000001</v>
      </c>
      <c r="S2278" s="2">
        <v>0.375571659</v>
      </c>
      <c r="T2278" s="2">
        <v>2.5168499529999999</v>
      </c>
      <c r="U2278" s="2">
        <v>2.4268499530000001</v>
      </c>
      <c r="V2278" s="2">
        <v>1.812846599</v>
      </c>
      <c r="W2278" s="2">
        <v>1.7888562670000001</v>
      </c>
      <c r="X2278">
        <f t="shared" si="105"/>
        <v>1</v>
      </c>
      <c r="Y2278">
        <f t="shared" si="106"/>
        <v>0</v>
      </c>
      <c r="Z2278">
        <f t="shared" si="107"/>
        <v>0</v>
      </c>
    </row>
    <row r="2279" spans="1:26" ht="15.75" customHeight="1" x14ac:dyDescent="0.2">
      <c r="A2279" s="2" t="s">
        <v>36</v>
      </c>
      <c r="B2279" s="2" t="s">
        <v>24</v>
      </c>
      <c r="C2279" s="2" t="s">
        <v>32</v>
      </c>
      <c r="D2279" s="2" t="s">
        <v>33</v>
      </c>
      <c r="E2279" s="2">
        <v>120</v>
      </c>
      <c r="F2279" s="2">
        <v>235</v>
      </c>
      <c r="G2279" s="2">
        <v>720</v>
      </c>
      <c r="H2279" s="2">
        <v>1313</v>
      </c>
      <c r="I2279" s="2">
        <v>3336</v>
      </c>
      <c r="J2279" s="2">
        <v>2.34</v>
      </c>
      <c r="K2279" s="2">
        <v>6.67</v>
      </c>
      <c r="L2279" s="2">
        <v>10.23</v>
      </c>
      <c r="M2279" s="2">
        <v>16.36</v>
      </c>
      <c r="N2279" s="2">
        <v>1.7022425590000001</v>
      </c>
      <c r="O2279" s="2">
        <v>1.7298992070000001</v>
      </c>
      <c r="P2279" s="2">
        <v>2.4240421329999999</v>
      </c>
      <c r="Q2279" s="2">
        <v>2.3665795549999999</v>
      </c>
      <c r="R2279" s="2">
        <v>2.0502475429999998</v>
      </c>
      <c r="S2279" s="2">
        <v>1.9202475429999999</v>
      </c>
      <c r="T2279" s="2">
        <v>1.293238289</v>
      </c>
      <c r="U2279" s="2">
        <v>1.3832382889999999</v>
      </c>
      <c r="V2279" s="2">
        <v>3.357522484</v>
      </c>
      <c r="W2279" s="2">
        <v>3.3335321520000001</v>
      </c>
      <c r="X2279">
        <f t="shared" si="105"/>
        <v>1</v>
      </c>
      <c r="Y2279">
        <f t="shared" si="106"/>
        <v>0</v>
      </c>
      <c r="Z2279">
        <f t="shared" si="107"/>
        <v>1</v>
      </c>
    </row>
    <row r="2280" spans="1:26" ht="15.75" customHeight="1" x14ac:dyDescent="0.2">
      <c r="A2280" s="2" t="s">
        <v>36</v>
      </c>
      <c r="B2280" s="2" t="s">
        <v>24</v>
      </c>
      <c r="C2280" s="2" t="s">
        <v>28</v>
      </c>
      <c r="D2280" s="2" t="s">
        <v>29</v>
      </c>
      <c r="E2280" s="2">
        <v>121</v>
      </c>
      <c r="F2280" s="2">
        <v>269</v>
      </c>
      <c r="G2280" s="2">
        <v>324</v>
      </c>
      <c r="H2280" s="2">
        <v>1208</v>
      </c>
      <c r="I2280" s="2">
        <v>2177</v>
      </c>
      <c r="J2280" s="2">
        <v>2.71</v>
      </c>
      <c r="K2280" s="2">
        <v>3.27</v>
      </c>
      <c r="L2280" s="2">
        <v>9.69</v>
      </c>
      <c r="M2280" s="2">
        <v>13.58</v>
      </c>
      <c r="N2280" s="2">
        <v>1.6847733009999999</v>
      </c>
      <c r="O2280" s="2">
        <v>1.7377670890000001</v>
      </c>
      <c r="P2280" s="2">
        <v>2.2731695649999999</v>
      </c>
      <c r="Q2280" s="2">
        <v>2.423328723</v>
      </c>
      <c r="R2280" s="2">
        <v>1.3501882940000001</v>
      </c>
      <c r="S2280" s="2">
        <v>1.480188294</v>
      </c>
      <c r="T2280" s="2">
        <v>1.8287403980000001</v>
      </c>
      <c r="U2280" s="2">
        <v>1.918740398</v>
      </c>
      <c r="V2280" s="2">
        <v>-4.2913353000000001E-2</v>
      </c>
      <c r="W2280" s="2">
        <v>-6.6903685000000004E-2</v>
      </c>
      <c r="X2280">
        <f t="shared" si="105"/>
        <v>1</v>
      </c>
      <c r="Y2280">
        <f t="shared" si="106"/>
        <v>0</v>
      </c>
      <c r="Z2280">
        <f t="shared" si="107"/>
        <v>1</v>
      </c>
    </row>
    <row r="2281" spans="1:26" ht="15.75" customHeight="1" x14ac:dyDescent="0.2">
      <c r="A2281" s="2" t="s">
        <v>36</v>
      </c>
      <c r="B2281" s="2" t="s">
        <v>24</v>
      </c>
      <c r="C2281" s="2" t="s">
        <v>26</v>
      </c>
      <c r="D2281" s="2" t="s">
        <v>26</v>
      </c>
      <c r="E2281" s="2">
        <v>103</v>
      </c>
      <c r="F2281" s="2">
        <v>214</v>
      </c>
      <c r="G2281" s="2">
        <v>376</v>
      </c>
      <c r="H2281" s="2">
        <v>1086</v>
      </c>
      <c r="I2281" s="2">
        <v>3061</v>
      </c>
      <c r="J2281" s="2">
        <v>2.11</v>
      </c>
      <c r="K2281" s="2">
        <v>3.79</v>
      </c>
      <c r="L2281" s="2">
        <v>9.0299999999999994</v>
      </c>
      <c r="M2281" s="2">
        <v>15.81</v>
      </c>
      <c r="N2281" s="2">
        <v>0.84682563499999997</v>
      </c>
      <c r="O2281" s="2">
        <v>0.89631458500000005</v>
      </c>
      <c r="P2281" s="2">
        <v>2.626436365</v>
      </c>
      <c r="Q2281" s="2">
        <v>2.7545953750000001</v>
      </c>
      <c r="R2281" s="2">
        <v>0.83148237999999997</v>
      </c>
      <c r="S2281" s="2">
        <v>0.96148237999999997</v>
      </c>
      <c r="T2281" s="2">
        <v>2.4913460280000002</v>
      </c>
      <c r="U2281" s="2">
        <v>2.581346028</v>
      </c>
      <c r="V2281" s="2">
        <v>0.475792561</v>
      </c>
      <c r="W2281" s="2">
        <v>0.451802229</v>
      </c>
      <c r="X2281">
        <f t="shared" si="105"/>
        <v>1</v>
      </c>
      <c r="Y2281">
        <f t="shared" si="106"/>
        <v>0</v>
      </c>
      <c r="Z2281">
        <f t="shared" si="107"/>
        <v>0</v>
      </c>
    </row>
    <row r="2282" spans="1:26" ht="15.75" customHeight="1" x14ac:dyDescent="0.2">
      <c r="A2282" s="2" t="s">
        <v>36</v>
      </c>
      <c r="B2282" s="2" t="s">
        <v>24</v>
      </c>
      <c r="C2282" s="2" t="s">
        <v>30</v>
      </c>
      <c r="D2282" s="2" t="s">
        <v>31</v>
      </c>
      <c r="E2282" s="2">
        <v>121</v>
      </c>
      <c r="F2282" s="2">
        <v>226</v>
      </c>
      <c r="G2282" s="2">
        <v>924</v>
      </c>
      <c r="H2282" s="2">
        <v>1514</v>
      </c>
      <c r="I2282" s="2">
        <v>3457</v>
      </c>
      <c r="J2282" s="2">
        <v>2.2400000000000002</v>
      </c>
      <c r="K2282" s="2">
        <v>8.06</v>
      </c>
      <c r="L2282" s="2">
        <v>11.15</v>
      </c>
      <c r="M2282" s="2">
        <v>16.579999999999998</v>
      </c>
      <c r="N2282" s="2">
        <v>4.4218056020000001</v>
      </c>
      <c r="O2282" s="2">
        <v>4.3425631500000001</v>
      </c>
      <c r="P2282" s="2">
        <v>3.4570852410000001</v>
      </c>
      <c r="Q2282" s="2">
        <v>3.3389851419999999</v>
      </c>
      <c r="R2282" s="2">
        <v>3.437505491</v>
      </c>
      <c r="S2282" s="2">
        <v>3.3075054910000001</v>
      </c>
      <c r="T2282" s="2">
        <v>0.36741579499999999</v>
      </c>
      <c r="U2282" s="2">
        <v>0.45741579500000001</v>
      </c>
      <c r="V2282" s="2">
        <v>4.7447804309999997</v>
      </c>
      <c r="W2282" s="2">
        <v>4.7207900990000002</v>
      </c>
      <c r="X2282">
        <f t="shared" si="105"/>
        <v>1</v>
      </c>
      <c r="Y2282">
        <f t="shared" si="106"/>
        <v>0</v>
      </c>
      <c r="Z2282">
        <f t="shared" si="107"/>
        <v>1</v>
      </c>
    </row>
    <row r="2283" spans="1:26" ht="15.75" customHeight="1" x14ac:dyDescent="0.2">
      <c r="A2283" s="2" t="s">
        <v>36</v>
      </c>
      <c r="B2283" s="2" t="s">
        <v>24</v>
      </c>
      <c r="C2283" s="2" t="s">
        <v>27</v>
      </c>
      <c r="D2283" s="2" t="s">
        <v>27</v>
      </c>
      <c r="E2283" s="2">
        <v>103</v>
      </c>
      <c r="F2283" s="2">
        <v>266</v>
      </c>
      <c r="G2283" s="2">
        <v>514</v>
      </c>
      <c r="H2283" s="2">
        <v>2334</v>
      </c>
      <c r="I2283" s="2">
        <v>3148</v>
      </c>
      <c r="J2283" s="2">
        <v>2.67</v>
      </c>
      <c r="K2283" s="2">
        <v>5.04</v>
      </c>
      <c r="L2283" s="2">
        <v>14.04</v>
      </c>
      <c r="M2283" s="2">
        <v>15.99</v>
      </c>
      <c r="N2283" s="2">
        <v>0.34029626000000002</v>
      </c>
      <c r="O2283" s="2">
        <v>0.19371861700000001</v>
      </c>
      <c r="P2283" s="2">
        <v>2.5572885900000002</v>
      </c>
      <c r="Q2283" s="2">
        <v>2.4497854370000001</v>
      </c>
      <c r="R2283" s="2">
        <v>0.420064673</v>
      </c>
      <c r="S2283" s="2">
        <v>0.290064673</v>
      </c>
      <c r="T2283" s="2">
        <v>2.5225523989999998</v>
      </c>
      <c r="U2283" s="2">
        <v>2.432552399</v>
      </c>
      <c r="V2283" s="2">
        <v>1.7273396130000001</v>
      </c>
      <c r="W2283" s="2">
        <v>1.7033492809999999</v>
      </c>
      <c r="X2283">
        <f t="shared" si="105"/>
        <v>1</v>
      </c>
      <c r="Y2283">
        <f t="shared" si="106"/>
        <v>0</v>
      </c>
      <c r="Z2283">
        <f t="shared" si="107"/>
        <v>0</v>
      </c>
    </row>
    <row r="2284" spans="1:26" ht="15.75" customHeight="1" x14ac:dyDescent="0.2">
      <c r="A2284" s="2" t="s">
        <v>36</v>
      </c>
      <c r="B2284" s="2" t="s">
        <v>24</v>
      </c>
      <c r="C2284" s="2" t="s">
        <v>30</v>
      </c>
      <c r="D2284" s="2" t="s">
        <v>31</v>
      </c>
      <c r="E2284" s="2">
        <v>191</v>
      </c>
      <c r="F2284" s="2">
        <v>263</v>
      </c>
      <c r="G2284" s="2">
        <v>785</v>
      </c>
      <c r="H2284" s="2">
        <v>1420</v>
      </c>
      <c r="I2284" s="2">
        <v>3365</v>
      </c>
      <c r="J2284" s="2">
        <v>2.64</v>
      </c>
      <c r="K2284" s="2">
        <v>7.14</v>
      </c>
      <c r="L2284" s="2">
        <v>10.73</v>
      </c>
      <c r="M2284" s="2">
        <v>16.41</v>
      </c>
      <c r="N2284" s="2">
        <v>4.0983532289999998</v>
      </c>
      <c r="O2284" s="2">
        <v>4.0521495170000001</v>
      </c>
      <c r="P2284" s="2">
        <v>2.6365778309999999</v>
      </c>
      <c r="Q2284" s="2">
        <v>2.5423307739999998</v>
      </c>
      <c r="R2284" s="2">
        <v>2.516976321</v>
      </c>
      <c r="S2284" s="2">
        <v>2.3869763210000001</v>
      </c>
      <c r="T2284" s="2">
        <v>0.78509417199999998</v>
      </c>
      <c r="U2284" s="2">
        <v>0.87509417199999995</v>
      </c>
      <c r="V2284" s="2">
        <v>3.8242512610000001</v>
      </c>
      <c r="W2284" s="2">
        <v>3.8002609289999998</v>
      </c>
      <c r="X2284">
        <f t="shared" si="105"/>
        <v>1</v>
      </c>
      <c r="Y2284">
        <f t="shared" si="106"/>
        <v>0</v>
      </c>
      <c r="Z2284">
        <f t="shared" si="107"/>
        <v>1</v>
      </c>
    </row>
    <row r="2285" spans="1:26" ht="15.75" customHeight="1" x14ac:dyDescent="0.2">
      <c r="A2285" s="2" t="s">
        <v>36</v>
      </c>
      <c r="B2285" s="2" t="s">
        <v>24</v>
      </c>
      <c r="C2285" s="2" t="s">
        <v>26</v>
      </c>
      <c r="D2285" s="2" t="s">
        <v>26</v>
      </c>
      <c r="E2285" s="2">
        <v>120</v>
      </c>
      <c r="F2285" s="2">
        <v>234</v>
      </c>
      <c r="G2285" s="2">
        <v>426</v>
      </c>
      <c r="H2285" s="2">
        <v>1017</v>
      </c>
      <c r="I2285" s="2">
        <v>2933</v>
      </c>
      <c r="J2285" s="2">
        <v>2.33</v>
      </c>
      <c r="K2285" s="2">
        <v>4.26</v>
      </c>
      <c r="L2285" s="2">
        <v>8.6300000000000008</v>
      </c>
      <c r="M2285" s="2">
        <v>15.54</v>
      </c>
      <c r="N2285" s="2">
        <v>0.33084903999999998</v>
      </c>
      <c r="O2285" s="2">
        <v>0.31303563899999998</v>
      </c>
      <c r="P2285" s="2">
        <v>2.9139290839999998</v>
      </c>
      <c r="Q2285" s="2">
        <v>3.0217306349999999</v>
      </c>
      <c r="R2285" s="2">
        <v>0.36330259799999998</v>
      </c>
      <c r="S2285" s="2">
        <v>0.49330259799999998</v>
      </c>
      <c r="T2285" s="2">
        <v>2.8911924760000001</v>
      </c>
      <c r="U2285" s="2">
        <v>2.9811924759999999</v>
      </c>
      <c r="V2285" s="2">
        <v>0.94397234200000002</v>
      </c>
      <c r="W2285" s="2">
        <v>0.91998201000000002</v>
      </c>
      <c r="X2285">
        <f t="shared" si="105"/>
        <v>1</v>
      </c>
      <c r="Y2285">
        <f t="shared" si="106"/>
        <v>0</v>
      </c>
      <c r="Z2285">
        <f t="shared" si="107"/>
        <v>0</v>
      </c>
    </row>
    <row r="2286" spans="1:26" ht="15.75" customHeight="1" x14ac:dyDescent="0.2">
      <c r="A2286" s="2" t="s">
        <v>36</v>
      </c>
      <c r="B2286" s="2" t="s">
        <v>24</v>
      </c>
      <c r="C2286" s="2" t="s">
        <v>26</v>
      </c>
      <c r="D2286" s="2" t="s">
        <v>26</v>
      </c>
      <c r="E2286" s="2">
        <v>120</v>
      </c>
      <c r="F2286" s="2">
        <v>253</v>
      </c>
      <c r="G2286" s="2">
        <v>469</v>
      </c>
      <c r="H2286" s="2">
        <v>993</v>
      </c>
      <c r="I2286" s="2">
        <v>3107</v>
      </c>
      <c r="J2286" s="2">
        <v>2.5299999999999998</v>
      </c>
      <c r="K2286" s="2">
        <v>4.6399999999999997</v>
      </c>
      <c r="L2286" s="2">
        <v>8.49</v>
      </c>
      <c r="M2286" s="2">
        <v>15.91</v>
      </c>
      <c r="N2286" s="2">
        <v>0.46237752300000001</v>
      </c>
      <c r="O2286" s="2">
        <v>0.332167989</v>
      </c>
      <c r="P2286" s="2">
        <v>3.034741285</v>
      </c>
      <c r="Q2286" s="2">
        <v>3.1264604920000001</v>
      </c>
      <c r="R2286" s="2">
        <v>2.3601427000000001E-2</v>
      </c>
      <c r="S2286" s="2">
        <v>0.106398573</v>
      </c>
      <c r="T2286" s="2">
        <v>3.0346495089999999</v>
      </c>
      <c r="U2286" s="2">
        <v>3.1246495090000002</v>
      </c>
      <c r="V2286" s="2">
        <v>1.330876368</v>
      </c>
      <c r="W2286" s="2">
        <v>1.3068860360000001</v>
      </c>
      <c r="X2286">
        <f t="shared" si="105"/>
        <v>1</v>
      </c>
      <c r="Y2286">
        <f t="shared" si="106"/>
        <v>0</v>
      </c>
      <c r="Z2286">
        <f t="shared" si="107"/>
        <v>0</v>
      </c>
    </row>
    <row r="2287" spans="1:26" ht="15.75" customHeight="1" x14ac:dyDescent="0.2">
      <c r="A2287" s="2" t="s">
        <v>36</v>
      </c>
      <c r="B2287" s="2" t="s">
        <v>24</v>
      </c>
      <c r="C2287" s="2" t="s">
        <v>26</v>
      </c>
      <c r="D2287" s="2" t="s">
        <v>26</v>
      </c>
      <c r="E2287" s="2">
        <v>110</v>
      </c>
      <c r="F2287" s="2">
        <v>266</v>
      </c>
      <c r="G2287" s="2">
        <v>474</v>
      </c>
      <c r="H2287" s="2">
        <v>823</v>
      </c>
      <c r="I2287" s="2">
        <v>3306</v>
      </c>
      <c r="J2287" s="2">
        <v>2.68</v>
      </c>
      <c r="K2287" s="2">
        <v>4.6900000000000004</v>
      </c>
      <c r="L2287" s="2">
        <v>7.4</v>
      </c>
      <c r="M2287" s="2">
        <v>16.3</v>
      </c>
      <c r="N2287" s="2">
        <v>1.0206274559999999</v>
      </c>
      <c r="O2287" s="2">
        <v>0.99523014399999998</v>
      </c>
      <c r="P2287" s="2">
        <v>4.1245636220000002</v>
      </c>
      <c r="Q2287" s="2">
        <v>4.2142728610000004</v>
      </c>
      <c r="R2287" s="2">
        <v>7.3966862999999994E-2</v>
      </c>
      <c r="S2287" s="2">
        <v>5.6033136999999997E-2</v>
      </c>
      <c r="T2287" s="2">
        <v>4.1239003350000001</v>
      </c>
      <c r="U2287" s="2">
        <v>4.2139003349999999</v>
      </c>
      <c r="V2287" s="2">
        <v>1.381241803</v>
      </c>
      <c r="W2287" s="2">
        <v>1.3572514710000001</v>
      </c>
      <c r="X2287">
        <f t="shared" si="105"/>
        <v>1</v>
      </c>
      <c r="Y2287">
        <f t="shared" si="106"/>
        <v>0</v>
      </c>
      <c r="Z2287">
        <f t="shared" si="107"/>
        <v>0</v>
      </c>
    </row>
    <row r="2288" spans="1:26" ht="15.75" customHeight="1" x14ac:dyDescent="0.2">
      <c r="A2288" s="2" t="s">
        <v>36</v>
      </c>
      <c r="B2288" s="2" t="s">
        <v>24</v>
      </c>
      <c r="C2288" s="2" t="s">
        <v>25</v>
      </c>
      <c r="D2288" s="2" t="s">
        <v>25</v>
      </c>
      <c r="E2288" s="2">
        <v>162</v>
      </c>
      <c r="F2288" s="2">
        <v>247</v>
      </c>
      <c r="G2288" s="2">
        <v>707</v>
      </c>
      <c r="H2288" s="2">
        <v>1683</v>
      </c>
      <c r="I2288" s="2">
        <v>2819</v>
      </c>
      <c r="J2288" s="2">
        <v>2.4700000000000002</v>
      </c>
      <c r="K2288" s="2">
        <v>6.58</v>
      </c>
      <c r="L2288" s="2">
        <v>11.86</v>
      </c>
      <c r="M2288" s="2">
        <v>15.29</v>
      </c>
      <c r="N2288" s="2">
        <v>0.57043250099999998</v>
      </c>
      <c r="O2288" s="2">
        <v>0.740918984</v>
      </c>
      <c r="P2288" s="2">
        <v>1.9883510710000001</v>
      </c>
      <c r="Q2288" s="2">
        <v>1.8461800399999999</v>
      </c>
      <c r="R2288" s="2">
        <v>1.959575106</v>
      </c>
      <c r="S2288" s="2">
        <v>1.8295751060000001</v>
      </c>
      <c r="T2288" s="2">
        <v>0.33705397999999998</v>
      </c>
      <c r="U2288" s="2">
        <v>0.24705398000000001</v>
      </c>
      <c r="V2288" s="2">
        <v>3.2668500470000001</v>
      </c>
      <c r="W2288" s="2">
        <v>3.2428597149999998</v>
      </c>
      <c r="X2288">
        <f t="shared" si="105"/>
        <v>1</v>
      </c>
      <c r="Y2288">
        <f t="shared" si="106"/>
        <v>0</v>
      </c>
      <c r="Z2288">
        <f t="shared" si="107"/>
        <v>0</v>
      </c>
    </row>
    <row r="2289" spans="1:26" ht="15.75" customHeight="1" x14ac:dyDescent="0.2">
      <c r="A2289" s="2" t="s">
        <v>36</v>
      </c>
      <c r="B2289" s="2" t="s">
        <v>24</v>
      </c>
      <c r="C2289" s="2" t="s">
        <v>25</v>
      </c>
      <c r="D2289" s="2" t="s">
        <v>25</v>
      </c>
      <c r="E2289" s="2">
        <v>111</v>
      </c>
      <c r="F2289" s="2">
        <v>230</v>
      </c>
      <c r="G2289" s="2">
        <v>786</v>
      </c>
      <c r="H2289" s="2">
        <v>1708</v>
      </c>
      <c r="I2289" s="2">
        <v>3020</v>
      </c>
      <c r="J2289" s="2">
        <v>2.2799999999999998</v>
      </c>
      <c r="K2289" s="2">
        <v>7.14</v>
      </c>
      <c r="L2289" s="2">
        <v>11.95</v>
      </c>
      <c r="M2289" s="2">
        <v>15.73</v>
      </c>
      <c r="N2289" s="2">
        <v>9.4240356999999997E-2</v>
      </c>
      <c r="O2289" s="2">
        <v>0.21536439499999999</v>
      </c>
      <c r="P2289" s="2">
        <v>2.5609972750000001</v>
      </c>
      <c r="Q2289" s="2">
        <v>2.4185434529999998</v>
      </c>
      <c r="R2289" s="2">
        <v>2.5239475599999999</v>
      </c>
      <c r="S2289" s="2">
        <v>2.39394756</v>
      </c>
      <c r="T2289" s="2">
        <v>0.43404580199999998</v>
      </c>
      <c r="U2289" s="2">
        <v>0.34404580200000001</v>
      </c>
      <c r="V2289" s="2">
        <v>3.8312225010000001</v>
      </c>
      <c r="W2289" s="2">
        <v>3.8072321690000002</v>
      </c>
      <c r="X2289">
        <f t="shared" si="105"/>
        <v>1</v>
      </c>
      <c r="Y2289">
        <f t="shared" si="106"/>
        <v>0</v>
      </c>
      <c r="Z2289">
        <f t="shared" si="107"/>
        <v>0</v>
      </c>
    </row>
    <row r="2290" spans="1:26" ht="15.75" customHeight="1" x14ac:dyDescent="0.2">
      <c r="A2290" s="2" t="s">
        <v>36</v>
      </c>
      <c r="B2290" s="2" t="s">
        <v>24</v>
      </c>
      <c r="C2290" s="2" t="s">
        <v>25</v>
      </c>
      <c r="D2290" s="2" t="s">
        <v>25</v>
      </c>
      <c r="E2290" s="2">
        <v>162</v>
      </c>
      <c r="F2290" s="2">
        <v>225</v>
      </c>
      <c r="G2290" s="2">
        <v>923</v>
      </c>
      <c r="H2290" s="2">
        <v>1684</v>
      </c>
      <c r="I2290" s="2">
        <v>2875</v>
      </c>
      <c r="J2290" s="2">
        <v>2.23</v>
      </c>
      <c r="K2290" s="2">
        <v>8.0500000000000007</v>
      </c>
      <c r="L2290" s="2">
        <v>11.86</v>
      </c>
      <c r="M2290" s="2">
        <v>15.41</v>
      </c>
      <c r="N2290" s="2">
        <v>0.90329317499999995</v>
      </c>
      <c r="O2290" s="2">
        <v>0.73384043499999996</v>
      </c>
      <c r="P2290" s="2">
        <v>3.449925876</v>
      </c>
      <c r="Q2290" s="2">
        <v>3.3126161089999999</v>
      </c>
      <c r="R2290" s="2">
        <v>3.4332917100000002</v>
      </c>
      <c r="S2290" s="2">
        <v>3.3032917099999999</v>
      </c>
      <c r="T2290" s="2">
        <v>0.338373433</v>
      </c>
      <c r="U2290" s="2">
        <v>0.248373433</v>
      </c>
      <c r="V2290" s="2">
        <v>4.740566651</v>
      </c>
      <c r="W2290" s="2">
        <v>4.7165763180000004</v>
      </c>
      <c r="X2290">
        <f t="shared" si="105"/>
        <v>1</v>
      </c>
      <c r="Y2290">
        <f t="shared" si="106"/>
        <v>0</v>
      </c>
      <c r="Z2290">
        <f t="shared" si="107"/>
        <v>0</v>
      </c>
    </row>
    <row r="2291" spans="1:26" ht="15.75" customHeight="1" x14ac:dyDescent="0.2">
      <c r="A2291" s="2" t="s">
        <v>36</v>
      </c>
      <c r="B2291" s="2" t="s">
        <v>24</v>
      </c>
      <c r="C2291" s="2" t="s">
        <v>28</v>
      </c>
      <c r="D2291" s="2" t="s">
        <v>29</v>
      </c>
      <c r="E2291" s="2">
        <v>118</v>
      </c>
      <c r="F2291" s="2">
        <v>268</v>
      </c>
      <c r="G2291" s="2">
        <v>372</v>
      </c>
      <c r="H2291" s="2">
        <v>1153</v>
      </c>
      <c r="I2291" s="2">
        <v>2075</v>
      </c>
      <c r="J2291" s="2">
        <v>2.69</v>
      </c>
      <c r="K2291" s="2">
        <v>3.75</v>
      </c>
      <c r="L2291" s="2">
        <v>9.4</v>
      </c>
      <c r="M2291" s="2">
        <v>13.26</v>
      </c>
      <c r="N2291" s="2">
        <v>1.194514922</v>
      </c>
      <c r="O2291" s="2">
        <v>1.2251497600000001</v>
      </c>
      <c r="P2291" s="2">
        <v>2.2933126480000001</v>
      </c>
      <c r="Q2291" s="2">
        <v>2.427433218</v>
      </c>
      <c r="R2291" s="2">
        <v>0.87005573800000002</v>
      </c>
      <c r="S2291" s="2">
        <v>1.0000557379999999</v>
      </c>
      <c r="T2291" s="2">
        <v>2.1218590700000002</v>
      </c>
      <c r="U2291" s="2">
        <v>2.21185907</v>
      </c>
      <c r="V2291" s="2">
        <v>0.43721920199999997</v>
      </c>
      <c r="W2291" s="2">
        <v>0.41322887000000003</v>
      </c>
      <c r="X2291">
        <f t="shared" si="105"/>
        <v>1</v>
      </c>
      <c r="Y2291">
        <f t="shared" si="106"/>
        <v>0</v>
      </c>
      <c r="Z2291">
        <f t="shared" si="107"/>
        <v>1</v>
      </c>
    </row>
    <row r="2292" spans="1:26" ht="15.75" customHeight="1" x14ac:dyDescent="0.2">
      <c r="A2292" s="2" t="s">
        <v>36</v>
      </c>
      <c r="B2292" s="2" t="s">
        <v>24</v>
      </c>
      <c r="C2292" s="2" t="s">
        <v>30</v>
      </c>
      <c r="D2292" s="2" t="s">
        <v>31</v>
      </c>
      <c r="E2292" s="2">
        <v>100</v>
      </c>
      <c r="F2292" s="2">
        <v>227</v>
      </c>
      <c r="G2292" s="2">
        <v>833</v>
      </c>
      <c r="H2292" s="2">
        <v>1253</v>
      </c>
      <c r="I2292" s="2">
        <v>3356</v>
      </c>
      <c r="J2292" s="2">
        <v>2.25</v>
      </c>
      <c r="K2292" s="2">
        <v>7.47</v>
      </c>
      <c r="L2292" s="2">
        <v>9.93</v>
      </c>
      <c r="M2292" s="2">
        <v>16.39</v>
      </c>
      <c r="N2292" s="2">
        <v>4.950900753</v>
      </c>
      <c r="O2292" s="2">
        <v>4.9108475509999998</v>
      </c>
      <c r="P2292" s="2">
        <v>3.2642484139999999</v>
      </c>
      <c r="Q2292" s="2">
        <v>3.1979409369999998</v>
      </c>
      <c r="R2292" s="2">
        <v>2.8482100240000001</v>
      </c>
      <c r="S2292" s="2">
        <v>2.7182100239999998</v>
      </c>
      <c r="T2292" s="2">
        <v>1.5946840959999999</v>
      </c>
      <c r="U2292" s="2">
        <v>1.684684096</v>
      </c>
      <c r="V2292" s="2">
        <v>4.1554849640000002</v>
      </c>
      <c r="W2292" s="2">
        <v>4.1314946319999999</v>
      </c>
      <c r="X2292">
        <f t="shared" si="105"/>
        <v>1</v>
      </c>
      <c r="Y2292">
        <f t="shared" si="106"/>
        <v>0</v>
      </c>
      <c r="Z2292">
        <f t="shared" si="107"/>
        <v>1</v>
      </c>
    </row>
    <row r="2293" spans="1:26" ht="15.75" customHeight="1" x14ac:dyDescent="0.2">
      <c r="A2293" s="2" t="s">
        <v>36</v>
      </c>
      <c r="B2293" s="2" t="s">
        <v>24</v>
      </c>
      <c r="C2293" s="2" t="s">
        <v>32</v>
      </c>
      <c r="D2293" s="2" t="s">
        <v>33</v>
      </c>
      <c r="E2293" s="2">
        <v>154</v>
      </c>
      <c r="F2293" s="2">
        <v>243</v>
      </c>
      <c r="G2293" s="2">
        <v>766</v>
      </c>
      <c r="H2293" s="2">
        <v>1357</v>
      </c>
      <c r="I2293" s="2">
        <v>3261</v>
      </c>
      <c r="J2293" s="2">
        <v>2.4300000000000002</v>
      </c>
      <c r="K2293" s="2">
        <v>7</v>
      </c>
      <c r="L2293" s="2">
        <v>10.44</v>
      </c>
      <c r="M2293" s="2">
        <v>16.22</v>
      </c>
      <c r="N2293" s="2">
        <v>1.4280874619999999</v>
      </c>
      <c r="O2293" s="2">
        <v>1.426397269</v>
      </c>
      <c r="P2293" s="2">
        <v>2.614796396</v>
      </c>
      <c r="Q2293" s="2">
        <v>2.5372241299999998</v>
      </c>
      <c r="R2293" s="2">
        <v>2.3811935919999998</v>
      </c>
      <c r="S2293" s="2">
        <v>2.2511935919999999</v>
      </c>
      <c r="T2293" s="2">
        <v>1.0803135049999999</v>
      </c>
      <c r="U2293" s="2">
        <v>1.170313505</v>
      </c>
      <c r="V2293" s="2">
        <v>3.6884685319999999</v>
      </c>
      <c r="W2293" s="2">
        <v>3.6644782</v>
      </c>
      <c r="X2293">
        <f t="shared" si="105"/>
        <v>1</v>
      </c>
      <c r="Y2293">
        <f t="shared" si="106"/>
        <v>0</v>
      </c>
      <c r="Z2293">
        <f t="shared" si="107"/>
        <v>1</v>
      </c>
    </row>
    <row r="2294" spans="1:26" ht="15.75" customHeight="1" x14ac:dyDescent="0.2">
      <c r="A2294" s="2" t="s">
        <v>36</v>
      </c>
      <c r="B2294" s="2" t="s">
        <v>24</v>
      </c>
      <c r="C2294" s="2" t="s">
        <v>26</v>
      </c>
      <c r="D2294" s="2" t="s">
        <v>26</v>
      </c>
      <c r="E2294" s="2">
        <v>90</v>
      </c>
      <c r="F2294" s="2">
        <v>242</v>
      </c>
      <c r="G2294" s="2">
        <v>470</v>
      </c>
      <c r="H2294" s="2">
        <v>1214</v>
      </c>
      <c r="I2294" s="2">
        <v>3031</v>
      </c>
      <c r="J2294" s="2">
        <v>2.42</v>
      </c>
      <c r="K2294" s="2">
        <v>4.6500000000000004</v>
      </c>
      <c r="L2294" s="2">
        <v>9.7200000000000006</v>
      </c>
      <c r="M2294" s="2">
        <v>15.75</v>
      </c>
      <c r="N2294" s="2">
        <v>1.488578019</v>
      </c>
      <c r="O2294" s="2">
        <v>1.4267975319999999</v>
      </c>
      <c r="P2294" s="2">
        <v>1.795933781</v>
      </c>
      <c r="Q2294" s="2">
        <v>1.888158249</v>
      </c>
      <c r="R2294" s="2">
        <v>3.2506516999999999E-2</v>
      </c>
      <c r="S2294" s="2">
        <v>9.7493483000000006E-2</v>
      </c>
      <c r="T2294" s="2">
        <v>1.795639572</v>
      </c>
      <c r="U2294" s="2">
        <v>1.8856395720000001</v>
      </c>
      <c r="V2294" s="2">
        <v>1.339781457</v>
      </c>
      <c r="W2294" s="2">
        <v>1.3157911250000001</v>
      </c>
      <c r="X2294">
        <f t="shared" si="105"/>
        <v>1</v>
      </c>
      <c r="Y2294">
        <f t="shared" si="106"/>
        <v>0</v>
      </c>
      <c r="Z2294">
        <f t="shared" si="107"/>
        <v>0</v>
      </c>
    </row>
    <row r="2295" spans="1:26" ht="15.75" customHeight="1" x14ac:dyDescent="0.2">
      <c r="A2295" s="2" t="s">
        <v>36</v>
      </c>
      <c r="B2295" s="2" t="s">
        <v>24</v>
      </c>
      <c r="C2295" s="2" t="s">
        <v>32</v>
      </c>
      <c r="D2295" s="2" t="s">
        <v>33</v>
      </c>
      <c r="E2295" s="2">
        <v>120</v>
      </c>
      <c r="F2295" s="2">
        <v>240</v>
      </c>
      <c r="G2295" s="2">
        <v>569</v>
      </c>
      <c r="H2295" s="2">
        <v>1208</v>
      </c>
      <c r="I2295" s="2">
        <v>2516</v>
      </c>
      <c r="J2295" s="2">
        <v>2.39</v>
      </c>
      <c r="K2295" s="2">
        <v>5.5</v>
      </c>
      <c r="L2295" s="2">
        <v>9.69</v>
      </c>
      <c r="M2295" s="2">
        <v>14.54</v>
      </c>
      <c r="N2295" s="2">
        <v>2.7194195309999998</v>
      </c>
      <c r="O2295" s="2">
        <v>2.8025919589999999</v>
      </c>
      <c r="P2295" s="2">
        <v>2.028366906</v>
      </c>
      <c r="Q2295" s="2">
        <v>2.0585891379999999</v>
      </c>
      <c r="R2295" s="2">
        <v>0.88472324700000005</v>
      </c>
      <c r="S2295" s="2">
        <v>0.75472324700000004</v>
      </c>
      <c r="T2295" s="2">
        <v>1.825249868</v>
      </c>
      <c r="U2295" s="2">
        <v>1.9152498680000001</v>
      </c>
      <c r="V2295" s="2">
        <v>2.1919981879999999</v>
      </c>
      <c r="W2295" s="2">
        <v>2.168007856</v>
      </c>
      <c r="X2295">
        <f t="shared" si="105"/>
        <v>1</v>
      </c>
      <c r="Y2295">
        <f t="shared" si="106"/>
        <v>0</v>
      </c>
      <c r="Z2295">
        <f t="shared" si="107"/>
        <v>1</v>
      </c>
    </row>
    <row r="2296" spans="1:26" ht="15.75" customHeight="1" x14ac:dyDescent="0.2">
      <c r="A2296" s="2" t="s">
        <v>36</v>
      </c>
      <c r="B2296" s="2" t="s">
        <v>24</v>
      </c>
      <c r="C2296" s="2" t="s">
        <v>28</v>
      </c>
      <c r="D2296" s="2" t="s">
        <v>29</v>
      </c>
      <c r="E2296" s="2">
        <v>134</v>
      </c>
      <c r="F2296" s="2">
        <v>248</v>
      </c>
      <c r="G2296" s="2">
        <v>343</v>
      </c>
      <c r="H2296" s="2">
        <v>1080</v>
      </c>
      <c r="I2296" s="2">
        <v>1976</v>
      </c>
      <c r="J2296" s="2">
        <v>2.48</v>
      </c>
      <c r="K2296" s="2">
        <v>3.47</v>
      </c>
      <c r="L2296" s="2">
        <v>9</v>
      </c>
      <c r="M2296" s="2">
        <v>12.93</v>
      </c>
      <c r="N2296" s="2">
        <v>1.0262580029999999</v>
      </c>
      <c r="O2296" s="2">
        <v>1.1068796089999999</v>
      </c>
      <c r="P2296" s="2">
        <v>2.77472853</v>
      </c>
      <c r="Q2296" s="2">
        <v>2.9117546860000001</v>
      </c>
      <c r="R2296" s="2">
        <v>1.1537192469999999</v>
      </c>
      <c r="S2296" s="2">
        <v>1.2837192470000001</v>
      </c>
      <c r="T2296" s="2">
        <v>2.5234996160000001</v>
      </c>
      <c r="U2296" s="2">
        <v>2.6134996159999999</v>
      </c>
      <c r="V2296" s="2">
        <v>0.15355569299999999</v>
      </c>
      <c r="W2296" s="2">
        <v>0.12956536099999999</v>
      </c>
      <c r="X2296">
        <f t="shared" si="105"/>
        <v>1</v>
      </c>
      <c r="Y2296">
        <f t="shared" si="106"/>
        <v>0</v>
      </c>
      <c r="Z2296">
        <f t="shared" si="107"/>
        <v>1</v>
      </c>
    </row>
    <row r="2297" spans="1:26" ht="15.75" customHeight="1" x14ac:dyDescent="0.2">
      <c r="A2297" s="2" t="s">
        <v>36</v>
      </c>
      <c r="B2297" s="2" t="s">
        <v>24</v>
      </c>
      <c r="C2297" s="2" t="s">
        <v>32</v>
      </c>
      <c r="D2297" s="2" t="s">
        <v>33</v>
      </c>
      <c r="E2297" s="2">
        <v>172</v>
      </c>
      <c r="F2297" s="2">
        <v>242</v>
      </c>
      <c r="G2297" s="2">
        <v>542</v>
      </c>
      <c r="H2297" s="2">
        <v>1268</v>
      </c>
      <c r="I2297" s="2">
        <v>2588</v>
      </c>
      <c r="J2297" s="2">
        <v>2.42</v>
      </c>
      <c r="K2297" s="2">
        <v>5.28</v>
      </c>
      <c r="L2297" s="2">
        <v>10</v>
      </c>
      <c r="M2297" s="2">
        <v>14.73</v>
      </c>
      <c r="N2297" s="2">
        <v>2.6361948609999999</v>
      </c>
      <c r="O2297" s="2">
        <v>2.7392356480000002</v>
      </c>
      <c r="P2297" s="2">
        <v>1.656124237</v>
      </c>
      <c r="Q2297" s="2">
        <v>1.6939201850000001</v>
      </c>
      <c r="R2297" s="2">
        <v>0.66055947800000003</v>
      </c>
      <c r="S2297" s="2">
        <v>0.53055947800000003</v>
      </c>
      <c r="T2297" s="2">
        <v>1.5186864929999999</v>
      </c>
      <c r="U2297" s="2">
        <v>1.608686493</v>
      </c>
      <c r="V2297" s="2">
        <v>1.967834418</v>
      </c>
      <c r="W2297" s="2">
        <v>1.9438440859999999</v>
      </c>
      <c r="X2297">
        <f t="shared" si="105"/>
        <v>1</v>
      </c>
      <c r="Y2297">
        <f t="shared" si="106"/>
        <v>0</v>
      </c>
      <c r="Z2297">
        <f t="shared" si="107"/>
        <v>1</v>
      </c>
    </row>
    <row r="2298" spans="1:26" ht="15.75" customHeight="1" x14ac:dyDescent="0.2">
      <c r="A2298" s="2" t="s">
        <v>36</v>
      </c>
      <c r="B2298" s="2" t="s">
        <v>24</v>
      </c>
      <c r="C2298" s="2" t="s">
        <v>25</v>
      </c>
      <c r="D2298" s="2" t="s">
        <v>25</v>
      </c>
      <c r="E2298" s="2">
        <v>158</v>
      </c>
      <c r="F2298" s="2">
        <v>245</v>
      </c>
      <c r="G2298" s="2">
        <v>720</v>
      </c>
      <c r="H2298" s="2">
        <v>1794</v>
      </c>
      <c r="I2298" s="2">
        <v>3013</v>
      </c>
      <c r="J2298" s="2">
        <v>2.4500000000000002</v>
      </c>
      <c r="K2298" s="2">
        <v>6.67</v>
      </c>
      <c r="L2298" s="2">
        <v>12.28</v>
      </c>
      <c r="M2298" s="2">
        <v>15.71</v>
      </c>
      <c r="N2298" s="2">
        <v>0.63992037599999996</v>
      </c>
      <c r="O2298" s="2">
        <v>0.79235266699999995</v>
      </c>
      <c r="P2298" s="2">
        <v>2.1877882309999999</v>
      </c>
      <c r="Q2298" s="2">
        <v>2.0349266589999999</v>
      </c>
      <c r="R2298" s="2">
        <v>2.0502475429999998</v>
      </c>
      <c r="S2298" s="2">
        <v>1.9202475429999999</v>
      </c>
      <c r="T2298" s="2">
        <v>0.76348042299999996</v>
      </c>
      <c r="U2298" s="2">
        <v>0.67348042299999999</v>
      </c>
      <c r="V2298" s="2">
        <v>3.357522484</v>
      </c>
      <c r="W2298" s="2">
        <v>3.3335321520000001</v>
      </c>
      <c r="X2298">
        <f t="shared" si="105"/>
        <v>1</v>
      </c>
      <c r="Y2298">
        <f t="shared" si="106"/>
        <v>0</v>
      </c>
      <c r="Z2298">
        <f t="shared" si="107"/>
        <v>0</v>
      </c>
    </row>
    <row r="2299" spans="1:26" ht="15.75" customHeight="1" x14ac:dyDescent="0.2">
      <c r="A2299" s="2" t="s">
        <v>36</v>
      </c>
      <c r="B2299" s="2" t="s">
        <v>24</v>
      </c>
      <c r="C2299" s="2" t="s">
        <v>27</v>
      </c>
      <c r="D2299" s="2" t="s">
        <v>27</v>
      </c>
      <c r="E2299" s="2">
        <v>136</v>
      </c>
      <c r="F2299" s="2">
        <v>251</v>
      </c>
      <c r="G2299" s="2">
        <v>447</v>
      </c>
      <c r="H2299" s="2">
        <v>2536</v>
      </c>
      <c r="I2299" s="2">
        <v>3249</v>
      </c>
      <c r="J2299" s="2">
        <v>2.52</v>
      </c>
      <c r="K2299" s="2">
        <v>4.45</v>
      </c>
      <c r="L2299" s="2">
        <v>14.59</v>
      </c>
      <c r="M2299" s="2">
        <v>16.190000000000001</v>
      </c>
      <c r="N2299" s="2">
        <v>0.61388419699999996</v>
      </c>
      <c r="O2299" s="2">
        <v>0.64818568799999998</v>
      </c>
      <c r="P2299" s="2">
        <v>3.0760984740000001</v>
      </c>
      <c r="Q2299" s="2">
        <v>2.9963690110000001</v>
      </c>
      <c r="R2299" s="2">
        <v>0.16813624999999999</v>
      </c>
      <c r="S2299" s="2">
        <v>0.29813624999999999</v>
      </c>
      <c r="T2299" s="2">
        <v>3.0714999629999999</v>
      </c>
      <c r="U2299" s="2">
        <v>2.9814999630000001</v>
      </c>
      <c r="V2299" s="2">
        <v>1.13913869</v>
      </c>
      <c r="W2299" s="2">
        <v>1.1151483579999999</v>
      </c>
      <c r="X2299">
        <f t="shared" si="105"/>
        <v>1</v>
      </c>
      <c r="Y2299">
        <f t="shared" si="106"/>
        <v>0</v>
      </c>
      <c r="Z2299">
        <f t="shared" si="107"/>
        <v>0</v>
      </c>
    </row>
    <row r="2300" spans="1:26" ht="15.75" customHeight="1" x14ac:dyDescent="0.2">
      <c r="A2300" s="2" t="s">
        <v>36</v>
      </c>
      <c r="B2300" s="2" t="s">
        <v>24</v>
      </c>
      <c r="C2300" s="2" t="s">
        <v>30</v>
      </c>
      <c r="D2300" s="2" t="s">
        <v>31</v>
      </c>
      <c r="E2300" s="2">
        <v>138</v>
      </c>
      <c r="F2300" s="2">
        <v>226</v>
      </c>
      <c r="G2300" s="2">
        <v>519</v>
      </c>
      <c r="H2300" s="2">
        <v>1304</v>
      </c>
      <c r="I2300" s="2">
        <v>1872</v>
      </c>
      <c r="J2300" s="2">
        <v>2.2400000000000002</v>
      </c>
      <c r="K2300" s="2">
        <v>5.09</v>
      </c>
      <c r="L2300" s="2">
        <v>10.18</v>
      </c>
      <c r="M2300" s="2">
        <v>12.57</v>
      </c>
      <c r="N2300" s="2">
        <v>3.8667879209999998</v>
      </c>
      <c r="O2300" s="2">
        <v>3.9046219249999998</v>
      </c>
      <c r="P2300" s="2">
        <v>1.416272741</v>
      </c>
      <c r="Q2300" s="2">
        <v>1.4664522</v>
      </c>
      <c r="R2300" s="2">
        <v>0.46575423500000002</v>
      </c>
      <c r="S2300" s="2">
        <v>0.33575423500000001</v>
      </c>
      <c r="T2300" s="2">
        <v>1.3374982129999999</v>
      </c>
      <c r="U2300" s="2">
        <v>1.427498213</v>
      </c>
      <c r="V2300" s="2">
        <v>1.773029175</v>
      </c>
      <c r="W2300" s="2">
        <v>1.7490388429999999</v>
      </c>
      <c r="X2300">
        <f t="shared" si="105"/>
        <v>1</v>
      </c>
      <c r="Y2300">
        <f t="shared" si="106"/>
        <v>0</v>
      </c>
      <c r="Z2300">
        <f t="shared" si="107"/>
        <v>1</v>
      </c>
    </row>
    <row r="2301" spans="1:26" ht="15.75" customHeight="1" x14ac:dyDescent="0.2">
      <c r="A2301" s="2" t="s">
        <v>36</v>
      </c>
      <c r="B2301" s="2" t="s">
        <v>24</v>
      </c>
      <c r="C2301" s="2" t="s">
        <v>25</v>
      </c>
      <c r="D2301" s="2" t="s">
        <v>25</v>
      </c>
      <c r="E2301" s="2">
        <v>122</v>
      </c>
      <c r="F2301" s="2">
        <v>251</v>
      </c>
      <c r="G2301" s="2">
        <v>764</v>
      </c>
      <c r="H2301" s="2">
        <v>1776</v>
      </c>
      <c r="I2301" s="2">
        <v>2925</v>
      </c>
      <c r="J2301" s="2">
        <v>2.5099999999999998</v>
      </c>
      <c r="K2301" s="2">
        <v>6.99</v>
      </c>
      <c r="L2301" s="2">
        <v>12.21</v>
      </c>
      <c r="M2301" s="2">
        <v>15.52</v>
      </c>
      <c r="N2301" s="2">
        <v>0.38848560700000001</v>
      </c>
      <c r="O2301" s="2">
        <v>0.50577768199999995</v>
      </c>
      <c r="P2301" s="2">
        <v>2.4714326560000002</v>
      </c>
      <c r="Q2301" s="2">
        <v>2.32190845</v>
      </c>
      <c r="R2301" s="2">
        <v>2.371758228</v>
      </c>
      <c r="S2301" s="2">
        <v>2.2417582280000001</v>
      </c>
      <c r="T2301" s="2">
        <v>0.69479657399999994</v>
      </c>
      <c r="U2301" s="2">
        <v>0.60479657399999998</v>
      </c>
      <c r="V2301" s="2">
        <v>3.6790331690000002</v>
      </c>
      <c r="W2301" s="2">
        <v>3.6550428369999999</v>
      </c>
      <c r="X2301">
        <f t="shared" si="105"/>
        <v>1</v>
      </c>
      <c r="Y2301">
        <f t="shared" si="106"/>
        <v>0</v>
      </c>
      <c r="Z2301">
        <f t="shared" si="107"/>
        <v>0</v>
      </c>
    </row>
    <row r="2302" spans="1:26" ht="15.75" customHeight="1" x14ac:dyDescent="0.2">
      <c r="A2302" s="2" t="s">
        <v>36</v>
      </c>
      <c r="B2302" s="2" t="s">
        <v>24</v>
      </c>
      <c r="C2302" s="2" t="s">
        <v>30</v>
      </c>
      <c r="D2302" s="2" t="s">
        <v>31</v>
      </c>
      <c r="E2302" s="2">
        <v>110</v>
      </c>
      <c r="F2302" s="2">
        <v>211</v>
      </c>
      <c r="G2302" s="2">
        <v>882</v>
      </c>
      <c r="H2302" s="2">
        <v>1409</v>
      </c>
      <c r="I2302" s="2">
        <v>3530</v>
      </c>
      <c r="J2302" s="2">
        <v>2.0699999999999998</v>
      </c>
      <c r="K2302" s="2">
        <v>7.79</v>
      </c>
      <c r="L2302" s="2">
        <v>10.68</v>
      </c>
      <c r="M2302" s="2">
        <v>16.71</v>
      </c>
      <c r="N2302" s="2">
        <v>4.5557916140000003</v>
      </c>
      <c r="O2302" s="2">
        <v>4.4930916510000003</v>
      </c>
      <c r="P2302" s="2">
        <v>3.2790707380000002</v>
      </c>
      <c r="Q2302" s="2">
        <v>3.1786388720000001</v>
      </c>
      <c r="R2302" s="2">
        <v>3.1703448280000002</v>
      </c>
      <c r="S2302" s="2">
        <v>3.0403448279999998</v>
      </c>
      <c r="T2302" s="2">
        <v>0.83738794900000002</v>
      </c>
      <c r="U2302" s="2">
        <v>0.92738794899999999</v>
      </c>
      <c r="V2302" s="2">
        <v>4.4776197680000003</v>
      </c>
      <c r="W2302" s="2">
        <v>4.4536294359999999</v>
      </c>
      <c r="X2302">
        <f t="shared" si="105"/>
        <v>1</v>
      </c>
      <c r="Y2302">
        <f t="shared" si="106"/>
        <v>0</v>
      </c>
      <c r="Z2302">
        <f t="shared" si="107"/>
        <v>1</v>
      </c>
    </row>
    <row r="2303" spans="1:26" ht="15.75" customHeight="1" x14ac:dyDescent="0.2">
      <c r="A2303" s="2" t="s">
        <v>36</v>
      </c>
      <c r="B2303" s="2" t="s">
        <v>24</v>
      </c>
      <c r="C2303" s="2" t="s">
        <v>25</v>
      </c>
      <c r="D2303" s="2" t="s">
        <v>25</v>
      </c>
      <c r="E2303" s="2">
        <v>224</v>
      </c>
      <c r="F2303" s="2">
        <v>129</v>
      </c>
      <c r="G2303" s="2">
        <v>785</v>
      </c>
      <c r="H2303" s="2">
        <v>1407</v>
      </c>
      <c r="I2303" s="2">
        <v>2481</v>
      </c>
      <c r="J2303" s="2">
        <v>1.1299999999999999</v>
      </c>
      <c r="K2303" s="2">
        <v>7.14</v>
      </c>
      <c r="L2303" s="2">
        <v>10.67</v>
      </c>
      <c r="M2303" s="2">
        <v>14.45</v>
      </c>
      <c r="N2303" s="2">
        <v>0.63674270499999996</v>
      </c>
      <c r="O2303" s="2">
        <v>0.59333926999999997</v>
      </c>
      <c r="P2303" s="2">
        <v>2.7003571439999998</v>
      </c>
      <c r="Q2303" s="2">
        <v>2.649682882</v>
      </c>
      <c r="R2303" s="2">
        <v>2.6193006310000002</v>
      </c>
      <c r="S2303" s="2">
        <v>2.5793006310000002</v>
      </c>
      <c r="T2303" s="2">
        <v>0.65665280699999995</v>
      </c>
      <c r="U2303" s="2">
        <v>0.60665280700000002</v>
      </c>
      <c r="V2303" s="2">
        <v>3.9115883139999998</v>
      </c>
      <c r="W2303" s="2">
        <v>3.9137845000000002</v>
      </c>
      <c r="X2303">
        <f t="shared" si="105"/>
        <v>1</v>
      </c>
      <c r="Y2303">
        <f t="shared" si="106"/>
        <v>0</v>
      </c>
      <c r="Z2303">
        <f t="shared" si="107"/>
        <v>0</v>
      </c>
    </row>
    <row r="2304" spans="1:26" ht="15.75" customHeight="1" x14ac:dyDescent="0.2">
      <c r="A2304" s="2" t="s">
        <v>36</v>
      </c>
      <c r="B2304" s="2" t="s">
        <v>24</v>
      </c>
      <c r="C2304" s="2" t="s">
        <v>26</v>
      </c>
      <c r="D2304" s="2" t="s">
        <v>26</v>
      </c>
      <c r="E2304" s="2">
        <v>149</v>
      </c>
      <c r="F2304" s="2">
        <v>261</v>
      </c>
      <c r="G2304" s="2">
        <v>344</v>
      </c>
      <c r="H2304" s="2">
        <v>906</v>
      </c>
      <c r="I2304" s="2">
        <v>2612</v>
      </c>
      <c r="J2304" s="2">
        <v>2.62</v>
      </c>
      <c r="K2304" s="2">
        <v>3.48</v>
      </c>
      <c r="L2304" s="2">
        <v>7.95</v>
      </c>
      <c r="M2304" s="2">
        <v>14.79</v>
      </c>
      <c r="N2304" s="2">
        <v>0.512120782</v>
      </c>
      <c r="O2304" s="2">
        <v>0.54988991499999995</v>
      </c>
      <c r="P2304" s="2">
        <v>3.5400774689999999</v>
      </c>
      <c r="Q2304" s="2">
        <v>3.5044949719999998</v>
      </c>
      <c r="R2304" s="2">
        <v>1.043818892</v>
      </c>
      <c r="S2304" s="2">
        <v>1.083818892</v>
      </c>
      <c r="T2304" s="2">
        <v>3.3826898480000001</v>
      </c>
      <c r="U2304" s="2">
        <v>3.3326898479999998</v>
      </c>
      <c r="V2304" s="2">
        <v>0.24846879099999999</v>
      </c>
      <c r="W2304" s="2">
        <v>0.25066497599999998</v>
      </c>
      <c r="X2304">
        <f t="shared" si="105"/>
        <v>1</v>
      </c>
      <c r="Y2304">
        <f t="shared" si="106"/>
        <v>0</v>
      </c>
      <c r="Z2304">
        <f t="shared" si="107"/>
        <v>0</v>
      </c>
    </row>
    <row r="2305" spans="1:26" ht="15.75" customHeight="1" x14ac:dyDescent="0.2">
      <c r="A2305" s="2" t="s">
        <v>36</v>
      </c>
      <c r="B2305" s="2" t="s">
        <v>24</v>
      </c>
      <c r="C2305" s="2" t="s">
        <v>27</v>
      </c>
      <c r="D2305" s="2" t="s">
        <v>27</v>
      </c>
      <c r="E2305" s="2">
        <v>167</v>
      </c>
      <c r="F2305" s="2">
        <v>236</v>
      </c>
      <c r="G2305" s="2">
        <v>439</v>
      </c>
      <c r="H2305" s="2">
        <v>2323</v>
      </c>
      <c r="I2305" s="2">
        <v>3086</v>
      </c>
      <c r="J2305" s="2">
        <v>2.35</v>
      </c>
      <c r="K2305" s="2">
        <v>4.38</v>
      </c>
      <c r="L2305" s="2">
        <v>14.01</v>
      </c>
      <c r="M2305" s="2">
        <v>15.87</v>
      </c>
      <c r="N2305" s="2">
        <v>0.28705853999999997</v>
      </c>
      <c r="O2305" s="2">
        <v>0.259038351</v>
      </c>
      <c r="P2305" s="2">
        <v>2.6848237109999999</v>
      </c>
      <c r="Q2305" s="2">
        <v>2.737108697</v>
      </c>
      <c r="R2305" s="2">
        <v>0.140916921</v>
      </c>
      <c r="S2305" s="2">
        <v>0.18091692100000001</v>
      </c>
      <c r="T2305" s="2">
        <v>2.6811230450000001</v>
      </c>
      <c r="U2305" s="2">
        <v>2.7311230449999999</v>
      </c>
      <c r="V2305" s="2">
        <v>1.1513707609999999</v>
      </c>
      <c r="W2305" s="2">
        <v>1.1535669470000001</v>
      </c>
      <c r="X2305">
        <f t="shared" si="105"/>
        <v>1</v>
      </c>
      <c r="Y2305">
        <f t="shared" si="106"/>
        <v>0</v>
      </c>
      <c r="Z2305">
        <f t="shared" si="107"/>
        <v>0</v>
      </c>
    </row>
    <row r="2306" spans="1:26" ht="15.75" customHeight="1" x14ac:dyDescent="0.2">
      <c r="A2306" s="2" t="s">
        <v>36</v>
      </c>
      <c r="B2306" s="2" t="s">
        <v>24</v>
      </c>
      <c r="C2306" s="2" t="s">
        <v>28</v>
      </c>
      <c r="D2306" s="2" t="s">
        <v>29</v>
      </c>
      <c r="E2306" s="2">
        <v>165</v>
      </c>
      <c r="F2306" s="2">
        <v>259</v>
      </c>
      <c r="G2306" s="2">
        <v>552</v>
      </c>
      <c r="H2306" s="2">
        <v>1872</v>
      </c>
      <c r="I2306" s="2">
        <v>3148</v>
      </c>
      <c r="J2306" s="2">
        <v>2.6</v>
      </c>
      <c r="K2306" s="2">
        <v>5.36</v>
      </c>
      <c r="L2306" s="2">
        <v>12.57</v>
      </c>
      <c r="M2306" s="2">
        <v>15.99</v>
      </c>
      <c r="N2306" s="2">
        <v>5.0625331429999996</v>
      </c>
      <c r="O2306" s="2">
        <v>4.975823009</v>
      </c>
      <c r="P2306" s="2">
        <v>1.49516519</v>
      </c>
      <c r="Q2306" s="2">
        <v>1.515224793</v>
      </c>
      <c r="R2306" s="2">
        <v>0.84136942699999995</v>
      </c>
      <c r="S2306" s="2">
        <v>0.80136942700000002</v>
      </c>
      <c r="T2306" s="2">
        <v>1.2359678119999999</v>
      </c>
      <c r="U2306" s="2">
        <v>1.285967812</v>
      </c>
      <c r="V2306" s="2">
        <v>2.1336571090000001</v>
      </c>
      <c r="W2306" s="2">
        <v>2.135853295</v>
      </c>
      <c r="X2306">
        <f t="shared" si="105"/>
        <v>1</v>
      </c>
      <c r="Y2306">
        <f t="shared" si="106"/>
        <v>0</v>
      </c>
      <c r="Z2306">
        <f t="shared" si="107"/>
        <v>1</v>
      </c>
    </row>
    <row r="2307" spans="1:26" ht="15.75" customHeight="1" x14ac:dyDescent="0.2">
      <c r="A2307" s="2" t="s">
        <v>36</v>
      </c>
      <c r="B2307" s="2" t="s">
        <v>24</v>
      </c>
      <c r="C2307" s="2" t="s">
        <v>30</v>
      </c>
      <c r="D2307" s="2" t="s">
        <v>31</v>
      </c>
      <c r="E2307" s="2">
        <v>165</v>
      </c>
      <c r="F2307" s="2">
        <v>243</v>
      </c>
      <c r="G2307" s="2">
        <v>518</v>
      </c>
      <c r="H2307" s="2">
        <v>1412</v>
      </c>
      <c r="I2307" s="2">
        <v>2395</v>
      </c>
      <c r="J2307" s="2">
        <v>2.4300000000000002</v>
      </c>
      <c r="K2307" s="2">
        <v>5.07</v>
      </c>
      <c r="L2307" s="2">
        <v>10.7</v>
      </c>
      <c r="M2307" s="2">
        <v>14.21</v>
      </c>
      <c r="N2307" s="2">
        <v>3.596243582</v>
      </c>
      <c r="O2307" s="2">
        <v>3.3773928799999999</v>
      </c>
      <c r="P2307" s="2">
        <v>0.839932071</v>
      </c>
      <c r="Q2307" s="2">
        <v>0.77596067400000002</v>
      </c>
      <c r="R2307" s="2">
        <v>0.55149737700000001</v>
      </c>
      <c r="S2307" s="2">
        <v>0.51149737699999998</v>
      </c>
      <c r="T2307" s="2">
        <v>0.63351126899999999</v>
      </c>
      <c r="U2307" s="2">
        <v>0.58351126900000005</v>
      </c>
      <c r="V2307" s="2">
        <v>1.843785059</v>
      </c>
      <c r="W2307" s="2">
        <v>1.8459812449999999</v>
      </c>
      <c r="X2307">
        <f t="shared" ref="X2307:X2370" si="108">IF(B2307="normal",1,0)</f>
        <v>1</v>
      </c>
      <c r="Y2307">
        <f t="shared" ref="Y2307:Y2370" si="109">IF(A2307="lecture",1,0)</f>
        <v>0</v>
      </c>
      <c r="Z2307">
        <f t="shared" ref="Z2307:Z2370" si="110">IF(ISNUMBER(FIND("~",D2307)),1,0)</f>
        <v>1</v>
      </c>
    </row>
    <row r="2308" spans="1:26" ht="15.75" customHeight="1" x14ac:dyDescent="0.2">
      <c r="A2308" s="2" t="s">
        <v>36</v>
      </c>
      <c r="B2308" s="2" t="s">
        <v>24</v>
      </c>
      <c r="C2308" s="2" t="s">
        <v>26</v>
      </c>
      <c r="D2308" s="2" t="s">
        <v>26</v>
      </c>
      <c r="E2308" s="2">
        <v>148</v>
      </c>
      <c r="F2308" s="2">
        <v>167</v>
      </c>
      <c r="G2308" s="2">
        <v>410</v>
      </c>
      <c r="H2308" s="2">
        <v>769</v>
      </c>
      <c r="I2308" s="2">
        <v>2782</v>
      </c>
      <c r="J2308" s="2">
        <v>1.58</v>
      </c>
      <c r="K2308" s="2">
        <v>4.0999999999999996</v>
      </c>
      <c r="L2308" s="2">
        <v>7.02</v>
      </c>
      <c r="M2308" s="2">
        <v>15.2</v>
      </c>
      <c r="N2308" s="2">
        <v>0.70950517300000004</v>
      </c>
      <c r="O2308" s="2">
        <v>0.76483811800000001</v>
      </c>
      <c r="P2308" s="2">
        <v>4.3275649439999997</v>
      </c>
      <c r="Q2308" s="2">
        <v>4.2818647160000003</v>
      </c>
      <c r="R2308" s="2">
        <v>0.41510198300000001</v>
      </c>
      <c r="S2308" s="2">
        <v>0.45510198299999999</v>
      </c>
      <c r="T2308" s="2">
        <v>4.3076105550000001</v>
      </c>
      <c r="U2308" s="2">
        <v>4.2576105550000003</v>
      </c>
      <c r="V2308" s="2">
        <v>0.87718569899999999</v>
      </c>
      <c r="W2308" s="2">
        <v>0.87938188500000003</v>
      </c>
      <c r="X2308">
        <f t="shared" si="108"/>
        <v>1</v>
      </c>
      <c r="Y2308">
        <f t="shared" si="109"/>
        <v>0</v>
      </c>
      <c r="Z2308">
        <f t="shared" si="110"/>
        <v>0</v>
      </c>
    </row>
    <row r="2309" spans="1:26" ht="15.75" customHeight="1" x14ac:dyDescent="0.2">
      <c r="A2309" s="2" t="s">
        <v>36</v>
      </c>
      <c r="B2309" s="2" t="s">
        <v>24</v>
      </c>
      <c r="C2309" s="2" t="s">
        <v>28</v>
      </c>
      <c r="D2309" s="2" t="s">
        <v>29</v>
      </c>
      <c r="E2309" s="2">
        <v>166</v>
      </c>
      <c r="F2309" s="2">
        <v>253</v>
      </c>
      <c r="G2309" s="2">
        <v>512</v>
      </c>
      <c r="H2309" s="2">
        <v>869</v>
      </c>
      <c r="I2309" s="2">
        <v>2471</v>
      </c>
      <c r="J2309" s="2">
        <v>2.54</v>
      </c>
      <c r="K2309" s="2">
        <v>5.03</v>
      </c>
      <c r="L2309" s="2">
        <v>7.7</v>
      </c>
      <c r="M2309" s="2">
        <v>14.42</v>
      </c>
      <c r="N2309" s="2">
        <v>1.0957674129999999</v>
      </c>
      <c r="O2309" s="2">
        <v>1.0286179989999999</v>
      </c>
      <c r="P2309" s="2">
        <v>3.6619013909999998</v>
      </c>
      <c r="Q2309" s="2">
        <v>3.6070044650000002</v>
      </c>
      <c r="R2309" s="2">
        <v>0.50574625900000003</v>
      </c>
      <c r="S2309" s="2">
        <v>0.465746259</v>
      </c>
      <c r="T2309" s="2">
        <v>3.6268088619999999</v>
      </c>
      <c r="U2309" s="2">
        <v>3.576808862</v>
      </c>
      <c r="V2309" s="2">
        <v>1.7980339409999999</v>
      </c>
      <c r="W2309" s="2">
        <v>1.8002301270000001</v>
      </c>
      <c r="X2309">
        <f t="shared" si="108"/>
        <v>1</v>
      </c>
      <c r="Y2309">
        <f t="shared" si="109"/>
        <v>0</v>
      </c>
      <c r="Z2309">
        <f t="shared" si="110"/>
        <v>1</v>
      </c>
    </row>
    <row r="2310" spans="1:26" ht="15.75" customHeight="1" x14ac:dyDescent="0.2">
      <c r="A2310" s="2" t="s">
        <v>36</v>
      </c>
      <c r="B2310" s="2" t="s">
        <v>24</v>
      </c>
      <c r="C2310" s="2" t="s">
        <v>32</v>
      </c>
      <c r="D2310" s="2" t="s">
        <v>33</v>
      </c>
      <c r="E2310" s="2">
        <v>156</v>
      </c>
      <c r="F2310" s="2">
        <v>231</v>
      </c>
      <c r="G2310" s="2">
        <v>408</v>
      </c>
      <c r="H2310" s="2">
        <v>832</v>
      </c>
      <c r="I2310" s="2">
        <v>2496</v>
      </c>
      <c r="J2310" s="2">
        <v>2.29</v>
      </c>
      <c r="K2310" s="2">
        <v>4.09</v>
      </c>
      <c r="L2310" s="2">
        <v>7.46</v>
      </c>
      <c r="M2310" s="2">
        <v>14.49</v>
      </c>
      <c r="N2310" s="2">
        <v>4.9226868980000003</v>
      </c>
      <c r="O2310" s="2">
        <v>4.99438578</v>
      </c>
      <c r="P2310" s="2">
        <v>3.8972429279999998</v>
      </c>
      <c r="Q2310" s="2">
        <v>3.8522729710000001</v>
      </c>
      <c r="R2310" s="2">
        <v>0.43383359100000002</v>
      </c>
      <c r="S2310" s="2">
        <v>0.473833591</v>
      </c>
      <c r="T2310" s="2">
        <v>3.8730208959999999</v>
      </c>
      <c r="U2310" s="2">
        <v>3.8230208960000001</v>
      </c>
      <c r="V2310" s="2">
        <v>0.85845409100000003</v>
      </c>
      <c r="W2310" s="2">
        <v>0.86065027699999996</v>
      </c>
      <c r="X2310">
        <f t="shared" si="108"/>
        <v>1</v>
      </c>
      <c r="Y2310">
        <f t="shared" si="109"/>
        <v>0</v>
      </c>
      <c r="Z2310">
        <f t="shared" si="110"/>
        <v>1</v>
      </c>
    </row>
    <row r="2311" spans="1:26" ht="15.75" customHeight="1" x14ac:dyDescent="0.2">
      <c r="A2311" s="2" t="s">
        <v>36</v>
      </c>
      <c r="B2311" s="2" t="s">
        <v>24</v>
      </c>
      <c r="C2311" s="2" t="s">
        <v>32</v>
      </c>
      <c r="D2311" s="2" t="s">
        <v>33</v>
      </c>
      <c r="E2311" s="2">
        <v>144</v>
      </c>
      <c r="F2311" s="2">
        <v>236</v>
      </c>
      <c r="G2311" s="2">
        <v>454</v>
      </c>
      <c r="H2311" s="2">
        <v>785</v>
      </c>
      <c r="I2311" s="2">
        <v>2467</v>
      </c>
      <c r="J2311" s="2">
        <v>2.35</v>
      </c>
      <c r="K2311" s="2">
        <v>4.51</v>
      </c>
      <c r="L2311" s="2">
        <v>7.14</v>
      </c>
      <c r="M2311" s="2">
        <v>14.41</v>
      </c>
      <c r="N2311" s="2">
        <v>4.9364842510000004</v>
      </c>
      <c r="O2311" s="2">
        <v>4.9836361670000002</v>
      </c>
      <c r="P2311" s="2">
        <v>4.1907134409999998</v>
      </c>
      <c r="Q2311" s="2">
        <v>4.1410117169999996</v>
      </c>
      <c r="R2311" s="2">
        <v>1.0860378E-2</v>
      </c>
      <c r="S2311" s="2">
        <v>5.0860377999999998E-2</v>
      </c>
      <c r="T2311" s="2">
        <v>4.1906993689999998</v>
      </c>
      <c r="U2311" s="2">
        <v>4.140699369</v>
      </c>
      <c r="V2311" s="2">
        <v>1.2814273039999999</v>
      </c>
      <c r="W2311" s="2">
        <v>1.2836234900000001</v>
      </c>
      <c r="X2311">
        <f t="shared" si="108"/>
        <v>1</v>
      </c>
      <c r="Y2311">
        <f t="shared" si="109"/>
        <v>0</v>
      </c>
      <c r="Z2311">
        <f t="shared" si="110"/>
        <v>1</v>
      </c>
    </row>
    <row r="2312" spans="1:26" ht="15.75" customHeight="1" x14ac:dyDescent="0.2">
      <c r="A2312" s="2" t="s">
        <v>36</v>
      </c>
      <c r="B2312" s="2" t="s">
        <v>24</v>
      </c>
      <c r="C2312" s="2" t="s">
        <v>25</v>
      </c>
      <c r="D2312" s="2" t="s">
        <v>25</v>
      </c>
      <c r="E2312" s="2">
        <v>213</v>
      </c>
      <c r="F2312" s="2">
        <v>200</v>
      </c>
      <c r="G2312" s="2">
        <v>840</v>
      </c>
      <c r="H2312" s="2">
        <v>1549</v>
      </c>
      <c r="I2312" s="2">
        <v>2356</v>
      </c>
      <c r="J2312" s="2">
        <v>1.96</v>
      </c>
      <c r="K2312" s="2">
        <v>7.52</v>
      </c>
      <c r="L2312" s="2">
        <v>11.3</v>
      </c>
      <c r="M2312" s="2">
        <v>14.1</v>
      </c>
      <c r="N2312" s="2">
        <v>0.36526940299999999</v>
      </c>
      <c r="O2312" s="2">
        <v>0.16823242599999999</v>
      </c>
      <c r="P2312" s="2">
        <v>2.995339006</v>
      </c>
      <c r="Q2312" s="2">
        <v>2.955338861</v>
      </c>
      <c r="R2312" s="2">
        <v>2.9952339010000002</v>
      </c>
      <c r="S2312" s="2">
        <v>2.9552339010000002</v>
      </c>
      <c r="T2312" s="2">
        <v>2.5092619E-2</v>
      </c>
      <c r="U2312" s="2">
        <v>2.4907380999999999E-2</v>
      </c>
      <c r="V2312" s="2">
        <v>4.2875215830000002</v>
      </c>
      <c r="W2312" s="2">
        <v>4.2897177690000001</v>
      </c>
      <c r="X2312">
        <f t="shared" si="108"/>
        <v>1</v>
      </c>
      <c r="Y2312">
        <f t="shared" si="109"/>
        <v>0</v>
      </c>
      <c r="Z2312">
        <f t="shared" si="110"/>
        <v>0</v>
      </c>
    </row>
    <row r="2313" spans="1:26" ht="15.75" customHeight="1" x14ac:dyDescent="0.2">
      <c r="A2313" s="2" t="s">
        <v>36</v>
      </c>
      <c r="B2313" s="2" t="s">
        <v>24</v>
      </c>
      <c r="C2313" s="2" t="s">
        <v>32</v>
      </c>
      <c r="D2313" s="2" t="s">
        <v>33</v>
      </c>
      <c r="E2313" s="2">
        <v>172</v>
      </c>
      <c r="F2313" s="2">
        <v>207</v>
      </c>
      <c r="G2313" s="2">
        <v>480</v>
      </c>
      <c r="H2313" s="2">
        <v>904</v>
      </c>
      <c r="I2313" s="2">
        <v>2463</v>
      </c>
      <c r="J2313" s="2">
        <v>2.0299999999999998</v>
      </c>
      <c r="K2313" s="2">
        <v>4.74</v>
      </c>
      <c r="L2313" s="2">
        <v>7.93</v>
      </c>
      <c r="M2313" s="2">
        <v>14.4</v>
      </c>
      <c r="N2313" s="2">
        <v>4.1486004000000003</v>
      </c>
      <c r="O2313" s="2">
        <v>4.2094303719999999</v>
      </c>
      <c r="P2313" s="2">
        <v>3.4048157539999999</v>
      </c>
      <c r="Q2313" s="2">
        <v>3.352523717</v>
      </c>
      <c r="R2313" s="2">
        <v>0.22115589599999999</v>
      </c>
      <c r="S2313" s="2">
        <v>0.18115589600000001</v>
      </c>
      <c r="T2313" s="2">
        <v>3.3976256980000001</v>
      </c>
      <c r="U2313" s="2">
        <v>3.3476256979999999</v>
      </c>
      <c r="V2313" s="2">
        <v>1.513443578</v>
      </c>
      <c r="W2313" s="2">
        <v>1.5156397639999999</v>
      </c>
      <c r="X2313">
        <f t="shared" si="108"/>
        <v>1</v>
      </c>
      <c r="Y2313">
        <f t="shared" si="109"/>
        <v>0</v>
      </c>
      <c r="Z2313">
        <f t="shared" si="110"/>
        <v>1</v>
      </c>
    </row>
    <row r="2314" spans="1:26" ht="15.75" customHeight="1" x14ac:dyDescent="0.2">
      <c r="A2314" s="2" t="s">
        <v>36</v>
      </c>
      <c r="B2314" s="2" t="s">
        <v>24</v>
      </c>
      <c r="C2314" s="2" t="s">
        <v>32</v>
      </c>
      <c r="D2314" s="2" t="s">
        <v>33</v>
      </c>
      <c r="E2314" s="2">
        <v>174</v>
      </c>
      <c r="F2314" s="2">
        <v>240</v>
      </c>
      <c r="G2314" s="2">
        <v>451</v>
      </c>
      <c r="H2314" s="2">
        <v>893</v>
      </c>
      <c r="I2314" s="2">
        <v>2424</v>
      </c>
      <c r="J2314" s="2">
        <v>2.39</v>
      </c>
      <c r="K2314" s="2">
        <v>4.49</v>
      </c>
      <c r="L2314" s="2">
        <v>7.86</v>
      </c>
      <c r="M2314" s="2">
        <v>14.29</v>
      </c>
      <c r="N2314" s="2">
        <v>4.3579737830000003</v>
      </c>
      <c r="O2314" s="2">
        <v>4.4270294769999996</v>
      </c>
      <c r="P2314" s="2">
        <v>3.4706656659999999</v>
      </c>
      <c r="Q2314" s="2">
        <v>3.4212749730000001</v>
      </c>
      <c r="R2314" s="2">
        <v>3.1927010999999998E-2</v>
      </c>
      <c r="S2314" s="2">
        <v>7.1927010999999999E-2</v>
      </c>
      <c r="T2314" s="2">
        <v>3.470518813</v>
      </c>
      <c r="U2314" s="2">
        <v>3.4205188130000002</v>
      </c>
      <c r="V2314" s="2">
        <v>1.2603606709999999</v>
      </c>
      <c r="W2314" s="2">
        <v>1.2625568570000001</v>
      </c>
      <c r="X2314">
        <f t="shared" si="108"/>
        <v>1</v>
      </c>
      <c r="Y2314">
        <f t="shared" si="109"/>
        <v>0</v>
      </c>
      <c r="Z2314">
        <f t="shared" si="110"/>
        <v>1</v>
      </c>
    </row>
    <row r="2315" spans="1:26" ht="15.75" customHeight="1" x14ac:dyDescent="0.2">
      <c r="A2315" s="2" t="s">
        <v>36</v>
      </c>
      <c r="B2315" s="2" t="s">
        <v>24</v>
      </c>
      <c r="C2315" s="2" t="s">
        <v>25</v>
      </c>
      <c r="D2315" s="2" t="s">
        <v>25</v>
      </c>
      <c r="E2315" s="2">
        <v>92</v>
      </c>
      <c r="F2315" s="2">
        <v>240</v>
      </c>
      <c r="G2315" s="2">
        <v>775</v>
      </c>
      <c r="H2315" s="2">
        <v>1576</v>
      </c>
      <c r="I2315" s="2">
        <v>2481</v>
      </c>
      <c r="J2315" s="2">
        <v>2.39</v>
      </c>
      <c r="K2315" s="2">
        <v>7.06</v>
      </c>
      <c r="L2315" s="2">
        <v>11.42</v>
      </c>
      <c r="M2315" s="2">
        <v>14.45</v>
      </c>
      <c r="N2315" s="2">
        <v>0.13864470400000001</v>
      </c>
      <c r="O2315" s="2">
        <v>0.36461712000000002</v>
      </c>
      <c r="P2315" s="2">
        <v>2.5462064400000002</v>
      </c>
      <c r="Q2315" s="2">
        <v>2.5085097649999999</v>
      </c>
      <c r="R2315" s="2">
        <v>2.5446416379999999</v>
      </c>
      <c r="S2315" s="2">
        <v>2.5046416379999998</v>
      </c>
      <c r="T2315" s="2">
        <v>8.9253394E-2</v>
      </c>
      <c r="U2315" s="2">
        <v>0.139253394</v>
      </c>
      <c r="V2315" s="2">
        <v>3.8369293209999999</v>
      </c>
      <c r="W2315" s="2">
        <v>3.8391255059999998</v>
      </c>
      <c r="X2315">
        <f t="shared" si="108"/>
        <v>1</v>
      </c>
      <c r="Y2315">
        <f t="shared" si="109"/>
        <v>0</v>
      </c>
      <c r="Z2315">
        <f t="shared" si="110"/>
        <v>0</v>
      </c>
    </row>
    <row r="2316" spans="1:26" ht="15.75" customHeight="1" x14ac:dyDescent="0.2">
      <c r="A2316" s="2" t="s">
        <v>36</v>
      </c>
      <c r="B2316" s="2" t="s">
        <v>24</v>
      </c>
      <c r="C2316" s="2" t="s">
        <v>25</v>
      </c>
      <c r="D2316" s="2" t="s">
        <v>25</v>
      </c>
      <c r="E2316" s="2">
        <v>130</v>
      </c>
      <c r="F2316" s="2">
        <v>192</v>
      </c>
      <c r="G2316" s="2">
        <v>811</v>
      </c>
      <c r="H2316" s="2">
        <v>1526</v>
      </c>
      <c r="I2316" s="2">
        <v>2544</v>
      </c>
      <c r="J2316" s="2">
        <v>1.87</v>
      </c>
      <c r="K2316" s="2">
        <v>7.32</v>
      </c>
      <c r="L2316" s="2">
        <v>11.21</v>
      </c>
      <c r="M2316" s="2">
        <v>14.61</v>
      </c>
      <c r="N2316" s="2">
        <v>0.19633546700000001</v>
      </c>
      <c r="O2316" s="2">
        <v>5.5184817999999997E-2</v>
      </c>
      <c r="P2316" s="2">
        <v>2.799336373</v>
      </c>
      <c r="Q2316" s="2">
        <v>2.7575835639999999</v>
      </c>
      <c r="R2316" s="2">
        <v>2.796593288</v>
      </c>
      <c r="S2316" s="2">
        <v>2.7565932879999999</v>
      </c>
      <c r="T2316" s="2">
        <v>0.123895582</v>
      </c>
      <c r="U2316" s="2">
        <v>7.3895582000000001E-2</v>
      </c>
      <c r="V2316" s="2">
        <v>4.0888809699999999</v>
      </c>
      <c r="W2316" s="2">
        <v>4.0910771559999999</v>
      </c>
      <c r="X2316">
        <f t="shared" si="108"/>
        <v>1</v>
      </c>
      <c r="Y2316">
        <f t="shared" si="109"/>
        <v>0</v>
      </c>
      <c r="Z2316">
        <f t="shared" si="110"/>
        <v>0</v>
      </c>
    </row>
    <row r="2317" spans="1:26" ht="15.75" customHeight="1" x14ac:dyDescent="0.2">
      <c r="A2317" s="2" t="s">
        <v>36</v>
      </c>
      <c r="B2317" s="2" t="s">
        <v>24</v>
      </c>
      <c r="C2317" s="2" t="s">
        <v>27</v>
      </c>
      <c r="D2317" s="2" t="s">
        <v>27</v>
      </c>
      <c r="E2317" s="2">
        <v>175</v>
      </c>
      <c r="F2317" s="2">
        <v>207</v>
      </c>
      <c r="G2317" s="2">
        <v>441</v>
      </c>
      <c r="H2317" s="2">
        <v>2384</v>
      </c>
      <c r="I2317" s="2">
        <v>2916</v>
      </c>
      <c r="J2317" s="2">
        <v>2.0299999999999998</v>
      </c>
      <c r="K2317" s="2">
        <v>4.3899999999999997</v>
      </c>
      <c r="L2317" s="2">
        <v>14.18</v>
      </c>
      <c r="M2317" s="2">
        <v>15.5</v>
      </c>
      <c r="N2317" s="2">
        <v>0.25155657599999998</v>
      </c>
      <c r="O2317" s="2">
        <v>0.35643491999999999</v>
      </c>
      <c r="P2317" s="2">
        <v>2.8553830090000001</v>
      </c>
      <c r="Q2317" s="2">
        <v>2.9073803069999999</v>
      </c>
      <c r="R2317" s="2">
        <v>0.128753124</v>
      </c>
      <c r="S2317" s="2">
        <v>0.168753124</v>
      </c>
      <c r="T2317" s="2">
        <v>2.8524787049999998</v>
      </c>
      <c r="U2317" s="2">
        <v>2.902478705</v>
      </c>
      <c r="V2317" s="2">
        <v>1.1635345589999999</v>
      </c>
      <c r="W2317" s="2">
        <v>1.165730744</v>
      </c>
      <c r="X2317">
        <f t="shared" si="108"/>
        <v>1</v>
      </c>
      <c r="Y2317">
        <f t="shared" si="109"/>
        <v>0</v>
      </c>
      <c r="Z2317">
        <f t="shared" si="110"/>
        <v>0</v>
      </c>
    </row>
    <row r="2318" spans="1:26" ht="15.75" customHeight="1" x14ac:dyDescent="0.2">
      <c r="A2318" s="2" t="s">
        <v>36</v>
      </c>
      <c r="B2318" s="2" t="s">
        <v>24</v>
      </c>
      <c r="C2318" s="2" t="s">
        <v>30</v>
      </c>
      <c r="D2318" s="2" t="s">
        <v>31</v>
      </c>
      <c r="E2318" s="2">
        <v>160</v>
      </c>
      <c r="F2318" s="2">
        <v>230</v>
      </c>
      <c r="G2318" s="2">
        <v>499</v>
      </c>
      <c r="H2318" s="2">
        <v>1324</v>
      </c>
      <c r="I2318" s="2">
        <v>2342</v>
      </c>
      <c r="J2318" s="2">
        <v>2.29</v>
      </c>
      <c r="K2318" s="2">
        <v>4.91</v>
      </c>
      <c r="L2318" s="2">
        <v>10.28</v>
      </c>
      <c r="M2318" s="2">
        <v>14.07</v>
      </c>
      <c r="N2318" s="2">
        <v>3.9650554709999999</v>
      </c>
      <c r="O2318" s="2">
        <v>3.741780012</v>
      </c>
      <c r="P2318" s="2">
        <v>1.119768903</v>
      </c>
      <c r="Q2318" s="2">
        <v>1.0591483159999999</v>
      </c>
      <c r="R2318" s="2">
        <v>0.39050020299999999</v>
      </c>
      <c r="S2318" s="2">
        <v>0.35050020300000001</v>
      </c>
      <c r="T2318" s="2">
        <v>1.049472242</v>
      </c>
      <c r="U2318" s="2">
        <v>0.99947224199999996</v>
      </c>
      <c r="V2318" s="2">
        <v>1.6827878860000001</v>
      </c>
      <c r="W2318" s="2">
        <v>1.684984072</v>
      </c>
      <c r="X2318">
        <f t="shared" si="108"/>
        <v>1</v>
      </c>
      <c r="Y2318">
        <f t="shared" si="109"/>
        <v>0</v>
      </c>
      <c r="Z2318">
        <f t="shared" si="110"/>
        <v>1</v>
      </c>
    </row>
    <row r="2319" spans="1:26" ht="15.75" customHeight="1" x14ac:dyDescent="0.2">
      <c r="A2319" s="2" t="s">
        <v>36</v>
      </c>
      <c r="B2319" s="2" t="s">
        <v>24</v>
      </c>
      <c r="C2319" s="2" t="s">
        <v>28</v>
      </c>
      <c r="D2319" s="2" t="s">
        <v>29</v>
      </c>
      <c r="E2319" s="2">
        <v>129</v>
      </c>
      <c r="F2319" s="2">
        <v>150</v>
      </c>
      <c r="G2319" s="2">
        <v>457</v>
      </c>
      <c r="H2319" s="2">
        <v>632</v>
      </c>
      <c r="I2319" s="2">
        <v>2508</v>
      </c>
      <c r="J2319" s="2">
        <v>1.37</v>
      </c>
      <c r="K2319" s="2">
        <v>4.54</v>
      </c>
      <c r="L2319" s="2">
        <v>6.01</v>
      </c>
      <c r="M2319" s="2">
        <v>14.52</v>
      </c>
      <c r="N2319" s="2">
        <v>1.808664995</v>
      </c>
      <c r="O2319" s="2">
        <v>1.853160868</v>
      </c>
      <c r="P2319" s="2">
        <v>5.3230283250000001</v>
      </c>
      <c r="Q2319" s="2">
        <v>5.2730349920000004</v>
      </c>
      <c r="R2319" s="2">
        <v>1.9164252999999999E-2</v>
      </c>
      <c r="S2319" s="2">
        <v>2.0835747000000002E-2</v>
      </c>
      <c r="T2319" s="2">
        <v>5.3229938270000003</v>
      </c>
      <c r="U2319" s="2">
        <v>5.2729938269999996</v>
      </c>
      <c r="V2319" s="2">
        <v>1.3114519360000001</v>
      </c>
      <c r="W2319" s="2">
        <v>1.3136481209999999</v>
      </c>
      <c r="X2319">
        <f t="shared" si="108"/>
        <v>1</v>
      </c>
      <c r="Y2319">
        <f t="shared" si="109"/>
        <v>0</v>
      </c>
      <c r="Z2319">
        <f t="shared" si="110"/>
        <v>1</v>
      </c>
    </row>
    <row r="2320" spans="1:26" ht="15.75" customHeight="1" x14ac:dyDescent="0.2">
      <c r="A2320" s="2" t="s">
        <v>36</v>
      </c>
      <c r="B2320" s="2" t="s">
        <v>24</v>
      </c>
      <c r="C2320" s="2" t="s">
        <v>28</v>
      </c>
      <c r="D2320" s="2" t="s">
        <v>29</v>
      </c>
      <c r="E2320" s="2">
        <v>195</v>
      </c>
      <c r="F2320" s="2">
        <v>261</v>
      </c>
      <c r="G2320" s="2">
        <v>503</v>
      </c>
      <c r="H2320" s="2">
        <v>2122</v>
      </c>
      <c r="I2320" s="2">
        <v>3187</v>
      </c>
      <c r="J2320" s="2">
        <v>2.62</v>
      </c>
      <c r="K2320" s="2">
        <v>4.95</v>
      </c>
      <c r="L2320" s="2">
        <v>13.41</v>
      </c>
      <c r="M2320" s="2">
        <v>16.07</v>
      </c>
      <c r="N2320" s="2">
        <v>5.7867444370000003</v>
      </c>
      <c r="O2320" s="2">
        <v>5.7058306109999997</v>
      </c>
      <c r="P2320" s="2">
        <v>2.1200740730000001</v>
      </c>
      <c r="Q2320" s="2">
        <v>2.1615960140000001</v>
      </c>
      <c r="R2320" s="2">
        <v>0.42520503500000001</v>
      </c>
      <c r="S2320" s="2">
        <v>0.38520503499999997</v>
      </c>
      <c r="T2320" s="2">
        <v>2.0769965699999999</v>
      </c>
      <c r="U2320" s="2">
        <v>2.1269965700000002</v>
      </c>
      <c r="V2320" s="2">
        <v>1.7174927170000001</v>
      </c>
      <c r="W2320" s="2">
        <v>1.719688903</v>
      </c>
      <c r="X2320">
        <f t="shared" si="108"/>
        <v>1</v>
      </c>
      <c r="Y2320">
        <f t="shared" si="109"/>
        <v>0</v>
      </c>
      <c r="Z2320">
        <f t="shared" si="110"/>
        <v>1</v>
      </c>
    </row>
    <row r="2321" spans="1:26" ht="15.75" customHeight="1" x14ac:dyDescent="0.2">
      <c r="A2321" s="2" t="s">
        <v>36</v>
      </c>
      <c r="B2321" s="2" t="s">
        <v>24</v>
      </c>
      <c r="C2321" s="2" t="s">
        <v>32</v>
      </c>
      <c r="D2321" s="2" t="s">
        <v>33</v>
      </c>
      <c r="E2321" s="2">
        <v>165</v>
      </c>
      <c r="F2321" s="2">
        <v>233</v>
      </c>
      <c r="G2321" s="2">
        <v>529</v>
      </c>
      <c r="H2321" s="2">
        <v>983</v>
      </c>
      <c r="I2321" s="2">
        <v>2475</v>
      </c>
      <c r="J2321" s="2">
        <v>2.31</v>
      </c>
      <c r="K2321" s="2">
        <v>5.17</v>
      </c>
      <c r="L2321" s="2">
        <v>8.42</v>
      </c>
      <c r="M2321" s="2">
        <v>14.43</v>
      </c>
      <c r="N2321" s="2">
        <v>3.4986769579999999</v>
      </c>
      <c r="O2321" s="2">
        <v>3.5565047999999999</v>
      </c>
      <c r="P2321" s="2">
        <v>2.977137886</v>
      </c>
      <c r="Q2321" s="2">
        <v>2.9197374969999998</v>
      </c>
      <c r="R2321" s="2">
        <v>0.65089448299999997</v>
      </c>
      <c r="S2321" s="2">
        <v>0.61089448300000004</v>
      </c>
      <c r="T2321" s="2">
        <v>2.9051138289999998</v>
      </c>
      <c r="U2321" s="2">
        <v>2.855113829</v>
      </c>
      <c r="V2321" s="2">
        <v>1.9431821659999999</v>
      </c>
      <c r="W2321" s="2">
        <v>1.945378351</v>
      </c>
      <c r="X2321">
        <f t="shared" si="108"/>
        <v>1</v>
      </c>
      <c r="Y2321">
        <f t="shared" si="109"/>
        <v>0</v>
      </c>
      <c r="Z2321">
        <f t="shared" si="110"/>
        <v>1</v>
      </c>
    </row>
    <row r="2322" spans="1:26" ht="15.75" customHeight="1" x14ac:dyDescent="0.2">
      <c r="A2322" s="2" t="s">
        <v>36</v>
      </c>
      <c r="B2322" s="2" t="s">
        <v>24</v>
      </c>
      <c r="C2322" s="2" t="s">
        <v>26</v>
      </c>
      <c r="D2322" s="2" t="s">
        <v>26</v>
      </c>
      <c r="E2322" s="2">
        <v>151</v>
      </c>
      <c r="F2322" s="2">
        <v>248</v>
      </c>
      <c r="G2322" s="2">
        <v>406</v>
      </c>
      <c r="H2322" s="2">
        <v>902</v>
      </c>
      <c r="I2322" s="2">
        <v>2725</v>
      </c>
      <c r="J2322" s="2">
        <v>2.48</v>
      </c>
      <c r="K2322" s="2">
        <v>4.07</v>
      </c>
      <c r="L2322" s="2">
        <v>7.92</v>
      </c>
      <c r="M2322" s="2">
        <v>15.06</v>
      </c>
      <c r="N2322" s="2">
        <v>0.25230757500000001</v>
      </c>
      <c r="O2322" s="2">
        <v>0.15591211599999999</v>
      </c>
      <c r="P2322" s="2">
        <v>3.441650911</v>
      </c>
      <c r="Q2322" s="2">
        <v>3.3975740640000001</v>
      </c>
      <c r="R2322" s="2">
        <v>0.446338921</v>
      </c>
      <c r="S2322" s="2">
        <v>0.48633892099999998</v>
      </c>
      <c r="T2322" s="2">
        <v>3.4125859059999999</v>
      </c>
      <c r="U2322" s="2">
        <v>3.3625859060000001</v>
      </c>
      <c r="V2322" s="2">
        <v>0.84594876200000002</v>
      </c>
      <c r="W2322" s="2">
        <v>0.84814494699999998</v>
      </c>
      <c r="X2322">
        <f t="shared" si="108"/>
        <v>1</v>
      </c>
      <c r="Y2322">
        <f t="shared" si="109"/>
        <v>0</v>
      </c>
      <c r="Z2322">
        <f t="shared" si="110"/>
        <v>0</v>
      </c>
    </row>
    <row r="2323" spans="1:26" ht="15.75" customHeight="1" x14ac:dyDescent="0.2">
      <c r="A2323" s="2" t="s">
        <v>36</v>
      </c>
      <c r="B2323" s="2" t="s">
        <v>24</v>
      </c>
      <c r="C2323" s="2" t="s">
        <v>25</v>
      </c>
      <c r="D2323" s="2" t="s">
        <v>25</v>
      </c>
      <c r="E2323" s="2">
        <v>252</v>
      </c>
      <c r="F2323" s="2">
        <v>221</v>
      </c>
      <c r="G2323" s="2">
        <v>719</v>
      </c>
      <c r="H2323" s="2">
        <v>1498</v>
      </c>
      <c r="I2323" s="2">
        <v>2576</v>
      </c>
      <c r="J2323" s="2">
        <v>2.19</v>
      </c>
      <c r="K2323" s="2">
        <v>6.67</v>
      </c>
      <c r="L2323" s="2">
        <v>11.08</v>
      </c>
      <c r="M2323" s="2">
        <v>14.7</v>
      </c>
      <c r="N2323" s="2">
        <v>0.53533792700000005</v>
      </c>
      <c r="O2323" s="2">
        <v>0.71790666000000003</v>
      </c>
      <c r="P2323" s="2">
        <v>2.1595873029999999</v>
      </c>
      <c r="Q2323" s="2">
        <v>2.114603099</v>
      </c>
      <c r="R2323" s="2">
        <v>2.1453676750000001</v>
      </c>
      <c r="S2323" s="2">
        <v>2.1053676750000001</v>
      </c>
      <c r="T2323" s="2">
        <v>0.247416369</v>
      </c>
      <c r="U2323" s="2">
        <v>0.19741636900000001</v>
      </c>
      <c r="V2323" s="2">
        <v>3.4376553570000001</v>
      </c>
      <c r="W2323" s="2">
        <v>3.4398515430000001</v>
      </c>
      <c r="X2323">
        <f t="shared" si="108"/>
        <v>1</v>
      </c>
      <c r="Y2323">
        <f t="shared" si="109"/>
        <v>0</v>
      </c>
      <c r="Z2323">
        <f t="shared" si="110"/>
        <v>0</v>
      </c>
    </row>
    <row r="2324" spans="1:26" ht="15.75" customHeight="1" x14ac:dyDescent="0.2">
      <c r="A2324" s="2" t="s">
        <v>36</v>
      </c>
      <c r="B2324" s="2" t="s">
        <v>24</v>
      </c>
      <c r="C2324" s="2" t="s">
        <v>30</v>
      </c>
      <c r="D2324" s="2" t="s">
        <v>31</v>
      </c>
      <c r="E2324" s="2">
        <v>179</v>
      </c>
      <c r="F2324" s="2">
        <v>240</v>
      </c>
      <c r="G2324" s="2">
        <v>481</v>
      </c>
      <c r="H2324" s="2">
        <v>1216</v>
      </c>
      <c r="I2324" s="2">
        <v>2408</v>
      </c>
      <c r="J2324" s="2">
        <v>2.39</v>
      </c>
      <c r="K2324" s="2">
        <v>4.76</v>
      </c>
      <c r="L2324" s="2">
        <v>9.73</v>
      </c>
      <c r="M2324" s="2">
        <v>14.25</v>
      </c>
      <c r="N2324" s="2">
        <v>4.4777681869999997</v>
      </c>
      <c r="O2324" s="2">
        <v>4.2515322710000003</v>
      </c>
      <c r="P2324" s="2">
        <v>1.612556377</v>
      </c>
      <c r="Q2324" s="2">
        <v>1.5575775569999999</v>
      </c>
      <c r="R2324" s="2">
        <v>0.235860186</v>
      </c>
      <c r="S2324" s="2">
        <v>0.19586018599999999</v>
      </c>
      <c r="T2324" s="2">
        <v>1.595214106</v>
      </c>
      <c r="U2324" s="2">
        <v>1.545214106</v>
      </c>
      <c r="V2324" s="2">
        <v>1.528147868</v>
      </c>
      <c r="W2324" s="2">
        <v>1.530344054</v>
      </c>
      <c r="X2324">
        <f t="shared" si="108"/>
        <v>1</v>
      </c>
      <c r="Y2324">
        <f t="shared" si="109"/>
        <v>0</v>
      </c>
      <c r="Z2324">
        <f t="shared" si="110"/>
        <v>1</v>
      </c>
    </row>
    <row r="2325" spans="1:26" ht="15.75" customHeight="1" x14ac:dyDescent="0.2">
      <c r="A2325" s="2" t="s">
        <v>36</v>
      </c>
      <c r="B2325" s="2" t="s">
        <v>24</v>
      </c>
      <c r="C2325" s="2" t="s">
        <v>27</v>
      </c>
      <c r="D2325" s="2" t="s">
        <v>27</v>
      </c>
      <c r="E2325" s="2">
        <v>142</v>
      </c>
      <c r="F2325" s="2">
        <v>126</v>
      </c>
      <c r="G2325" s="2">
        <v>408</v>
      </c>
      <c r="H2325" s="2">
        <v>2332</v>
      </c>
      <c r="I2325" s="2">
        <v>2975</v>
      </c>
      <c r="J2325" s="2">
        <v>1.0900000000000001</v>
      </c>
      <c r="K2325" s="2">
        <v>4.09</v>
      </c>
      <c r="L2325" s="2">
        <v>14.04</v>
      </c>
      <c r="M2325" s="2">
        <v>15.63</v>
      </c>
      <c r="N2325" s="2">
        <v>0.144503031</v>
      </c>
      <c r="O2325" s="2">
        <v>0.105441963</v>
      </c>
      <c r="P2325" s="2">
        <v>2.7404563749999999</v>
      </c>
      <c r="Q2325" s="2">
        <v>2.7963364839999998</v>
      </c>
      <c r="R2325" s="2">
        <v>0.43383359100000002</v>
      </c>
      <c r="S2325" s="2">
        <v>0.473833591</v>
      </c>
      <c r="T2325" s="2">
        <v>2.7058990289999998</v>
      </c>
      <c r="U2325" s="2">
        <v>2.7558990290000001</v>
      </c>
      <c r="V2325" s="2">
        <v>0.85845409100000003</v>
      </c>
      <c r="W2325" s="2">
        <v>0.86065027699999996</v>
      </c>
      <c r="X2325">
        <f t="shared" si="108"/>
        <v>1</v>
      </c>
      <c r="Y2325">
        <f t="shared" si="109"/>
        <v>0</v>
      </c>
      <c r="Z2325">
        <f t="shared" si="110"/>
        <v>0</v>
      </c>
    </row>
    <row r="2326" spans="1:26" ht="15.75" customHeight="1" x14ac:dyDescent="0.2">
      <c r="A2326" s="2" t="s">
        <v>36</v>
      </c>
      <c r="B2326" s="2" t="s">
        <v>24</v>
      </c>
      <c r="C2326" s="2" t="s">
        <v>30</v>
      </c>
      <c r="D2326" s="2" t="s">
        <v>31</v>
      </c>
      <c r="E2326" s="2">
        <v>214</v>
      </c>
      <c r="F2326" s="2">
        <v>172</v>
      </c>
      <c r="G2326" s="2">
        <v>487</v>
      </c>
      <c r="H2326" s="2">
        <v>1172</v>
      </c>
      <c r="I2326" s="2">
        <v>2441</v>
      </c>
      <c r="J2326" s="2">
        <v>1.63</v>
      </c>
      <c r="K2326" s="2">
        <v>4.8099999999999996</v>
      </c>
      <c r="L2326" s="2">
        <v>9.5</v>
      </c>
      <c r="M2326" s="2">
        <v>14.34</v>
      </c>
      <c r="N2326" s="2">
        <v>4.7131153059999997</v>
      </c>
      <c r="O2326" s="2">
        <v>4.4870337930000002</v>
      </c>
      <c r="P2326" s="2">
        <v>1.8480825169999999</v>
      </c>
      <c r="Q2326" s="2">
        <v>1.792781674</v>
      </c>
      <c r="R2326" s="2">
        <v>0.28570494499999999</v>
      </c>
      <c r="S2326" s="2">
        <v>0.24570494500000001</v>
      </c>
      <c r="T2326" s="2">
        <v>1.8258646380000001</v>
      </c>
      <c r="U2326" s="2">
        <v>1.7758646380000001</v>
      </c>
      <c r="V2326" s="2">
        <v>1.577992627</v>
      </c>
      <c r="W2326" s="2">
        <v>1.5801888129999999</v>
      </c>
      <c r="X2326">
        <f t="shared" si="108"/>
        <v>1</v>
      </c>
      <c r="Y2326">
        <f t="shared" si="109"/>
        <v>0</v>
      </c>
      <c r="Z2326">
        <f t="shared" si="110"/>
        <v>1</v>
      </c>
    </row>
    <row r="2327" spans="1:26" ht="15.75" customHeight="1" x14ac:dyDescent="0.2">
      <c r="A2327" s="2" t="s">
        <v>36</v>
      </c>
      <c r="B2327" s="2" t="s">
        <v>24</v>
      </c>
      <c r="C2327" s="2" t="s">
        <v>27</v>
      </c>
      <c r="D2327" s="2" t="s">
        <v>27</v>
      </c>
      <c r="E2327" s="2">
        <v>190</v>
      </c>
      <c r="F2327" s="2">
        <v>228</v>
      </c>
      <c r="G2327" s="2">
        <v>374</v>
      </c>
      <c r="H2327" s="2">
        <v>2475</v>
      </c>
      <c r="I2327" s="2">
        <v>3086</v>
      </c>
      <c r="J2327" s="2">
        <v>2.2599999999999998</v>
      </c>
      <c r="K2327" s="2">
        <v>3.76</v>
      </c>
      <c r="L2327" s="2">
        <v>14.43</v>
      </c>
      <c r="M2327" s="2">
        <v>15.87</v>
      </c>
      <c r="N2327" s="2">
        <v>0.45953764000000002</v>
      </c>
      <c r="O2327" s="2">
        <v>0.61431456699999998</v>
      </c>
      <c r="P2327" s="2">
        <v>3.1935636930000002</v>
      </c>
      <c r="Q2327" s="2">
        <v>3.251733996</v>
      </c>
      <c r="R2327" s="2">
        <v>0.75718326000000002</v>
      </c>
      <c r="S2327" s="2">
        <v>0.79718325999999995</v>
      </c>
      <c r="T2327" s="2">
        <v>3.10250263</v>
      </c>
      <c r="U2327" s="2">
        <v>3.1525026299999999</v>
      </c>
      <c r="V2327" s="2">
        <v>0.53510442300000005</v>
      </c>
      <c r="W2327" s="2">
        <v>0.53730060899999998</v>
      </c>
      <c r="X2327">
        <f t="shared" si="108"/>
        <v>1</v>
      </c>
      <c r="Y2327">
        <f t="shared" si="109"/>
        <v>0</v>
      </c>
      <c r="Z2327">
        <f t="shared" si="110"/>
        <v>0</v>
      </c>
    </row>
    <row r="2328" spans="1:26" ht="15.75" customHeight="1" x14ac:dyDescent="0.2">
      <c r="A2328" s="2" t="s">
        <v>36</v>
      </c>
      <c r="B2328" s="2" t="s">
        <v>24</v>
      </c>
      <c r="C2328" s="2" t="s">
        <v>26</v>
      </c>
      <c r="D2328" s="2" t="s">
        <v>26</v>
      </c>
      <c r="E2328" s="2">
        <v>140</v>
      </c>
      <c r="F2328" s="2">
        <v>190</v>
      </c>
      <c r="G2328" s="2">
        <v>396</v>
      </c>
      <c r="H2328" s="2">
        <v>885</v>
      </c>
      <c r="I2328" s="2">
        <v>2634</v>
      </c>
      <c r="J2328" s="2">
        <v>1.84</v>
      </c>
      <c r="K2328" s="2">
        <v>3.98</v>
      </c>
      <c r="L2328" s="2">
        <v>7.81</v>
      </c>
      <c r="M2328" s="2">
        <v>14.84</v>
      </c>
      <c r="N2328" s="2">
        <v>0.109467966</v>
      </c>
      <c r="O2328" s="2">
        <v>3.4490313000000002E-2</v>
      </c>
      <c r="P2328" s="2">
        <v>3.5635631540000001</v>
      </c>
      <c r="Q2328" s="2">
        <v>3.5205250320000001</v>
      </c>
      <c r="R2328" s="2">
        <v>0.54057999700000003</v>
      </c>
      <c r="S2328" s="2">
        <v>0.58057999699999996</v>
      </c>
      <c r="T2328" s="2">
        <v>3.5223224750000002</v>
      </c>
      <c r="U2328" s="2">
        <v>3.4723224749999999</v>
      </c>
      <c r="V2328" s="2">
        <v>0.75170768499999996</v>
      </c>
      <c r="W2328" s="2">
        <v>0.753903871</v>
      </c>
      <c r="X2328">
        <f t="shared" si="108"/>
        <v>1</v>
      </c>
      <c r="Y2328">
        <f t="shared" si="109"/>
        <v>0</v>
      </c>
      <c r="Z2328">
        <f t="shared" si="110"/>
        <v>0</v>
      </c>
    </row>
    <row r="2329" spans="1:26" ht="15.75" customHeight="1" x14ac:dyDescent="0.2">
      <c r="A2329" s="2" t="s">
        <v>36</v>
      </c>
      <c r="B2329" s="2" t="s">
        <v>24</v>
      </c>
      <c r="C2329" s="2" t="s">
        <v>27</v>
      </c>
      <c r="D2329" s="2" t="s">
        <v>27</v>
      </c>
      <c r="E2329" s="2">
        <v>144</v>
      </c>
      <c r="F2329" s="2">
        <v>188</v>
      </c>
      <c r="G2329" s="2">
        <v>415</v>
      </c>
      <c r="H2329" s="2">
        <v>2366</v>
      </c>
      <c r="I2329" s="2">
        <v>3030</v>
      </c>
      <c r="J2329" s="2">
        <v>1.82</v>
      </c>
      <c r="K2329" s="2">
        <v>4.16</v>
      </c>
      <c r="L2329" s="2">
        <v>14.13</v>
      </c>
      <c r="M2329" s="2">
        <v>15.75</v>
      </c>
      <c r="N2329" s="2">
        <v>4.0150749999999999E-2</v>
      </c>
      <c r="O2329" s="2">
        <v>0.195991898</v>
      </c>
      <c r="P2329" s="2">
        <v>2.8273066729999998</v>
      </c>
      <c r="Q2329" s="2">
        <v>2.8822109720000002</v>
      </c>
      <c r="R2329" s="2">
        <v>0.36220039300000001</v>
      </c>
      <c r="S2329" s="2">
        <v>0.40220039299999999</v>
      </c>
      <c r="T2329" s="2">
        <v>2.8040103240000001</v>
      </c>
      <c r="U2329" s="2">
        <v>2.8540103239999999</v>
      </c>
      <c r="V2329" s="2">
        <v>0.93008729000000001</v>
      </c>
      <c r="W2329" s="2">
        <v>0.93228347499999997</v>
      </c>
      <c r="X2329">
        <f t="shared" si="108"/>
        <v>1</v>
      </c>
      <c r="Y2329">
        <f t="shared" si="109"/>
        <v>0</v>
      </c>
      <c r="Z2329">
        <f t="shared" si="110"/>
        <v>0</v>
      </c>
    </row>
    <row r="2330" spans="1:26" ht="15.75" customHeight="1" x14ac:dyDescent="0.2">
      <c r="A2330" s="2" t="s">
        <v>36</v>
      </c>
      <c r="B2330" s="2" t="s">
        <v>24</v>
      </c>
      <c r="C2330" s="2" t="s">
        <v>30</v>
      </c>
      <c r="D2330" s="2" t="s">
        <v>31</v>
      </c>
      <c r="E2330" s="2">
        <v>189</v>
      </c>
      <c r="F2330" s="2">
        <v>203</v>
      </c>
      <c r="G2330" s="2">
        <v>512</v>
      </c>
      <c r="H2330" s="2">
        <v>1244</v>
      </c>
      <c r="I2330" s="2">
        <v>2455</v>
      </c>
      <c r="J2330" s="2">
        <v>1.99</v>
      </c>
      <c r="K2330" s="2">
        <v>5.0199999999999996</v>
      </c>
      <c r="L2330" s="2">
        <v>9.8800000000000008</v>
      </c>
      <c r="M2330" s="2">
        <v>14.38</v>
      </c>
      <c r="N2330" s="2">
        <v>4.3821889589999996</v>
      </c>
      <c r="O2330" s="2">
        <v>4.1592986869999997</v>
      </c>
      <c r="P2330" s="2">
        <v>1.5369297019999999</v>
      </c>
      <c r="Q2330" s="2">
        <v>1.476749614</v>
      </c>
      <c r="R2330" s="2">
        <v>0.502880259</v>
      </c>
      <c r="S2330" s="2">
        <v>0.46288025900000002</v>
      </c>
      <c r="T2330" s="2">
        <v>1.4523306629999999</v>
      </c>
      <c r="U2330" s="2">
        <v>1.4023306630000001</v>
      </c>
      <c r="V2330" s="2">
        <v>1.795167942</v>
      </c>
      <c r="W2330" s="2">
        <v>1.797364127</v>
      </c>
      <c r="X2330">
        <f t="shared" si="108"/>
        <v>1</v>
      </c>
      <c r="Y2330">
        <f t="shared" si="109"/>
        <v>0</v>
      </c>
      <c r="Z2330">
        <f t="shared" si="110"/>
        <v>1</v>
      </c>
    </row>
    <row r="2331" spans="1:26" ht="15.75" customHeight="1" x14ac:dyDescent="0.2">
      <c r="A2331" s="2" t="s">
        <v>36</v>
      </c>
      <c r="B2331" s="2" t="s">
        <v>24</v>
      </c>
      <c r="C2331" s="2" t="s">
        <v>27</v>
      </c>
      <c r="D2331" s="2" t="s">
        <v>27</v>
      </c>
      <c r="E2331" s="2">
        <v>140</v>
      </c>
      <c r="F2331" s="2">
        <v>192</v>
      </c>
      <c r="G2331" s="2">
        <v>440</v>
      </c>
      <c r="H2331" s="2">
        <v>2391</v>
      </c>
      <c r="I2331" s="2">
        <v>3126</v>
      </c>
      <c r="J2331" s="2">
        <v>1.87</v>
      </c>
      <c r="K2331" s="2">
        <v>4.3899999999999997</v>
      </c>
      <c r="L2331" s="2">
        <v>14.2</v>
      </c>
      <c r="M2331" s="2">
        <v>15.95</v>
      </c>
      <c r="N2331" s="2">
        <v>0.25037399300000002</v>
      </c>
      <c r="O2331" s="2">
        <v>0.36847076000000001</v>
      </c>
      <c r="P2331" s="2">
        <v>2.8758897139999999</v>
      </c>
      <c r="Q2331" s="2">
        <v>2.9279125509999999</v>
      </c>
      <c r="R2331" s="2">
        <v>0.13179280700000001</v>
      </c>
      <c r="S2331" s="2">
        <v>0.17179280699999999</v>
      </c>
      <c r="T2331" s="2">
        <v>2.872868306</v>
      </c>
      <c r="U2331" s="2">
        <v>2.9228683059999998</v>
      </c>
      <c r="V2331" s="2">
        <v>1.160494876</v>
      </c>
      <c r="W2331" s="2">
        <v>1.1626910619999999</v>
      </c>
      <c r="X2331">
        <f t="shared" si="108"/>
        <v>1</v>
      </c>
      <c r="Y2331">
        <f t="shared" si="109"/>
        <v>0</v>
      </c>
      <c r="Z2331">
        <f t="shared" si="110"/>
        <v>0</v>
      </c>
    </row>
    <row r="2332" spans="1:26" ht="15.75" customHeight="1" x14ac:dyDescent="0.2">
      <c r="A2332" s="2" t="s">
        <v>36</v>
      </c>
      <c r="B2332" s="2" t="s">
        <v>24</v>
      </c>
      <c r="C2332" s="2" t="s">
        <v>26</v>
      </c>
      <c r="D2332" s="2" t="s">
        <v>26</v>
      </c>
      <c r="E2332" s="2">
        <v>193</v>
      </c>
      <c r="F2332" s="2">
        <v>202</v>
      </c>
      <c r="G2332" s="2">
        <v>390</v>
      </c>
      <c r="H2332" s="2">
        <v>849</v>
      </c>
      <c r="I2332" s="2">
        <v>2709</v>
      </c>
      <c r="J2332" s="2">
        <v>1.97</v>
      </c>
      <c r="K2332" s="2">
        <v>3.92</v>
      </c>
      <c r="L2332" s="2">
        <v>7.58</v>
      </c>
      <c r="M2332" s="2">
        <v>15.02</v>
      </c>
      <c r="N2332" s="2">
        <v>0.135074114</v>
      </c>
      <c r="O2332" s="2">
        <v>0.21998067700000001</v>
      </c>
      <c r="P2332" s="2">
        <v>3.8023969860000002</v>
      </c>
      <c r="Q2332" s="2">
        <v>3.7596425619999998</v>
      </c>
      <c r="R2332" s="2">
        <v>0.60068085100000002</v>
      </c>
      <c r="S2332" s="2">
        <v>0.64068085100000005</v>
      </c>
      <c r="T2332" s="2">
        <v>3.7546511630000001</v>
      </c>
      <c r="U2332" s="2">
        <v>3.7046511629999999</v>
      </c>
      <c r="V2332" s="2">
        <v>0.69160683199999995</v>
      </c>
      <c r="W2332" s="2">
        <v>0.69380301700000002</v>
      </c>
      <c r="X2332">
        <f t="shared" si="108"/>
        <v>1</v>
      </c>
      <c r="Y2332">
        <f t="shared" si="109"/>
        <v>0</v>
      </c>
      <c r="Z2332">
        <f t="shared" si="110"/>
        <v>0</v>
      </c>
    </row>
    <row r="2333" spans="1:26" ht="15.75" customHeight="1" x14ac:dyDescent="0.2">
      <c r="A2333" s="2" t="s">
        <v>36</v>
      </c>
      <c r="B2333" s="2" t="s">
        <v>24</v>
      </c>
      <c r="C2333" s="2" t="s">
        <v>30</v>
      </c>
      <c r="D2333" s="2" t="s">
        <v>31</v>
      </c>
      <c r="E2333" s="2">
        <v>151</v>
      </c>
      <c r="F2333" s="2">
        <v>230</v>
      </c>
      <c r="G2333" s="2">
        <v>434</v>
      </c>
      <c r="H2333" s="2">
        <v>1250</v>
      </c>
      <c r="I2333" s="2">
        <v>2486</v>
      </c>
      <c r="J2333" s="2">
        <v>2.2799999999999998</v>
      </c>
      <c r="K2333" s="2">
        <v>4.33</v>
      </c>
      <c r="L2333" s="2">
        <v>9.91</v>
      </c>
      <c r="M2333" s="2">
        <v>14.46</v>
      </c>
      <c r="N2333" s="2">
        <v>4.2625188779999998</v>
      </c>
      <c r="O2333" s="2">
        <v>4.0332454970000002</v>
      </c>
      <c r="P2333" s="2">
        <v>1.4309005210000001</v>
      </c>
      <c r="Q2333" s="2">
        <v>1.3874170240000001</v>
      </c>
      <c r="R2333" s="2">
        <v>0.189707602</v>
      </c>
      <c r="S2333" s="2">
        <v>0.22970760200000001</v>
      </c>
      <c r="T2333" s="2">
        <v>1.418269131</v>
      </c>
      <c r="U2333" s="2">
        <v>1.3682691309999999</v>
      </c>
      <c r="V2333" s="2">
        <v>1.1025800800000001</v>
      </c>
      <c r="W2333" s="2">
        <v>1.104776266</v>
      </c>
      <c r="X2333">
        <f t="shared" si="108"/>
        <v>1</v>
      </c>
      <c r="Y2333">
        <f t="shared" si="109"/>
        <v>0</v>
      </c>
      <c r="Z2333">
        <f t="shared" si="110"/>
        <v>1</v>
      </c>
    </row>
    <row r="2334" spans="1:26" ht="15.75" customHeight="1" x14ac:dyDescent="0.2">
      <c r="A2334" s="2" t="s">
        <v>36</v>
      </c>
      <c r="B2334" s="2" t="s">
        <v>24</v>
      </c>
      <c r="C2334" s="2" t="s">
        <v>32</v>
      </c>
      <c r="D2334" s="2" t="s">
        <v>33</v>
      </c>
      <c r="E2334" s="2">
        <v>126</v>
      </c>
      <c r="F2334" s="2">
        <v>111</v>
      </c>
      <c r="G2334" s="2">
        <v>495</v>
      </c>
      <c r="H2334" s="2">
        <v>901</v>
      </c>
      <c r="I2334" s="2">
        <v>2456</v>
      </c>
      <c r="J2334" s="2">
        <v>0.91</v>
      </c>
      <c r="K2334" s="2">
        <v>4.88</v>
      </c>
      <c r="L2334" s="2">
        <v>7.91</v>
      </c>
      <c r="M2334" s="2">
        <v>14.38</v>
      </c>
      <c r="N2334" s="2">
        <v>4.0897133590000001</v>
      </c>
      <c r="O2334" s="2">
        <v>4.1438067370000002</v>
      </c>
      <c r="P2334" s="2">
        <v>3.4374560870000002</v>
      </c>
      <c r="Q2334" s="2">
        <v>3.3837625920000001</v>
      </c>
      <c r="R2334" s="2">
        <v>0.35568228099999999</v>
      </c>
      <c r="S2334" s="2">
        <v>0.31568228100000001</v>
      </c>
      <c r="T2334" s="2">
        <v>3.419004894</v>
      </c>
      <c r="U2334" s="2">
        <v>3.3690048940000001</v>
      </c>
      <c r="V2334" s="2">
        <v>1.6479699640000001</v>
      </c>
      <c r="W2334" s="2">
        <v>1.6501661489999999</v>
      </c>
      <c r="X2334">
        <f t="shared" si="108"/>
        <v>1</v>
      </c>
      <c r="Y2334">
        <f t="shared" si="109"/>
        <v>0</v>
      </c>
      <c r="Z2334">
        <f t="shared" si="110"/>
        <v>1</v>
      </c>
    </row>
    <row r="2335" spans="1:26" ht="15.75" customHeight="1" x14ac:dyDescent="0.2">
      <c r="A2335" s="2" t="s">
        <v>36</v>
      </c>
      <c r="B2335" s="2" t="s">
        <v>24</v>
      </c>
      <c r="C2335" s="2" t="s">
        <v>28</v>
      </c>
      <c r="D2335" s="2" t="s">
        <v>29</v>
      </c>
      <c r="E2335" s="2">
        <v>188</v>
      </c>
      <c r="F2335" s="2">
        <v>213</v>
      </c>
      <c r="G2335" s="2">
        <v>497</v>
      </c>
      <c r="H2335" s="2">
        <v>1319</v>
      </c>
      <c r="I2335" s="2">
        <v>2762</v>
      </c>
      <c r="J2335" s="2">
        <v>2.09</v>
      </c>
      <c r="K2335" s="2">
        <v>4.8899999999999997</v>
      </c>
      <c r="L2335" s="2">
        <v>10.25</v>
      </c>
      <c r="M2335" s="2">
        <v>15.15</v>
      </c>
      <c r="N2335" s="2">
        <v>2.7181252470000001</v>
      </c>
      <c r="O2335" s="2">
        <v>2.628226368</v>
      </c>
      <c r="P2335" s="2">
        <v>1.1389682130000001</v>
      </c>
      <c r="Q2335" s="2">
        <v>1.0788975030000001</v>
      </c>
      <c r="R2335" s="2">
        <v>0.370203528</v>
      </c>
      <c r="S2335" s="2">
        <v>0.33020352800000002</v>
      </c>
      <c r="T2335" s="2">
        <v>1.0771248470000001</v>
      </c>
      <c r="U2335" s="2">
        <v>1.0271248470000001</v>
      </c>
      <c r="V2335" s="2">
        <v>1.66249121</v>
      </c>
      <c r="W2335" s="2">
        <v>1.6646873959999999</v>
      </c>
      <c r="X2335">
        <f t="shared" si="108"/>
        <v>1</v>
      </c>
      <c r="Y2335">
        <f t="shared" si="109"/>
        <v>0</v>
      </c>
      <c r="Z2335">
        <f t="shared" si="110"/>
        <v>1</v>
      </c>
    </row>
    <row r="2336" spans="1:26" ht="15.75" customHeight="1" x14ac:dyDescent="0.2">
      <c r="A2336" s="2" t="s">
        <v>36</v>
      </c>
      <c r="B2336" s="2" t="s">
        <v>24</v>
      </c>
      <c r="C2336" s="2" t="s">
        <v>28</v>
      </c>
      <c r="D2336" s="2" t="s">
        <v>29</v>
      </c>
      <c r="E2336" s="2">
        <v>196</v>
      </c>
      <c r="F2336" s="2">
        <v>275</v>
      </c>
      <c r="G2336" s="2">
        <v>454</v>
      </c>
      <c r="H2336" s="2">
        <v>1351</v>
      </c>
      <c r="I2336" s="2">
        <v>2830</v>
      </c>
      <c r="J2336" s="2">
        <v>2.77</v>
      </c>
      <c r="K2336" s="2">
        <v>4.51</v>
      </c>
      <c r="L2336" s="2">
        <v>10.41</v>
      </c>
      <c r="M2336" s="2">
        <v>15.31</v>
      </c>
      <c r="N2336" s="2">
        <v>2.7608137020000001</v>
      </c>
      <c r="O2336" s="2">
        <v>2.6782267609999999</v>
      </c>
      <c r="P2336" s="2">
        <v>0.92067716499999996</v>
      </c>
      <c r="Q2336" s="2">
        <v>0.87209745000000005</v>
      </c>
      <c r="R2336" s="2">
        <v>1.0860378E-2</v>
      </c>
      <c r="S2336" s="2">
        <v>5.0860377999999998E-2</v>
      </c>
      <c r="T2336" s="2">
        <v>0.92061310799999996</v>
      </c>
      <c r="U2336" s="2">
        <v>0.87061310800000002</v>
      </c>
      <c r="V2336" s="2">
        <v>1.2814273039999999</v>
      </c>
      <c r="W2336" s="2">
        <v>1.2836234900000001</v>
      </c>
      <c r="X2336">
        <f t="shared" si="108"/>
        <v>1</v>
      </c>
      <c r="Y2336">
        <f t="shared" si="109"/>
        <v>0</v>
      </c>
      <c r="Z2336">
        <f t="shared" si="110"/>
        <v>1</v>
      </c>
    </row>
    <row r="2337" spans="1:26" ht="15.75" customHeight="1" x14ac:dyDescent="0.2">
      <c r="A2337" s="2" t="s">
        <v>36</v>
      </c>
      <c r="B2337" s="2" t="s">
        <v>24</v>
      </c>
      <c r="C2337" s="2" t="s">
        <v>26</v>
      </c>
      <c r="D2337" s="2" t="s">
        <v>26</v>
      </c>
      <c r="E2337" s="2">
        <v>111</v>
      </c>
      <c r="F2337" s="2">
        <v>209</v>
      </c>
      <c r="G2337" s="2">
        <v>386</v>
      </c>
      <c r="H2337" s="2">
        <v>823</v>
      </c>
      <c r="I2337" s="2">
        <v>2633</v>
      </c>
      <c r="J2337" s="2">
        <v>2.0499999999999998</v>
      </c>
      <c r="K2337" s="2">
        <v>3.88</v>
      </c>
      <c r="L2337" s="2">
        <v>7.4</v>
      </c>
      <c r="M2337" s="2">
        <v>14.84</v>
      </c>
      <c r="N2337" s="2">
        <v>0.314960554</v>
      </c>
      <c r="O2337" s="2">
        <v>0.39876930199999999</v>
      </c>
      <c r="P2337" s="2">
        <v>3.9826875099999999</v>
      </c>
      <c r="Q2337" s="2">
        <v>3.9399982100000002</v>
      </c>
      <c r="R2337" s="2">
        <v>0.63562437800000005</v>
      </c>
      <c r="S2337" s="2">
        <v>0.67562437799999997</v>
      </c>
      <c r="T2337" s="2">
        <v>3.9316385199999999</v>
      </c>
      <c r="U2337" s="2">
        <v>3.8816385200000001</v>
      </c>
      <c r="V2337" s="2">
        <v>0.65666330399999995</v>
      </c>
      <c r="W2337" s="2">
        <v>0.65885948999999999</v>
      </c>
      <c r="X2337">
        <f t="shared" si="108"/>
        <v>1</v>
      </c>
      <c r="Y2337">
        <f t="shared" si="109"/>
        <v>0</v>
      </c>
      <c r="Z2337">
        <f t="shared" si="110"/>
        <v>0</v>
      </c>
    </row>
    <row r="2338" spans="1:26" ht="15.75" customHeight="1" x14ac:dyDescent="0.2">
      <c r="A2338" s="2" t="s">
        <v>36</v>
      </c>
      <c r="B2338" s="2" t="s">
        <v>24</v>
      </c>
      <c r="C2338" s="2" t="s">
        <v>25</v>
      </c>
      <c r="D2338" s="2" t="s">
        <v>25</v>
      </c>
      <c r="E2338" s="2">
        <v>153</v>
      </c>
      <c r="F2338" s="2">
        <v>203</v>
      </c>
      <c r="G2338" s="2">
        <v>781</v>
      </c>
      <c r="H2338" s="2">
        <v>1525</v>
      </c>
      <c r="I2338" s="2">
        <v>2531</v>
      </c>
      <c r="J2338" s="2">
        <v>1.99</v>
      </c>
      <c r="K2338" s="2">
        <v>7.11</v>
      </c>
      <c r="L2338" s="2">
        <v>11.2</v>
      </c>
      <c r="M2338" s="2">
        <v>14.58</v>
      </c>
      <c r="N2338" s="2">
        <v>0.114365252</v>
      </c>
      <c r="O2338" s="2">
        <v>0.26149836199999998</v>
      </c>
      <c r="P2338" s="2">
        <v>2.592142661</v>
      </c>
      <c r="Q2338" s="2">
        <v>2.550196551</v>
      </c>
      <c r="R2338" s="2">
        <v>2.589040496</v>
      </c>
      <c r="S2338" s="2">
        <v>2.5490404959999999</v>
      </c>
      <c r="T2338" s="2">
        <v>0.12677888300000001</v>
      </c>
      <c r="U2338" s="2">
        <v>7.6778883000000006E-2</v>
      </c>
      <c r="V2338" s="2">
        <v>3.881328179</v>
      </c>
      <c r="W2338" s="2">
        <v>3.8835243639999999</v>
      </c>
      <c r="X2338">
        <f t="shared" si="108"/>
        <v>1</v>
      </c>
      <c r="Y2338">
        <f t="shared" si="109"/>
        <v>0</v>
      </c>
      <c r="Z2338">
        <f t="shared" si="110"/>
        <v>0</v>
      </c>
    </row>
    <row r="2339" spans="1:26" ht="15.75" customHeight="1" x14ac:dyDescent="0.2">
      <c r="A2339" s="2" t="s">
        <v>36</v>
      </c>
      <c r="B2339" s="2" t="s">
        <v>24</v>
      </c>
      <c r="C2339" s="2" t="s">
        <v>30</v>
      </c>
      <c r="D2339" s="2" t="s">
        <v>31</v>
      </c>
      <c r="E2339" s="2">
        <v>179</v>
      </c>
      <c r="F2339" s="2">
        <v>167</v>
      </c>
      <c r="G2339" s="2">
        <v>485</v>
      </c>
      <c r="H2339" s="2">
        <v>1406</v>
      </c>
      <c r="I2339" s="2">
        <v>2518</v>
      </c>
      <c r="J2339" s="2">
        <v>1.57</v>
      </c>
      <c r="K2339" s="2">
        <v>4.79</v>
      </c>
      <c r="L2339" s="2">
        <v>10.67</v>
      </c>
      <c r="M2339" s="2">
        <v>14.54</v>
      </c>
      <c r="N2339" s="2">
        <v>3.5602417580000001</v>
      </c>
      <c r="O2339" s="2">
        <v>3.3362602469999998</v>
      </c>
      <c r="P2339" s="2">
        <v>0.71248805900000001</v>
      </c>
      <c r="Q2339" s="2">
        <v>0.65145499299999998</v>
      </c>
      <c r="R2339" s="2">
        <v>0.26520861699999998</v>
      </c>
      <c r="S2339" s="2">
        <v>0.225208617</v>
      </c>
      <c r="T2339" s="2">
        <v>0.66128936400000005</v>
      </c>
      <c r="U2339" s="2">
        <v>0.611289364</v>
      </c>
      <c r="V2339" s="2">
        <v>1.5574962999999999</v>
      </c>
      <c r="W2339" s="2">
        <v>1.5596924860000001</v>
      </c>
      <c r="X2339">
        <f t="shared" si="108"/>
        <v>1</v>
      </c>
      <c r="Y2339">
        <f t="shared" si="109"/>
        <v>0</v>
      </c>
      <c r="Z2339">
        <f t="shared" si="110"/>
        <v>1</v>
      </c>
    </row>
    <row r="2340" spans="1:26" ht="15.75" customHeight="1" x14ac:dyDescent="0.2">
      <c r="A2340" s="2" t="s">
        <v>36</v>
      </c>
      <c r="B2340" s="2" t="s">
        <v>24</v>
      </c>
      <c r="C2340" s="2" t="s">
        <v>28</v>
      </c>
      <c r="D2340" s="2" t="s">
        <v>29</v>
      </c>
      <c r="E2340" s="2">
        <v>162</v>
      </c>
      <c r="F2340" s="2">
        <v>244</v>
      </c>
      <c r="G2340" s="2">
        <v>520</v>
      </c>
      <c r="H2340" s="2">
        <v>1202</v>
      </c>
      <c r="I2340" s="2">
        <v>2694</v>
      </c>
      <c r="J2340" s="2">
        <v>2.44</v>
      </c>
      <c r="K2340" s="2">
        <v>5.09</v>
      </c>
      <c r="L2340" s="2">
        <v>9.66</v>
      </c>
      <c r="M2340" s="2">
        <v>14.99</v>
      </c>
      <c r="N2340" s="2">
        <v>2.2725056499999998</v>
      </c>
      <c r="O2340" s="2">
        <v>2.1766991459999998</v>
      </c>
      <c r="P2340" s="2">
        <v>1.7619604280000001</v>
      </c>
      <c r="Q2340" s="2">
        <v>1.7018274470000001</v>
      </c>
      <c r="R2340" s="2">
        <v>0.57145161300000002</v>
      </c>
      <c r="S2340" s="2">
        <v>0.53145161299999999</v>
      </c>
      <c r="T2340" s="2">
        <v>1.666717614</v>
      </c>
      <c r="U2340" s="2">
        <v>1.6167176139999999</v>
      </c>
      <c r="V2340" s="2">
        <v>1.8637392960000001</v>
      </c>
      <c r="W2340" s="2">
        <v>1.865935481</v>
      </c>
      <c r="X2340">
        <f t="shared" si="108"/>
        <v>1</v>
      </c>
      <c r="Y2340">
        <f t="shared" si="109"/>
        <v>0</v>
      </c>
      <c r="Z2340">
        <f t="shared" si="110"/>
        <v>1</v>
      </c>
    </row>
    <row r="2341" spans="1:26" ht="15.75" customHeight="1" x14ac:dyDescent="0.2">
      <c r="A2341" s="2" t="s">
        <v>36</v>
      </c>
      <c r="B2341" s="2" t="s">
        <v>24</v>
      </c>
      <c r="C2341" s="2" t="s">
        <v>28</v>
      </c>
      <c r="D2341" s="2" t="s">
        <v>29</v>
      </c>
      <c r="E2341" s="2">
        <v>234</v>
      </c>
      <c r="F2341" s="2">
        <v>145</v>
      </c>
      <c r="G2341" s="2">
        <v>460</v>
      </c>
      <c r="H2341" s="2">
        <v>761</v>
      </c>
      <c r="I2341" s="2">
        <v>2508</v>
      </c>
      <c r="J2341" s="2">
        <v>1.32</v>
      </c>
      <c r="K2341" s="2">
        <v>4.5599999999999996</v>
      </c>
      <c r="L2341" s="2">
        <v>6.97</v>
      </c>
      <c r="M2341" s="2">
        <v>14.52</v>
      </c>
      <c r="N2341" s="2">
        <v>0.97710530600000001</v>
      </c>
      <c r="O2341" s="2">
        <v>0.98999520299999999</v>
      </c>
      <c r="P2341" s="2">
        <v>4.3644497639999997</v>
      </c>
      <c r="Q2341" s="2">
        <v>4.3142378380000004</v>
      </c>
      <c r="R2341" s="2">
        <v>4.3124397000000002E-2</v>
      </c>
      <c r="S2341" s="2">
        <v>3.1243970000000001E-3</v>
      </c>
      <c r="T2341" s="2">
        <v>4.3642367069999999</v>
      </c>
      <c r="U2341" s="2">
        <v>4.3142367070000001</v>
      </c>
      <c r="V2341" s="2">
        <v>1.33541208</v>
      </c>
      <c r="W2341" s="2">
        <v>1.3376082659999999</v>
      </c>
      <c r="X2341">
        <f t="shared" si="108"/>
        <v>1</v>
      </c>
      <c r="Y2341">
        <f t="shared" si="109"/>
        <v>0</v>
      </c>
      <c r="Z2341">
        <f t="shared" si="110"/>
        <v>1</v>
      </c>
    </row>
    <row r="2342" spans="1:26" ht="15.75" customHeight="1" x14ac:dyDescent="0.2">
      <c r="A2342" s="2" t="s">
        <v>36</v>
      </c>
      <c r="B2342" s="2" t="s">
        <v>24</v>
      </c>
      <c r="C2342" s="2" t="s">
        <v>32</v>
      </c>
      <c r="D2342" s="2" t="s">
        <v>33</v>
      </c>
      <c r="E2342" s="2">
        <v>190</v>
      </c>
      <c r="F2342" s="2">
        <v>240</v>
      </c>
      <c r="G2342" s="2">
        <v>488</v>
      </c>
      <c r="H2342" s="2">
        <v>916</v>
      </c>
      <c r="I2342" s="2">
        <v>2423</v>
      </c>
      <c r="J2342" s="2">
        <v>2.4</v>
      </c>
      <c r="K2342" s="2">
        <v>4.8099999999999996</v>
      </c>
      <c r="L2342" s="2">
        <v>8.01</v>
      </c>
      <c r="M2342" s="2">
        <v>14.29</v>
      </c>
      <c r="N2342" s="2">
        <v>4.0454171160000003</v>
      </c>
      <c r="O2342" s="2">
        <v>4.1056818159999997</v>
      </c>
      <c r="P2342" s="2">
        <v>3.3338439960000001</v>
      </c>
      <c r="Q2342" s="2">
        <v>3.2807292459999999</v>
      </c>
      <c r="R2342" s="2">
        <v>0.29155386100000003</v>
      </c>
      <c r="S2342" s="2">
        <v>0.25155386099999999</v>
      </c>
      <c r="T2342" s="2">
        <v>3.321070932</v>
      </c>
      <c r="U2342" s="2">
        <v>3.2710709320000002</v>
      </c>
      <c r="V2342" s="2">
        <v>1.5838415429999999</v>
      </c>
      <c r="W2342" s="2">
        <v>1.5860377290000001</v>
      </c>
      <c r="X2342">
        <f t="shared" si="108"/>
        <v>1</v>
      </c>
      <c r="Y2342">
        <f t="shared" si="109"/>
        <v>0</v>
      </c>
      <c r="Z2342">
        <f t="shared" si="110"/>
        <v>1</v>
      </c>
    </row>
    <row r="2343" spans="1:26" ht="15.75" customHeight="1" x14ac:dyDescent="0.2">
      <c r="A2343" s="2" t="s">
        <v>36</v>
      </c>
      <c r="B2343" s="2" t="s">
        <v>24</v>
      </c>
      <c r="C2343" s="2" t="s">
        <v>25</v>
      </c>
      <c r="D2343" s="2" t="s">
        <v>25</v>
      </c>
      <c r="E2343" s="2">
        <v>140</v>
      </c>
      <c r="F2343" s="2">
        <v>205</v>
      </c>
      <c r="G2343" s="2">
        <v>779</v>
      </c>
      <c r="H2343" s="2">
        <v>1582</v>
      </c>
      <c r="I2343" s="2">
        <v>2548</v>
      </c>
      <c r="J2343" s="2">
        <v>2.0099999999999998</v>
      </c>
      <c r="K2343" s="2">
        <v>7.1</v>
      </c>
      <c r="L2343" s="2">
        <v>11.45</v>
      </c>
      <c r="M2343" s="2">
        <v>14.62</v>
      </c>
      <c r="N2343" s="2">
        <v>0.14652045799999999</v>
      </c>
      <c r="O2343" s="2">
        <v>0.355805977</v>
      </c>
      <c r="P2343" s="2">
        <v>2.5776454709999999</v>
      </c>
      <c r="Q2343" s="2">
        <v>2.540459625</v>
      </c>
      <c r="R2343" s="2">
        <v>2.575041986</v>
      </c>
      <c r="S2343" s="2">
        <v>2.535041986</v>
      </c>
      <c r="T2343" s="2">
        <v>0.115822904</v>
      </c>
      <c r="U2343" s="2">
        <v>0.16582290399999999</v>
      </c>
      <c r="V2343" s="2">
        <v>3.8673296690000001</v>
      </c>
      <c r="W2343" s="2">
        <v>3.8695258539999999</v>
      </c>
      <c r="X2343">
        <f t="shared" si="108"/>
        <v>1</v>
      </c>
      <c r="Y2343">
        <f t="shared" si="109"/>
        <v>0</v>
      </c>
      <c r="Z2343">
        <f t="shared" si="110"/>
        <v>0</v>
      </c>
    </row>
    <row r="2344" spans="1:26" ht="15.75" customHeight="1" x14ac:dyDescent="0.2">
      <c r="A2344" s="2" t="s">
        <v>36</v>
      </c>
      <c r="B2344" s="2" t="s">
        <v>24</v>
      </c>
      <c r="C2344" s="2" t="s">
        <v>27</v>
      </c>
      <c r="D2344" s="2" t="s">
        <v>27</v>
      </c>
      <c r="E2344" s="2">
        <v>140</v>
      </c>
      <c r="F2344" s="2">
        <v>245</v>
      </c>
      <c r="G2344" s="2">
        <v>431</v>
      </c>
      <c r="H2344" s="2">
        <v>2491</v>
      </c>
      <c r="I2344" s="2">
        <v>3117</v>
      </c>
      <c r="J2344" s="2">
        <v>2.4500000000000002</v>
      </c>
      <c r="K2344" s="2">
        <v>4.3</v>
      </c>
      <c r="L2344" s="2">
        <v>14.48</v>
      </c>
      <c r="M2344" s="2">
        <v>15.93</v>
      </c>
      <c r="N2344" s="2">
        <v>0.34435244399999998</v>
      </c>
      <c r="O2344" s="2">
        <v>0.56134896599999995</v>
      </c>
      <c r="P2344" s="2">
        <v>3.152794573</v>
      </c>
      <c r="Q2344" s="2">
        <v>3.2056742460000001</v>
      </c>
      <c r="R2344" s="2">
        <v>0.220312326</v>
      </c>
      <c r="S2344" s="2">
        <v>0.26031232599999998</v>
      </c>
      <c r="T2344" s="2">
        <v>3.1450876139999999</v>
      </c>
      <c r="U2344" s="2">
        <v>3.1950876140000002</v>
      </c>
      <c r="V2344" s="2">
        <v>1.0719753569999999</v>
      </c>
      <c r="W2344" s="2">
        <v>1.0741715430000001</v>
      </c>
      <c r="X2344">
        <f t="shared" si="108"/>
        <v>1</v>
      </c>
      <c r="Y2344">
        <f t="shared" si="109"/>
        <v>0</v>
      </c>
      <c r="Z2344">
        <f t="shared" si="110"/>
        <v>0</v>
      </c>
    </row>
    <row r="2345" spans="1:26" ht="15.75" customHeight="1" x14ac:dyDescent="0.2">
      <c r="A2345" s="2" t="s">
        <v>36</v>
      </c>
      <c r="B2345" s="2" t="s">
        <v>24</v>
      </c>
      <c r="C2345" s="2" t="s">
        <v>32</v>
      </c>
      <c r="D2345" s="2" t="s">
        <v>33</v>
      </c>
      <c r="E2345" s="2">
        <v>181</v>
      </c>
      <c r="F2345" s="2">
        <v>232</v>
      </c>
      <c r="G2345" s="2">
        <v>464</v>
      </c>
      <c r="H2345" s="2">
        <v>910</v>
      </c>
      <c r="I2345" s="2">
        <v>2476</v>
      </c>
      <c r="J2345" s="2">
        <v>2.2999999999999998</v>
      </c>
      <c r="K2345" s="2">
        <v>4.5999999999999996</v>
      </c>
      <c r="L2345" s="2">
        <v>7.97</v>
      </c>
      <c r="M2345" s="2">
        <v>14.43</v>
      </c>
      <c r="N2345" s="2">
        <v>4.1987009909999999</v>
      </c>
      <c r="O2345" s="2">
        <v>4.2668545419999999</v>
      </c>
      <c r="P2345" s="2">
        <v>3.3581420359999998</v>
      </c>
      <c r="Q2345" s="2">
        <v>3.307408042</v>
      </c>
      <c r="R2345" s="2">
        <v>8.1947195E-2</v>
      </c>
      <c r="S2345" s="2">
        <v>4.1947195E-2</v>
      </c>
      <c r="T2345" s="2">
        <v>3.3571420280000002</v>
      </c>
      <c r="U2345" s="2">
        <v>3.3071420279999999</v>
      </c>
      <c r="V2345" s="2">
        <v>1.3742348769999999</v>
      </c>
      <c r="W2345" s="2">
        <v>1.3764310630000001</v>
      </c>
      <c r="X2345">
        <f t="shared" si="108"/>
        <v>1</v>
      </c>
      <c r="Y2345">
        <f t="shared" si="109"/>
        <v>0</v>
      </c>
      <c r="Z2345">
        <f t="shared" si="110"/>
        <v>1</v>
      </c>
    </row>
    <row r="2346" spans="1:26" ht="15.75" customHeight="1" x14ac:dyDescent="0.2">
      <c r="A2346" s="2" t="s">
        <v>36</v>
      </c>
      <c r="B2346" s="2" t="s">
        <v>24</v>
      </c>
      <c r="C2346" s="2" t="s">
        <v>28</v>
      </c>
      <c r="D2346" s="2" t="s">
        <v>29</v>
      </c>
      <c r="E2346" s="2">
        <v>182</v>
      </c>
      <c r="F2346" s="2">
        <v>214</v>
      </c>
      <c r="G2346" s="2">
        <v>537</v>
      </c>
      <c r="H2346" s="2">
        <v>1449</v>
      </c>
      <c r="I2346" s="2">
        <v>2728</v>
      </c>
      <c r="J2346" s="2">
        <v>2.11</v>
      </c>
      <c r="K2346" s="2">
        <v>5.24</v>
      </c>
      <c r="L2346" s="2">
        <v>10.87</v>
      </c>
      <c r="M2346" s="2">
        <v>15.07</v>
      </c>
      <c r="N2346" s="2">
        <v>3.4164837810000002</v>
      </c>
      <c r="O2346" s="2">
        <v>3.3252614619999998</v>
      </c>
      <c r="P2346" s="2">
        <v>0.85233902900000003</v>
      </c>
      <c r="Q2346" s="2">
        <v>0.79185769399999995</v>
      </c>
      <c r="R2346" s="2">
        <v>0.71570684799999995</v>
      </c>
      <c r="S2346" s="2">
        <v>0.67570684800000003</v>
      </c>
      <c r="T2346" s="2">
        <v>0.46286664100000002</v>
      </c>
      <c r="U2346" s="2">
        <v>0.41286664099999998</v>
      </c>
      <c r="V2346" s="2">
        <v>2.007994531</v>
      </c>
      <c r="W2346" s="2">
        <v>2.0101907159999999</v>
      </c>
      <c r="X2346">
        <f t="shared" si="108"/>
        <v>1</v>
      </c>
      <c r="Y2346">
        <f t="shared" si="109"/>
        <v>0</v>
      </c>
      <c r="Z2346">
        <f t="shared" si="110"/>
        <v>1</v>
      </c>
    </row>
    <row r="2347" spans="1:26" ht="15.75" customHeight="1" x14ac:dyDescent="0.2">
      <c r="A2347" s="2" t="s">
        <v>36</v>
      </c>
      <c r="B2347" s="2" t="s">
        <v>24</v>
      </c>
      <c r="C2347" s="2" t="s">
        <v>27</v>
      </c>
      <c r="D2347" s="2" t="s">
        <v>27</v>
      </c>
      <c r="E2347" s="2">
        <v>137</v>
      </c>
      <c r="F2347" s="2">
        <v>255</v>
      </c>
      <c r="G2347" s="2">
        <v>369</v>
      </c>
      <c r="H2347" s="2">
        <v>2392</v>
      </c>
      <c r="I2347" s="2">
        <v>2964</v>
      </c>
      <c r="J2347" s="2">
        <v>2.5499999999999998</v>
      </c>
      <c r="K2347" s="2">
        <v>3.71</v>
      </c>
      <c r="L2347" s="2">
        <v>14.2</v>
      </c>
      <c r="M2347" s="2">
        <v>15.61</v>
      </c>
      <c r="N2347" s="2">
        <v>0.42694503</v>
      </c>
      <c r="O2347" s="2">
        <v>0.49268848900000001</v>
      </c>
      <c r="P2347" s="2">
        <v>2.9854458190000002</v>
      </c>
      <c r="Q2347" s="2">
        <v>3.0444869969999999</v>
      </c>
      <c r="R2347" s="2">
        <v>0.80553106200000002</v>
      </c>
      <c r="S2347" s="2">
        <v>0.84553106200000006</v>
      </c>
      <c r="T2347" s="2">
        <v>2.8747184990000001</v>
      </c>
      <c r="U2347" s="2">
        <v>2.9247184989999999</v>
      </c>
      <c r="V2347" s="2">
        <v>0.486756621</v>
      </c>
      <c r="W2347" s="2">
        <v>0.48895280600000002</v>
      </c>
      <c r="X2347">
        <f t="shared" si="108"/>
        <v>1</v>
      </c>
      <c r="Y2347">
        <f t="shared" si="109"/>
        <v>0</v>
      </c>
      <c r="Z2347">
        <f t="shared" si="110"/>
        <v>0</v>
      </c>
    </row>
    <row r="2348" spans="1:26" ht="15.75" customHeight="1" x14ac:dyDescent="0.2">
      <c r="A2348" s="2" t="s">
        <v>36</v>
      </c>
      <c r="B2348" s="2" t="s">
        <v>24</v>
      </c>
      <c r="C2348" s="2" t="s">
        <v>26</v>
      </c>
      <c r="D2348" s="2" t="s">
        <v>26</v>
      </c>
      <c r="E2348" s="2">
        <v>164</v>
      </c>
      <c r="F2348" s="2">
        <v>257</v>
      </c>
      <c r="G2348" s="2">
        <v>404</v>
      </c>
      <c r="H2348" s="2">
        <v>811</v>
      </c>
      <c r="I2348" s="2">
        <v>2717</v>
      </c>
      <c r="J2348" s="2">
        <v>2.58</v>
      </c>
      <c r="K2348" s="2">
        <v>4.05</v>
      </c>
      <c r="L2348" s="2">
        <v>7.32</v>
      </c>
      <c r="M2348" s="2">
        <v>15.04</v>
      </c>
      <c r="N2348" s="2">
        <v>0.41181325000000002</v>
      </c>
      <c r="O2348" s="2">
        <v>0.46628649900000002</v>
      </c>
      <c r="P2348" s="2">
        <v>4.040630921</v>
      </c>
      <c r="Q2348" s="2">
        <v>3.9958626279999998</v>
      </c>
      <c r="R2348" s="2">
        <v>0.46825719100000002</v>
      </c>
      <c r="S2348" s="2">
        <v>0.508257191</v>
      </c>
      <c r="T2348" s="2">
        <v>4.0134067120000001</v>
      </c>
      <c r="U2348" s="2">
        <v>3.9634067119999998</v>
      </c>
      <c r="V2348" s="2">
        <v>0.82403049100000003</v>
      </c>
      <c r="W2348" s="2">
        <v>0.82622667699999996</v>
      </c>
      <c r="X2348">
        <f t="shared" si="108"/>
        <v>1</v>
      </c>
      <c r="Y2348">
        <f t="shared" si="109"/>
        <v>0</v>
      </c>
      <c r="Z2348">
        <f t="shared" si="110"/>
        <v>0</v>
      </c>
    </row>
    <row r="2349" spans="1:26" ht="15.75" customHeight="1" x14ac:dyDescent="0.2">
      <c r="A2349" s="2" t="s">
        <v>36</v>
      </c>
      <c r="B2349" s="2" t="s">
        <v>24</v>
      </c>
      <c r="C2349" s="2" t="s">
        <v>27</v>
      </c>
      <c r="D2349" s="2" t="s">
        <v>27</v>
      </c>
      <c r="E2349" s="2">
        <v>101</v>
      </c>
      <c r="F2349" s="2">
        <v>242</v>
      </c>
      <c r="G2349" s="2">
        <v>422</v>
      </c>
      <c r="H2349" s="2">
        <v>2285</v>
      </c>
      <c r="I2349" s="2">
        <v>2975</v>
      </c>
      <c r="J2349" s="2">
        <v>2.42</v>
      </c>
      <c r="K2349" s="2">
        <v>4.22</v>
      </c>
      <c r="L2349" s="2">
        <v>13.9</v>
      </c>
      <c r="M2349" s="2">
        <v>15.63</v>
      </c>
      <c r="N2349" s="2">
        <v>0.279347544</v>
      </c>
      <c r="O2349" s="2">
        <v>9.7326414999999999E-2</v>
      </c>
      <c r="P2349" s="2">
        <v>2.5897358769999999</v>
      </c>
      <c r="Q2349" s="2">
        <v>2.644254433</v>
      </c>
      <c r="R2349" s="2">
        <v>0.300285474</v>
      </c>
      <c r="S2349" s="2">
        <v>0.34028547399999998</v>
      </c>
      <c r="T2349" s="2">
        <v>2.5722675879999999</v>
      </c>
      <c r="U2349" s="2">
        <v>2.6222675880000001</v>
      </c>
      <c r="V2349" s="2">
        <v>0.99200220800000005</v>
      </c>
      <c r="W2349" s="2">
        <v>0.99419839399999999</v>
      </c>
      <c r="X2349">
        <f t="shared" si="108"/>
        <v>1</v>
      </c>
      <c r="Y2349">
        <f t="shared" si="109"/>
        <v>0</v>
      </c>
      <c r="Z2349">
        <f t="shared" si="110"/>
        <v>0</v>
      </c>
    </row>
    <row r="2350" spans="1:26" ht="15.75" customHeight="1" x14ac:dyDescent="0.2">
      <c r="A2350" s="2" t="s">
        <v>36</v>
      </c>
      <c r="B2350" s="2" t="s">
        <v>24</v>
      </c>
      <c r="C2350" s="2" t="s">
        <v>27</v>
      </c>
      <c r="D2350" s="2" t="s">
        <v>27</v>
      </c>
      <c r="E2350" s="2">
        <v>200</v>
      </c>
      <c r="F2350" s="2">
        <v>196</v>
      </c>
      <c r="G2350" s="2">
        <v>385</v>
      </c>
      <c r="H2350" s="2">
        <v>2454</v>
      </c>
      <c r="I2350" s="2">
        <v>3101</v>
      </c>
      <c r="J2350" s="2">
        <v>1.91</v>
      </c>
      <c r="K2350" s="2">
        <v>3.87</v>
      </c>
      <c r="L2350" s="2">
        <v>14.37</v>
      </c>
      <c r="M2350" s="2">
        <v>15.9</v>
      </c>
      <c r="N2350" s="2">
        <v>0.334773243</v>
      </c>
      <c r="O2350" s="2">
        <v>0.50375349800000002</v>
      </c>
      <c r="P2350" s="2">
        <v>3.1119567809999999</v>
      </c>
      <c r="Q2350" s="2">
        <v>3.169293803</v>
      </c>
      <c r="R2350" s="2">
        <v>0.64517339399999996</v>
      </c>
      <c r="S2350" s="2">
        <v>0.68517339399999999</v>
      </c>
      <c r="T2350" s="2">
        <v>3.0443433280000001</v>
      </c>
      <c r="U2350" s="2">
        <v>3.0943433279999999</v>
      </c>
      <c r="V2350" s="2">
        <v>0.64711428900000001</v>
      </c>
      <c r="W2350" s="2">
        <v>0.64931047399999997</v>
      </c>
      <c r="X2350">
        <f t="shared" si="108"/>
        <v>1</v>
      </c>
      <c r="Y2350">
        <f t="shared" si="109"/>
        <v>0</v>
      </c>
      <c r="Z2350">
        <f t="shared" si="110"/>
        <v>0</v>
      </c>
    </row>
    <row r="2351" spans="1:26" ht="15.75" customHeight="1" x14ac:dyDescent="0.2">
      <c r="A2351" s="2" t="s">
        <v>36</v>
      </c>
      <c r="B2351" s="2" t="s">
        <v>24</v>
      </c>
      <c r="C2351" s="2" t="s">
        <v>32</v>
      </c>
      <c r="D2351" s="2" t="s">
        <v>33</v>
      </c>
      <c r="E2351" s="2">
        <v>164</v>
      </c>
      <c r="F2351" s="2">
        <v>237</v>
      </c>
      <c r="G2351" s="2">
        <v>515</v>
      </c>
      <c r="H2351" s="2">
        <v>873</v>
      </c>
      <c r="I2351" s="2">
        <v>2425</v>
      </c>
      <c r="J2351" s="2">
        <v>2.36</v>
      </c>
      <c r="K2351" s="2">
        <v>5.05</v>
      </c>
      <c r="L2351" s="2">
        <v>7.73</v>
      </c>
      <c r="M2351" s="2">
        <v>14.3</v>
      </c>
      <c r="N2351" s="2">
        <v>4.153100373</v>
      </c>
      <c r="O2351" s="2">
        <v>4.193577565</v>
      </c>
      <c r="P2351" s="2">
        <v>3.6387640050000001</v>
      </c>
      <c r="Q2351" s="2">
        <v>3.5836549629999999</v>
      </c>
      <c r="R2351" s="2">
        <v>0.52578663800000003</v>
      </c>
      <c r="S2351" s="2">
        <v>0.48578663799999999</v>
      </c>
      <c r="T2351" s="2">
        <v>3.6005766060000002</v>
      </c>
      <c r="U2351" s="2">
        <v>3.5505766059999999</v>
      </c>
      <c r="V2351" s="2">
        <v>1.8180743210000001</v>
      </c>
      <c r="W2351" s="2">
        <v>1.820270506</v>
      </c>
      <c r="X2351">
        <f t="shared" si="108"/>
        <v>1</v>
      </c>
      <c r="Y2351">
        <f t="shared" si="109"/>
        <v>0</v>
      </c>
      <c r="Z2351">
        <f t="shared" si="110"/>
        <v>1</v>
      </c>
    </row>
    <row r="2352" spans="1:26" ht="15.75" customHeight="1" x14ac:dyDescent="0.2">
      <c r="A2352" s="2" t="s">
        <v>36</v>
      </c>
      <c r="B2352" s="2" t="s">
        <v>24</v>
      </c>
      <c r="C2352" s="2" t="s">
        <v>28</v>
      </c>
      <c r="D2352" s="2" t="s">
        <v>29</v>
      </c>
      <c r="E2352" s="2">
        <v>187</v>
      </c>
      <c r="F2352" s="2">
        <v>211</v>
      </c>
      <c r="G2352" s="2">
        <v>495</v>
      </c>
      <c r="H2352" s="2">
        <v>1194</v>
      </c>
      <c r="I2352" s="2">
        <v>2791</v>
      </c>
      <c r="J2352" s="2">
        <v>2.08</v>
      </c>
      <c r="K2352" s="2">
        <v>4.87</v>
      </c>
      <c r="L2352" s="2">
        <v>9.6199999999999992</v>
      </c>
      <c r="M2352" s="2">
        <v>15.22</v>
      </c>
      <c r="N2352" s="2">
        <v>2.1294488650000001</v>
      </c>
      <c r="O2352" s="2">
        <v>2.035939801</v>
      </c>
      <c r="P2352" s="2">
        <v>1.74661855</v>
      </c>
      <c r="Q2352" s="2">
        <v>1.6898201559999999</v>
      </c>
      <c r="R2352" s="2">
        <v>0.35277566500000002</v>
      </c>
      <c r="S2352" s="2">
        <v>0.31277566499999998</v>
      </c>
      <c r="T2352" s="2">
        <v>1.710621433</v>
      </c>
      <c r="U2352" s="2">
        <v>1.660621433</v>
      </c>
      <c r="V2352" s="2">
        <v>1.6450633480000001</v>
      </c>
      <c r="W2352" s="2">
        <v>1.647259534</v>
      </c>
      <c r="X2352">
        <f t="shared" si="108"/>
        <v>1</v>
      </c>
      <c r="Y2352">
        <f t="shared" si="109"/>
        <v>0</v>
      </c>
      <c r="Z2352">
        <f t="shared" si="110"/>
        <v>1</v>
      </c>
    </row>
    <row r="2353" spans="1:26" ht="15.75" customHeight="1" x14ac:dyDescent="0.2">
      <c r="A2353" s="2" t="s">
        <v>36</v>
      </c>
      <c r="B2353" s="2" t="s">
        <v>24</v>
      </c>
      <c r="C2353" s="2" t="s">
        <v>26</v>
      </c>
      <c r="D2353" s="2" t="s">
        <v>26</v>
      </c>
      <c r="E2353" s="2">
        <v>190</v>
      </c>
      <c r="F2353" s="2">
        <v>257</v>
      </c>
      <c r="G2353" s="2">
        <v>394</v>
      </c>
      <c r="H2353" s="2">
        <v>891</v>
      </c>
      <c r="I2353" s="2">
        <v>2742</v>
      </c>
      <c r="J2353" s="2">
        <v>2.57</v>
      </c>
      <c r="K2353" s="2">
        <v>3.96</v>
      </c>
      <c r="L2353" s="2">
        <v>7.85</v>
      </c>
      <c r="M2353" s="2">
        <v>15.11</v>
      </c>
      <c r="N2353" s="2">
        <v>0.14202109500000001</v>
      </c>
      <c r="O2353" s="2">
        <v>7.9269215000000004E-2</v>
      </c>
      <c r="P2353" s="2">
        <v>3.5259648979999998</v>
      </c>
      <c r="Q2353" s="2">
        <v>3.4832688209999998</v>
      </c>
      <c r="R2353" s="2">
        <v>0.55952428099999996</v>
      </c>
      <c r="S2353" s="2">
        <v>0.59952428099999999</v>
      </c>
      <c r="T2353" s="2">
        <v>3.481287268</v>
      </c>
      <c r="U2353" s="2">
        <v>3.4312872680000002</v>
      </c>
      <c r="V2353" s="2">
        <v>0.73276340100000004</v>
      </c>
      <c r="W2353" s="2">
        <v>0.73495958699999997</v>
      </c>
      <c r="X2353">
        <f t="shared" si="108"/>
        <v>1</v>
      </c>
      <c r="Y2353">
        <f t="shared" si="109"/>
        <v>0</v>
      </c>
      <c r="Z2353">
        <f t="shared" si="110"/>
        <v>0</v>
      </c>
    </row>
    <row r="2354" spans="1:26" ht="15.75" customHeight="1" x14ac:dyDescent="0.2">
      <c r="A2354" s="2" t="s">
        <v>36</v>
      </c>
      <c r="B2354" s="2" t="s">
        <v>24</v>
      </c>
      <c r="C2354" s="2" t="s">
        <v>30</v>
      </c>
      <c r="D2354" s="2" t="s">
        <v>31</v>
      </c>
      <c r="E2354" s="2">
        <v>149</v>
      </c>
      <c r="F2354" s="2">
        <v>265</v>
      </c>
      <c r="G2354" s="2">
        <v>510</v>
      </c>
      <c r="H2354" s="2">
        <v>1211</v>
      </c>
      <c r="I2354" s="2">
        <v>2495</v>
      </c>
      <c r="J2354" s="2">
        <v>2.66</v>
      </c>
      <c r="K2354" s="2">
        <v>5.01</v>
      </c>
      <c r="L2354" s="2">
        <v>9.7100000000000009</v>
      </c>
      <c r="M2354" s="2">
        <v>14.48</v>
      </c>
      <c r="N2354" s="2">
        <v>4.5445132270000004</v>
      </c>
      <c r="O2354" s="2">
        <v>4.3209622440000004</v>
      </c>
      <c r="P2354" s="2">
        <v>1.6924819010000001</v>
      </c>
      <c r="Q2354" s="2">
        <v>1.6332823700000001</v>
      </c>
      <c r="R2354" s="2">
        <v>0.48566801599999998</v>
      </c>
      <c r="S2354" s="2">
        <v>0.445668016</v>
      </c>
      <c r="T2354" s="2">
        <v>1.6213024279999999</v>
      </c>
      <c r="U2354" s="2">
        <v>1.5713024280000001</v>
      </c>
      <c r="V2354" s="2">
        <v>1.7779556990000001</v>
      </c>
      <c r="W2354" s="2">
        <v>1.7801518839999999</v>
      </c>
      <c r="X2354">
        <f t="shared" si="108"/>
        <v>1</v>
      </c>
      <c r="Y2354">
        <f t="shared" si="109"/>
        <v>0</v>
      </c>
      <c r="Z2354">
        <f t="shared" si="110"/>
        <v>1</v>
      </c>
    </row>
    <row r="2355" spans="1:26" ht="15.75" customHeight="1" x14ac:dyDescent="0.2">
      <c r="A2355" s="2" t="s">
        <v>36</v>
      </c>
      <c r="B2355" s="2" t="s">
        <v>24</v>
      </c>
      <c r="C2355" s="2" t="s">
        <v>27</v>
      </c>
      <c r="D2355" s="2" t="s">
        <v>27</v>
      </c>
      <c r="E2355" s="2">
        <v>227</v>
      </c>
      <c r="F2355" s="2">
        <v>277</v>
      </c>
      <c r="G2355" s="2">
        <v>408</v>
      </c>
      <c r="H2355" s="2">
        <v>2348</v>
      </c>
      <c r="I2355" s="2">
        <v>2921</v>
      </c>
      <c r="J2355" s="2">
        <v>2.79</v>
      </c>
      <c r="K2355" s="2">
        <v>4.09</v>
      </c>
      <c r="L2355" s="2">
        <v>14.08</v>
      </c>
      <c r="M2355" s="2">
        <v>15.51</v>
      </c>
      <c r="N2355" s="2">
        <v>0.100470947</v>
      </c>
      <c r="O2355" s="2">
        <v>0.14893662299999999</v>
      </c>
      <c r="P2355" s="2">
        <v>2.7867505709999998</v>
      </c>
      <c r="Q2355" s="2">
        <v>2.8425098069999999</v>
      </c>
      <c r="R2355" s="2">
        <v>0.43070945900000002</v>
      </c>
      <c r="S2355" s="2">
        <v>0.470709459</v>
      </c>
      <c r="T2355" s="2">
        <v>2.7532649899999999</v>
      </c>
      <c r="U2355" s="2">
        <v>2.8032649900000002</v>
      </c>
      <c r="V2355" s="2">
        <v>0.86157822299999998</v>
      </c>
      <c r="W2355" s="2">
        <v>0.86377440900000002</v>
      </c>
      <c r="X2355">
        <f t="shared" si="108"/>
        <v>1</v>
      </c>
      <c r="Y2355">
        <f t="shared" si="109"/>
        <v>0</v>
      </c>
      <c r="Z2355">
        <f t="shared" si="110"/>
        <v>0</v>
      </c>
    </row>
    <row r="2356" spans="1:26" ht="15.75" customHeight="1" x14ac:dyDescent="0.2">
      <c r="A2356" s="2" t="s">
        <v>36</v>
      </c>
      <c r="B2356" s="2" t="s">
        <v>24</v>
      </c>
      <c r="C2356" s="2" t="s">
        <v>30</v>
      </c>
      <c r="D2356" s="2" t="s">
        <v>31</v>
      </c>
      <c r="E2356" s="2">
        <v>130</v>
      </c>
      <c r="F2356" s="2">
        <v>155</v>
      </c>
      <c r="G2356" s="2">
        <v>504</v>
      </c>
      <c r="H2356" s="2">
        <v>1241</v>
      </c>
      <c r="I2356" s="2">
        <v>2326</v>
      </c>
      <c r="J2356" s="2">
        <v>1.43</v>
      </c>
      <c r="K2356" s="2">
        <v>4.96</v>
      </c>
      <c r="L2356" s="2">
        <v>9.8699999999999992</v>
      </c>
      <c r="M2356" s="2">
        <v>14.02</v>
      </c>
      <c r="N2356" s="2">
        <v>4.3810904190000004</v>
      </c>
      <c r="O2356" s="2">
        <v>4.1573208670000001</v>
      </c>
      <c r="P2356" s="2">
        <v>1.528031973</v>
      </c>
      <c r="Q2356" s="2">
        <v>1.4688816410000001</v>
      </c>
      <c r="R2356" s="2">
        <v>0.43674827500000002</v>
      </c>
      <c r="S2356" s="2">
        <v>0.39674827499999998</v>
      </c>
      <c r="T2356" s="2">
        <v>1.4642857140000001</v>
      </c>
      <c r="U2356" s="2">
        <v>1.414285714</v>
      </c>
      <c r="V2356" s="2">
        <v>1.7290359580000001</v>
      </c>
      <c r="W2356" s="2">
        <v>1.731232144</v>
      </c>
      <c r="X2356">
        <f t="shared" si="108"/>
        <v>1</v>
      </c>
      <c r="Y2356">
        <f t="shared" si="109"/>
        <v>0</v>
      </c>
      <c r="Z2356">
        <f t="shared" si="110"/>
        <v>1</v>
      </c>
    </row>
    <row r="2357" spans="1:26" ht="15.75" customHeight="1" x14ac:dyDescent="0.2">
      <c r="A2357" s="2" t="s">
        <v>36</v>
      </c>
      <c r="B2357" s="2" t="s">
        <v>24</v>
      </c>
      <c r="C2357" s="2" t="s">
        <v>26</v>
      </c>
      <c r="D2357" s="2" t="s">
        <v>26</v>
      </c>
      <c r="E2357" s="2">
        <v>139</v>
      </c>
      <c r="F2357" s="2">
        <v>231</v>
      </c>
      <c r="G2357" s="2">
        <v>386</v>
      </c>
      <c r="H2357" s="2">
        <v>889</v>
      </c>
      <c r="I2357" s="2">
        <v>2708</v>
      </c>
      <c r="J2357" s="2">
        <v>2.2999999999999998</v>
      </c>
      <c r="K2357" s="2">
        <v>3.88</v>
      </c>
      <c r="L2357" s="2">
        <v>7.84</v>
      </c>
      <c r="M2357" s="2">
        <v>15.02</v>
      </c>
      <c r="N2357" s="2">
        <v>0.13491167600000001</v>
      </c>
      <c r="O2357" s="2">
        <v>0.13124676599999999</v>
      </c>
      <c r="P2357" s="2">
        <v>3.5521387029999998</v>
      </c>
      <c r="Q2357" s="2">
        <v>3.510480206</v>
      </c>
      <c r="R2357" s="2">
        <v>0.63880647899999998</v>
      </c>
      <c r="S2357" s="2">
        <v>0.67880647900000002</v>
      </c>
      <c r="T2357" s="2">
        <v>3.4942260439999999</v>
      </c>
      <c r="U2357" s="2">
        <v>3.4442260440000001</v>
      </c>
      <c r="V2357" s="2">
        <v>0.65348120399999998</v>
      </c>
      <c r="W2357" s="2">
        <v>0.65567738900000005</v>
      </c>
      <c r="X2357">
        <f t="shared" si="108"/>
        <v>1</v>
      </c>
      <c r="Y2357">
        <f t="shared" si="109"/>
        <v>0</v>
      </c>
      <c r="Z2357">
        <f t="shared" si="110"/>
        <v>0</v>
      </c>
    </row>
    <row r="2358" spans="1:26" ht="15.75" customHeight="1" x14ac:dyDescent="0.2">
      <c r="A2358" s="2" t="s">
        <v>36</v>
      </c>
      <c r="B2358" s="2" t="s">
        <v>24</v>
      </c>
      <c r="C2358" s="2" t="s">
        <v>26</v>
      </c>
      <c r="D2358" s="2" t="s">
        <v>26</v>
      </c>
      <c r="E2358" s="2">
        <v>182</v>
      </c>
      <c r="F2358" s="2">
        <v>137</v>
      </c>
      <c r="G2358" s="2">
        <v>348</v>
      </c>
      <c r="H2358" s="2">
        <v>943</v>
      </c>
      <c r="I2358" s="2">
        <v>2711</v>
      </c>
      <c r="J2358" s="2">
        <v>1.22</v>
      </c>
      <c r="K2358" s="2">
        <v>3.52</v>
      </c>
      <c r="L2358" s="2">
        <v>8.18</v>
      </c>
      <c r="M2358" s="2">
        <v>15.03</v>
      </c>
      <c r="N2358" s="2">
        <v>0.62412740099999997</v>
      </c>
      <c r="O2358" s="2">
        <v>0.62608915399999998</v>
      </c>
      <c r="P2358" s="2">
        <v>3.3092888340000002</v>
      </c>
      <c r="Q2358" s="2">
        <v>3.2742198010000001</v>
      </c>
      <c r="R2358" s="2">
        <v>1.0043032489999999</v>
      </c>
      <c r="S2358" s="2">
        <v>1.0443032489999999</v>
      </c>
      <c r="T2358" s="2">
        <v>3.1532154339999998</v>
      </c>
      <c r="U2358" s="2">
        <v>3.103215434</v>
      </c>
      <c r="V2358" s="2">
        <v>0.28798443400000001</v>
      </c>
      <c r="W2358" s="2">
        <v>0.29018061899999997</v>
      </c>
      <c r="X2358">
        <f t="shared" si="108"/>
        <v>1</v>
      </c>
      <c r="Y2358">
        <f t="shared" si="109"/>
        <v>0</v>
      </c>
      <c r="Z2358">
        <f t="shared" si="110"/>
        <v>0</v>
      </c>
    </row>
    <row r="2359" spans="1:26" ht="15.75" customHeight="1" x14ac:dyDescent="0.2">
      <c r="A2359" s="2" t="s">
        <v>36</v>
      </c>
      <c r="B2359" s="2" t="s">
        <v>24</v>
      </c>
      <c r="C2359" s="2" t="s">
        <v>26</v>
      </c>
      <c r="D2359" s="2" t="s">
        <v>26</v>
      </c>
      <c r="E2359" s="2">
        <v>185</v>
      </c>
      <c r="F2359" s="2">
        <v>266</v>
      </c>
      <c r="G2359" s="2">
        <v>419</v>
      </c>
      <c r="H2359" s="2">
        <v>818</v>
      </c>
      <c r="I2359" s="2">
        <v>2759</v>
      </c>
      <c r="J2359" s="2">
        <v>2.67</v>
      </c>
      <c r="K2359" s="2">
        <v>4.1900000000000004</v>
      </c>
      <c r="L2359" s="2">
        <v>7.36</v>
      </c>
      <c r="M2359" s="2">
        <v>15.15</v>
      </c>
      <c r="N2359" s="2">
        <v>0.43364094800000003</v>
      </c>
      <c r="O2359" s="2">
        <v>0.45778406599999999</v>
      </c>
      <c r="P2359" s="2">
        <v>3.979172803</v>
      </c>
      <c r="Q2359" s="2">
        <v>3.9328872669999999</v>
      </c>
      <c r="R2359" s="2">
        <v>0.32810424500000002</v>
      </c>
      <c r="S2359" s="2">
        <v>0.368104245</v>
      </c>
      <c r="T2359" s="2">
        <v>3.9656227500000001</v>
      </c>
      <c r="U2359" s="2">
        <v>3.9156227499999998</v>
      </c>
      <c r="V2359" s="2">
        <v>0.96418343699999998</v>
      </c>
      <c r="W2359" s="2">
        <v>0.96637962300000002</v>
      </c>
      <c r="X2359">
        <f t="shared" si="108"/>
        <v>1</v>
      </c>
      <c r="Y2359">
        <f t="shared" si="109"/>
        <v>0</v>
      </c>
      <c r="Z2359">
        <f t="shared" si="110"/>
        <v>0</v>
      </c>
    </row>
    <row r="2360" spans="1:26" ht="15.75" customHeight="1" x14ac:dyDescent="0.2">
      <c r="A2360" s="2" t="s">
        <v>36</v>
      </c>
      <c r="B2360" s="2" t="s">
        <v>24</v>
      </c>
      <c r="C2360" s="2" t="s">
        <v>25</v>
      </c>
      <c r="D2360" s="2" t="s">
        <v>25</v>
      </c>
      <c r="E2360" s="2">
        <v>179</v>
      </c>
      <c r="F2360" s="2">
        <v>203</v>
      </c>
      <c r="G2360" s="2">
        <v>834</v>
      </c>
      <c r="H2360" s="2">
        <v>1491</v>
      </c>
      <c r="I2360" s="2">
        <v>2477</v>
      </c>
      <c r="J2360" s="2">
        <v>1.98</v>
      </c>
      <c r="K2360" s="2">
        <v>7.47</v>
      </c>
      <c r="L2360" s="2">
        <v>11.05</v>
      </c>
      <c r="M2360" s="2">
        <v>14.44</v>
      </c>
      <c r="N2360" s="2">
        <v>0.41147862899999998</v>
      </c>
      <c r="O2360" s="2">
        <v>0.194608579</v>
      </c>
      <c r="P2360" s="2">
        <v>2.9655052990000002</v>
      </c>
      <c r="Q2360" s="2">
        <v>2.9213995559999999</v>
      </c>
      <c r="R2360" s="2">
        <v>2.9526986399999999</v>
      </c>
      <c r="S2360" s="2">
        <v>2.9126986399999999</v>
      </c>
      <c r="T2360" s="2">
        <v>0.27530422999999998</v>
      </c>
      <c r="U2360" s="2">
        <v>0.22530422999999999</v>
      </c>
      <c r="V2360" s="2">
        <v>4.244986323</v>
      </c>
      <c r="W2360" s="2">
        <v>4.2471825079999999</v>
      </c>
      <c r="X2360">
        <f t="shared" si="108"/>
        <v>1</v>
      </c>
      <c r="Y2360">
        <f t="shared" si="109"/>
        <v>0</v>
      </c>
      <c r="Z2360">
        <f t="shared" si="110"/>
        <v>0</v>
      </c>
    </row>
    <row r="2361" spans="1:26" ht="15.75" customHeight="1" x14ac:dyDescent="0.2">
      <c r="A2361" s="2" t="s">
        <v>36</v>
      </c>
      <c r="B2361" s="2" t="s">
        <v>24</v>
      </c>
      <c r="C2361" s="2" t="s">
        <v>25</v>
      </c>
      <c r="D2361" s="2" t="s">
        <v>25</v>
      </c>
      <c r="E2361" s="2">
        <v>186</v>
      </c>
      <c r="F2361" s="2">
        <v>230</v>
      </c>
      <c r="G2361" s="2">
        <v>736</v>
      </c>
      <c r="H2361" s="2">
        <v>1569</v>
      </c>
      <c r="I2361" s="2">
        <v>2673</v>
      </c>
      <c r="J2361" s="2">
        <v>2.29</v>
      </c>
      <c r="K2361" s="2">
        <v>6.79</v>
      </c>
      <c r="L2361" s="2">
        <v>11.39</v>
      </c>
      <c r="M2361" s="2">
        <v>14.94</v>
      </c>
      <c r="N2361" s="2">
        <v>0.37201413100000003</v>
      </c>
      <c r="O2361" s="2">
        <v>0.60756274799999999</v>
      </c>
      <c r="P2361" s="2">
        <v>2.267428362</v>
      </c>
      <c r="Q2361" s="2">
        <v>2.229344695</v>
      </c>
      <c r="R2361" s="2">
        <v>2.266640287</v>
      </c>
      <c r="S2361" s="2">
        <v>2.2266402869999999</v>
      </c>
      <c r="T2361" s="2">
        <v>5.9776140999999998E-2</v>
      </c>
      <c r="U2361" s="2">
        <v>0.10977614099999999</v>
      </c>
      <c r="V2361" s="2">
        <v>3.5589279700000001</v>
      </c>
      <c r="W2361" s="2">
        <v>3.5611241549999999</v>
      </c>
      <c r="X2361">
        <f t="shared" si="108"/>
        <v>1</v>
      </c>
      <c r="Y2361">
        <f t="shared" si="109"/>
        <v>0</v>
      </c>
      <c r="Z2361">
        <f t="shared" si="110"/>
        <v>0</v>
      </c>
    </row>
    <row r="2362" spans="1:26" ht="15.75" customHeight="1" x14ac:dyDescent="0.2">
      <c r="A2362" s="2" t="s">
        <v>36</v>
      </c>
      <c r="B2362" s="2" t="s">
        <v>24</v>
      </c>
      <c r="C2362" s="2" t="s">
        <v>25</v>
      </c>
      <c r="D2362" s="2" t="s">
        <v>25</v>
      </c>
      <c r="E2362" s="2">
        <v>222</v>
      </c>
      <c r="F2362" s="2">
        <v>198</v>
      </c>
      <c r="G2362" s="2">
        <v>832</v>
      </c>
      <c r="H2362" s="2">
        <v>1589</v>
      </c>
      <c r="I2362" s="2">
        <v>2392</v>
      </c>
      <c r="J2362" s="2">
        <v>1.93</v>
      </c>
      <c r="K2362" s="2">
        <v>7.46</v>
      </c>
      <c r="L2362" s="2">
        <v>11.47</v>
      </c>
      <c r="M2362" s="2">
        <v>14.2</v>
      </c>
      <c r="N2362" s="2">
        <v>0.34922978900000001</v>
      </c>
      <c r="O2362" s="2">
        <v>0.267610558</v>
      </c>
      <c r="P2362" s="2">
        <v>2.9426688909999998</v>
      </c>
      <c r="Q2362" s="2">
        <v>2.905596643</v>
      </c>
      <c r="R2362" s="2">
        <v>2.9392263609999998</v>
      </c>
      <c r="S2362" s="2">
        <v>2.8992263610000002</v>
      </c>
      <c r="T2362" s="2">
        <v>0.14229757700000001</v>
      </c>
      <c r="U2362" s="2">
        <v>0.192297577</v>
      </c>
      <c r="V2362" s="2">
        <v>4.2315140439999999</v>
      </c>
      <c r="W2362" s="2">
        <v>4.2337102289999997</v>
      </c>
      <c r="X2362">
        <f t="shared" si="108"/>
        <v>1</v>
      </c>
      <c r="Y2362">
        <f t="shared" si="109"/>
        <v>0</v>
      </c>
      <c r="Z2362">
        <f t="shared" si="110"/>
        <v>0</v>
      </c>
    </row>
    <row r="2363" spans="1:26" ht="15.75" customHeight="1" x14ac:dyDescent="0.2">
      <c r="A2363" s="2" t="s">
        <v>36</v>
      </c>
      <c r="B2363" s="2" t="s">
        <v>24</v>
      </c>
      <c r="C2363" s="2" t="s">
        <v>28</v>
      </c>
      <c r="D2363" s="2" t="s">
        <v>29</v>
      </c>
      <c r="E2363" s="2">
        <v>155</v>
      </c>
      <c r="F2363" s="2">
        <v>138</v>
      </c>
      <c r="G2363" s="2">
        <v>514</v>
      </c>
      <c r="H2363" s="2">
        <v>1954</v>
      </c>
      <c r="I2363" s="2">
        <v>3140</v>
      </c>
      <c r="J2363" s="2">
        <v>1.24</v>
      </c>
      <c r="K2363" s="2">
        <v>5.04</v>
      </c>
      <c r="L2363" s="2">
        <v>12.86</v>
      </c>
      <c r="M2363" s="2">
        <v>15.98</v>
      </c>
      <c r="N2363" s="2">
        <v>5.263970069</v>
      </c>
      <c r="O2363" s="2">
        <v>5.1810605750000001</v>
      </c>
      <c r="P2363" s="2">
        <v>1.611801547</v>
      </c>
      <c r="Q2363" s="2">
        <v>1.647106084</v>
      </c>
      <c r="R2363" s="2">
        <v>0.52006467300000003</v>
      </c>
      <c r="S2363" s="2">
        <v>0.480064673</v>
      </c>
      <c r="T2363" s="2">
        <v>1.5255939709999999</v>
      </c>
      <c r="U2363" s="2">
        <v>1.575593971</v>
      </c>
      <c r="V2363" s="2">
        <v>1.812352355</v>
      </c>
      <c r="W2363" s="2">
        <v>1.814548541</v>
      </c>
      <c r="X2363">
        <f t="shared" si="108"/>
        <v>1</v>
      </c>
      <c r="Y2363">
        <f t="shared" si="109"/>
        <v>0</v>
      </c>
      <c r="Z2363">
        <f t="shared" si="110"/>
        <v>1</v>
      </c>
    </row>
    <row r="2364" spans="1:26" ht="15.75" customHeight="1" x14ac:dyDescent="0.2">
      <c r="A2364" s="2" t="s">
        <v>36</v>
      </c>
      <c r="B2364" s="2" t="s">
        <v>24</v>
      </c>
      <c r="C2364" s="2" t="s">
        <v>30</v>
      </c>
      <c r="D2364" s="2" t="s">
        <v>31</v>
      </c>
      <c r="E2364" s="2">
        <v>112</v>
      </c>
      <c r="F2364" s="2">
        <v>183</v>
      </c>
      <c r="G2364" s="2">
        <v>501</v>
      </c>
      <c r="H2364" s="2">
        <v>1235</v>
      </c>
      <c r="I2364" s="2">
        <v>2423</v>
      </c>
      <c r="J2364" s="2">
        <v>1.76</v>
      </c>
      <c r="K2364" s="2">
        <v>4.92</v>
      </c>
      <c r="L2364" s="2">
        <v>9.83</v>
      </c>
      <c r="M2364" s="2">
        <v>14.29</v>
      </c>
      <c r="N2364" s="2">
        <v>4.4072916539999998</v>
      </c>
      <c r="O2364" s="2">
        <v>4.1830587560000003</v>
      </c>
      <c r="P2364" s="2">
        <v>1.55063978</v>
      </c>
      <c r="Q2364" s="2">
        <v>1.4921472689999999</v>
      </c>
      <c r="R2364" s="2">
        <v>0.40497426199999997</v>
      </c>
      <c r="S2364" s="2">
        <v>0.36497426199999999</v>
      </c>
      <c r="T2364" s="2">
        <v>1.496823161</v>
      </c>
      <c r="U2364" s="2">
        <v>1.446823161</v>
      </c>
      <c r="V2364" s="2">
        <v>1.6972619440000001</v>
      </c>
      <c r="W2364" s="2">
        <v>1.69945813</v>
      </c>
      <c r="X2364">
        <f t="shared" si="108"/>
        <v>1</v>
      </c>
      <c r="Y2364">
        <f t="shared" si="109"/>
        <v>0</v>
      </c>
      <c r="Z2364">
        <f t="shared" si="110"/>
        <v>1</v>
      </c>
    </row>
    <row r="2365" spans="1:26" ht="15.75" customHeight="1" x14ac:dyDescent="0.2">
      <c r="A2365" s="2" t="s">
        <v>36</v>
      </c>
      <c r="B2365" s="2" t="s">
        <v>24</v>
      </c>
      <c r="C2365" s="2" t="s">
        <v>32</v>
      </c>
      <c r="D2365" s="2" t="s">
        <v>33</v>
      </c>
      <c r="E2365" s="2">
        <v>187</v>
      </c>
      <c r="F2365" s="2">
        <v>256</v>
      </c>
      <c r="G2365" s="2">
        <v>443</v>
      </c>
      <c r="H2365" s="2">
        <v>856</v>
      </c>
      <c r="I2365" s="2">
        <v>2412</v>
      </c>
      <c r="J2365" s="2">
        <v>2.57</v>
      </c>
      <c r="K2365" s="2">
        <v>4.42</v>
      </c>
      <c r="L2365" s="2">
        <v>7.62</v>
      </c>
      <c r="M2365" s="2">
        <v>14.26</v>
      </c>
      <c r="N2365" s="2">
        <v>4.591278033</v>
      </c>
      <c r="O2365" s="2">
        <v>4.6557094079999999</v>
      </c>
      <c r="P2365" s="2">
        <v>3.7096319420000001</v>
      </c>
      <c r="Q2365" s="2">
        <v>3.6610122029999999</v>
      </c>
      <c r="R2365" s="2">
        <v>0.10446601899999999</v>
      </c>
      <c r="S2365" s="2">
        <v>0.144466019</v>
      </c>
      <c r="T2365" s="2">
        <v>3.7081607289999998</v>
      </c>
      <c r="U2365" s="2">
        <v>3.658160729</v>
      </c>
      <c r="V2365" s="2">
        <v>1.187821663</v>
      </c>
      <c r="W2365" s="2">
        <v>1.190017849</v>
      </c>
      <c r="X2365">
        <f t="shared" si="108"/>
        <v>1</v>
      </c>
      <c r="Y2365">
        <f t="shared" si="109"/>
        <v>0</v>
      </c>
      <c r="Z2365">
        <f t="shared" si="110"/>
        <v>1</v>
      </c>
    </row>
    <row r="2366" spans="1:26" ht="15.75" customHeight="1" x14ac:dyDescent="0.2">
      <c r="A2366" s="2" t="s">
        <v>36</v>
      </c>
      <c r="B2366" s="2" t="s">
        <v>24</v>
      </c>
      <c r="C2366" s="2" t="s">
        <v>26</v>
      </c>
      <c r="D2366" s="2" t="s">
        <v>26</v>
      </c>
      <c r="E2366" s="2">
        <v>192</v>
      </c>
      <c r="F2366" s="2">
        <v>235</v>
      </c>
      <c r="G2366" s="2">
        <v>417</v>
      </c>
      <c r="H2366" s="2">
        <v>965</v>
      </c>
      <c r="I2366" s="2">
        <v>2681</v>
      </c>
      <c r="J2366" s="2">
        <v>2.34</v>
      </c>
      <c r="K2366" s="2">
        <v>4.18</v>
      </c>
      <c r="L2366" s="2">
        <v>8.31</v>
      </c>
      <c r="M2366" s="2">
        <v>14.96</v>
      </c>
      <c r="N2366" s="2">
        <v>0.65136790600000005</v>
      </c>
      <c r="O2366" s="2">
        <v>0.56139837000000004</v>
      </c>
      <c r="P2366" s="2">
        <v>3.0365404520000001</v>
      </c>
      <c r="Q2366" s="2">
        <v>2.991732136</v>
      </c>
      <c r="R2366" s="2">
        <v>0.34358945600000002</v>
      </c>
      <c r="S2366" s="2">
        <v>0.383589456</v>
      </c>
      <c r="T2366" s="2">
        <v>3.0170389790000001</v>
      </c>
      <c r="U2366" s="2">
        <v>2.9670389789999998</v>
      </c>
      <c r="V2366" s="2">
        <v>0.94869822699999995</v>
      </c>
      <c r="W2366" s="2">
        <v>0.95089441200000002</v>
      </c>
      <c r="X2366">
        <f t="shared" si="108"/>
        <v>1</v>
      </c>
      <c r="Y2366">
        <f t="shared" si="109"/>
        <v>0</v>
      </c>
      <c r="Z2366">
        <f t="shared" si="110"/>
        <v>0</v>
      </c>
    </row>
    <row r="2367" spans="1:26" ht="15.75" customHeight="1" x14ac:dyDescent="0.2">
      <c r="A2367" s="2" t="s">
        <v>36</v>
      </c>
      <c r="B2367" s="2" t="s">
        <v>24</v>
      </c>
      <c r="C2367" s="2" t="s">
        <v>32</v>
      </c>
      <c r="D2367" s="2" t="s">
        <v>33</v>
      </c>
      <c r="E2367" s="2">
        <v>204</v>
      </c>
      <c r="F2367" s="2">
        <v>251</v>
      </c>
      <c r="G2367" s="2">
        <v>494</v>
      </c>
      <c r="H2367" s="2">
        <v>906</v>
      </c>
      <c r="I2367" s="2">
        <v>2447</v>
      </c>
      <c r="J2367" s="2">
        <v>2.52</v>
      </c>
      <c r="K2367" s="2">
        <v>4.87</v>
      </c>
      <c r="L2367" s="2">
        <v>7.95</v>
      </c>
      <c r="M2367" s="2">
        <v>14.36</v>
      </c>
      <c r="N2367" s="2">
        <v>4.0646067690000001</v>
      </c>
      <c r="O2367" s="2">
        <v>4.1200871579999996</v>
      </c>
      <c r="P2367" s="2">
        <v>3.4028558769999999</v>
      </c>
      <c r="Q2367" s="2">
        <v>3.3491874319999999</v>
      </c>
      <c r="R2367" s="2">
        <v>0.34986825999999999</v>
      </c>
      <c r="S2367" s="2">
        <v>0.30986826000000001</v>
      </c>
      <c r="T2367" s="2">
        <v>3.3848220520000001</v>
      </c>
      <c r="U2367" s="2">
        <v>3.3348220519999998</v>
      </c>
      <c r="V2367" s="2">
        <v>1.6421559429999999</v>
      </c>
      <c r="W2367" s="2">
        <v>1.644352128</v>
      </c>
      <c r="X2367">
        <f t="shared" si="108"/>
        <v>1</v>
      </c>
      <c r="Y2367">
        <f t="shared" si="109"/>
        <v>0</v>
      </c>
      <c r="Z2367">
        <f t="shared" si="110"/>
        <v>1</v>
      </c>
    </row>
    <row r="2368" spans="1:26" ht="15.75" customHeight="1" x14ac:dyDescent="0.2">
      <c r="A2368" s="2" t="s">
        <v>36</v>
      </c>
      <c r="B2368" s="2" t="s">
        <v>24</v>
      </c>
      <c r="C2368" s="2" t="s">
        <v>28</v>
      </c>
      <c r="D2368" s="2" t="s">
        <v>29</v>
      </c>
      <c r="E2368" s="2">
        <v>130</v>
      </c>
      <c r="F2368" s="2">
        <v>251</v>
      </c>
      <c r="G2368" s="2">
        <v>547</v>
      </c>
      <c r="H2368" s="2">
        <v>1422</v>
      </c>
      <c r="I2368" s="2">
        <v>2935</v>
      </c>
      <c r="J2368" s="2">
        <v>2.52</v>
      </c>
      <c r="K2368" s="2">
        <v>5.32</v>
      </c>
      <c r="L2368" s="2">
        <v>10.74</v>
      </c>
      <c r="M2368" s="2">
        <v>15.54</v>
      </c>
      <c r="N2368" s="2">
        <v>3.3383567689999998</v>
      </c>
      <c r="O2368" s="2">
        <v>3.2457219930000001</v>
      </c>
      <c r="P2368" s="2">
        <v>0.99357143599999997</v>
      </c>
      <c r="Q2368" s="2">
        <v>0.93193300899999998</v>
      </c>
      <c r="R2368" s="2">
        <v>0.80243552200000001</v>
      </c>
      <c r="S2368" s="2">
        <v>0.76243552199999998</v>
      </c>
      <c r="T2368" s="2">
        <v>0.58590223699999999</v>
      </c>
      <c r="U2368" s="2">
        <v>0.53590223699999995</v>
      </c>
      <c r="V2368" s="2">
        <v>2.0947232050000002</v>
      </c>
      <c r="W2368" s="2">
        <v>2.0969193910000001</v>
      </c>
      <c r="X2368">
        <f t="shared" si="108"/>
        <v>1</v>
      </c>
      <c r="Y2368">
        <f t="shared" si="109"/>
        <v>0</v>
      </c>
      <c r="Z2368">
        <f t="shared" si="110"/>
        <v>1</v>
      </c>
    </row>
    <row r="2369" spans="1:26" ht="15.75" customHeight="1" x14ac:dyDescent="0.2">
      <c r="A2369" s="2" t="s">
        <v>36</v>
      </c>
      <c r="B2369" s="2" t="s">
        <v>24</v>
      </c>
      <c r="C2369" s="2" t="s">
        <v>32</v>
      </c>
      <c r="D2369" s="2" t="s">
        <v>33</v>
      </c>
      <c r="E2369" s="2">
        <v>155</v>
      </c>
      <c r="F2369" s="2">
        <v>234</v>
      </c>
      <c r="G2369" s="2">
        <v>509</v>
      </c>
      <c r="H2369" s="2">
        <v>931</v>
      </c>
      <c r="I2369" s="2">
        <v>2436</v>
      </c>
      <c r="J2369" s="2">
        <v>2.33</v>
      </c>
      <c r="K2369" s="2">
        <v>5</v>
      </c>
      <c r="L2369" s="2">
        <v>8.1</v>
      </c>
      <c r="M2369" s="2">
        <v>14.33</v>
      </c>
      <c r="N2369" s="2">
        <v>3.8621813629999999</v>
      </c>
      <c r="O2369" s="2">
        <v>3.916819125</v>
      </c>
      <c r="P2369" s="2">
        <v>3.2638446569999999</v>
      </c>
      <c r="Q2369" s="2">
        <v>3.208668147</v>
      </c>
      <c r="R2369" s="2">
        <v>0.47992440600000003</v>
      </c>
      <c r="S2369" s="2">
        <v>0.43992440599999999</v>
      </c>
      <c r="T2369" s="2">
        <v>3.2283671589999998</v>
      </c>
      <c r="U2369" s="2">
        <v>3.178367159</v>
      </c>
      <c r="V2369" s="2">
        <v>1.7722120889999999</v>
      </c>
      <c r="W2369" s="2">
        <v>1.774408274</v>
      </c>
      <c r="X2369">
        <f t="shared" si="108"/>
        <v>1</v>
      </c>
      <c r="Y2369">
        <f t="shared" si="109"/>
        <v>0</v>
      </c>
      <c r="Z2369">
        <f t="shared" si="110"/>
        <v>1</v>
      </c>
    </row>
    <row r="2370" spans="1:26" ht="15.75" customHeight="1" x14ac:dyDescent="0.2">
      <c r="A2370" s="2" t="s">
        <v>36</v>
      </c>
      <c r="B2370" s="2" t="s">
        <v>24</v>
      </c>
      <c r="C2370" s="2" t="s">
        <v>25</v>
      </c>
      <c r="D2370" s="2" t="s">
        <v>25</v>
      </c>
      <c r="E2370" s="2">
        <v>208</v>
      </c>
      <c r="F2370" s="2">
        <v>191</v>
      </c>
      <c r="G2370" s="2">
        <v>782</v>
      </c>
      <c r="H2370" s="2">
        <v>1638</v>
      </c>
      <c r="I2370" s="2">
        <v>2545</v>
      </c>
      <c r="J2370" s="2">
        <v>1.85</v>
      </c>
      <c r="K2370" s="2">
        <v>7.12</v>
      </c>
      <c r="L2370" s="2">
        <v>11.68</v>
      </c>
      <c r="M2370" s="2">
        <v>14.62</v>
      </c>
      <c r="N2370" s="2">
        <v>0.36690648399999998</v>
      </c>
      <c r="O2370" s="2">
        <v>0.52136914000000001</v>
      </c>
      <c r="P2370" s="2">
        <v>2.618899759</v>
      </c>
      <c r="Q2370" s="2">
        <v>2.5864234869999998</v>
      </c>
      <c r="R2370" s="2">
        <v>2.5960320929999998</v>
      </c>
      <c r="S2370" s="2">
        <v>2.5560320929999998</v>
      </c>
      <c r="T2370" s="2">
        <v>0.345330739</v>
      </c>
      <c r="U2370" s="2">
        <v>0.39533073899999999</v>
      </c>
      <c r="V2370" s="2">
        <v>3.8883197759999999</v>
      </c>
      <c r="W2370" s="2">
        <v>3.8905159619999998</v>
      </c>
      <c r="X2370">
        <f t="shared" si="108"/>
        <v>1</v>
      </c>
      <c r="Y2370">
        <f t="shared" si="109"/>
        <v>0</v>
      </c>
      <c r="Z2370">
        <f t="shared" si="110"/>
        <v>0</v>
      </c>
    </row>
    <row r="2371" spans="1:26" ht="15.75" customHeight="1" x14ac:dyDescent="0.2">
      <c r="A2371" s="2" t="s">
        <v>36</v>
      </c>
      <c r="B2371" s="2" t="s">
        <v>24</v>
      </c>
      <c r="C2371" s="2" t="s">
        <v>27</v>
      </c>
      <c r="D2371" s="2" t="s">
        <v>27</v>
      </c>
      <c r="E2371" s="2">
        <v>152</v>
      </c>
      <c r="F2371" s="2">
        <v>237</v>
      </c>
      <c r="G2371" s="2">
        <v>428</v>
      </c>
      <c r="H2371" s="2">
        <v>2330</v>
      </c>
      <c r="I2371" s="2">
        <v>2991</v>
      </c>
      <c r="J2371" s="2">
        <v>2.37</v>
      </c>
      <c r="K2371" s="2">
        <v>4.2699999999999996</v>
      </c>
      <c r="L2371" s="2">
        <v>14.03</v>
      </c>
      <c r="M2371" s="2">
        <v>15.67</v>
      </c>
      <c r="N2371" s="2">
        <v>0.191635256</v>
      </c>
      <c r="O2371" s="2">
        <v>0.16879243699999999</v>
      </c>
      <c r="P2371" s="2">
        <v>2.7124966810000002</v>
      </c>
      <c r="Q2371" s="2">
        <v>2.766168258</v>
      </c>
      <c r="R2371" s="2">
        <v>0.24792963800000001</v>
      </c>
      <c r="S2371" s="2">
        <v>0.28792963799999999</v>
      </c>
      <c r="T2371" s="2">
        <v>2.7011421910000002</v>
      </c>
      <c r="U2371" s="2">
        <v>2.751142191</v>
      </c>
      <c r="V2371" s="2">
        <v>1.044358044</v>
      </c>
      <c r="W2371" s="2">
        <v>1.0465542299999999</v>
      </c>
      <c r="X2371">
        <f t="shared" ref="X2371:X2434" si="111">IF(B2371="normal",1,0)</f>
        <v>1</v>
      </c>
      <c r="Y2371">
        <f t="shared" ref="Y2371:Y2434" si="112">IF(A2371="lecture",1,0)</f>
        <v>0</v>
      </c>
      <c r="Z2371">
        <f t="shared" ref="Z2371:Z2434" si="113">IF(ISNUMBER(FIND("~",D2371)),1,0)</f>
        <v>0</v>
      </c>
    </row>
    <row r="2372" spans="1:26" ht="15.75" customHeight="1" x14ac:dyDescent="0.2">
      <c r="A2372" s="2" t="s">
        <v>36</v>
      </c>
      <c r="B2372" s="2" t="s">
        <v>24</v>
      </c>
      <c r="C2372" s="2" t="s">
        <v>30</v>
      </c>
      <c r="D2372" s="2" t="s">
        <v>31</v>
      </c>
      <c r="E2372" s="2">
        <v>150</v>
      </c>
      <c r="F2372" s="2">
        <v>259</v>
      </c>
      <c r="G2372" s="2">
        <v>502</v>
      </c>
      <c r="H2372" s="2">
        <v>1367</v>
      </c>
      <c r="I2372" s="2">
        <v>2410</v>
      </c>
      <c r="J2372" s="2">
        <v>2.6</v>
      </c>
      <c r="K2372" s="2">
        <v>4.93</v>
      </c>
      <c r="L2372" s="2">
        <v>10.49</v>
      </c>
      <c r="M2372" s="2">
        <v>14.26</v>
      </c>
      <c r="N2372" s="2">
        <v>3.7688016310000001</v>
      </c>
      <c r="O2372" s="2">
        <v>3.5465427819999999</v>
      </c>
      <c r="P2372" s="2">
        <v>0.94017546299999999</v>
      </c>
      <c r="Q2372" s="2">
        <v>0.877786446</v>
      </c>
      <c r="R2372" s="2">
        <v>0.41364928899999998</v>
      </c>
      <c r="S2372" s="2">
        <v>0.373649289</v>
      </c>
      <c r="T2372" s="2">
        <v>0.84428914899999996</v>
      </c>
      <c r="U2372" s="2">
        <v>0.79428914900000003</v>
      </c>
      <c r="V2372" s="2">
        <v>1.7059369719999999</v>
      </c>
      <c r="W2372" s="2">
        <v>1.708133157</v>
      </c>
      <c r="X2372">
        <f t="shared" si="111"/>
        <v>1</v>
      </c>
      <c r="Y2372">
        <f t="shared" si="112"/>
        <v>0</v>
      </c>
      <c r="Z2372">
        <f t="shared" si="113"/>
        <v>1</v>
      </c>
    </row>
    <row r="2373" spans="1:26" ht="15.75" customHeight="1" x14ac:dyDescent="0.2">
      <c r="A2373" s="2" t="s">
        <v>36</v>
      </c>
      <c r="B2373" s="2" t="s">
        <v>24</v>
      </c>
      <c r="C2373" s="2" t="s">
        <v>25</v>
      </c>
      <c r="D2373" s="2" t="s">
        <v>25</v>
      </c>
      <c r="E2373" s="2">
        <v>138</v>
      </c>
      <c r="F2373" s="2">
        <v>214</v>
      </c>
      <c r="G2373" s="2">
        <v>779</v>
      </c>
      <c r="H2373" s="2">
        <v>1675</v>
      </c>
      <c r="I2373" s="2">
        <v>2577</v>
      </c>
      <c r="J2373" s="2">
        <v>2.11</v>
      </c>
      <c r="K2373" s="2">
        <v>7.1</v>
      </c>
      <c r="L2373" s="2">
        <v>11.82</v>
      </c>
      <c r="M2373" s="2">
        <v>14.7</v>
      </c>
      <c r="N2373" s="2">
        <v>0.51535699700000004</v>
      </c>
      <c r="O2373" s="2">
        <v>0.66145790699999996</v>
      </c>
      <c r="P2373" s="2">
        <v>2.6240401379999998</v>
      </c>
      <c r="Q2373" s="2">
        <v>2.5947567999999999</v>
      </c>
      <c r="R2373" s="2">
        <v>2.5773764909999999</v>
      </c>
      <c r="S2373" s="2">
        <v>2.5373764909999998</v>
      </c>
      <c r="T2373" s="2">
        <v>0.49266324299999997</v>
      </c>
      <c r="U2373" s="2">
        <v>0.54266324300000002</v>
      </c>
      <c r="V2373" s="2">
        <v>3.8696641729999999</v>
      </c>
      <c r="W2373" s="2">
        <v>3.8718603589999998</v>
      </c>
      <c r="X2373">
        <f t="shared" si="111"/>
        <v>1</v>
      </c>
      <c r="Y2373">
        <f t="shared" si="112"/>
        <v>0</v>
      </c>
      <c r="Z2373">
        <f t="shared" si="113"/>
        <v>0</v>
      </c>
    </row>
    <row r="2374" spans="1:26" ht="15.75" customHeight="1" x14ac:dyDescent="0.2">
      <c r="A2374" s="2" t="s">
        <v>36</v>
      </c>
      <c r="B2374" s="2" t="s">
        <v>24</v>
      </c>
      <c r="C2374" s="2" t="s">
        <v>30</v>
      </c>
      <c r="D2374" s="2" t="s">
        <v>31</v>
      </c>
      <c r="E2374" s="2">
        <v>235</v>
      </c>
      <c r="F2374" s="2">
        <v>130</v>
      </c>
      <c r="G2374" s="2">
        <v>493</v>
      </c>
      <c r="H2374" s="2">
        <v>1254</v>
      </c>
      <c r="I2374" s="2">
        <v>2429</v>
      </c>
      <c r="J2374" s="2">
        <v>1.1399999999999999</v>
      </c>
      <c r="K2374" s="2">
        <v>4.8600000000000003</v>
      </c>
      <c r="L2374" s="2">
        <v>9.93</v>
      </c>
      <c r="M2374" s="2">
        <v>14.31</v>
      </c>
      <c r="N2374" s="2">
        <v>4.299517646</v>
      </c>
      <c r="O2374" s="2">
        <v>4.0746710830000001</v>
      </c>
      <c r="P2374" s="2">
        <v>1.4392034970000001</v>
      </c>
      <c r="Q2374" s="2">
        <v>1.3815287199999999</v>
      </c>
      <c r="R2374" s="2">
        <v>0.33531938</v>
      </c>
      <c r="S2374" s="2">
        <v>0.29531938000000002</v>
      </c>
      <c r="T2374" s="2">
        <v>1.3995955200000001</v>
      </c>
      <c r="U2374" s="2">
        <v>1.34959552</v>
      </c>
      <c r="V2374" s="2">
        <v>1.6276070629999999</v>
      </c>
      <c r="W2374" s="2">
        <v>1.629803248</v>
      </c>
      <c r="X2374">
        <f t="shared" si="111"/>
        <v>1</v>
      </c>
      <c r="Y2374">
        <f t="shared" si="112"/>
        <v>0</v>
      </c>
      <c r="Z2374">
        <f t="shared" si="113"/>
        <v>1</v>
      </c>
    </row>
    <row r="2375" spans="1:26" ht="15.75" customHeight="1" x14ac:dyDescent="0.2">
      <c r="A2375" s="2" t="s">
        <v>36</v>
      </c>
      <c r="B2375" s="2" t="s">
        <v>24</v>
      </c>
      <c r="C2375" s="2" t="s">
        <v>25</v>
      </c>
      <c r="D2375" s="2" t="s">
        <v>25</v>
      </c>
      <c r="E2375" s="2">
        <v>186</v>
      </c>
      <c r="F2375" s="2">
        <v>203</v>
      </c>
      <c r="G2375" s="2">
        <v>846</v>
      </c>
      <c r="H2375" s="2">
        <v>1501</v>
      </c>
      <c r="I2375" s="2">
        <v>2752</v>
      </c>
      <c r="J2375" s="2">
        <v>1.99</v>
      </c>
      <c r="K2375" s="2">
        <v>7.55</v>
      </c>
      <c r="L2375" s="2">
        <v>11.1</v>
      </c>
      <c r="M2375" s="2">
        <v>15.13</v>
      </c>
      <c r="N2375" s="2">
        <v>0.68392932299999998</v>
      </c>
      <c r="O2375" s="2">
        <v>0.58194011599999995</v>
      </c>
      <c r="P2375" s="2">
        <v>2.8839980239999998</v>
      </c>
      <c r="Q2375" s="2">
        <v>2.7810626140000001</v>
      </c>
      <c r="R2375" s="2">
        <v>2.8609041230000001</v>
      </c>
      <c r="S2375" s="2">
        <v>2.760904123</v>
      </c>
      <c r="T2375" s="2">
        <v>0.36424195700000001</v>
      </c>
      <c r="U2375" s="2">
        <v>0.33424195699999998</v>
      </c>
      <c r="V2375" s="2">
        <v>4.0152797839999996</v>
      </c>
      <c r="W2375" s="2">
        <v>3.9369650799999998</v>
      </c>
      <c r="X2375">
        <f t="shared" si="111"/>
        <v>1</v>
      </c>
      <c r="Y2375">
        <f t="shared" si="112"/>
        <v>0</v>
      </c>
      <c r="Z2375">
        <f t="shared" si="113"/>
        <v>0</v>
      </c>
    </row>
    <row r="2376" spans="1:26" ht="15.75" customHeight="1" x14ac:dyDescent="0.2">
      <c r="A2376" s="2" t="s">
        <v>36</v>
      </c>
      <c r="B2376" s="2" t="s">
        <v>24</v>
      </c>
      <c r="C2376" s="2" t="s">
        <v>26</v>
      </c>
      <c r="D2376" s="2" t="s">
        <v>26</v>
      </c>
      <c r="E2376" s="2">
        <v>176</v>
      </c>
      <c r="F2376" s="2">
        <v>226</v>
      </c>
      <c r="G2376" s="2">
        <v>427</v>
      </c>
      <c r="H2376" s="2">
        <v>1026</v>
      </c>
      <c r="I2376" s="2">
        <v>2658</v>
      </c>
      <c r="J2376" s="2">
        <v>2.2400000000000002</v>
      </c>
      <c r="K2376" s="2">
        <v>4.26</v>
      </c>
      <c r="L2376" s="2">
        <v>8.68</v>
      </c>
      <c r="M2376" s="2">
        <v>14.9</v>
      </c>
      <c r="N2376" s="2">
        <v>0.115217845</v>
      </c>
      <c r="O2376" s="2">
        <v>0.17448171900000001</v>
      </c>
      <c r="P2376" s="2">
        <v>2.812580584</v>
      </c>
      <c r="Q2376" s="2">
        <v>2.800025427</v>
      </c>
      <c r="R2376" s="2">
        <v>0.42715083799999998</v>
      </c>
      <c r="S2376" s="2">
        <v>0.52715083799999995</v>
      </c>
      <c r="T2376" s="2">
        <v>2.7799553420000001</v>
      </c>
      <c r="U2376" s="2">
        <v>2.7499553419999998</v>
      </c>
      <c r="V2376" s="2">
        <v>0.72722482300000002</v>
      </c>
      <c r="W2376" s="2">
        <v>0.64891012000000003</v>
      </c>
      <c r="X2376">
        <f t="shared" si="111"/>
        <v>1</v>
      </c>
      <c r="Y2376">
        <f t="shared" si="112"/>
        <v>0</v>
      </c>
      <c r="Z2376">
        <f t="shared" si="113"/>
        <v>0</v>
      </c>
    </row>
    <row r="2377" spans="1:26" ht="15.75" customHeight="1" x14ac:dyDescent="0.2">
      <c r="A2377" s="2" t="s">
        <v>36</v>
      </c>
      <c r="B2377" s="2" t="s">
        <v>24</v>
      </c>
      <c r="C2377" s="2" t="s">
        <v>27</v>
      </c>
      <c r="D2377" s="2" t="s">
        <v>27</v>
      </c>
      <c r="E2377" s="2">
        <v>196</v>
      </c>
      <c r="F2377" s="2">
        <v>231</v>
      </c>
      <c r="G2377" s="2">
        <v>423</v>
      </c>
      <c r="H2377" s="2">
        <v>2375</v>
      </c>
      <c r="I2377" s="2">
        <v>3051</v>
      </c>
      <c r="J2377" s="2">
        <v>2.2999999999999998</v>
      </c>
      <c r="K2377" s="2">
        <v>4.2300000000000004</v>
      </c>
      <c r="L2377" s="2">
        <v>14.16</v>
      </c>
      <c r="M2377" s="2">
        <v>15.79</v>
      </c>
      <c r="N2377" s="2">
        <v>0.25078667700000001</v>
      </c>
      <c r="O2377" s="2">
        <v>0.37423678300000002</v>
      </c>
      <c r="P2377" s="2">
        <v>2.7377962330000001</v>
      </c>
      <c r="Q2377" s="2">
        <v>2.7856723649999999</v>
      </c>
      <c r="R2377" s="2">
        <v>0.45794405599999999</v>
      </c>
      <c r="S2377" s="2">
        <v>0.55794405599999997</v>
      </c>
      <c r="T2377" s="2">
        <v>2.6992249730000002</v>
      </c>
      <c r="U2377" s="2">
        <v>2.729224973</v>
      </c>
      <c r="V2377" s="2">
        <v>0.69643160500000001</v>
      </c>
      <c r="W2377" s="2">
        <v>0.61811690200000002</v>
      </c>
      <c r="X2377">
        <f t="shared" si="111"/>
        <v>1</v>
      </c>
      <c r="Y2377">
        <f t="shared" si="112"/>
        <v>0</v>
      </c>
      <c r="Z2377">
        <f t="shared" si="113"/>
        <v>0</v>
      </c>
    </row>
    <row r="2378" spans="1:26" ht="15.75" customHeight="1" x14ac:dyDescent="0.2">
      <c r="A2378" s="2" t="s">
        <v>36</v>
      </c>
      <c r="B2378" s="2" t="s">
        <v>24</v>
      </c>
      <c r="C2378" s="2" t="s">
        <v>28</v>
      </c>
      <c r="D2378" s="2" t="s">
        <v>29</v>
      </c>
      <c r="E2378" s="2">
        <v>140</v>
      </c>
      <c r="F2378" s="2">
        <v>207</v>
      </c>
      <c r="G2378" s="2">
        <v>436</v>
      </c>
      <c r="H2378" s="2">
        <v>1166</v>
      </c>
      <c r="I2378" s="2">
        <v>2568</v>
      </c>
      <c r="J2378" s="2">
        <v>2.0299999999999998</v>
      </c>
      <c r="K2378" s="2">
        <v>4.3499999999999996</v>
      </c>
      <c r="L2378" s="2">
        <v>9.4700000000000006</v>
      </c>
      <c r="M2378" s="2">
        <v>14.67</v>
      </c>
      <c r="N2378" s="2">
        <v>0.88881520700000005</v>
      </c>
      <c r="O2378" s="2">
        <v>0.84229559200000004</v>
      </c>
      <c r="P2378" s="2">
        <v>2.0206919650000001</v>
      </c>
      <c r="Q2378" s="2">
        <v>2.010690034</v>
      </c>
      <c r="R2378" s="2">
        <v>0.34138564300000002</v>
      </c>
      <c r="S2378" s="2">
        <v>0.44138564299999999</v>
      </c>
      <c r="T2378" s="2">
        <v>1.9916455159999999</v>
      </c>
      <c r="U2378" s="2">
        <v>1.9616455159999999</v>
      </c>
      <c r="V2378" s="2">
        <v>0.81299001800000004</v>
      </c>
      <c r="W2378" s="2">
        <v>0.73467531500000005</v>
      </c>
      <c r="X2378">
        <f t="shared" si="111"/>
        <v>1</v>
      </c>
      <c r="Y2378">
        <f t="shared" si="112"/>
        <v>0</v>
      </c>
      <c r="Z2378">
        <f t="shared" si="113"/>
        <v>1</v>
      </c>
    </row>
    <row r="2379" spans="1:26" ht="15.75" customHeight="1" x14ac:dyDescent="0.2">
      <c r="A2379" s="2" t="s">
        <v>36</v>
      </c>
      <c r="B2379" s="2" t="s">
        <v>24</v>
      </c>
      <c r="C2379" s="2" t="s">
        <v>30</v>
      </c>
      <c r="D2379" s="2" t="s">
        <v>31</v>
      </c>
      <c r="E2379" s="2">
        <v>191</v>
      </c>
      <c r="F2379" s="2">
        <v>208</v>
      </c>
      <c r="G2379" s="2">
        <v>597</v>
      </c>
      <c r="H2379" s="2">
        <v>1284</v>
      </c>
      <c r="I2379" s="2">
        <v>2380</v>
      </c>
      <c r="J2379" s="2">
        <v>2.04</v>
      </c>
      <c r="K2379" s="2">
        <v>5.73</v>
      </c>
      <c r="L2379" s="2">
        <v>10.08</v>
      </c>
      <c r="M2379" s="2">
        <v>14.17</v>
      </c>
      <c r="N2379" s="2">
        <v>4.1001495590000001</v>
      </c>
      <c r="O2379" s="2">
        <v>3.973184142</v>
      </c>
      <c r="P2379" s="2">
        <v>1.726717303</v>
      </c>
      <c r="Q2379" s="2">
        <v>1.6435968860000001</v>
      </c>
      <c r="R2379" s="2">
        <v>1.042189781</v>
      </c>
      <c r="S2379" s="2">
        <v>0.94218978099999995</v>
      </c>
      <c r="T2379" s="2">
        <v>1.3767327650000001</v>
      </c>
      <c r="U2379" s="2">
        <v>1.3467327650000001</v>
      </c>
      <c r="V2379" s="2">
        <v>2.1965654419999998</v>
      </c>
      <c r="W2379" s="2">
        <v>2.118250739</v>
      </c>
      <c r="X2379">
        <f t="shared" si="111"/>
        <v>1</v>
      </c>
      <c r="Y2379">
        <f t="shared" si="112"/>
        <v>0</v>
      </c>
      <c r="Z2379">
        <f t="shared" si="113"/>
        <v>1</v>
      </c>
    </row>
    <row r="2380" spans="1:26" ht="15.75" customHeight="1" x14ac:dyDescent="0.2">
      <c r="A2380" s="2" t="s">
        <v>36</v>
      </c>
      <c r="B2380" s="2" t="s">
        <v>24</v>
      </c>
      <c r="C2380" s="2" t="s">
        <v>26</v>
      </c>
      <c r="D2380" s="2" t="s">
        <v>26</v>
      </c>
      <c r="E2380" s="2">
        <v>178</v>
      </c>
      <c r="F2380" s="2">
        <v>215</v>
      </c>
      <c r="G2380" s="2">
        <v>422</v>
      </c>
      <c r="H2380" s="2">
        <v>881</v>
      </c>
      <c r="I2380" s="2">
        <v>2639</v>
      </c>
      <c r="J2380" s="2">
        <v>2.12</v>
      </c>
      <c r="K2380" s="2">
        <v>4.22</v>
      </c>
      <c r="L2380" s="2">
        <v>7.78</v>
      </c>
      <c r="M2380" s="2">
        <v>14.85</v>
      </c>
      <c r="N2380" s="2">
        <v>0.80460792400000003</v>
      </c>
      <c r="O2380" s="2">
        <v>0.87400805999999998</v>
      </c>
      <c r="P2380" s="2">
        <v>3.708275531</v>
      </c>
      <c r="Q2380" s="2">
        <v>3.692636523</v>
      </c>
      <c r="R2380" s="2">
        <v>0.47028547399999998</v>
      </c>
      <c r="S2380" s="2">
        <v>0.57028547399999996</v>
      </c>
      <c r="T2380" s="2">
        <v>3.6783337239999998</v>
      </c>
      <c r="U2380" s="2">
        <v>3.648333724</v>
      </c>
      <c r="V2380" s="2">
        <v>0.68409018700000002</v>
      </c>
      <c r="W2380" s="2">
        <v>0.60577548299999995</v>
      </c>
      <c r="X2380">
        <f t="shared" si="111"/>
        <v>1</v>
      </c>
      <c r="Y2380">
        <f t="shared" si="112"/>
        <v>0</v>
      </c>
      <c r="Z2380">
        <f t="shared" si="113"/>
        <v>0</v>
      </c>
    </row>
    <row r="2381" spans="1:26" ht="15.75" customHeight="1" x14ac:dyDescent="0.2">
      <c r="A2381" s="2" t="s">
        <v>36</v>
      </c>
      <c r="B2381" s="2" t="s">
        <v>24</v>
      </c>
      <c r="C2381" s="2" t="s">
        <v>28</v>
      </c>
      <c r="D2381" s="2" t="s">
        <v>29</v>
      </c>
      <c r="E2381" s="2">
        <v>176</v>
      </c>
      <c r="F2381" s="2">
        <v>229</v>
      </c>
      <c r="G2381" s="2">
        <v>449</v>
      </c>
      <c r="H2381" s="2">
        <v>1161</v>
      </c>
      <c r="I2381" s="2">
        <v>2947</v>
      </c>
      <c r="J2381" s="2">
        <v>2.2799999999999998</v>
      </c>
      <c r="K2381" s="2">
        <v>4.47</v>
      </c>
      <c r="L2381" s="2">
        <v>9.44</v>
      </c>
      <c r="M2381" s="2">
        <v>15.57</v>
      </c>
      <c r="N2381" s="2">
        <v>0.873865381</v>
      </c>
      <c r="O2381" s="2">
        <v>0.812260078</v>
      </c>
      <c r="P2381" s="2">
        <v>2.030865736</v>
      </c>
      <c r="Q2381" s="2">
        <v>2.0146482670000001</v>
      </c>
      <c r="R2381" s="2">
        <v>0.22303445399999999</v>
      </c>
      <c r="S2381" s="2">
        <v>0.32303445400000003</v>
      </c>
      <c r="T2381" s="2">
        <v>2.0185814999999998</v>
      </c>
      <c r="U2381" s="2">
        <v>1.9885815</v>
      </c>
      <c r="V2381" s="2">
        <v>0.931341207</v>
      </c>
      <c r="W2381" s="2">
        <v>0.85302650300000005</v>
      </c>
      <c r="X2381">
        <f t="shared" si="111"/>
        <v>1</v>
      </c>
      <c r="Y2381">
        <f t="shared" si="112"/>
        <v>0</v>
      </c>
      <c r="Z2381">
        <f t="shared" si="113"/>
        <v>1</v>
      </c>
    </row>
    <row r="2382" spans="1:26" ht="15.75" customHeight="1" x14ac:dyDescent="0.2">
      <c r="A2382" s="2" t="s">
        <v>36</v>
      </c>
      <c r="B2382" s="2" t="s">
        <v>24</v>
      </c>
      <c r="C2382" s="2" t="s">
        <v>32</v>
      </c>
      <c r="D2382" s="2" t="s">
        <v>33</v>
      </c>
      <c r="E2382" s="2">
        <v>189</v>
      </c>
      <c r="F2382" s="2">
        <v>201</v>
      </c>
      <c r="G2382" s="2">
        <v>516</v>
      </c>
      <c r="H2382" s="2">
        <v>865</v>
      </c>
      <c r="I2382" s="2">
        <v>2559</v>
      </c>
      <c r="J2382" s="2">
        <v>1.96</v>
      </c>
      <c r="K2382" s="2">
        <v>5.05</v>
      </c>
      <c r="L2382" s="2">
        <v>7.68</v>
      </c>
      <c r="M2382" s="2">
        <v>14.65</v>
      </c>
      <c r="N2382" s="2">
        <v>4.4332859449999997</v>
      </c>
      <c r="O2382" s="2">
        <v>4.4364783299999999</v>
      </c>
      <c r="P2382" s="2">
        <v>3.8006214229999999</v>
      </c>
      <c r="Q2382" s="2">
        <v>3.7624145859999998</v>
      </c>
      <c r="R2382" s="2">
        <v>0.36436380800000001</v>
      </c>
      <c r="S2382" s="2">
        <v>0.26436380799999998</v>
      </c>
      <c r="T2382" s="2">
        <v>3.7831154119999999</v>
      </c>
      <c r="U2382" s="2">
        <v>3.7531154120000001</v>
      </c>
      <c r="V2382" s="2">
        <v>1.518739469</v>
      </c>
      <c r="W2382" s="2">
        <v>1.4404247649999999</v>
      </c>
      <c r="X2382">
        <f t="shared" si="111"/>
        <v>1</v>
      </c>
      <c r="Y2382">
        <f t="shared" si="112"/>
        <v>0</v>
      </c>
      <c r="Z2382">
        <f t="shared" si="113"/>
        <v>1</v>
      </c>
    </row>
    <row r="2383" spans="1:26" ht="15.75" customHeight="1" x14ac:dyDescent="0.2">
      <c r="A2383" s="2" t="s">
        <v>36</v>
      </c>
      <c r="B2383" s="2" t="s">
        <v>24</v>
      </c>
      <c r="C2383" s="2" t="s">
        <v>32</v>
      </c>
      <c r="D2383" s="2" t="s">
        <v>33</v>
      </c>
      <c r="E2383" s="2">
        <v>209</v>
      </c>
      <c r="F2383" s="2">
        <v>215</v>
      </c>
      <c r="G2383" s="2">
        <v>550</v>
      </c>
      <c r="H2383" s="2">
        <v>929</v>
      </c>
      <c r="I2383" s="2">
        <v>2602</v>
      </c>
      <c r="J2383" s="2">
        <v>2.12</v>
      </c>
      <c r="K2383" s="2">
        <v>5.35</v>
      </c>
      <c r="L2383" s="2">
        <v>8.09</v>
      </c>
      <c r="M2383" s="2">
        <v>14.76</v>
      </c>
      <c r="N2383" s="2">
        <v>3.9292358690000002</v>
      </c>
      <c r="O2383" s="2">
        <v>3.930677132</v>
      </c>
      <c r="P2383" s="2">
        <v>3.430353706</v>
      </c>
      <c r="Q2383" s="2">
        <v>3.3830053179999999</v>
      </c>
      <c r="R2383" s="2">
        <v>0.657481078</v>
      </c>
      <c r="S2383" s="2">
        <v>0.55748107800000002</v>
      </c>
      <c r="T2383" s="2">
        <v>3.3667558839999998</v>
      </c>
      <c r="U2383" s="2">
        <v>3.336755884</v>
      </c>
      <c r="V2383" s="2">
        <v>1.811856739</v>
      </c>
      <c r="W2383" s="2">
        <v>1.733542036</v>
      </c>
      <c r="X2383">
        <f t="shared" si="111"/>
        <v>1</v>
      </c>
      <c r="Y2383">
        <f t="shared" si="112"/>
        <v>0</v>
      </c>
      <c r="Z2383">
        <f t="shared" si="113"/>
        <v>1</v>
      </c>
    </row>
    <row r="2384" spans="1:26" ht="15.75" customHeight="1" x14ac:dyDescent="0.2">
      <c r="A2384" s="2" t="s">
        <v>36</v>
      </c>
      <c r="B2384" s="2" t="s">
        <v>24</v>
      </c>
      <c r="C2384" s="2" t="s">
        <v>25</v>
      </c>
      <c r="D2384" s="2" t="s">
        <v>25</v>
      </c>
      <c r="E2384" s="2">
        <v>222</v>
      </c>
      <c r="F2384" s="2">
        <v>202</v>
      </c>
      <c r="G2384" s="2">
        <v>837</v>
      </c>
      <c r="H2384" s="2">
        <v>1679</v>
      </c>
      <c r="I2384" s="2">
        <v>2849</v>
      </c>
      <c r="J2384" s="2">
        <v>1.97</v>
      </c>
      <c r="K2384" s="2">
        <v>7.49</v>
      </c>
      <c r="L2384" s="2">
        <v>11.84</v>
      </c>
      <c r="M2384" s="2">
        <v>15.35</v>
      </c>
      <c r="N2384" s="2">
        <v>0.45392438600000001</v>
      </c>
      <c r="O2384" s="2">
        <v>0.40440224499999999</v>
      </c>
      <c r="P2384" s="2">
        <v>2.8264558489999998</v>
      </c>
      <c r="Q2384" s="2">
        <v>2.7317573880000001</v>
      </c>
      <c r="R2384" s="2">
        <v>2.8006317040000002</v>
      </c>
      <c r="S2384" s="2">
        <v>2.7006317040000001</v>
      </c>
      <c r="T2384" s="2">
        <v>0.38120168500000001</v>
      </c>
      <c r="U2384" s="2">
        <v>0.41120168499999998</v>
      </c>
      <c r="V2384" s="2">
        <v>3.9550073650000002</v>
      </c>
      <c r="W2384" s="2">
        <v>3.876692662</v>
      </c>
      <c r="X2384">
        <f t="shared" si="111"/>
        <v>1</v>
      </c>
      <c r="Y2384">
        <f t="shared" si="112"/>
        <v>0</v>
      </c>
      <c r="Z2384">
        <f t="shared" si="113"/>
        <v>0</v>
      </c>
    </row>
    <row r="2385" spans="1:26" ht="15.75" customHeight="1" x14ac:dyDescent="0.2">
      <c r="A2385" s="2" t="s">
        <v>36</v>
      </c>
      <c r="B2385" s="2" t="s">
        <v>24</v>
      </c>
      <c r="C2385" s="2" t="s">
        <v>32</v>
      </c>
      <c r="D2385" s="2" t="s">
        <v>33</v>
      </c>
      <c r="E2385" s="2">
        <v>143</v>
      </c>
      <c r="F2385" s="2">
        <v>222</v>
      </c>
      <c r="G2385" s="2">
        <v>585</v>
      </c>
      <c r="H2385" s="2">
        <v>918</v>
      </c>
      <c r="I2385" s="2">
        <v>2546</v>
      </c>
      <c r="J2385" s="2">
        <v>2.19</v>
      </c>
      <c r="K2385" s="2">
        <v>5.63</v>
      </c>
      <c r="L2385" s="2">
        <v>8.02</v>
      </c>
      <c r="M2385" s="2">
        <v>14.62</v>
      </c>
      <c r="N2385" s="2">
        <v>3.8778340120000001</v>
      </c>
      <c r="O2385" s="2">
        <v>3.8710822230000002</v>
      </c>
      <c r="P2385" s="2">
        <v>3.5645255640000002</v>
      </c>
      <c r="Q2385" s="2">
        <v>3.510335939</v>
      </c>
      <c r="R2385" s="2">
        <v>0.939908305</v>
      </c>
      <c r="S2385" s="2">
        <v>0.83990830500000002</v>
      </c>
      <c r="T2385" s="2">
        <v>3.438373871</v>
      </c>
      <c r="U2385" s="2">
        <v>3.4083738710000002</v>
      </c>
      <c r="V2385" s="2">
        <v>2.0942839659999999</v>
      </c>
      <c r="W2385" s="2">
        <v>2.0159692630000001</v>
      </c>
      <c r="X2385">
        <f t="shared" si="111"/>
        <v>1</v>
      </c>
      <c r="Y2385">
        <f t="shared" si="112"/>
        <v>0</v>
      </c>
      <c r="Z2385">
        <f t="shared" si="113"/>
        <v>1</v>
      </c>
    </row>
    <row r="2386" spans="1:26" ht="15.75" customHeight="1" x14ac:dyDescent="0.2">
      <c r="A2386" s="2" t="s">
        <v>36</v>
      </c>
      <c r="B2386" s="2" t="s">
        <v>24</v>
      </c>
      <c r="C2386" s="2" t="s">
        <v>32</v>
      </c>
      <c r="D2386" s="2" t="s">
        <v>33</v>
      </c>
      <c r="E2386" s="2">
        <v>209</v>
      </c>
      <c r="F2386" s="2">
        <v>192</v>
      </c>
      <c r="G2386" s="2">
        <v>617</v>
      </c>
      <c r="H2386" s="2">
        <v>879</v>
      </c>
      <c r="I2386" s="2">
        <v>2427</v>
      </c>
      <c r="J2386" s="2">
        <v>1.86</v>
      </c>
      <c r="K2386" s="2">
        <v>5.89</v>
      </c>
      <c r="L2386" s="2">
        <v>7.77</v>
      </c>
      <c r="M2386" s="2">
        <v>14.3</v>
      </c>
      <c r="N2386" s="2">
        <v>4.0248651940000002</v>
      </c>
      <c r="O2386" s="2">
        <v>4.0087145700000004</v>
      </c>
      <c r="P2386" s="2">
        <v>3.8799595770000002</v>
      </c>
      <c r="Q2386" s="2">
        <v>3.8214273159999999</v>
      </c>
      <c r="R2386" s="2">
        <v>1.201639938</v>
      </c>
      <c r="S2386" s="2">
        <v>1.1016399379999999</v>
      </c>
      <c r="T2386" s="2">
        <v>3.6891933780000001</v>
      </c>
      <c r="U2386" s="2">
        <v>3.6591933779999999</v>
      </c>
      <c r="V2386" s="2">
        <v>2.356015599</v>
      </c>
      <c r="W2386" s="2">
        <v>2.2777008959999998</v>
      </c>
      <c r="X2386">
        <f t="shared" si="111"/>
        <v>1</v>
      </c>
      <c r="Y2386">
        <f t="shared" si="112"/>
        <v>0</v>
      </c>
      <c r="Z2386">
        <f t="shared" si="113"/>
        <v>1</v>
      </c>
    </row>
    <row r="2387" spans="1:26" ht="15.75" customHeight="1" x14ac:dyDescent="0.2">
      <c r="A2387" s="2" t="s">
        <v>36</v>
      </c>
      <c r="B2387" s="2" t="s">
        <v>24</v>
      </c>
      <c r="C2387" s="2" t="s">
        <v>25</v>
      </c>
      <c r="D2387" s="2" t="s">
        <v>25</v>
      </c>
      <c r="E2387" s="2">
        <v>155</v>
      </c>
      <c r="F2387" s="2">
        <v>212</v>
      </c>
      <c r="G2387" s="2">
        <v>776</v>
      </c>
      <c r="H2387" s="2">
        <v>1803</v>
      </c>
      <c r="I2387" s="2">
        <v>2781</v>
      </c>
      <c r="J2387" s="2">
        <v>2.08</v>
      </c>
      <c r="K2387" s="2">
        <v>7.07</v>
      </c>
      <c r="L2387" s="2">
        <v>12.31</v>
      </c>
      <c r="M2387" s="2">
        <v>15.2</v>
      </c>
      <c r="N2387" s="2">
        <v>0.70504867000000004</v>
      </c>
      <c r="O2387" s="2">
        <v>0.76531588699999997</v>
      </c>
      <c r="P2387" s="2">
        <v>2.5303094270000002</v>
      </c>
      <c r="Q2387" s="2">
        <v>2.4471006129999999</v>
      </c>
      <c r="R2387" s="2">
        <v>2.3816656510000001</v>
      </c>
      <c r="S2387" s="2">
        <v>2.281665651</v>
      </c>
      <c r="T2387" s="2">
        <v>0.85447909300000002</v>
      </c>
      <c r="U2387" s="2">
        <v>0.88447909300000005</v>
      </c>
      <c r="V2387" s="2">
        <v>3.536041312</v>
      </c>
      <c r="W2387" s="2">
        <v>3.4577266089999998</v>
      </c>
      <c r="X2387">
        <f t="shared" si="111"/>
        <v>1</v>
      </c>
      <c r="Y2387">
        <f t="shared" si="112"/>
        <v>0</v>
      </c>
      <c r="Z2387">
        <f t="shared" si="113"/>
        <v>0</v>
      </c>
    </row>
    <row r="2388" spans="1:26" ht="15.75" customHeight="1" x14ac:dyDescent="0.2">
      <c r="A2388" s="2" t="s">
        <v>36</v>
      </c>
      <c r="B2388" s="2" t="s">
        <v>24</v>
      </c>
      <c r="C2388" s="2" t="s">
        <v>25</v>
      </c>
      <c r="D2388" s="2" t="s">
        <v>25</v>
      </c>
      <c r="E2388" s="2">
        <v>220</v>
      </c>
      <c r="F2388" s="2">
        <v>216</v>
      </c>
      <c r="G2388" s="2">
        <v>816</v>
      </c>
      <c r="H2388" s="2">
        <v>1407</v>
      </c>
      <c r="I2388" s="2">
        <v>2829</v>
      </c>
      <c r="J2388" s="2">
        <v>2.13</v>
      </c>
      <c r="K2388" s="2">
        <v>7.35</v>
      </c>
      <c r="L2388" s="2">
        <v>10.67</v>
      </c>
      <c r="M2388" s="2">
        <v>15.31</v>
      </c>
      <c r="N2388" s="2">
        <v>0.96873469099999998</v>
      </c>
      <c r="O2388" s="2">
        <v>0.89823811799999997</v>
      </c>
      <c r="P2388" s="2">
        <v>2.7763429959999999</v>
      </c>
      <c r="Q2388" s="2">
        <v>2.6719411609999999</v>
      </c>
      <c r="R2388" s="2">
        <v>2.663021971</v>
      </c>
      <c r="S2388" s="2">
        <v>2.563021971</v>
      </c>
      <c r="T2388" s="2">
        <v>0.785107899</v>
      </c>
      <c r="U2388" s="2">
        <v>0.75510789899999997</v>
      </c>
      <c r="V2388" s="2">
        <v>3.817397632</v>
      </c>
      <c r="W2388" s="2">
        <v>3.7390829289999998</v>
      </c>
      <c r="X2388">
        <f t="shared" si="111"/>
        <v>1</v>
      </c>
      <c r="Y2388">
        <f t="shared" si="112"/>
        <v>0</v>
      </c>
      <c r="Z2388">
        <f t="shared" si="113"/>
        <v>0</v>
      </c>
    </row>
    <row r="2389" spans="1:26" ht="15.75" customHeight="1" x14ac:dyDescent="0.2">
      <c r="A2389" s="2" t="s">
        <v>36</v>
      </c>
      <c r="B2389" s="2" t="s">
        <v>24</v>
      </c>
      <c r="C2389" s="2" t="s">
        <v>27</v>
      </c>
      <c r="D2389" s="2" t="s">
        <v>27</v>
      </c>
      <c r="E2389" s="2">
        <v>239</v>
      </c>
      <c r="F2389" s="2">
        <v>201</v>
      </c>
      <c r="G2389" s="2">
        <v>434</v>
      </c>
      <c r="H2389" s="2">
        <v>2220</v>
      </c>
      <c r="I2389" s="2">
        <v>2762</v>
      </c>
      <c r="J2389" s="2">
        <v>1.96</v>
      </c>
      <c r="K2389" s="2">
        <v>4.33</v>
      </c>
      <c r="L2389" s="2">
        <v>13.71</v>
      </c>
      <c r="M2389" s="2">
        <v>15.15</v>
      </c>
      <c r="N2389" s="2">
        <v>0.21406856799999999</v>
      </c>
      <c r="O2389" s="2">
        <v>0.14589665499999999</v>
      </c>
      <c r="P2389" s="2">
        <v>2.2764006819999998</v>
      </c>
      <c r="Q2389" s="2">
        <v>2.3237275359999998</v>
      </c>
      <c r="R2389" s="2">
        <v>0.35970760200000002</v>
      </c>
      <c r="S2389" s="2">
        <v>0.45970760199999999</v>
      </c>
      <c r="T2389" s="2">
        <v>2.2478012600000001</v>
      </c>
      <c r="U2389" s="2">
        <v>2.2778012599999999</v>
      </c>
      <c r="V2389" s="2">
        <v>0.79466805900000004</v>
      </c>
      <c r="W2389" s="2">
        <v>0.71635335499999997</v>
      </c>
      <c r="X2389">
        <f t="shared" si="111"/>
        <v>1</v>
      </c>
      <c r="Y2389">
        <f t="shared" si="112"/>
        <v>0</v>
      </c>
      <c r="Z2389">
        <f t="shared" si="113"/>
        <v>0</v>
      </c>
    </row>
    <row r="2390" spans="1:26" ht="15.75" customHeight="1" x14ac:dyDescent="0.2">
      <c r="A2390" s="2" t="s">
        <v>36</v>
      </c>
      <c r="B2390" s="2" t="s">
        <v>24</v>
      </c>
      <c r="C2390" s="2" t="s">
        <v>30</v>
      </c>
      <c r="D2390" s="2" t="s">
        <v>31</v>
      </c>
      <c r="E2390" s="2">
        <v>169</v>
      </c>
      <c r="F2390" s="2">
        <v>208</v>
      </c>
      <c r="G2390" s="2">
        <v>635</v>
      </c>
      <c r="H2390" s="2">
        <v>1176</v>
      </c>
      <c r="I2390" s="2">
        <v>2530</v>
      </c>
      <c r="J2390" s="2">
        <v>2.0499999999999998</v>
      </c>
      <c r="K2390" s="2">
        <v>6.03</v>
      </c>
      <c r="L2390" s="2">
        <v>9.5299999999999994</v>
      </c>
      <c r="M2390" s="2">
        <v>14.58</v>
      </c>
      <c r="N2390" s="2">
        <v>4.7294031619999997</v>
      </c>
      <c r="O2390" s="2">
        <v>4.600296298</v>
      </c>
      <c r="P2390" s="2">
        <v>2.3549814819999999</v>
      </c>
      <c r="Q2390" s="2">
        <v>2.274238521</v>
      </c>
      <c r="R2390" s="2">
        <v>1.3430439249999999</v>
      </c>
      <c r="S2390" s="2">
        <v>1.243043925</v>
      </c>
      <c r="T2390" s="2">
        <v>1.9344691249999999</v>
      </c>
      <c r="U2390" s="2">
        <v>1.9044691250000001</v>
      </c>
      <c r="V2390" s="2">
        <v>2.4974195859999999</v>
      </c>
      <c r="W2390" s="2">
        <v>2.4191048830000002</v>
      </c>
      <c r="X2390">
        <f t="shared" si="111"/>
        <v>1</v>
      </c>
      <c r="Y2390">
        <f t="shared" si="112"/>
        <v>0</v>
      </c>
      <c r="Z2390">
        <f t="shared" si="113"/>
        <v>1</v>
      </c>
    </row>
    <row r="2391" spans="1:26" ht="15.75" customHeight="1" x14ac:dyDescent="0.2">
      <c r="A2391" s="2" t="s">
        <v>36</v>
      </c>
      <c r="B2391" s="2" t="s">
        <v>24</v>
      </c>
      <c r="C2391" s="2" t="s">
        <v>28</v>
      </c>
      <c r="D2391" s="2" t="s">
        <v>29</v>
      </c>
      <c r="E2391" s="2">
        <v>160</v>
      </c>
      <c r="F2391" s="2">
        <v>233</v>
      </c>
      <c r="G2391" s="2">
        <v>350</v>
      </c>
      <c r="H2391" s="2">
        <v>1176</v>
      </c>
      <c r="I2391" s="2">
        <v>2803</v>
      </c>
      <c r="J2391" s="2">
        <v>2.3199999999999998</v>
      </c>
      <c r="K2391" s="2">
        <v>3.54</v>
      </c>
      <c r="L2391" s="2">
        <v>9.52</v>
      </c>
      <c r="M2391" s="2">
        <v>15.25</v>
      </c>
      <c r="N2391" s="2">
        <v>1.2259270630000001</v>
      </c>
      <c r="O2391" s="2">
        <v>1.263293937</v>
      </c>
      <c r="P2391" s="2">
        <v>2.2558942279999998</v>
      </c>
      <c r="Q2391" s="2">
        <v>2.283549045</v>
      </c>
      <c r="R2391" s="2">
        <v>1.154596739</v>
      </c>
      <c r="S2391" s="2">
        <v>1.2545967389999999</v>
      </c>
      <c r="T2391" s="2">
        <v>1.9380312529999999</v>
      </c>
      <c r="U2391" s="2">
        <v>1.9080312530000001</v>
      </c>
      <c r="V2391" s="2">
        <v>-2.2107800000000001E-4</v>
      </c>
      <c r="W2391" s="2">
        <v>-7.8535781999999998E-2</v>
      </c>
      <c r="X2391">
        <f t="shared" si="111"/>
        <v>1</v>
      </c>
      <c r="Y2391">
        <f t="shared" si="112"/>
        <v>0</v>
      </c>
      <c r="Z2391">
        <f t="shared" si="113"/>
        <v>1</v>
      </c>
    </row>
    <row r="2392" spans="1:26" ht="15.75" customHeight="1" x14ac:dyDescent="0.2">
      <c r="A2392" s="2" t="s">
        <v>36</v>
      </c>
      <c r="B2392" s="2" t="s">
        <v>24</v>
      </c>
      <c r="C2392" s="2" t="s">
        <v>28</v>
      </c>
      <c r="D2392" s="2" t="s">
        <v>29</v>
      </c>
      <c r="E2392" s="2">
        <v>196</v>
      </c>
      <c r="F2392" s="2">
        <v>234</v>
      </c>
      <c r="G2392" s="2">
        <v>406</v>
      </c>
      <c r="H2392" s="2">
        <v>1127</v>
      </c>
      <c r="I2392" s="2">
        <v>2945</v>
      </c>
      <c r="J2392" s="2">
        <v>2.33</v>
      </c>
      <c r="K2392" s="2">
        <v>4.07</v>
      </c>
      <c r="L2392" s="2">
        <v>9.26</v>
      </c>
      <c r="M2392" s="2">
        <v>15.57</v>
      </c>
      <c r="N2392" s="2">
        <v>0.72223038399999995</v>
      </c>
      <c r="O2392" s="2">
        <v>0.723409835</v>
      </c>
      <c r="P2392" s="2">
        <v>2.2876893680000001</v>
      </c>
      <c r="Q2392" s="2">
        <v>2.2882707010000001</v>
      </c>
      <c r="R2392" s="2">
        <v>0.61946745599999997</v>
      </c>
      <c r="S2392" s="2">
        <v>0.71946745599999995</v>
      </c>
      <c r="T2392" s="2">
        <v>2.2022222220000001</v>
      </c>
      <c r="U2392" s="2">
        <v>2.1722222219999998</v>
      </c>
      <c r="V2392" s="2">
        <v>0.53490820500000003</v>
      </c>
      <c r="W2392" s="2">
        <v>0.45659350199999998</v>
      </c>
      <c r="X2392">
        <f t="shared" si="111"/>
        <v>1</v>
      </c>
      <c r="Y2392">
        <f t="shared" si="112"/>
        <v>0</v>
      </c>
      <c r="Z2392">
        <f t="shared" si="113"/>
        <v>1</v>
      </c>
    </row>
    <row r="2393" spans="1:26" ht="15.75" customHeight="1" x14ac:dyDescent="0.2">
      <c r="A2393" s="2" t="s">
        <v>36</v>
      </c>
      <c r="B2393" s="2" t="s">
        <v>24</v>
      </c>
      <c r="C2393" s="2" t="s">
        <v>32</v>
      </c>
      <c r="D2393" s="2" t="s">
        <v>33</v>
      </c>
      <c r="E2393" s="2">
        <v>170</v>
      </c>
      <c r="F2393" s="2">
        <v>218</v>
      </c>
      <c r="G2393" s="2">
        <v>660</v>
      </c>
      <c r="H2393" s="2">
        <v>1429</v>
      </c>
      <c r="I2393" s="2">
        <v>2948</v>
      </c>
      <c r="J2393" s="2">
        <v>2.15</v>
      </c>
      <c r="K2393" s="2">
        <v>6.22</v>
      </c>
      <c r="L2393" s="2">
        <v>10.78</v>
      </c>
      <c r="M2393" s="2">
        <v>15.57</v>
      </c>
      <c r="N2393" s="2">
        <v>1.211483753</v>
      </c>
      <c r="O2393" s="2">
        <v>1.254029056</v>
      </c>
      <c r="P2393" s="2">
        <v>1.6768746050000001</v>
      </c>
      <c r="Q2393" s="2">
        <v>1.57339031</v>
      </c>
      <c r="R2393" s="2">
        <v>1.5311121009999999</v>
      </c>
      <c r="S2393" s="2">
        <v>1.4311121010000001</v>
      </c>
      <c r="T2393" s="2">
        <v>0.68381589300000001</v>
      </c>
      <c r="U2393" s="2">
        <v>0.65381589299999998</v>
      </c>
      <c r="V2393" s="2">
        <v>2.6854877620000002</v>
      </c>
      <c r="W2393" s="2">
        <v>2.6071730579999999</v>
      </c>
      <c r="X2393">
        <f t="shared" si="111"/>
        <v>1</v>
      </c>
      <c r="Y2393">
        <f t="shared" si="112"/>
        <v>0</v>
      </c>
      <c r="Z2393">
        <f t="shared" si="113"/>
        <v>1</v>
      </c>
    </row>
    <row r="2394" spans="1:26" ht="15.75" customHeight="1" x14ac:dyDescent="0.2">
      <c r="A2394" s="2" t="s">
        <v>36</v>
      </c>
      <c r="B2394" s="2" t="s">
        <v>24</v>
      </c>
      <c r="C2394" s="2" t="s">
        <v>26</v>
      </c>
      <c r="D2394" s="2" t="s">
        <v>26</v>
      </c>
      <c r="E2394" s="2">
        <v>173</v>
      </c>
      <c r="F2394" s="2">
        <v>239</v>
      </c>
      <c r="G2394" s="2">
        <v>456</v>
      </c>
      <c r="H2394" s="2">
        <v>1024</v>
      </c>
      <c r="I2394" s="2">
        <v>2604</v>
      </c>
      <c r="J2394" s="2">
        <v>2.38</v>
      </c>
      <c r="K2394" s="2">
        <v>4.53</v>
      </c>
      <c r="L2394" s="2">
        <v>8.67</v>
      </c>
      <c r="M2394" s="2">
        <v>14.77</v>
      </c>
      <c r="N2394" s="2">
        <v>0.228709894</v>
      </c>
      <c r="O2394" s="2">
        <v>0.10793676000000001</v>
      </c>
      <c r="P2394" s="2">
        <v>2.7943604469999999</v>
      </c>
      <c r="Q2394" s="2">
        <v>2.771990272</v>
      </c>
      <c r="R2394" s="2">
        <v>0.159834437</v>
      </c>
      <c r="S2394" s="2">
        <v>0.25983443699999997</v>
      </c>
      <c r="T2394" s="2">
        <v>2.7897855229999999</v>
      </c>
      <c r="U2394" s="2">
        <v>2.7597855230000001</v>
      </c>
      <c r="V2394" s="2">
        <v>0.994541224</v>
      </c>
      <c r="W2394" s="2">
        <v>0.91622652000000004</v>
      </c>
      <c r="X2394">
        <f t="shared" si="111"/>
        <v>1</v>
      </c>
      <c r="Y2394">
        <f t="shared" si="112"/>
        <v>0</v>
      </c>
      <c r="Z2394">
        <f t="shared" si="113"/>
        <v>0</v>
      </c>
    </row>
    <row r="2395" spans="1:26" ht="15.75" customHeight="1" x14ac:dyDescent="0.2">
      <c r="A2395" s="2" t="s">
        <v>36</v>
      </c>
      <c r="B2395" s="2" t="s">
        <v>24</v>
      </c>
      <c r="C2395" s="2" t="s">
        <v>25</v>
      </c>
      <c r="D2395" s="2" t="s">
        <v>25</v>
      </c>
      <c r="E2395" s="2">
        <v>210</v>
      </c>
      <c r="F2395" s="2">
        <v>218</v>
      </c>
      <c r="G2395" s="2">
        <v>756</v>
      </c>
      <c r="H2395" s="2">
        <v>1683</v>
      </c>
      <c r="I2395" s="2">
        <v>2635</v>
      </c>
      <c r="J2395" s="2">
        <v>2.15</v>
      </c>
      <c r="K2395" s="2">
        <v>6.93</v>
      </c>
      <c r="L2395" s="2">
        <v>11.85</v>
      </c>
      <c r="M2395" s="2">
        <v>14.84</v>
      </c>
      <c r="N2395" s="2">
        <v>0.29760637600000001</v>
      </c>
      <c r="O2395" s="2">
        <v>0.39933755700000001</v>
      </c>
      <c r="P2395" s="2">
        <v>2.2746582260000001</v>
      </c>
      <c r="Q2395" s="2">
        <v>2.181878641</v>
      </c>
      <c r="R2395" s="2">
        <v>2.2402025289999998</v>
      </c>
      <c r="S2395" s="2">
        <v>2.1402025290000002</v>
      </c>
      <c r="T2395" s="2">
        <v>0.39441434800000003</v>
      </c>
      <c r="U2395" s="2">
        <v>0.424414348</v>
      </c>
      <c r="V2395" s="2">
        <v>3.3945781890000002</v>
      </c>
      <c r="W2395" s="2">
        <v>3.316263486</v>
      </c>
      <c r="X2395">
        <f t="shared" si="111"/>
        <v>1</v>
      </c>
      <c r="Y2395">
        <f t="shared" si="112"/>
        <v>0</v>
      </c>
      <c r="Z2395">
        <f t="shared" si="113"/>
        <v>0</v>
      </c>
    </row>
    <row r="2396" spans="1:26" ht="15.75" customHeight="1" x14ac:dyDescent="0.2">
      <c r="A2396" s="2" t="s">
        <v>36</v>
      </c>
      <c r="B2396" s="2" t="s">
        <v>24</v>
      </c>
      <c r="C2396" s="2" t="s">
        <v>30</v>
      </c>
      <c r="D2396" s="2" t="s">
        <v>31</v>
      </c>
      <c r="E2396" s="2">
        <v>232</v>
      </c>
      <c r="F2396" s="2">
        <v>221</v>
      </c>
      <c r="G2396" s="2">
        <v>654</v>
      </c>
      <c r="H2396" s="2">
        <v>1087</v>
      </c>
      <c r="I2396" s="2">
        <v>2631</v>
      </c>
      <c r="J2396" s="2">
        <v>2.19</v>
      </c>
      <c r="K2396" s="2">
        <v>6.18</v>
      </c>
      <c r="L2396" s="2">
        <v>9.0299999999999994</v>
      </c>
      <c r="M2396" s="2">
        <v>14.84</v>
      </c>
      <c r="N2396" s="2">
        <v>5.2400545479999998</v>
      </c>
      <c r="O2396" s="2">
        <v>5.1119605799999999</v>
      </c>
      <c r="P2396" s="2">
        <v>2.8457894879999999</v>
      </c>
      <c r="Q2396" s="2">
        <v>2.7688897890000002</v>
      </c>
      <c r="R2396" s="2">
        <v>1.4850644049999999</v>
      </c>
      <c r="S2396" s="2">
        <v>1.3850644050000001</v>
      </c>
      <c r="T2396" s="2">
        <v>2.4275711160000002</v>
      </c>
      <c r="U2396" s="2">
        <v>2.3975711159999999</v>
      </c>
      <c r="V2396" s="2">
        <v>2.6394400660000001</v>
      </c>
      <c r="W2396" s="2">
        <v>2.5611253629999999</v>
      </c>
      <c r="X2396">
        <f t="shared" si="111"/>
        <v>1</v>
      </c>
      <c r="Y2396">
        <f t="shared" si="112"/>
        <v>0</v>
      </c>
      <c r="Z2396">
        <f t="shared" si="113"/>
        <v>1</v>
      </c>
    </row>
    <row r="2397" spans="1:26" ht="15.75" customHeight="1" x14ac:dyDescent="0.2">
      <c r="A2397" s="2" t="s">
        <v>36</v>
      </c>
      <c r="B2397" s="2" t="s">
        <v>24</v>
      </c>
      <c r="C2397" s="2" t="s">
        <v>27</v>
      </c>
      <c r="D2397" s="2" t="s">
        <v>27</v>
      </c>
      <c r="E2397" s="2">
        <v>181</v>
      </c>
      <c r="F2397" s="2">
        <v>222</v>
      </c>
      <c r="G2397" s="2">
        <v>429</v>
      </c>
      <c r="H2397" s="2">
        <v>2321</v>
      </c>
      <c r="I2397" s="2">
        <v>3068</v>
      </c>
      <c r="J2397" s="2">
        <v>2.2000000000000002</v>
      </c>
      <c r="K2397" s="2">
        <v>4.28</v>
      </c>
      <c r="L2397" s="2">
        <v>14.01</v>
      </c>
      <c r="M2397" s="2">
        <v>15.83</v>
      </c>
      <c r="N2397" s="2">
        <v>9.7736866000000006E-2</v>
      </c>
      <c r="O2397" s="2">
        <v>0.217554465</v>
      </c>
      <c r="P2397" s="2">
        <v>2.5779964280000001</v>
      </c>
      <c r="Q2397" s="2">
        <v>2.6251537649999999</v>
      </c>
      <c r="R2397" s="2">
        <v>0.40871616</v>
      </c>
      <c r="S2397" s="2">
        <v>0.50871615999999997</v>
      </c>
      <c r="T2397" s="2">
        <v>2.545391264</v>
      </c>
      <c r="U2397" s="2">
        <v>2.5753912639999998</v>
      </c>
      <c r="V2397" s="2">
        <v>0.745659501</v>
      </c>
      <c r="W2397" s="2">
        <v>0.66734479800000002</v>
      </c>
      <c r="X2397">
        <f t="shared" si="111"/>
        <v>1</v>
      </c>
      <c r="Y2397">
        <f t="shared" si="112"/>
        <v>0</v>
      </c>
      <c r="Z2397">
        <f t="shared" si="113"/>
        <v>0</v>
      </c>
    </row>
    <row r="2398" spans="1:26" ht="15.75" customHeight="1" x14ac:dyDescent="0.2">
      <c r="A2398" s="2" t="s">
        <v>36</v>
      </c>
      <c r="B2398" s="2" t="s">
        <v>24</v>
      </c>
      <c r="C2398" s="2" t="s">
        <v>30</v>
      </c>
      <c r="D2398" s="2" t="s">
        <v>31</v>
      </c>
      <c r="E2398" s="2">
        <v>268</v>
      </c>
      <c r="F2398" s="2">
        <v>234</v>
      </c>
      <c r="G2398" s="2">
        <v>632</v>
      </c>
      <c r="H2398" s="2">
        <v>1116</v>
      </c>
      <c r="I2398" s="2">
        <v>2451</v>
      </c>
      <c r="J2398" s="2">
        <v>2.33</v>
      </c>
      <c r="K2398" s="2">
        <v>6.01</v>
      </c>
      <c r="L2398" s="2">
        <v>9.1999999999999993</v>
      </c>
      <c r="M2398" s="2">
        <v>14.37</v>
      </c>
      <c r="N2398" s="2">
        <v>5.0264594269999998</v>
      </c>
      <c r="O2398" s="2">
        <v>4.9006119339999996</v>
      </c>
      <c r="P2398" s="2">
        <v>2.6184162990000002</v>
      </c>
      <c r="Q2398" s="2">
        <v>2.543190316</v>
      </c>
      <c r="R2398" s="2">
        <v>1.317006173</v>
      </c>
      <c r="S2398" s="2">
        <v>1.2170061729999999</v>
      </c>
      <c r="T2398" s="2">
        <v>2.2630949280000001</v>
      </c>
      <c r="U2398" s="2">
        <v>2.2330949279999999</v>
      </c>
      <c r="V2398" s="2">
        <v>2.4713818340000002</v>
      </c>
      <c r="W2398" s="2">
        <v>2.3930671299999999</v>
      </c>
      <c r="X2398">
        <f t="shared" si="111"/>
        <v>1</v>
      </c>
      <c r="Y2398">
        <f t="shared" si="112"/>
        <v>0</v>
      </c>
      <c r="Z2398">
        <f t="shared" si="113"/>
        <v>1</v>
      </c>
    </row>
    <row r="2399" spans="1:26" ht="15.75" customHeight="1" x14ac:dyDescent="0.2">
      <c r="A2399" s="2" t="s">
        <v>36</v>
      </c>
      <c r="B2399" s="2" t="s">
        <v>24</v>
      </c>
      <c r="C2399" s="2" t="s">
        <v>27</v>
      </c>
      <c r="D2399" s="2" t="s">
        <v>27</v>
      </c>
      <c r="E2399" s="2">
        <v>189</v>
      </c>
      <c r="F2399" s="2">
        <v>226</v>
      </c>
      <c r="G2399" s="2">
        <v>438</v>
      </c>
      <c r="H2399" s="2">
        <v>2266</v>
      </c>
      <c r="I2399" s="2">
        <v>3028</v>
      </c>
      <c r="J2399" s="2">
        <v>2.2400000000000002</v>
      </c>
      <c r="K2399" s="2">
        <v>4.37</v>
      </c>
      <c r="L2399" s="2">
        <v>13.84</v>
      </c>
      <c r="M2399" s="2">
        <v>15.74</v>
      </c>
      <c r="N2399" s="2">
        <v>0.127900597</v>
      </c>
      <c r="O2399" s="2">
        <v>4.2647643999999998E-2</v>
      </c>
      <c r="P2399" s="2">
        <v>2.4060416450000002</v>
      </c>
      <c r="Q2399" s="2">
        <v>2.4509234489999998</v>
      </c>
      <c r="R2399" s="2">
        <v>0.32004864500000002</v>
      </c>
      <c r="S2399" s="2">
        <v>0.420048645</v>
      </c>
      <c r="T2399" s="2">
        <v>2.3846604089999999</v>
      </c>
      <c r="U2399" s="2">
        <v>2.4146604090000001</v>
      </c>
      <c r="V2399" s="2">
        <v>0.83432701600000003</v>
      </c>
      <c r="W2399" s="2">
        <v>0.75601231300000005</v>
      </c>
      <c r="X2399">
        <f t="shared" si="111"/>
        <v>1</v>
      </c>
      <c r="Y2399">
        <f t="shared" si="112"/>
        <v>0</v>
      </c>
      <c r="Z2399">
        <f t="shared" si="113"/>
        <v>0</v>
      </c>
    </row>
    <row r="2400" spans="1:26" ht="15.75" customHeight="1" x14ac:dyDescent="0.2">
      <c r="A2400" s="2" t="s">
        <v>36</v>
      </c>
      <c r="B2400" s="2" t="s">
        <v>24</v>
      </c>
      <c r="C2400" s="2" t="s">
        <v>26</v>
      </c>
      <c r="D2400" s="2" t="s">
        <v>26</v>
      </c>
      <c r="E2400" s="2">
        <v>217</v>
      </c>
      <c r="F2400" s="2">
        <v>241</v>
      </c>
      <c r="G2400" s="2">
        <v>449</v>
      </c>
      <c r="H2400" s="2">
        <v>1055</v>
      </c>
      <c r="I2400" s="2">
        <v>2610</v>
      </c>
      <c r="J2400" s="2">
        <v>2.41</v>
      </c>
      <c r="K2400" s="2">
        <v>4.47</v>
      </c>
      <c r="L2400" s="2">
        <v>8.85</v>
      </c>
      <c r="M2400" s="2">
        <v>14.78</v>
      </c>
      <c r="N2400" s="2">
        <v>0.31166527100000002</v>
      </c>
      <c r="O2400" s="2">
        <v>0.226756545</v>
      </c>
      <c r="P2400" s="2">
        <v>2.6160647240000001</v>
      </c>
      <c r="Q2400" s="2">
        <v>2.5965920320000002</v>
      </c>
      <c r="R2400" s="2">
        <v>0.22001660200000001</v>
      </c>
      <c r="S2400" s="2">
        <v>0.32001660199999998</v>
      </c>
      <c r="T2400" s="2">
        <v>2.606796374</v>
      </c>
      <c r="U2400" s="2">
        <v>2.5767963740000002</v>
      </c>
      <c r="V2400" s="2">
        <v>0.93435905900000005</v>
      </c>
      <c r="W2400" s="2">
        <v>0.85604435499999998</v>
      </c>
      <c r="X2400">
        <f t="shared" si="111"/>
        <v>1</v>
      </c>
      <c r="Y2400">
        <f t="shared" si="112"/>
        <v>0</v>
      </c>
      <c r="Z2400">
        <f t="shared" si="113"/>
        <v>0</v>
      </c>
    </row>
    <row r="2401" spans="1:26" ht="15.75" customHeight="1" x14ac:dyDescent="0.2">
      <c r="A2401" s="2" t="s">
        <v>36</v>
      </c>
      <c r="B2401" s="2" t="s">
        <v>24</v>
      </c>
      <c r="C2401" s="2" t="s">
        <v>27</v>
      </c>
      <c r="D2401" s="2" t="s">
        <v>27</v>
      </c>
      <c r="E2401" s="2">
        <v>163</v>
      </c>
      <c r="F2401" s="2">
        <v>222</v>
      </c>
      <c r="G2401" s="2">
        <v>436</v>
      </c>
      <c r="H2401" s="2">
        <v>2242</v>
      </c>
      <c r="I2401" s="2">
        <v>2930</v>
      </c>
      <c r="J2401" s="2">
        <v>2.2000000000000002</v>
      </c>
      <c r="K2401" s="2">
        <v>4.3499999999999996</v>
      </c>
      <c r="L2401" s="2">
        <v>13.77</v>
      </c>
      <c r="M2401" s="2">
        <v>15.53</v>
      </c>
      <c r="N2401" s="2">
        <v>0.16180177100000001</v>
      </c>
      <c r="O2401" s="2">
        <v>8.2673837E-2</v>
      </c>
      <c r="P2401" s="2">
        <v>2.3396618020000002</v>
      </c>
      <c r="Q2401" s="2">
        <v>2.385806315</v>
      </c>
      <c r="R2401" s="2">
        <v>0.34138564300000002</v>
      </c>
      <c r="S2401" s="2">
        <v>0.44138564299999999</v>
      </c>
      <c r="T2401" s="2">
        <v>2.314621609</v>
      </c>
      <c r="U2401" s="2">
        <v>2.3446216089999998</v>
      </c>
      <c r="V2401" s="2">
        <v>0.81299001800000004</v>
      </c>
      <c r="W2401" s="2">
        <v>0.73467531500000005</v>
      </c>
      <c r="X2401">
        <f t="shared" si="111"/>
        <v>1</v>
      </c>
      <c r="Y2401">
        <f t="shared" si="112"/>
        <v>0</v>
      </c>
      <c r="Z2401">
        <f t="shared" si="113"/>
        <v>0</v>
      </c>
    </row>
    <row r="2402" spans="1:26" ht="15.75" customHeight="1" x14ac:dyDescent="0.2">
      <c r="A2402" s="2" t="s">
        <v>36</v>
      </c>
      <c r="B2402" s="2" t="s">
        <v>24</v>
      </c>
      <c r="C2402" s="2" t="s">
        <v>30</v>
      </c>
      <c r="D2402" s="2" t="s">
        <v>31</v>
      </c>
      <c r="E2402" s="2">
        <v>150</v>
      </c>
      <c r="F2402" s="2">
        <v>217</v>
      </c>
      <c r="G2402" s="2">
        <v>574</v>
      </c>
      <c r="H2402" s="2">
        <v>1066</v>
      </c>
      <c r="I2402" s="2">
        <v>2414</v>
      </c>
      <c r="J2402" s="2">
        <v>2.15</v>
      </c>
      <c r="K2402" s="2">
        <v>5.54</v>
      </c>
      <c r="L2402" s="2">
        <v>8.91</v>
      </c>
      <c r="M2402" s="2">
        <v>14.27</v>
      </c>
      <c r="N2402" s="2">
        <v>5.158668456</v>
      </c>
      <c r="O2402" s="2">
        <v>5.0455048189999996</v>
      </c>
      <c r="P2402" s="2">
        <v>2.685436471</v>
      </c>
      <c r="Q2402" s="2">
        <v>2.626705388</v>
      </c>
      <c r="R2402" s="2">
        <v>0.85025523000000003</v>
      </c>
      <c r="S2402" s="2">
        <v>0.75025523000000005</v>
      </c>
      <c r="T2402" s="2">
        <v>2.547279938</v>
      </c>
      <c r="U2402" s="2">
        <v>2.5172799380000002</v>
      </c>
      <c r="V2402" s="2">
        <v>2.0046308900000001</v>
      </c>
      <c r="W2402" s="2">
        <v>1.9263161870000001</v>
      </c>
      <c r="X2402">
        <f t="shared" si="111"/>
        <v>1</v>
      </c>
      <c r="Y2402">
        <f t="shared" si="112"/>
        <v>0</v>
      </c>
      <c r="Z2402">
        <f t="shared" si="113"/>
        <v>1</v>
      </c>
    </row>
    <row r="2403" spans="1:26" ht="15.75" customHeight="1" x14ac:dyDescent="0.2">
      <c r="A2403" s="2" t="s">
        <v>36</v>
      </c>
      <c r="B2403" s="2" t="s">
        <v>24</v>
      </c>
      <c r="C2403" s="2" t="s">
        <v>27</v>
      </c>
      <c r="D2403" s="2" t="s">
        <v>27</v>
      </c>
      <c r="E2403" s="2">
        <v>189</v>
      </c>
      <c r="F2403" s="2">
        <v>215</v>
      </c>
      <c r="G2403" s="2">
        <v>425</v>
      </c>
      <c r="H2403" s="2">
        <v>2316</v>
      </c>
      <c r="I2403" s="2">
        <v>2863</v>
      </c>
      <c r="J2403" s="2">
        <v>2.12</v>
      </c>
      <c r="K2403" s="2">
        <v>4.25</v>
      </c>
      <c r="L2403" s="2">
        <v>13.99</v>
      </c>
      <c r="M2403" s="2">
        <v>15.39</v>
      </c>
      <c r="N2403" s="2">
        <v>8.2949111000000006E-2</v>
      </c>
      <c r="O2403" s="2">
        <v>0.229479765</v>
      </c>
      <c r="P2403" s="2">
        <v>2.5703781380000001</v>
      </c>
      <c r="Q2403" s="2">
        <v>2.618810968</v>
      </c>
      <c r="R2403" s="2">
        <v>0.44253668800000001</v>
      </c>
      <c r="S2403" s="2">
        <v>0.54253668799999999</v>
      </c>
      <c r="T2403" s="2">
        <v>2.5319962579999999</v>
      </c>
      <c r="U2403" s="2">
        <v>2.5619962580000002</v>
      </c>
      <c r="V2403" s="2">
        <v>0.71183897299999999</v>
      </c>
      <c r="W2403" s="2">
        <v>0.63352427</v>
      </c>
      <c r="X2403">
        <f t="shared" si="111"/>
        <v>1</v>
      </c>
      <c r="Y2403">
        <f t="shared" si="112"/>
        <v>0</v>
      </c>
      <c r="Z2403">
        <f t="shared" si="113"/>
        <v>0</v>
      </c>
    </row>
    <row r="2404" spans="1:26" ht="15.75" customHeight="1" x14ac:dyDescent="0.2">
      <c r="A2404" s="2" t="s">
        <v>36</v>
      </c>
      <c r="B2404" s="2" t="s">
        <v>24</v>
      </c>
      <c r="C2404" s="2" t="s">
        <v>26</v>
      </c>
      <c r="D2404" s="2" t="s">
        <v>26</v>
      </c>
      <c r="E2404" s="2">
        <v>217</v>
      </c>
      <c r="F2404" s="2">
        <v>239</v>
      </c>
      <c r="G2404" s="2">
        <v>450</v>
      </c>
      <c r="H2404" s="2">
        <v>1012</v>
      </c>
      <c r="I2404" s="2">
        <v>2714</v>
      </c>
      <c r="J2404" s="2">
        <v>2.39</v>
      </c>
      <c r="K2404" s="2">
        <v>4.4800000000000004</v>
      </c>
      <c r="L2404" s="2">
        <v>8.6</v>
      </c>
      <c r="M2404" s="2">
        <v>15.04</v>
      </c>
      <c r="N2404" s="2">
        <v>0.157436204</v>
      </c>
      <c r="O2404" s="2">
        <v>5.4342000000000001E-2</v>
      </c>
      <c r="P2404" s="2">
        <v>2.8669023939999998</v>
      </c>
      <c r="Q2404" s="2">
        <v>2.8462768110000001</v>
      </c>
      <c r="R2404" s="2">
        <v>0.21398340199999999</v>
      </c>
      <c r="S2404" s="2">
        <v>0.31398340200000002</v>
      </c>
      <c r="T2404" s="2">
        <v>2.858905461</v>
      </c>
      <c r="U2404" s="2">
        <v>2.8289054610000002</v>
      </c>
      <c r="V2404" s="2">
        <v>0.94039225800000004</v>
      </c>
      <c r="W2404" s="2">
        <v>0.86207755500000005</v>
      </c>
      <c r="X2404">
        <f t="shared" si="111"/>
        <v>1</v>
      </c>
      <c r="Y2404">
        <f t="shared" si="112"/>
        <v>0</v>
      </c>
      <c r="Z2404">
        <f t="shared" si="113"/>
        <v>0</v>
      </c>
    </row>
    <row r="2405" spans="1:26" ht="15.75" customHeight="1" x14ac:dyDescent="0.2">
      <c r="A2405" s="2" t="s">
        <v>36</v>
      </c>
      <c r="B2405" s="2" t="s">
        <v>24</v>
      </c>
      <c r="C2405" s="2" t="s">
        <v>30</v>
      </c>
      <c r="D2405" s="2" t="s">
        <v>31</v>
      </c>
      <c r="E2405" s="2">
        <v>220</v>
      </c>
      <c r="F2405" s="2">
        <v>233</v>
      </c>
      <c r="G2405" s="2">
        <v>617</v>
      </c>
      <c r="H2405" s="2">
        <v>1152</v>
      </c>
      <c r="I2405" s="2">
        <v>2421</v>
      </c>
      <c r="J2405" s="2">
        <v>2.3199999999999998</v>
      </c>
      <c r="K2405" s="2">
        <v>5.89</v>
      </c>
      <c r="L2405" s="2">
        <v>9.39</v>
      </c>
      <c r="M2405" s="2">
        <v>14.29</v>
      </c>
      <c r="N2405" s="2">
        <v>4.799435613</v>
      </c>
      <c r="O2405" s="2">
        <v>4.6747295820000003</v>
      </c>
      <c r="P2405" s="2">
        <v>2.386939071</v>
      </c>
      <c r="Q2405" s="2">
        <v>2.3119638039999999</v>
      </c>
      <c r="R2405" s="2">
        <v>1.1963648120000001</v>
      </c>
      <c r="S2405" s="2">
        <v>1.096364812</v>
      </c>
      <c r="T2405" s="2">
        <v>2.065475578</v>
      </c>
      <c r="U2405" s="2">
        <v>2.0354755779999998</v>
      </c>
      <c r="V2405" s="2">
        <v>2.3507404730000001</v>
      </c>
      <c r="W2405" s="2">
        <v>2.2724257699999999</v>
      </c>
      <c r="X2405">
        <f t="shared" si="111"/>
        <v>1</v>
      </c>
      <c r="Y2405">
        <f t="shared" si="112"/>
        <v>0</v>
      </c>
      <c r="Z2405">
        <f t="shared" si="113"/>
        <v>1</v>
      </c>
    </row>
    <row r="2406" spans="1:26" ht="15.75" customHeight="1" x14ac:dyDescent="0.2">
      <c r="A2406" s="2" t="s">
        <v>36</v>
      </c>
      <c r="B2406" s="2" t="s">
        <v>24</v>
      </c>
      <c r="C2406" s="2" t="s">
        <v>32</v>
      </c>
      <c r="D2406" s="2" t="s">
        <v>33</v>
      </c>
      <c r="E2406" s="2">
        <v>163</v>
      </c>
      <c r="F2406" s="2">
        <v>214</v>
      </c>
      <c r="G2406" s="2">
        <v>601</v>
      </c>
      <c r="H2406" s="2">
        <v>864</v>
      </c>
      <c r="I2406" s="2">
        <v>2390</v>
      </c>
      <c r="J2406" s="2">
        <v>2.11</v>
      </c>
      <c r="K2406" s="2">
        <v>5.76</v>
      </c>
      <c r="L2406" s="2">
        <v>7.67</v>
      </c>
      <c r="M2406" s="2">
        <v>14.2</v>
      </c>
      <c r="N2406" s="2">
        <v>4.159977853</v>
      </c>
      <c r="O2406" s="2">
        <v>4.1462138829999997</v>
      </c>
      <c r="P2406" s="2">
        <v>3.9390264670000001</v>
      </c>
      <c r="Q2406" s="2">
        <v>3.8838887070000001</v>
      </c>
      <c r="R2406" s="2">
        <v>1.0742790209999999</v>
      </c>
      <c r="S2406" s="2">
        <v>0.97427902099999997</v>
      </c>
      <c r="T2406" s="2">
        <v>3.789703695</v>
      </c>
      <c r="U2406" s="2">
        <v>3.7597036949999998</v>
      </c>
      <c r="V2406" s="2">
        <v>2.2286546820000002</v>
      </c>
      <c r="W2406" s="2">
        <v>2.150339979</v>
      </c>
      <c r="X2406">
        <f t="shared" si="111"/>
        <v>1</v>
      </c>
      <c r="Y2406">
        <f t="shared" si="112"/>
        <v>0</v>
      </c>
      <c r="Z2406">
        <f t="shared" si="113"/>
        <v>1</v>
      </c>
    </row>
    <row r="2407" spans="1:26" ht="15.75" customHeight="1" x14ac:dyDescent="0.2">
      <c r="A2407" s="2" t="s">
        <v>36</v>
      </c>
      <c r="B2407" s="2" t="s">
        <v>24</v>
      </c>
      <c r="C2407" s="2" t="s">
        <v>28</v>
      </c>
      <c r="D2407" s="2" t="s">
        <v>29</v>
      </c>
      <c r="E2407" s="2">
        <v>165</v>
      </c>
      <c r="F2407" s="2">
        <v>234</v>
      </c>
      <c r="G2407" s="2">
        <v>427</v>
      </c>
      <c r="H2407" s="2">
        <v>1134</v>
      </c>
      <c r="I2407" s="2">
        <v>2610</v>
      </c>
      <c r="J2407" s="2">
        <v>2.33</v>
      </c>
      <c r="K2407" s="2">
        <v>4.2699999999999996</v>
      </c>
      <c r="L2407" s="2">
        <v>9.2899999999999991</v>
      </c>
      <c r="M2407" s="2">
        <v>14.78</v>
      </c>
      <c r="N2407" s="2">
        <v>0.71627777199999998</v>
      </c>
      <c r="O2407" s="2">
        <v>0.68368737999999996</v>
      </c>
      <c r="P2407" s="2">
        <v>2.2060843430000001</v>
      </c>
      <c r="Q2407" s="2">
        <v>2.198175655</v>
      </c>
      <c r="R2407" s="2">
        <v>0.42100251300000002</v>
      </c>
      <c r="S2407" s="2">
        <v>0.521002513</v>
      </c>
      <c r="T2407" s="2">
        <v>2.1655403510000002</v>
      </c>
      <c r="U2407" s="2">
        <v>2.1355403509999999</v>
      </c>
      <c r="V2407" s="2">
        <v>0.73337314799999997</v>
      </c>
      <c r="W2407" s="2">
        <v>0.65505844400000002</v>
      </c>
      <c r="X2407">
        <f t="shared" si="111"/>
        <v>1</v>
      </c>
      <c r="Y2407">
        <f t="shared" si="112"/>
        <v>0</v>
      </c>
      <c r="Z2407">
        <f t="shared" si="113"/>
        <v>1</v>
      </c>
    </row>
    <row r="2408" spans="1:26" ht="15.75" customHeight="1" x14ac:dyDescent="0.2">
      <c r="A2408" s="2" t="s">
        <v>36</v>
      </c>
      <c r="B2408" s="2" t="s">
        <v>24</v>
      </c>
      <c r="C2408" s="2" t="s">
        <v>28</v>
      </c>
      <c r="D2408" s="2" t="s">
        <v>29</v>
      </c>
      <c r="E2408" s="2">
        <v>168</v>
      </c>
      <c r="F2408" s="2">
        <v>231</v>
      </c>
      <c r="G2408" s="2">
        <v>390</v>
      </c>
      <c r="H2408" s="2">
        <v>1143</v>
      </c>
      <c r="I2408" s="2">
        <v>2704</v>
      </c>
      <c r="J2408" s="2">
        <v>2.2999999999999998</v>
      </c>
      <c r="K2408" s="2">
        <v>3.92</v>
      </c>
      <c r="L2408" s="2">
        <v>9.35</v>
      </c>
      <c r="M2408" s="2">
        <v>15.01</v>
      </c>
      <c r="N2408" s="2">
        <v>0.86567859999999996</v>
      </c>
      <c r="O2408" s="2">
        <v>0.88057503000000004</v>
      </c>
      <c r="P2408" s="2">
        <v>2.2488132790000002</v>
      </c>
      <c r="Q2408" s="2">
        <v>2.2573080069999998</v>
      </c>
      <c r="R2408" s="2">
        <v>0.77068085099999994</v>
      </c>
      <c r="S2408" s="2">
        <v>0.87068085100000003</v>
      </c>
      <c r="T2408" s="2">
        <v>2.1126315789999999</v>
      </c>
      <c r="U2408" s="2">
        <v>2.0826315790000001</v>
      </c>
      <c r="V2408" s="2">
        <v>0.38369481</v>
      </c>
      <c r="W2408" s="2">
        <v>0.30538010700000001</v>
      </c>
      <c r="X2408">
        <f t="shared" si="111"/>
        <v>1</v>
      </c>
      <c r="Y2408">
        <f t="shared" si="112"/>
        <v>0</v>
      </c>
      <c r="Z2408">
        <f t="shared" si="113"/>
        <v>1</v>
      </c>
    </row>
    <row r="2409" spans="1:26" ht="15.75" customHeight="1" x14ac:dyDescent="0.2">
      <c r="A2409" s="2" t="s">
        <v>36</v>
      </c>
      <c r="B2409" s="2" t="s">
        <v>24</v>
      </c>
      <c r="C2409" s="2" t="s">
        <v>26</v>
      </c>
      <c r="D2409" s="2" t="s">
        <v>26</v>
      </c>
      <c r="E2409" s="2">
        <v>207</v>
      </c>
      <c r="F2409" s="2">
        <v>234</v>
      </c>
      <c r="G2409" s="2">
        <v>454</v>
      </c>
      <c r="H2409" s="2">
        <v>1019</v>
      </c>
      <c r="I2409" s="2">
        <v>2558</v>
      </c>
      <c r="J2409" s="2">
        <v>2.33</v>
      </c>
      <c r="K2409" s="2">
        <v>4.5199999999999996</v>
      </c>
      <c r="L2409" s="2">
        <v>8.64</v>
      </c>
      <c r="M2409" s="2">
        <v>14.65</v>
      </c>
      <c r="N2409" s="2">
        <v>0.20378368999999999</v>
      </c>
      <c r="O2409" s="2">
        <v>8.5592844000000001E-2</v>
      </c>
      <c r="P2409" s="2">
        <v>2.8267288910000001</v>
      </c>
      <c r="Q2409" s="2">
        <v>2.804814972</v>
      </c>
      <c r="R2409" s="2">
        <v>0.17484881999999999</v>
      </c>
      <c r="S2409" s="2">
        <v>0.27484881999999999</v>
      </c>
      <c r="T2409" s="2">
        <v>2.8213160249999998</v>
      </c>
      <c r="U2409" s="2">
        <v>2.791316025</v>
      </c>
      <c r="V2409" s="2">
        <v>0.97952684099999998</v>
      </c>
      <c r="W2409" s="2">
        <v>0.901212138</v>
      </c>
      <c r="X2409">
        <f t="shared" si="111"/>
        <v>1</v>
      </c>
      <c r="Y2409">
        <f t="shared" si="112"/>
        <v>0</v>
      </c>
      <c r="Z2409">
        <f t="shared" si="113"/>
        <v>0</v>
      </c>
    </row>
    <row r="2410" spans="1:26" ht="15.75" customHeight="1" x14ac:dyDescent="0.2">
      <c r="A2410" s="2" t="s">
        <v>36</v>
      </c>
      <c r="B2410" s="2" t="s">
        <v>24</v>
      </c>
      <c r="C2410" s="2" t="s">
        <v>25</v>
      </c>
      <c r="D2410" s="2" t="s">
        <v>25</v>
      </c>
      <c r="E2410" s="2">
        <v>204</v>
      </c>
      <c r="F2410" s="2">
        <v>210</v>
      </c>
      <c r="G2410" s="2">
        <v>796</v>
      </c>
      <c r="H2410" s="2">
        <v>1584</v>
      </c>
      <c r="I2410" s="2">
        <v>2888</v>
      </c>
      <c r="J2410" s="2">
        <v>2.0699999999999998</v>
      </c>
      <c r="K2410" s="2">
        <v>7.22</v>
      </c>
      <c r="L2410" s="2">
        <v>11.45</v>
      </c>
      <c r="M2410" s="2">
        <v>15.44</v>
      </c>
      <c r="N2410" s="2">
        <v>0.19630631400000001</v>
      </c>
      <c r="O2410" s="2">
        <v>0.10972285900000001</v>
      </c>
      <c r="P2410" s="2">
        <v>2.5257021339999999</v>
      </c>
      <c r="Q2410" s="2">
        <v>2.425781942</v>
      </c>
      <c r="R2410" s="2">
        <v>2.5256875079999999</v>
      </c>
      <c r="S2410" s="2">
        <v>2.4256875080000002</v>
      </c>
      <c r="T2410" s="2">
        <v>8.5956169999999998E-3</v>
      </c>
      <c r="U2410" s="2">
        <v>2.1404382999999999E-2</v>
      </c>
      <c r="V2410" s="2">
        <v>3.6800631680000002</v>
      </c>
      <c r="W2410" s="2">
        <v>3.601748465</v>
      </c>
      <c r="X2410">
        <f t="shared" si="111"/>
        <v>1</v>
      </c>
      <c r="Y2410">
        <f t="shared" si="112"/>
        <v>0</v>
      </c>
      <c r="Z2410">
        <f t="shared" si="113"/>
        <v>0</v>
      </c>
    </row>
    <row r="2411" spans="1:26" ht="15.75" customHeight="1" x14ac:dyDescent="0.2">
      <c r="A2411" s="2" t="s">
        <v>36</v>
      </c>
      <c r="B2411" s="2" t="s">
        <v>24</v>
      </c>
      <c r="C2411" s="2" t="s">
        <v>30</v>
      </c>
      <c r="D2411" s="2" t="s">
        <v>31</v>
      </c>
      <c r="E2411" s="2">
        <v>232</v>
      </c>
      <c r="F2411" s="2">
        <v>217</v>
      </c>
      <c r="G2411" s="2">
        <v>661</v>
      </c>
      <c r="H2411" s="2">
        <v>1275</v>
      </c>
      <c r="I2411" s="2">
        <v>2462</v>
      </c>
      <c r="J2411" s="2">
        <v>2.14</v>
      </c>
      <c r="K2411" s="2">
        <v>6.23</v>
      </c>
      <c r="L2411" s="2">
        <v>10.039999999999999</v>
      </c>
      <c r="M2411" s="2">
        <v>14.4</v>
      </c>
      <c r="N2411" s="2">
        <v>4.3447479519999996</v>
      </c>
      <c r="O2411" s="2">
        <v>4.2065251339999996</v>
      </c>
      <c r="P2411" s="2">
        <v>2.0969355470000002</v>
      </c>
      <c r="Q2411" s="2">
        <v>2.0036137639999998</v>
      </c>
      <c r="R2411" s="2">
        <v>1.541316291</v>
      </c>
      <c r="S2411" s="2">
        <v>1.4413162909999999</v>
      </c>
      <c r="T2411" s="2">
        <v>1.421788584</v>
      </c>
      <c r="U2411" s="2">
        <v>1.3917885839999999</v>
      </c>
      <c r="V2411" s="2">
        <v>2.6956919519999998</v>
      </c>
      <c r="W2411" s="2">
        <v>2.617377249</v>
      </c>
      <c r="X2411">
        <f t="shared" si="111"/>
        <v>1</v>
      </c>
      <c r="Y2411">
        <f t="shared" si="112"/>
        <v>0</v>
      </c>
      <c r="Z2411">
        <f t="shared" si="113"/>
        <v>1</v>
      </c>
    </row>
    <row r="2412" spans="1:26" ht="15.75" customHeight="1" x14ac:dyDescent="0.2">
      <c r="A2412" s="2" t="s">
        <v>36</v>
      </c>
      <c r="B2412" s="2" t="s">
        <v>24</v>
      </c>
      <c r="C2412" s="2" t="s">
        <v>28</v>
      </c>
      <c r="D2412" s="2" t="s">
        <v>29</v>
      </c>
      <c r="E2412" s="2">
        <v>176</v>
      </c>
      <c r="F2412" s="2">
        <v>234</v>
      </c>
      <c r="G2412" s="2">
        <v>476</v>
      </c>
      <c r="H2412" s="2">
        <v>904</v>
      </c>
      <c r="I2412" s="2">
        <v>2649</v>
      </c>
      <c r="J2412" s="2">
        <v>2.33</v>
      </c>
      <c r="K2412" s="2">
        <v>4.71</v>
      </c>
      <c r="L2412" s="2">
        <v>7.93</v>
      </c>
      <c r="M2412" s="2">
        <v>14.88</v>
      </c>
      <c r="N2412" s="2">
        <v>0.755657829</v>
      </c>
      <c r="O2412" s="2">
        <v>0.75214528000000003</v>
      </c>
      <c r="P2412" s="2">
        <v>3.5297966660000002</v>
      </c>
      <c r="Q2412" s="2">
        <v>3.5007745030000001</v>
      </c>
      <c r="R2412" s="2">
        <v>1.5783495000000002E-2</v>
      </c>
      <c r="S2412" s="2">
        <v>8.4216504999999997E-2</v>
      </c>
      <c r="T2412" s="2">
        <v>3.5297613779999999</v>
      </c>
      <c r="U2412" s="2">
        <v>3.4997613780000001</v>
      </c>
      <c r="V2412" s="2">
        <v>1.170159156</v>
      </c>
      <c r="W2412" s="2">
        <v>1.091844453</v>
      </c>
      <c r="X2412">
        <f t="shared" si="111"/>
        <v>1</v>
      </c>
      <c r="Y2412">
        <f t="shared" si="112"/>
        <v>0</v>
      </c>
      <c r="Z2412">
        <f t="shared" si="113"/>
        <v>1</v>
      </c>
    </row>
    <row r="2413" spans="1:26" ht="15.75" customHeight="1" x14ac:dyDescent="0.2">
      <c r="A2413" s="2" t="s">
        <v>36</v>
      </c>
      <c r="B2413" s="2" t="s">
        <v>24</v>
      </c>
      <c r="C2413" s="2" t="s">
        <v>28</v>
      </c>
      <c r="D2413" s="2" t="s">
        <v>29</v>
      </c>
      <c r="E2413" s="2">
        <v>125</v>
      </c>
      <c r="F2413" s="2">
        <v>214</v>
      </c>
      <c r="G2413" s="2">
        <v>468</v>
      </c>
      <c r="H2413" s="2">
        <v>1133</v>
      </c>
      <c r="I2413" s="2">
        <v>2655</v>
      </c>
      <c r="J2413" s="2">
        <v>2.11</v>
      </c>
      <c r="K2413" s="2">
        <v>4.63</v>
      </c>
      <c r="L2413" s="2">
        <v>9.2899999999999991</v>
      </c>
      <c r="M2413" s="2">
        <v>14.89</v>
      </c>
      <c r="N2413" s="2">
        <v>0.77901842200000004</v>
      </c>
      <c r="O2413" s="2">
        <v>0.69352374900000002</v>
      </c>
      <c r="P2413" s="2">
        <v>2.1680763390000002</v>
      </c>
      <c r="Q2413" s="2">
        <v>2.1430060599999998</v>
      </c>
      <c r="R2413" s="2">
        <v>5.5310998E-2</v>
      </c>
      <c r="S2413" s="2">
        <v>0.15531099800000001</v>
      </c>
      <c r="T2413" s="2">
        <v>2.1673706899999998</v>
      </c>
      <c r="U2413" s="2">
        <v>2.13737069</v>
      </c>
      <c r="V2413" s="2">
        <v>1.0990646630000001</v>
      </c>
      <c r="W2413" s="2">
        <v>1.020749959</v>
      </c>
      <c r="X2413">
        <f t="shared" si="111"/>
        <v>1</v>
      </c>
      <c r="Y2413">
        <f t="shared" si="112"/>
        <v>0</v>
      </c>
      <c r="Z2413">
        <f t="shared" si="113"/>
        <v>1</v>
      </c>
    </row>
    <row r="2414" spans="1:26" ht="15.75" customHeight="1" x14ac:dyDescent="0.2">
      <c r="A2414" s="2" t="s">
        <v>36</v>
      </c>
      <c r="B2414" s="2" t="s">
        <v>24</v>
      </c>
      <c r="C2414" s="2" t="s">
        <v>32</v>
      </c>
      <c r="D2414" s="2" t="s">
        <v>33</v>
      </c>
      <c r="E2414" s="2">
        <v>199</v>
      </c>
      <c r="F2414" s="2">
        <v>205</v>
      </c>
      <c r="G2414" s="2">
        <v>530</v>
      </c>
      <c r="H2414" s="2">
        <v>1007</v>
      </c>
      <c r="I2414" s="2">
        <v>2618</v>
      </c>
      <c r="J2414" s="2">
        <v>2.0099999999999998</v>
      </c>
      <c r="K2414" s="2">
        <v>5.18</v>
      </c>
      <c r="L2414" s="2">
        <v>8.57</v>
      </c>
      <c r="M2414" s="2">
        <v>14.8</v>
      </c>
      <c r="N2414" s="2">
        <v>3.5979765060000002</v>
      </c>
      <c r="O2414" s="2">
        <v>3.6108942499999999</v>
      </c>
      <c r="P2414" s="2">
        <v>2.931344792</v>
      </c>
      <c r="Q2414" s="2">
        <v>2.8866818329999999</v>
      </c>
      <c r="R2414" s="2">
        <v>0.48654618500000002</v>
      </c>
      <c r="S2414" s="2">
        <v>0.38654618499999999</v>
      </c>
      <c r="T2414" s="2">
        <v>2.8906841929999998</v>
      </c>
      <c r="U2414" s="2">
        <v>2.860684193</v>
      </c>
      <c r="V2414" s="2">
        <v>1.6409218459999999</v>
      </c>
      <c r="W2414" s="2">
        <v>1.5626071420000001</v>
      </c>
      <c r="X2414">
        <f t="shared" si="111"/>
        <v>1</v>
      </c>
      <c r="Y2414">
        <f t="shared" si="112"/>
        <v>0</v>
      </c>
      <c r="Z2414">
        <f t="shared" si="113"/>
        <v>1</v>
      </c>
    </row>
    <row r="2415" spans="1:26" ht="15.75" customHeight="1" x14ac:dyDescent="0.2">
      <c r="A2415" s="2" t="s">
        <v>36</v>
      </c>
      <c r="B2415" s="2" t="s">
        <v>24</v>
      </c>
      <c r="C2415" s="2" t="s">
        <v>25</v>
      </c>
      <c r="D2415" s="2" t="s">
        <v>25</v>
      </c>
      <c r="E2415" s="2">
        <v>180</v>
      </c>
      <c r="F2415" s="2">
        <v>200</v>
      </c>
      <c r="G2415" s="2">
        <v>733</v>
      </c>
      <c r="H2415" s="2">
        <v>1768</v>
      </c>
      <c r="I2415" s="2">
        <v>2822</v>
      </c>
      <c r="J2415" s="2">
        <v>1.95</v>
      </c>
      <c r="K2415" s="2">
        <v>6.76</v>
      </c>
      <c r="L2415" s="2">
        <v>12.19</v>
      </c>
      <c r="M2415" s="2">
        <v>15.29</v>
      </c>
      <c r="N2415" s="2">
        <v>0.66626425099999997</v>
      </c>
      <c r="O2415" s="2">
        <v>0.76224080400000005</v>
      </c>
      <c r="P2415" s="2">
        <v>2.1982252670000002</v>
      </c>
      <c r="Q2415" s="2">
        <v>2.1146305490000001</v>
      </c>
      <c r="R2415" s="2">
        <v>2.0749220099999999</v>
      </c>
      <c r="S2415" s="2">
        <v>1.97492201</v>
      </c>
      <c r="T2415" s="2">
        <v>0.725873938</v>
      </c>
      <c r="U2415" s="2">
        <v>0.75587393800000002</v>
      </c>
      <c r="V2415" s="2">
        <v>3.2292976709999999</v>
      </c>
      <c r="W2415" s="2">
        <v>3.1509829680000001</v>
      </c>
      <c r="X2415">
        <f t="shared" si="111"/>
        <v>1</v>
      </c>
      <c r="Y2415">
        <f t="shared" si="112"/>
        <v>0</v>
      </c>
      <c r="Z2415">
        <f t="shared" si="113"/>
        <v>0</v>
      </c>
    </row>
    <row r="2416" spans="1:26" ht="15.75" customHeight="1" x14ac:dyDescent="0.2">
      <c r="A2416" s="2" t="s">
        <v>36</v>
      </c>
      <c r="B2416" s="2" t="s">
        <v>24</v>
      </c>
      <c r="C2416" s="2" t="s">
        <v>27</v>
      </c>
      <c r="D2416" s="2" t="s">
        <v>27</v>
      </c>
      <c r="E2416" s="2">
        <v>183</v>
      </c>
      <c r="F2416" s="2">
        <v>237</v>
      </c>
      <c r="G2416" s="2">
        <v>435</v>
      </c>
      <c r="H2416" s="2">
        <v>2091</v>
      </c>
      <c r="I2416" s="2">
        <v>2956</v>
      </c>
      <c r="J2416" s="2">
        <v>2.36</v>
      </c>
      <c r="K2416" s="2">
        <v>4.34</v>
      </c>
      <c r="L2416" s="2">
        <v>13.31</v>
      </c>
      <c r="M2416" s="2">
        <v>15.59</v>
      </c>
      <c r="N2416" s="2">
        <v>0.60673848100000005</v>
      </c>
      <c r="O2416" s="2">
        <v>0.52626258699999995</v>
      </c>
      <c r="P2416" s="2">
        <v>1.881431284</v>
      </c>
      <c r="Q2416" s="2">
        <v>1.9317612289999999</v>
      </c>
      <c r="R2416" s="2">
        <v>0.35054279700000002</v>
      </c>
      <c r="S2416" s="2">
        <v>0.45054279699999999</v>
      </c>
      <c r="T2416" s="2">
        <v>1.848486793</v>
      </c>
      <c r="U2416" s="2">
        <v>1.878486793</v>
      </c>
      <c r="V2416" s="2">
        <v>0.80383286300000001</v>
      </c>
      <c r="W2416" s="2">
        <v>0.72551816000000002</v>
      </c>
      <c r="X2416">
        <f t="shared" si="111"/>
        <v>1</v>
      </c>
      <c r="Y2416">
        <f t="shared" si="112"/>
        <v>0</v>
      </c>
      <c r="Z2416">
        <f t="shared" si="113"/>
        <v>0</v>
      </c>
    </row>
    <row r="2417" spans="1:26" ht="15.75" customHeight="1" x14ac:dyDescent="0.2">
      <c r="A2417" s="2" t="s">
        <v>36</v>
      </c>
      <c r="B2417" s="2" t="s">
        <v>24</v>
      </c>
      <c r="C2417" s="2" t="s">
        <v>32</v>
      </c>
      <c r="D2417" s="2" t="s">
        <v>33</v>
      </c>
      <c r="E2417" s="2">
        <v>151</v>
      </c>
      <c r="F2417" s="2">
        <v>228</v>
      </c>
      <c r="G2417" s="2">
        <v>548</v>
      </c>
      <c r="H2417" s="2">
        <v>908</v>
      </c>
      <c r="I2417" s="2">
        <v>2330</v>
      </c>
      <c r="J2417" s="2">
        <v>2.2599999999999998</v>
      </c>
      <c r="K2417" s="2">
        <v>5.33</v>
      </c>
      <c r="L2417" s="2">
        <v>7.96</v>
      </c>
      <c r="M2417" s="2">
        <v>14.03</v>
      </c>
      <c r="N2417" s="2">
        <v>4.0592277899999996</v>
      </c>
      <c r="O2417" s="2">
        <v>4.0594365799999999</v>
      </c>
      <c r="P2417" s="2">
        <v>3.5596783730000001</v>
      </c>
      <c r="Q2417" s="2">
        <v>3.5134721670000002</v>
      </c>
      <c r="R2417" s="2">
        <v>0.63800637999999998</v>
      </c>
      <c r="S2417" s="2">
        <v>0.53800638000000001</v>
      </c>
      <c r="T2417" s="2">
        <v>3.5020362619999998</v>
      </c>
      <c r="U2417" s="2">
        <v>3.472036262</v>
      </c>
      <c r="V2417" s="2">
        <v>1.7923820399999999</v>
      </c>
      <c r="W2417" s="2">
        <v>1.7140673369999999</v>
      </c>
      <c r="X2417">
        <f t="shared" si="111"/>
        <v>1</v>
      </c>
      <c r="Y2417">
        <f t="shared" si="112"/>
        <v>0</v>
      </c>
      <c r="Z2417">
        <f t="shared" si="113"/>
        <v>1</v>
      </c>
    </row>
    <row r="2418" spans="1:26" ht="15.75" customHeight="1" x14ac:dyDescent="0.2">
      <c r="A2418" s="2" t="s">
        <v>36</v>
      </c>
      <c r="B2418" s="2" t="s">
        <v>24</v>
      </c>
      <c r="C2418" s="2" t="s">
        <v>28</v>
      </c>
      <c r="D2418" s="2" t="s">
        <v>29</v>
      </c>
      <c r="E2418" s="2">
        <v>163</v>
      </c>
      <c r="F2418" s="2">
        <v>211</v>
      </c>
      <c r="G2418" s="2">
        <v>392</v>
      </c>
      <c r="H2418" s="2">
        <v>1243</v>
      </c>
      <c r="I2418" s="2">
        <v>2914</v>
      </c>
      <c r="J2418" s="2">
        <v>2.08</v>
      </c>
      <c r="K2418" s="2">
        <v>3.94</v>
      </c>
      <c r="L2418" s="2">
        <v>9.8699999999999992</v>
      </c>
      <c r="M2418" s="2">
        <v>15.5</v>
      </c>
      <c r="N2418" s="2">
        <v>1.347720096</v>
      </c>
      <c r="O2418" s="2">
        <v>1.3362863979999999</v>
      </c>
      <c r="P2418" s="2">
        <v>1.7564188060000001</v>
      </c>
      <c r="Q2418" s="2">
        <v>1.775103723</v>
      </c>
      <c r="R2418" s="2">
        <v>0.75166666699999996</v>
      </c>
      <c r="S2418" s="2">
        <v>0.85166666700000004</v>
      </c>
      <c r="T2418" s="2">
        <v>1.587452123</v>
      </c>
      <c r="U2418" s="2">
        <v>1.557452123</v>
      </c>
      <c r="V2418" s="2">
        <v>0.40270899399999999</v>
      </c>
      <c r="W2418" s="2">
        <v>0.324394291</v>
      </c>
      <c r="X2418">
        <f t="shared" si="111"/>
        <v>1</v>
      </c>
      <c r="Y2418">
        <f t="shared" si="112"/>
        <v>0</v>
      </c>
      <c r="Z2418">
        <f t="shared" si="113"/>
        <v>1</v>
      </c>
    </row>
    <row r="2419" spans="1:26" ht="15.75" customHeight="1" x14ac:dyDescent="0.2">
      <c r="A2419" s="2" t="s">
        <v>36</v>
      </c>
      <c r="B2419" s="2" t="s">
        <v>24</v>
      </c>
      <c r="C2419" s="2" t="s">
        <v>27</v>
      </c>
      <c r="D2419" s="2" t="s">
        <v>27</v>
      </c>
      <c r="E2419" s="2">
        <v>176</v>
      </c>
      <c r="F2419" s="2">
        <v>208</v>
      </c>
      <c r="G2419" s="2">
        <v>389</v>
      </c>
      <c r="H2419" s="2">
        <v>2441</v>
      </c>
      <c r="I2419" s="2">
        <v>3059</v>
      </c>
      <c r="J2419" s="2">
        <v>2.04</v>
      </c>
      <c r="K2419" s="2">
        <v>3.91</v>
      </c>
      <c r="L2419" s="2">
        <v>14.34</v>
      </c>
      <c r="M2419" s="2">
        <v>15.81</v>
      </c>
      <c r="N2419" s="2">
        <v>0.55663301300000001</v>
      </c>
      <c r="O2419" s="2">
        <v>0.71663460800000001</v>
      </c>
      <c r="P2419" s="2">
        <v>2.9847146150000001</v>
      </c>
      <c r="Q2419" s="2">
        <v>3.0412005789999998</v>
      </c>
      <c r="R2419" s="2">
        <v>0.78337496500000003</v>
      </c>
      <c r="S2419" s="2">
        <v>0.88337496500000001</v>
      </c>
      <c r="T2419" s="2">
        <v>2.8800772549999998</v>
      </c>
      <c r="U2419" s="2">
        <v>2.910077255</v>
      </c>
      <c r="V2419" s="2">
        <v>0.37100069600000002</v>
      </c>
      <c r="W2419" s="2">
        <v>0.29268599299999998</v>
      </c>
      <c r="X2419">
        <f t="shared" si="111"/>
        <v>1</v>
      </c>
      <c r="Y2419">
        <f t="shared" si="112"/>
        <v>0</v>
      </c>
      <c r="Z2419">
        <f t="shared" si="113"/>
        <v>0</v>
      </c>
    </row>
    <row r="2420" spans="1:26" ht="15.75" customHeight="1" x14ac:dyDescent="0.2">
      <c r="A2420" s="2" t="s">
        <v>36</v>
      </c>
      <c r="B2420" s="2" t="s">
        <v>24</v>
      </c>
      <c r="C2420" s="2" t="s">
        <v>26</v>
      </c>
      <c r="D2420" s="2" t="s">
        <v>26</v>
      </c>
      <c r="E2420" s="2">
        <v>191</v>
      </c>
      <c r="F2420" s="2">
        <v>210</v>
      </c>
      <c r="G2420" s="2">
        <v>400</v>
      </c>
      <c r="H2420" s="2">
        <v>1002</v>
      </c>
      <c r="I2420" s="2">
        <v>2657</v>
      </c>
      <c r="J2420" s="2">
        <v>2.06</v>
      </c>
      <c r="K2420" s="2">
        <v>4.01</v>
      </c>
      <c r="L2420" s="2">
        <v>8.5399999999999991</v>
      </c>
      <c r="M2420" s="2">
        <v>14.9</v>
      </c>
      <c r="N2420" s="2">
        <v>0.30888079600000001</v>
      </c>
      <c r="O2420" s="2">
        <v>0.426110512</v>
      </c>
      <c r="P2420" s="2">
        <v>2.9997237989999999</v>
      </c>
      <c r="Q2420" s="2">
        <v>2.994841343</v>
      </c>
      <c r="R2420" s="2">
        <v>0.67593220300000001</v>
      </c>
      <c r="S2420" s="2">
        <v>0.77593220299999999</v>
      </c>
      <c r="T2420" s="2">
        <v>2.9225773780000002</v>
      </c>
      <c r="U2420" s="2">
        <v>2.8925773779999999</v>
      </c>
      <c r="V2420" s="2">
        <v>0.47844345799999999</v>
      </c>
      <c r="W2420" s="2">
        <v>0.40012875399999998</v>
      </c>
      <c r="X2420">
        <f t="shared" si="111"/>
        <v>1</v>
      </c>
      <c r="Y2420">
        <f t="shared" si="112"/>
        <v>0</v>
      </c>
      <c r="Z2420">
        <f t="shared" si="113"/>
        <v>0</v>
      </c>
    </row>
    <row r="2421" spans="1:26" ht="15.75" customHeight="1" x14ac:dyDescent="0.2">
      <c r="A2421" s="2" t="s">
        <v>36</v>
      </c>
      <c r="B2421" s="2" t="s">
        <v>24</v>
      </c>
      <c r="C2421" s="2" t="s">
        <v>27</v>
      </c>
      <c r="D2421" s="2" t="s">
        <v>27</v>
      </c>
      <c r="E2421" s="2">
        <v>173</v>
      </c>
      <c r="F2421" s="2">
        <v>240</v>
      </c>
      <c r="G2421" s="2">
        <v>444</v>
      </c>
      <c r="H2421" s="2">
        <v>2286</v>
      </c>
      <c r="I2421" s="2">
        <v>2907</v>
      </c>
      <c r="J2421" s="2">
        <v>2.39</v>
      </c>
      <c r="K2421" s="2">
        <v>4.42</v>
      </c>
      <c r="L2421" s="2">
        <v>13.9</v>
      </c>
      <c r="M2421" s="2">
        <v>15.48</v>
      </c>
      <c r="N2421" s="2">
        <v>0.16170099499999999</v>
      </c>
      <c r="O2421" s="2">
        <v>7.5111743999999994E-2</v>
      </c>
      <c r="P2421" s="2">
        <v>2.458903721</v>
      </c>
      <c r="Q2421" s="2">
        <v>2.501487698</v>
      </c>
      <c r="R2421" s="2">
        <v>0.26840266200000001</v>
      </c>
      <c r="S2421" s="2">
        <v>0.36840266199999999</v>
      </c>
      <c r="T2421" s="2">
        <v>2.4442110220000002</v>
      </c>
      <c r="U2421" s="2">
        <v>2.474211022</v>
      </c>
      <c r="V2421" s="2">
        <v>0.88597299900000004</v>
      </c>
      <c r="W2421" s="2">
        <v>0.80765829499999997</v>
      </c>
      <c r="X2421">
        <f t="shared" si="111"/>
        <v>1</v>
      </c>
      <c r="Y2421">
        <f t="shared" si="112"/>
        <v>0</v>
      </c>
      <c r="Z2421">
        <f t="shared" si="113"/>
        <v>0</v>
      </c>
    </row>
    <row r="2422" spans="1:26" ht="15.75" customHeight="1" x14ac:dyDescent="0.2">
      <c r="A2422" s="2" t="s">
        <v>36</v>
      </c>
      <c r="B2422" s="2" t="s">
        <v>24</v>
      </c>
      <c r="C2422" s="2" t="s">
        <v>27</v>
      </c>
      <c r="D2422" s="2" t="s">
        <v>27</v>
      </c>
      <c r="E2422" s="2">
        <v>212</v>
      </c>
      <c r="F2422" s="2">
        <v>231</v>
      </c>
      <c r="G2422" s="2">
        <v>429</v>
      </c>
      <c r="H2422" s="2">
        <v>2364</v>
      </c>
      <c r="I2422" s="2">
        <v>2919</v>
      </c>
      <c r="J2422" s="2">
        <v>2.2999999999999998</v>
      </c>
      <c r="K2422" s="2">
        <v>4.28</v>
      </c>
      <c r="L2422" s="2">
        <v>14.13</v>
      </c>
      <c r="M2422" s="2">
        <v>15.51</v>
      </c>
      <c r="N2422" s="2">
        <v>0.218815494</v>
      </c>
      <c r="O2422" s="2">
        <v>0.32290432600000002</v>
      </c>
      <c r="P2422" s="2">
        <v>2.6981236229999999</v>
      </c>
      <c r="Q2422" s="2">
        <v>2.744439431</v>
      </c>
      <c r="R2422" s="2">
        <v>0.40564671400000002</v>
      </c>
      <c r="S2422" s="2">
        <v>0.50564671400000005</v>
      </c>
      <c r="T2422" s="2">
        <v>2.667456059</v>
      </c>
      <c r="U2422" s="2">
        <v>2.6974560589999999</v>
      </c>
      <c r="V2422" s="2">
        <v>0.74872894700000003</v>
      </c>
      <c r="W2422" s="2">
        <v>0.67041424299999997</v>
      </c>
      <c r="X2422">
        <f t="shared" si="111"/>
        <v>1</v>
      </c>
      <c r="Y2422">
        <f t="shared" si="112"/>
        <v>0</v>
      </c>
      <c r="Z2422">
        <f t="shared" si="113"/>
        <v>0</v>
      </c>
    </row>
    <row r="2423" spans="1:26" ht="15.75" customHeight="1" x14ac:dyDescent="0.2">
      <c r="A2423" s="2" t="s">
        <v>36</v>
      </c>
      <c r="B2423" s="2" t="s">
        <v>24</v>
      </c>
      <c r="C2423" s="2" t="s">
        <v>32</v>
      </c>
      <c r="D2423" s="2" t="s">
        <v>33</v>
      </c>
      <c r="E2423" s="2">
        <v>186</v>
      </c>
      <c r="F2423" s="2">
        <v>228</v>
      </c>
      <c r="G2423" s="2">
        <v>671</v>
      </c>
      <c r="H2423" s="2">
        <v>1130</v>
      </c>
      <c r="I2423" s="2">
        <v>2529</v>
      </c>
      <c r="J2423" s="2">
        <v>2.2599999999999998</v>
      </c>
      <c r="K2423" s="2">
        <v>6.31</v>
      </c>
      <c r="L2423" s="2">
        <v>9.27</v>
      </c>
      <c r="M2423" s="2">
        <v>14.57</v>
      </c>
      <c r="N2423" s="2">
        <v>2.465663964</v>
      </c>
      <c r="O2423" s="2">
        <v>2.4528390849999999</v>
      </c>
      <c r="P2423" s="2">
        <v>2.7206289840000002</v>
      </c>
      <c r="Q2423" s="2">
        <v>2.6377207380000001</v>
      </c>
      <c r="R2423" s="2">
        <v>1.620048138</v>
      </c>
      <c r="S2423" s="2">
        <v>1.5200481379999999</v>
      </c>
      <c r="T2423" s="2">
        <v>2.1856957929999998</v>
      </c>
      <c r="U2423" s="2">
        <v>2.155695793</v>
      </c>
      <c r="V2423" s="2">
        <v>2.774423799</v>
      </c>
      <c r="W2423" s="2">
        <v>2.6961090950000002</v>
      </c>
      <c r="X2423">
        <f t="shared" si="111"/>
        <v>1</v>
      </c>
      <c r="Y2423">
        <f t="shared" si="112"/>
        <v>0</v>
      </c>
      <c r="Z2423">
        <f t="shared" si="113"/>
        <v>1</v>
      </c>
    </row>
    <row r="2424" spans="1:26" ht="15.75" customHeight="1" x14ac:dyDescent="0.2">
      <c r="A2424" s="2" t="s">
        <v>36</v>
      </c>
      <c r="B2424" s="2" t="s">
        <v>24</v>
      </c>
      <c r="C2424" s="2" t="s">
        <v>28</v>
      </c>
      <c r="D2424" s="2" t="s">
        <v>29</v>
      </c>
      <c r="E2424" s="2">
        <v>140</v>
      </c>
      <c r="F2424" s="2">
        <v>211</v>
      </c>
      <c r="G2424" s="2">
        <v>423</v>
      </c>
      <c r="H2424" s="2">
        <v>1091</v>
      </c>
      <c r="I2424" s="2">
        <v>2699</v>
      </c>
      <c r="J2424" s="2">
        <v>2.08</v>
      </c>
      <c r="K2424" s="2">
        <v>4.2300000000000004</v>
      </c>
      <c r="L2424" s="2">
        <v>9.06</v>
      </c>
      <c r="M2424" s="2">
        <v>15</v>
      </c>
      <c r="N2424" s="2">
        <v>0.48368651099999999</v>
      </c>
      <c r="O2424" s="2">
        <v>0.47018555400000001</v>
      </c>
      <c r="P2424" s="2">
        <v>2.4487469650000002</v>
      </c>
      <c r="Q2424" s="2">
        <v>2.4403216890000001</v>
      </c>
      <c r="R2424" s="2">
        <v>0.46102811599999999</v>
      </c>
      <c r="S2424" s="2">
        <v>0.56102811600000002</v>
      </c>
      <c r="T2424" s="2">
        <v>2.4049562940000002</v>
      </c>
      <c r="U2424" s="2">
        <v>2.374956294</v>
      </c>
      <c r="V2424" s="2">
        <v>0.69334754499999995</v>
      </c>
      <c r="W2424" s="2">
        <v>0.61503284199999997</v>
      </c>
      <c r="X2424">
        <f t="shared" si="111"/>
        <v>1</v>
      </c>
      <c r="Y2424">
        <f t="shared" si="112"/>
        <v>0</v>
      </c>
      <c r="Z2424">
        <f t="shared" si="113"/>
        <v>1</v>
      </c>
    </row>
    <row r="2425" spans="1:26" ht="15.75" customHeight="1" x14ac:dyDescent="0.2">
      <c r="A2425" s="2" t="s">
        <v>36</v>
      </c>
      <c r="B2425" s="2" t="s">
        <v>24</v>
      </c>
      <c r="C2425" s="2" t="s">
        <v>26</v>
      </c>
      <c r="D2425" s="2" t="s">
        <v>26</v>
      </c>
      <c r="E2425" s="2">
        <v>178</v>
      </c>
      <c r="F2425" s="2">
        <v>229</v>
      </c>
      <c r="G2425" s="2">
        <v>430</v>
      </c>
      <c r="H2425" s="2">
        <v>1019</v>
      </c>
      <c r="I2425" s="2">
        <v>2706</v>
      </c>
      <c r="J2425" s="2">
        <v>2.27</v>
      </c>
      <c r="K2425" s="2">
        <v>4.29</v>
      </c>
      <c r="L2425" s="2">
        <v>8.64</v>
      </c>
      <c r="M2425" s="2">
        <v>15.02</v>
      </c>
      <c r="N2425" s="2">
        <v>6.5686164000000005E-2</v>
      </c>
      <c r="O2425" s="2">
        <v>0.139780402</v>
      </c>
      <c r="P2425" s="2">
        <v>2.8494618209999998</v>
      </c>
      <c r="Q2425" s="2">
        <v>2.8356579100000001</v>
      </c>
      <c r="R2425" s="2">
        <v>0.39951039199999999</v>
      </c>
      <c r="S2425" s="2">
        <v>0.49951039200000003</v>
      </c>
      <c r="T2425" s="2">
        <v>2.8213160249999998</v>
      </c>
      <c r="U2425" s="2">
        <v>2.791316025</v>
      </c>
      <c r="V2425" s="2">
        <v>0.75486526899999995</v>
      </c>
      <c r="W2425" s="2">
        <v>0.67655056599999996</v>
      </c>
      <c r="X2425">
        <f t="shared" si="111"/>
        <v>1</v>
      </c>
      <c r="Y2425">
        <f t="shared" si="112"/>
        <v>0</v>
      </c>
      <c r="Z2425">
        <f t="shared" si="113"/>
        <v>0</v>
      </c>
    </row>
    <row r="2426" spans="1:26" ht="15.75" customHeight="1" x14ac:dyDescent="0.2">
      <c r="A2426" s="2" t="s">
        <v>36</v>
      </c>
      <c r="B2426" s="2" t="s">
        <v>24</v>
      </c>
      <c r="C2426" s="2" t="s">
        <v>30</v>
      </c>
      <c r="D2426" s="2" t="s">
        <v>31</v>
      </c>
      <c r="E2426" s="2">
        <v>207</v>
      </c>
      <c r="F2426" s="2">
        <v>228</v>
      </c>
      <c r="G2426" s="2">
        <v>680</v>
      </c>
      <c r="H2426" s="2">
        <v>1507</v>
      </c>
      <c r="I2426" s="2">
        <v>2857</v>
      </c>
      <c r="J2426" s="2">
        <v>2.2599999999999998</v>
      </c>
      <c r="K2426" s="2">
        <v>6.38</v>
      </c>
      <c r="L2426" s="2">
        <v>11.12</v>
      </c>
      <c r="M2426" s="2">
        <v>15.37</v>
      </c>
      <c r="N2426" s="2">
        <v>3.5013079440000001</v>
      </c>
      <c r="O2426" s="2">
        <v>3.3476182269999999</v>
      </c>
      <c r="P2426" s="2">
        <v>1.7216165379999999</v>
      </c>
      <c r="Q2426" s="2">
        <v>1.6177026999999999</v>
      </c>
      <c r="R2426" s="2">
        <v>1.6881189240000001</v>
      </c>
      <c r="S2426" s="2">
        <v>1.588118924</v>
      </c>
      <c r="T2426" s="2">
        <v>0.33796153800000001</v>
      </c>
      <c r="U2426" s="2">
        <v>0.30796153799999998</v>
      </c>
      <c r="V2426" s="2">
        <v>2.8424945849999999</v>
      </c>
      <c r="W2426" s="2">
        <v>2.7641798820000001</v>
      </c>
      <c r="X2426">
        <f t="shared" si="111"/>
        <v>1</v>
      </c>
      <c r="Y2426">
        <f t="shared" si="112"/>
        <v>0</v>
      </c>
      <c r="Z2426">
        <f t="shared" si="113"/>
        <v>1</v>
      </c>
    </row>
    <row r="2427" spans="1:26" ht="15.75" customHeight="1" x14ac:dyDescent="0.2">
      <c r="A2427" s="2" t="s">
        <v>36</v>
      </c>
      <c r="B2427" s="2" t="s">
        <v>24</v>
      </c>
      <c r="C2427" s="2" t="s">
        <v>27</v>
      </c>
      <c r="D2427" s="2" t="s">
        <v>27</v>
      </c>
      <c r="E2427" s="2">
        <v>152</v>
      </c>
      <c r="F2427" s="2">
        <v>216</v>
      </c>
      <c r="G2427" s="2">
        <v>424</v>
      </c>
      <c r="H2427" s="2">
        <v>2339</v>
      </c>
      <c r="I2427" s="2">
        <v>3038</v>
      </c>
      <c r="J2427" s="2">
        <v>2.13</v>
      </c>
      <c r="K2427" s="2">
        <v>4.24</v>
      </c>
      <c r="L2427" s="2">
        <v>14.06</v>
      </c>
      <c r="M2427" s="2">
        <v>15.77</v>
      </c>
      <c r="N2427" s="2">
        <v>0.14887574100000001</v>
      </c>
      <c r="O2427" s="2">
        <v>0.28637020000000002</v>
      </c>
      <c r="P2427" s="2">
        <v>2.6363217350000001</v>
      </c>
      <c r="Q2427" s="2">
        <v>2.6847479540000001</v>
      </c>
      <c r="R2427" s="2">
        <v>0.45486085900000001</v>
      </c>
      <c r="S2427" s="2">
        <v>0.55486085900000004</v>
      </c>
      <c r="T2427" s="2">
        <v>2.596785299</v>
      </c>
      <c r="U2427" s="2">
        <v>2.6267852989999998</v>
      </c>
      <c r="V2427" s="2">
        <v>0.69951480200000005</v>
      </c>
      <c r="W2427" s="2">
        <v>0.62120009899999995</v>
      </c>
      <c r="X2427">
        <f t="shared" si="111"/>
        <v>1</v>
      </c>
      <c r="Y2427">
        <f t="shared" si="112"/>
        <v>0</v>
      </c>
      <c r="Z2427">
        <f t="shared" si="113"/>
        <v>0</v>
      </c>
    </row>
    <row r="2428" spans="1:26" ht="15.75" customHeight="1" x14ac:dyDescent="0.2">
      <c r="A2428" s="2" t="s">
        <v>36</v>
      </c>
      <c r="B2428" s="2" t="s">
        <v>24</v>
      </c>
      <c r="C2428" s="2" t="s">
        <v>30</v>
      </c>
      <c r="D2428" s="2" t="s">
        <v>31</v>
      </c>
      <c r="E2428" s="2">
        <v>176</v>
      </c>
      <c r="F2428" s="2">
        <v>208</v>
      </c>
      <c r="G2428" s="2">
        <v>580</v>
      </c>
      <c r="H2428" s="2">
        <v>1066</v>
      </c>
      <c r="I2428" s="2">
        <v>2474</v>
      </c>
      <c r="J2428" s="2">
        <v>2.04</v>
      </c>
      <c r="K2428" s="2">
        <v>5.59</v>
      </c>
      <c r="L2428" s="2">
        <v>8.91</v>
      </c>
      <c r="M2428" s="2">
        <v>14.43</v>
      </c>
      <c r="N2428" s="2">
        <v>5.1698964949999997</v>
      </c>
      <c r="O2428" s="2">
        <v>5.0554802470000002</v>
      </c>
      <c r="P2428" s="2">
        <v>2.7004517090000002</v>
      </c>
      <c r="Q2428" s="2">
        <v>2.640118127</v>
      </c>
      <c r="R2428" s="2">
        <v>0.90196850399999995</v>
      </c>
      <c r="S2428" s="2">
        <v>0.80196850399999997</v>
      </c>
      <c r="T2428" s="2">
        <v>2.545366821</v>
      </c>
      <c r="U2428" s="2">
        <v>2.5153668210000002</v>
      </c>
      <c r="V2428" s="2">
        <v>2.0563441650000001</v>
      </c>
      <c r="W2428" s="2">
        <v>1.9780294620000001</v>
      </c>
      <c r="X2428">
        <f t="shared" si="111"/>
        <v>1</v>
      </c>
      <c r="Y2428">
        <f t="shared" si="112"/>
        <v>0</v>
      </c>
      <c r="Z2428">
        <f t="shared" si="113"/>
        <v>1</v>
      </c>
    </row>
    <row r="2429" spans="1:26" ht="15.75" customHeight="1" x14ac:dyDescent="0.2">
      <c r="A2429" s="2" t="s">
        <v>36</v>
      </c>
      <c r="B2429" s="2" t="s">
        <v>24</v>
      </c>
      <c r="C2429" s="2" t="s">
        <v>26</v>
      </c>
      <c r="D2429" s="2" t="s">
        <v>26</v>
      </c>
      <c r="E2429" s="2">
        <v>166</v>
      </c>
      <c r="F2429" s="2">
        <v>211</v>
      </c>
      <c r="G2429" s="2">
        <v>409</v>
      </c>
      <c r="H2429" s="2">
        <v>1034</v>
      </c>
      <c r="I2429" s="2">
        <v>2607</v>
      </c>
      <c r="J2429" s="2">
        <v>2.08</v>
      </c>
      <c r="K2429" s="2">
        <v>4.0999999999999996</v>
      </c>
      <c r="L2429" s="2">
        <v>8.73</v>
      </c>
      <c r="M2429" s="2">
        <v>14.77</v>
      </c>
      <c r="N2429" s="2">
        <v>0.26425570399999998</v>
      </c>
      <c r="O2429" s="2">
        <v>0.34283628199999999</v>
      </c>
      <c r="P2429" s="2">
        <v>2.7935988100000002</v>
      </c>
      <c r="Q2429" s="2">
        <v>2.7872711630000002</v>
      </c>
      <c r="R2429" s="2">
        <v>0.588221722</v>
      </c>
      <c r="S2429" s="2">
        <v>0.68822172199999998</v>
      </c>
      <c r="T2429" s="2">
        <v>2.7309686040000001</v>
      </c>
      <c r="U2429" s="2">
        <v>2.7009686039999998</v>
      </c>
      <c r="V2429" s="2">
        <v>0.56615393899999999</v>
      </c>
      <c r="W2429" s="2">
        <v>0.48783923600000001</v>
      </c>
      <c r="X2429">
        <f t="shared" si="111"/>
        <v>1</v>
      </c>
      <c r="Y2429">
        <f t="shared" si="112"/>
        <v>0</v>
      </c>
      <c r="Z2429">
        <f t="shared" si="113"/>
        <v>0</v>
      </c>
    </row>
    <row r="2430" spans="1:26" ht="15.75" customHeight="1" x14ac:dyDescent="0.2">
      <c r="A2430" s="2" t="s">
        <v>36</v>
      </c>
      <c r="B2430" s="2" t="s">
        <v>24</v>
      </c>
      <c r="C2430" s="2" t="s">
        <v>26</v>
      </c>
      <c r="D2430" s="2" t="s">
        <v>26</v>
      </c>
      <c r="E2430" s="2">
        <v>189</v>
      </c>
      <c r="F2430" s="2">
        <v>238</v>
      </c>
      <c r="G2430" s="2">
        <v>425</v>
      </c>
      <c r="H2430" s="2">
        <v>1026</v>
      </c>
      <c r="I2430" s="2">
        <v>2625</v>
      </c>
      <c r="J2430" s="2">
        <v>2.37</v>
      </c>
      <c r="K2430" s="2">
        <v>4.25</v>
      </c>
      <c r="L2430" s="2">
        <v>8.68</v>
      </c>
      <c r="M2430" s="2">
        <v>14.82</v>
      </c>
      <c r="N2430" s="2">
        <v>0.12677575699999999</v>
      </c>
      <c r="O2430" s="2">
        <v>0.190349148</v>
      </c>
      <c r="P2430" s="2">
        <v>2.8110782580000002</v>
      </c>
      <c r="Q2430" s="2">
        <v>2.7991082029999999</v>
      </c>
      <c r="R2430" s="2">
        <v>0.44253668800000001</v>
      </c>
      <c r="S2430" s="2">
        <v>0.54253668799999999</v>
      </c>
      <c r="T2430" s="2">
        <v>2.7760263420000002</v>
      </c>
      <c r="U2430" s="2">
        <v>2.746026342</v>
      </c>
      <c r="V2430" s="2">
        <v>0.71183897299999999</v>
      </c>
      <c r="W2430" s="2">
        <v>0.63352427</v>
      </c>
      <c r="X2430">
        <f t="shared" si="111"/>
        <v>1</v>
      </c>
      <c r="Y2430">
        <f t="shared" si="112"/>
        <v>0</v>
      </c>
      <c r="Z2430">
        <f t="shared" si="113"/>
        <v>0</v>
      </c>
    </row>
    <row r="2431" spans="1:26" ht="15.75" customHeight="1" x14ac:dyDescent="0.2">
      <c r="A2431" s="2" t="s">
        <v>36</v>
      </c>
      <c r="B2431" s="2" t="s">
        <v>24</v>
      </c>
      <c r="C2431" s="2" t="s">
        <v>26</v>
      </c>
      <c r="D2431" s="2" t="s">
        <v>26</v>
      </c>
      <c r="E2431" s="2">
        <v>209</v>
      </c>
      <c r="F2431" s="2">
        <v>241</v>
      </c>
      <c r="G2431" s="2">
        <v>446</v>
      </c>
      <c r="H2431" s="2">
        <v>933</v>
      </c>
      <c r="I2431" s="2">
        <v>2730</v>
      </c>
      <c r="J2431" s="2">
        <v>2.4</v>
      </c>
      <c r="K2431" s="2">
        <v>4.4400000000000004</v>
      </c>
      <c r="L2431" s="2">
        <v>8.1199999999999992</v>
      </c>
      <c r="M2431" s="2">
        <v>15.08</v>
      </c>
      <c r="N2431" s="2">
        <v>0.47892273000000002</v>
      </c>
      <c r="O2431" s="2">
        <v>0.51379834199999996</v>
      </c>
      <c r="P2431" s="2">
        <v>3.3530557519999999</v>
      </c>
      <c r="Q2431" s="2">
        <v>3.3321625250000002</v>
      </c>
      <c r="R2431" s="2">
        <v>0.25023275099999998</v>
      </c>
      <c r="S2431" s="2">
        <v>0.35023275100000001</v>
      </c>
      <c r="T2431" s="2">
        <v>3.3437054960000001</v>
      </c>
      <c r="U2431" s="2">
        <v>3.3137054959999999</v>
      </c>
      <c r="V2431" s="2">
        <v>0.90414290900000005</v>
      </c>
      <c r="W2431" s="2">
        <v>0.82582820599999995</v>
      </c>
      <c r="X2431">
        <f t="shared" si="111"/>
        <v>1</v>
      </c>
      <c r="Y2431">
        <f t="shared" si="112"/>
        <v>0</v>
      </c>
      <c r="Z2431">
        <f t="shared" si="113"/>
        <v>0</v>
      </c>
    </row>
    <row r="2432" spans="1:26" ht="15.75" customHeight="1" x14ac:dyDescent="0.2">
      <c r="A2432" s="2" t="s">
        <v>36</v>
      </c>
      <c r="B2432" s="2" t="s">
        <v>24</v>
      </c>
      <c r="C2432" s="2" t="s">
        <v>25</v>
      </c>
      <c r="D2432" s="2" t="s">
        <v>25</v>
      </c>
      <c r="E2432" s="2">
        <v>209</v>
      </c>
      <c r="F2432" s="2">
        <v>209</v>
      </c>
      <c r="G2432" s="2">
        <v>733</v>
      </c>
      <c r="H2432" s="2">
        <v>1697</v>
      </c>
      <c r="I2432" s="2">
        <v>2711</v>
      </c>
      <c r="J2432" s="2">
        <v>2.0499999999999998</v>
      </c>
      <c r="K2432" s="2">
        <v>6.76</v>
      </c>
      <c r="L2432" s="2">
        <v>11.91</v>
      </c>
      <c r="M2432" s="2">
        <v>15.03</v>
      </c>
      <c r="N2432" s="2">
        <v>0.45038957600000001</v>
      </c>
      <c r="O2432" s="2">
        <v>0.55898282799999999</v>
      </c>
      <c r="P2432" s="2">
        <v>2.123360817</v>
      </c>
      <c r="Q2432" s="2">
        <v>2.032642128</v>
      </c>
      <c r="R2432" s="2">
        <v>2.0749220099999999</v>
      </c>
      <c r="S2432" s="2">
        <v>1.97492201</v>
      </c>
      <c r="T2432" s="2">
        <v>0.45095433400000001</v>
      </c>
      <c r="U2432" s="2">
        <v>0.48095433399999998</v>
      </c>
      <c r="V2432" s="2">
        <v>3.2292976709999999</v>
      </c>
      <c r="W2432" s="2">
        <v>3.1509829680000001</v>
      </c>
      <c r="X2432">
        <f t="shared" si="111"/>
        <v>1</v>
      </c>
      <c r="Y2432">
        <f t="shared" si="112"/>
        <v>0</v>
      </c>
      <c r="Z2432">
        <f t="shared" si="113"/>
        <v>0</v>
      </c>
    </row>
    <row r="2433" spans="1:26" ht="15.75" customHeight="1" x14ac:dyDescent="0.2">
      <c r="A2433" s="2" t="s">
        <v>36</v>
      </c>
      <c r="B2433" s="2" t="s">
        <v>24</v>
      </c>
      <c r="C2433" s="2" t="s">
        <v>25</v>
      </c>
      <c r="D2433" s="2" t="s">
        <v>25</v>
      </c>
      <c r="E2433" s="2">
        <v>258</v>
      </c>
      <c r="F2433" s="2">
        <v>215</v>
      </c>
      <c r="G2433" s="2">
        <v>780</v>
      </c>
      <c r="H2433" s="2">
        <v>1558</v>
      </c>
      <c r="I2433" s="2">
        <v>2806</v>
      </c>
      <c r="J2433" s="2">
        <v>2.12</v>
      </c>
      <c r="K2433" s="2">
        <v>7.1</v>
      </c>
      <c r="L2433" s="2">
        <v>11.34</v>
      </c>
      <c r="M2433" s="2">
        <v>15.26</v>
      </c>
      <c r="N2433" s="2">
        <v>0.268197825</v>
      </c>
      <c r="O2433" s="2">
        <v>0.24014208500000001</v>
      </c>
      <c r="P2433" s="2">
        <v>2.4126075170000001</v>
      </c>
      <c r="Q2433" s="2">
        <v>2.311393754</v>
      </c>
      <c r="R2433" s="2">
        <v>2.4097104269999998</v>
      </c>
      <c r="S2433" s="2">
        <v>2.3097104270000002</v>
      </c>
      <c r="T2433" s="2">
        <v>0.11819766900000001</v>
      </c>
      <c r="U2433" s="2">
        <v>8.8197669000000006E-2</v>
      </c>
      <c r="V2433" s="2">
        <v>3.5640860879999998</v>
      </c>
      <c r="W2433" s="2">
        <v>3.4857713850000001</v>
      </c>
      <c r="X2433">
        <f t="shared" si="111"/>
        <v>1</v>
      </c>
      <c r="Y2433">
        <f t="shared" si="112"/>
        <v>0</v>
      </c>
      <c r="Z2433">
        <f t="shared" si="113"/>
        <v>0</v>
      </c>
    </row>
    <row r="2434" spans="1:26" ht="15.75" customHeight="1" x14ac:dyDescent="0.2">
      <c r="A2434" s="2" t="s">
        <v>36</v>
      </c>
      <c r="B2434" s="2" t="s">
        <v>24</v>
      </c>
      <c r="C2434" s="2" t="s">
        <v>25</v>
      </c>
      <c r="D2434" s="2" t="s">
        <v>25</v>
      </c>
      <c r="E2434" s="2">
        <v>227</v>
      </c>
      <c r="F2434" s="2">
        <v>202</v>
      </c>
      <c r="G2434" s="2">
        <v>801</v>
      </c>
      <c r="H2434" s="2">
        <v>1636</v>
      </c>
      <c r="I2434" s="2">
        <v>2709</v>
      </c>
      <c r="J2434" s="2">
        <v>1.98</v>
      </c>
      <c r="K2434" s="2">
        <v>7.25</v>
      </c>
      <c r="L2434" s="2">
        <v>11.67</v>
      </c>
      <c r="M2434" s="2">
        <v>15.03</v>
      </c>
      <c r="N2434" s="2">
        <v>0.160732972</v>
      </c>
      <c r="O2434" s="2">
        <v>0.11838227599999999</v>
      </c>
      <c r="P2434" s="2">
        <v>2.568579036</v>
      </c>
      <c r="Q2434" s="2">
        <v>2.4716167219999998</v>
      </c>
      <c r="R2434" s="2">
        <v>2.5602076290000002</v>
      </c>
      <c r="S2434" s="2">
        <v>2.4602076290000001</v>
      </c>
      <c r="T2434" s="2">
        <v>0.207208009</v>
      </c>
      <c r="U2434" s="2">
        <v>0.237208009</v>
      </c>
      <c r="V2434" s="2">
        <v>3.7145832900000002</v>
      </c>
      <c r="W2434" s="2">
        <v>3.636268587</v>
      </c>
      <c r="X2434">
        <f t="shared" si="111"/>
        <v>1</v>
      </c>
      <c r="Y2434">
        <f t="shared" si="112"/>
        <v>0</v>
      </c>
      <c r="Z2434">
        <f t="shared" si="113"/>
        <v>0</v>
      </c>
    </row>
    <row r="2435" spans="1:26" ht="15.75" customHeight="1" x14ac:dyDescent="0.2">
      <c r="A2435" s="2" t="s">
        <v>36</v>
      </c>
      <c r="B2435" s="2" t="s">
        <v>24</v>
      </c>
      <c r="C2435" s="2" t="s">
        <v>28</v>
      </c>
      <c r="D2435" s="2" t="s">
        <v>29</v>
      </c>
      <c r="E2435" s="2">
        <v>173</v>
      </c>
      <c r="F2435" s="2">
        <v>219</v>
      </c>
      <c r="G2435" s="2">
        <v>395</v>
      </c>
      <c r="H2435" s="2">
        <v>1236</v>
      </c>
      <c r="I2435" s="2">
        <v>2555</v>
      </c>
      <c r="J2435" s="2">
        <v>2.16</v>
      </c>
      <c r="K2435" s="2">
        <v>3.97</v>
      </c>
      <c r="L2435" s="2">
        <v>9.84</v>
      </c>
      <c r="M2435" s="2">
        <v>14.64</v>
      </c>
      <c r="N2435" s="2">
        <v>1.306104978</v>
      </c>
      <c r="O2435" s="2">
        <v>1.292937937</v>
      </c>
      <c r="P2435" s="2">
        <v>1.7743466109999999</v>
      </c>
      <c r="Q2435" s="2">
        <v>1.7905068820000001</v>
      </c>
      <c r="R2435" s="2">
        <v>0.72004811800000001</v>
      </c>
      <c r="S2435" s="2">
        <v>0.82004811799999999</v>
      </c>
      <c r="T2435" s="2">
        <v>1.621677096</v>
      </c>
      <c r="U2435" s="2">
        <v>1.591677096</v>
      </c>
      <c r="V2435" s="2">
        <v>0.43432754299999998</v>
      </c>
      <c r="W2435" s="2">
        <v>0.35601284</v>
      </c>
      <c r="X2435">
        <f t="shared" ref="X2435:X2498" si="114">IF(B2435="normal",1,0)</f>
        <v>1</v>
      </c>
      <c r="Y2435">
        <f t="shared" ref="Y2435:Y2498" si="115">IF(A2435="lecture",1,0)</f>
        <v>0</v>
      </c>
      <c r="Z2435">
        <f t="shared" ref="Z2435:Z2498" si="116">IF(ISNUMBER(FIND("~",D2435)),1,0)</f>
        <v>1</v>
      </c>
    </row>
    <row r="2436" spans="1:26" ht="15.75" customHeight="1" x14ac:dyDescent="0.2">
      <c r="A2436" s="2" t="s">
        <v>36</v>
      </c>
      <c r="B2436" s="2" t="s">
        <v>24</v>
      </c>
      <c r="C2436" s="2" t="s">
        <v>30</v>
      </c>
      <c r="D2436" s="2" t="s">
        <v>31</v>
      </c>
      <c r="E2436" s="2">
        <v>173</v>
      </c>
      <c r="F2436" s="2">
        <v>224</v>
      </c>
      <c r="G2436" s="2">
        <v>618</v>
      </c>
      <c r="H2436" s="2">
        <v>1031</v>
      </c>
      <c r="I2436" s="2">
        <v>2162</v>
      </c>
      <c r="J2436" s="2">
        <v>2.2200000000000002</v>
      </c>
      <c r="K2436" s="2">
        <v>5.89</v>
      </c>
      <c r="L2436" s="2">
        <v>8.7100000000000009</v>
      </c>
      <c r="M2436" s="2">
        <v>13.53</v>
      </c>
      <c r="N2436" s="2">
        <v>5.449404962</v>
      </c>
      <c r="O2436" s="2">
        <v>5.3294333570000001</v>
      </c>
      <c r="P2436" s="2">
        <v>3.0008218850000001</v>
      </c>
      <c r="Q2436" s="2">
        <v>2.9342907739999999</v>
      </c>
      <c r="R2436" s="2">
        <v>1.2042764770000001</v>
      </c>
      <c r="S2436" s="2">
        <v>1.104276477</v>
      </c>
      <c r="T2436" s="2">
        <v>2.748572384</v>
      </c>
      <c r="U2436" s="2">
        <v>2.7185723839999998</v>
      </c>
      <c r="V2436" s="2">
        <v>2.3586521380000001</v>
      </c>
      <c r="W2436" s="2">
        <v>2.2803374349999999</v>
      </c>
      <c r="X2436">
        <f t="shared" si="114"/>
        <v>1</v>
      </c>
      <c r="Y2436">
        <f t="shared" si="115"/>
        <v>0</v>
      </c>
      <c r="Z2436">
        <f t="shared" si="116"/>
        <v>1</v>
      </c>
    </row>
    <row r="2437" spans="1:26" ht="15.75" customHeight="1" x14ac:dyDescent="0.2">
      <c r="A2437" s="2" t="s">
        <v>36</v>
      </c>
      <c r="B2437" s="2" t="s">
        <v>24</v>
      </c>
      <c r="C2437" s="2" t="s">
        <v>32</v>
      </c>
      <c r="D2437" s="2" t="s">
        <v>33</v>
      </c>
      <c r="E2437" s="2">
        <v>230</v>
      </c>
      <c r="F2437" s="2">
        <v>229</v>
      </c>
      <c r="G2437" s="2">
        <v>699</v>
      </c>
      <c r="H2437" s="2">
        <v>1212</v>
      </c>
      <c r="I2437" s="2">
        <v>2817</v>
      </c>
      <c r="J2437" s="2">
        <v>2.27</v>
      </c>
      <c r="K2437" s="2">
        <v>6.52</v>
      </c>
      <c r="L2437" s="2">
        <v>9.7100000000000009</v>
      </c>
      <c r="M2437" s="2">
        <v>15.28</v>
      </c>
      <c r="N2437" s="2">
        <v>1.984167585</v>
      </c>
      <c r="O2437" s="2">
        <v>1.968944381</v>
      </c>
      <c r="P2437" s="2">
        <v>2.5260074819999998</v>
      </c>
      <c r="Q2437" s="2">
        <v>2.43347034</v>
      </c>
      <c r="R2437" s="2">
        <v>1.8253560680000001</v>
      </c>
      <c r="S2437" s="2">
        <v>1.725356068</v>
      </c>
      <c r="T2437" s="2">
        <v>1.7460781839999999</v>
      </c>
      <c r="U2437" s="2">
        <v>1.7160781839999999</v>
      </c>
      <c r="V2437" s="2">
        <v>2.9797317290000001</v>
      </c>
      <c r="W2437" s="2">
        <v>2.9014170259999998</v>
      </c>
      <c r="X2437">
        <f t="shared" si="114"/>
        <v>1</v>
      </c>
      <c r="Y2437">
        <f t="shared" si="115"/>
        <v>0</v>
      </c>
      <c r="Z2437">
        <f t="shared" si="116"/>
        <v>1</v>
      </c>
    </row>
    <row r="2438" spans="1:26" ht="15.75" customHeight="1" x14ac:dyDescent="0.2">
      <c r="A2438" s="2" t="s">
        <v>36</v>
      </c>
      <c r="B2438" s="2" t="s">
        <v>24</v>
      </c>
      <c r="C2438" s="2" t="s">
        <v>26</v>
      </c>
      <c r="D2438" s="2" t="s">
        <v>26</v>
      </c>
      <c r="E2438" s="2">
        <v>184</v>
      </c>
      <c r="F2438" s="2">
        <v>221</v>
      </c>
      <c r="G2438" s="2">
        <v>432</v>
      </c>
      <c r="H2438" s="2">
        <v>1085</v>
      </c>
      <c r="I2438" s="2">
        <v>2759</v>
      </c>
      <c r="J2438" s="2">
        <v>2.1800000000000002</v>
      </c>
      <c r="K2438" s="2">
        <v>4.32</v>
      </c>
      <c r="L2438" s="2">
        <v>9.02</v>
      </c>
      <c r="M2438" s="2">
        <v>15.14</v>
      </c>
      <c r="N2438" s="2">
        <v>0.44301671399999998</v>
      </c>
      <c r="O2438" s="2">
        <v>0.40946893099999998</v>
      </c>
      <c r="P2438" s="2">
        <v>2.4656945270000001</v>
      </c>
      <c r="Q2438" s="2">
        <v>2.4534320190000001</v>
      </c>
      <c r="R2438" s="2">
        <v>0.37499930300000001</v>
      </c>
      <c r="S2438" s="2">
        <v>0.47499930299999998</v>
      </c>
      <c r="T2438" s="2">
        <v>2.4370114940000001</v>
      </c>
      <c r="U2438" s="2">
        <v>2.4070114939999998</v>
      </c>
      <c r="V2438" s="2">
        <v>0.77937635800000005</v>
      </c>
      <c r="W2438" s="2">
        <v>0.70106165399999998</v>
      </c>
      <c r="X2438">
        <f t="shared" si="114"/>
        <v>1</v>
      </c>
      <c r="Y2438">
        <f t="shared" si="115"/>
        <v>0</v>
      </c>
      <c r="Z2438">
        <f t="shared" si="116"/>
        <v>0</v>
      </c>
    </row>
    <row r="2439" spans="1:26" ht="15.75" customHeight="1" x14ac:dyDescent="0.2">
      <c r="A2439" s="2" t="s">
        <v>36</v>
      </c>
      <c r="B2439" s="2" t="s">
        <v>24</v>
      </c>
      <c r="C2439" s="2" t="s">
        <v>32</v>
      </c>
      <c r="D2439" s="2" t="s">
        <v>33</v>
      </c>
      <c r="E2439" s="2">
        <v>100</v>
      </c>
      <c r="F2439" s="2">
        <v>189</v>
      </c>
      <c r="G2439" s="2">
        <v>667</v>
      </c>
      <c r="H2439" s="2">
        <v>958</v>
      </c>
      <c r="I2439" s="2">
        <v>2604</v>
      </c>
      <c r="J2439" s="2">
        <v>1.83</v>
      </c>
      <c r="K2439" s="2">
        <v>6.27</v>
      </c>
      <c r="L2439" s="2">
        <v>8.27</v>
      </c>
      <c r="M2439" s="2">
        <v>14.77</v>
      </c>
      <c r="N2439" s="2">
        <v>3.4366319089999999</v>
      </c>
      <c r="O2439" s="2">
        <v>3.4138573619999999</v>
      </c>
      <c r="P2439" s="2">
        <v>3.5583212240000002</v>
      </c>
      <c r="Q2439" s="2">
        <v>3.487760653</v>
      </c>
      <c r="R2439" s="2">
        <v>1.5845685279999999</v>
      </c>
      <c r="S2439" s="2">
        <v>1.4845685280000001</v>
      </c>
      <c r="T2439" s="2">
        <v>3.1860308399999999</v>
      </c>
      <c r="U2439" s="2">
        <v>3.1560308400000001</v>
      </c>
      <c r="V2439" s="2">
        <v>2.7389441890000001</v>
      </c>
      <c r="W2439" s="2">
        <v>2.6606294859999999</v>
      </c>
      <c r="X2439">
        <f t="shared" si="114"/>
        <v>1</v>
      </c>
      <c r="Y2439">
        <f t="shared" si="115"/>
        <v>0</v>
      </c>
      <c r="Z2439">
        <f t="shared" si="116"/>
        <v>1</v>
      </c>
    </row>
    <row r="2440" spans="1:26" ht="15.75" customHeight="1" x14ac:dyDescent="0.2">
      <c r="A2440" s="2" t="s">
        <v>36</v>
      </c>
      <c r="B2440" s="2" t="s">
        <v>24</v>
      </c>
      <c r="C2440" s="2" t="s">
        <v>28</v>
      </c>
      <c r="D2440" s="2" t="s">
        <v>29</v>
      </c>
      <c r="E2440" s="2">
        <v>128</v>
      </c>
      <c r="F2440" s="2">
        <v>217</v>
      </c>
      <c r="G2440" s="2">
        <v>443</v>
      </c>
      <c r="H2440" s="2">
        <v>1176</v>
      </c>
      <c r="I2440" s="2">
        <v>2771</v>
      </c>
      <c r="J2440" s="2">
        <v>2.14</v>
      </c>
      <c r="K2440" s="2">
        <v>4.41</v>
      </c>
      <c r="L2440" s="2">
        <v>9.52</v>
      </c>
      <c r="M2440" s="2">
        <v>15.17</v>
      </c>
      <c r="N2440" s="2">
        <v>0.94649963699999995</v>
      </c>
      <c r="O2440" s="2">
        <v>0.89214038100000004</v>
      </c>
      <c r="P2440" s="2">
        <v>1.9577974389999999</v>
      </c>
      <c r="Q2440" s="2">
        <v>1.9450163819999999</v>
      </c>
      <c r="R2440" s="2">
        <v>0.27749896000000002</v>
      </c>
      <c r="S2440" s="2">
        <v>0.37749895999999999</v>
      </c>
      <c r="T2440" s="2">
        <v>1.9380312529999999</v>
      </c>
      <c r="U2440" s="2">
        <v>1.9080312530000001</v>
      </c>
      <c r="V2440" s="2">
        <v>0.87687670100000004</v>
      </c>
      <c r="W2440" s="2">
        <v>0.79856199800000005</v>
      </c>
      <c r="X2440">
        <f t="shared" si="114"/>
        <v>1</v>
      </c>
      <c r="Y2440">
        <f t="shared" si="115"/>
        <v>0</v>
      </c>
      <c r="Z2440">
        <f t="shared" si="116"/>
        <v>1</v>
      </c>
    </row>
    <row r="2441" spans="1:26" ht="15.75" customHeight="1" x14ac:dyDescent="0.2">
      <c r="A2441" s="2" t="s">
        <v>36</v>
      </c>
      <c r="B2441" s="2" t="s">
        <v>24</v>
      </c>
      <c r="C2441" s="2" t="s">
        <v>32</v>
      </c>
      <c r="D2441" s="2" t="s">
        <v>33</v>
      </c>
      <c r="E2441" s="2">
        <v>152</v>
      </c>
      <c r="F2441" s="2">
        <v>223</v>
      </c>
      <c r="G2441" s="2">
        <v>707</v>
      </c>
      <c r="H2441" s="2">
        <v>1198</v>
      </c>
      <c r="I2441" s="2">
        <v>3005</v>
      </c>
      <c r="J2441" s="2">
        <v>2.21</v>
      </c>
      <c r="K2441" s="2">
        <v>6.58</v>
      </c>
      <c r="L2441" s="2">
        <v>9.64</v>
      </c>
      <c r="M2441" s="2">
        <v>15.7</v>
      </c>
      <c r="N2441" s="2">
        <v>2.03944524</v>
      </c>
      <c r="O2441" s="2">
        <v>2.0197244350000001</v>
      </c>
      <c r="P2441" s="2">
        <v>2.62263957</v>
      </c>
      <c r="Q2441" s="2">
        <v>2.5303041780000002</v>
      </c>
      <c r="R2441" s="2">
        <v>1.8871128610000001</v>
      </c>
      <c r="S2441" s="2">
        <v>1.787112861</v>
      </c>
      <c r="T2441" s="2">
        <v>1.8212752029999999</v>
      </c>
      <c r="U2441" s="2">
        <v>1.7912752030000001</v>
      </c>
      <c r="V2441" s="2">
        <v>3.0414885219999999</v>
      </c>
      <c r="W2441" s="2">
        <v>2.963173818</v>
      </c>
      <c r="X2441">
        <f t="shared" si="114"/>
        <v>1</v>
      </c>
      <c r="Y2441">
        <f t="shared" si="115"/>
        <v>0</v>
      </c>
      <c r="Z2441">
        <f t="shared" si="116"/>
        <v>1</v>
      </c>
    </row>
    <row r="2442" spans="1:26" ht="15.75" customHeight="1" x14ac:dyDescent="0.2">
      <c r="A2442" s="2" t="s">
        <v>36</v>
      </c>
      <c r="B2442" s="2" t="s">
        <v>24</v>
      </c>
      <c r="C2442" s="2" t="s">
        <v>25</v>
      </c>
      <c r="D2442" s="2" t="s">
        <v>25</v>
      </c>
      <c r="E2442" s="2">
        <v>213</v>
      </c>
      <c r="F2442" s="2">
        <v>206</v>
      </c>
      <c r="G2442" s="2">
        <v>716</v>
      </c>
      <c r="H2442" s="2">
        <v>1761</v>
      </c>
      <c r="I2442" s="2">
        <v>2777</v>
      </c>
      <c r="J2442" s="2">
        <v>2.02</v>
      </c>
      <c r="K2442" s="2">
        <v>6.65</v>
      </c>
      <c r="L2442" s="2">
        <v>12.16</v>
      </c>
      <c r="M2442" s="2">
        <v>15.19</v>
      </c>
      <c r="N2442" s="2">
        <v>0.71084547899999995</v>
      </c>
      <c r="O2442" s="2">
        <v>0.81444443</v>
      </c>
      <c r="P2442" s="2">
        <v>2.076251928</v>
      </c>
      <c r="Q2442" s="2">
        <v>1.9930798329999999</v>
      </c>
      <c r="R2442" s="2">
        <v>1.9558238880000001</v>
      </c>
      <c r="S2442" s="2">
        <v>1.855823888</v>
      </c>
      <c r="T2442" s="2">
        <v>0.69683210900000003</v>
      </c>
      <c r="U2442" s="2">
        <v>0.72683210899999995</v>
      </c>
      <c r="V2442" s="2">
        <v>3.1101995489999998</v>
      </c>
      <c r="W2442" s="2">
        <v>3.0318848460000001</v>
      </c>
      <c r="X2442">
        <f t="shared" si="114"/>
        <v>1</v>
      </c>
      <c r="Y2442">
        <f t="shared" si="115"/>
        <v>0</v>
      </c>
      <c r="Z2442">
        <f t="shared" si="116"/>
        <v>0</v>
      </c>
    </row>
    <row r="2443" spans="1:26" ht="15.75" customHeight="1" x14ac:dyDescent="0.2">
      <c r="A2443" s="2" t="s">
        <v>36</v>
      </c>
      <c r="B2443" s="2" t="s">
        <v>24</v>
      </c>
      <c r="C2443" s="2" t="s">
        <v>27</v>
      </c>
      <c r="D2443" s="2" t="s">
        <v>27</v>
      </c>
      <c r="E2443" s="2">
        <v>178</v>
      </c>
      <c r="F2443" s="2">
        <v>210</v>
      </c>
      <c r="G2443" s="2">
        <v>416</v>
      </c>
      <c r="H2443" s="2">
        <v>2223</v>
      </c>
      <c r="I2443" s="2">
        <v>2829</v>
      </c>
      <c r="J2443" s="2">
        <v>2.06</v>
      </c>
      <c r="K2443" s="2">
        <v>4.17</v>
      </c>
      <c r="L2443" s="2">
        <v>13.72</v>
      </c>
      <c r="M2443" s="2">
        <v>15.31</v>
      </c>
      <c r="N2443" s="2">
        <v>0.212551776</v>
      </c>
      <c r="O2443" s="2">
        <v>0.26712707600000002</v>
      </c>
      <c r="P2443" s="2">
        <v>2.3185525739999999</v>
      </c>
      <c r="Q2443" s="2">
        <v>2.3720652360000001</v>
      </c>
      <c r="R2443" s="2">
        <v>0.52289100899999996</v>
      </c>
      <c r="S2443" s="2">
        <v>0.62289100900000005</v>
      </c>
      <c r="T2443" s="2">
        <v>2.2588207169999999</v>
      </c>
      <c r="U2443" s="2">
        <v>2.2888207170000001</v>
      </c>
      <c r="V2443" s="2">
        <v>0.63148465200000004</v>
      </c>
      <c r="W2443" s="2">
        <v>0.55316994900000005</v>
      </c>
      <c r="X2443">
        <f t="shared" si="114"/>
        <v>1</v>
      </c>
      <c r="Y2443">
        <f t="shared" si="115"/>
        <v>0</v>
      </c>
      <c r="Z2443">
        <f t="shared" si="116"/>
        <v>0</v>
      </c>
    </row>
    <row r="2444" spans="1:26" ht="15.75" customHeight="1" x14ac:dyDescent="0.2">
      <c r="A2444" s="2" t="s">
        <v>36</v>
      </c>
      <c r="B2444" s="2" t="s">
        <v>24</v>
      </c>
      <c r="C2444" s="2" t="s">
        <v>30</v>
      </c>
      <c r="D2444" s="2" t="s">
        <v>31</v>
      </c>
      <c r="E2444" s="2">
        <v>166</v>
      </c>
      <c r="F2444" s="2">
        <v>207</v>
      </c>
      <c r="G2444" s="2">
        <v>771</v>
      </c>
      <c r="H2444" s="2">
        <v>1581</v>
      </c>
      <c r="I2444" s="2">
        <v>2987</v>
      </c>
      <c r="J2444" s="2">
        <v>2.0299999999999998</v>
      </c>
      <c r="K2444" s="2">
        <v>7.04</v>
      </c>
      <c r="L2444" s="2">
        <v>11.44</v>
      </c>
      <c r="M2444" s="2">
        <v>15.66</v>
      </c>
      <c r="N2444" s="2">
        <v>3.7150706919999998</v>
      </c>
      <c r="O2444" s="2">
        <v>3.5500371049999999</v>
      </c>
      <c r="P2444" s="2">
        <v>2.3465660150000001</v>
      </c>
      <c r="Q2444" s="2">
        <v>2.2465242650000001</v>
      </c>
      <c r="R2444" s="2">
        <v>2.346494141</v>
      </c>
      <c r="S2444" s="2">
        <v>2.2464941409999999</v>
      </c>
      <c r="T2444" s="2">
        <v>1.8365963999999999E-2</v>
      </c>
      <c r="U2444" s="2">
        <v>1.1634036E-2</v>
      </c>
      <c r="V2444" s="2">
        <v>3.500869802</v>
      </c>
      <c r="W2444" s="2">
        <v>3.4225550980000001</v>
      </c>
      <c r="X2444">
        <f t="shared" si="114"/>
        <v>1</v>
      </c>
      <c r="Y2444">
        <f t="shared" si="115"/>
        <v>0</v>
      </c>
      <c r="Z2444">
        <f t="shared" si="116"/>
        <v>1</v>
      </c>
    </row>
    <row r="2445" spans="1:26" ht="15.75" customHeight="1" x14ac:dyDescent="0.2">
      <c r="A2445" s="2" t="s">
        <v>36</v>
      </c>
      <c r="B2445" s="2" t="s">
        <v>24</v>
      </c>
      <c r="C2445" s="2" t="s">
        <v>25</v>
      </c>
      <c r="D2445" s="2" t="s">
        <v>25</v>
      </c>
      <c r="E2445" s="2">
        <v>243</v>
      </c>
      <c r="F2445" s="2">
        <v>210</v>
      </c>
      <c r="G2445" s="2">
        <v>775</v>
      </c>
      <c r="H2445" s="2">
        <v>1451</v>
      </c>
      <c r="I2445" s="2">
        <v>2888</v>
      </c>
      <c r="J2445" s="2">
        <v>2.06</v>
      </c>
      <c r="K2445" s="2">
        <v>7.07</v>
      </c>
      <c r="L2445" s="2">
        <v>10.87</v>
      </c>
      <c r="M2445" s="2">
        <v>15.44</v>
      </c>
      <c r="N2445" s="2">
        <v>0.73747951700000003</v>
      </c>
      <c r="O2445" s="2">
        <v>0.69916159300000003</v>
      </c>
      <c r="P2445" s="2">
        <v>2.450626368</v>
      </c>
      <c r="Q2445" s="2">
        <v>2.3463576330000002</v>
      </c>
      <c r="R2445" s="2">
        <v>2.3793248839999999</v>
      </c>
      <c r="S2445" s="2">
        <v>2.2793248840000002</v>
      </c>
      <c r="T2445" s="2">
        <v>0.58684128199999996</v>
      </c>
      <c r="U2445" s="2">
        <v>0.55684128200000005</v>
      </c>
      <c r="V2445" s="2">
        <v>3.5337005449999999</v>
      </c>
      <c r="W2445" s="2">
        <v>3.4553858420000001</v>
      </c>
      <c r="X2445">
        <f t="shared" si="114"/>
        <v>1</v>
      </c>
      <c r="Y2445">
        <f t="shared" si="115"/>
        <v>0</v>
      </c>
      <c r="Z2445">
        <f t="shared" si="116"/>
        <v>0</v>
      </c>
    </row>
    <row r="2446" spans="1:26" ht="15.75" customHeight="1" x14ac:dyDescent="0.2">
      <c r="A2446" s="2" t="s">
        <v>36</v>
      </c>
      <c r="B2446" s="2" t="s">
        <v>24</v>
      </c>
      <c r="C2446" s="2" t="s">
        <v>30</v>
      </c>
      <c r="D2446" s="2" t="s">
        <v>31</v>
      </c>
      <c r="E2446" s="2">
        <v>219</v>
      </c>
      <c r="F2446" s="2">
        <v>215</v>
      </c>
      <c r="G2446" s="2">
        <v>595</v>
      </c>
      <c r="H2446" s="2">
        <v>1128</v>
      </c>
      <c r="I2446" s="2">
        <v>2232</v>
      </c>
      <c r="J2446" s="2">
        <v>2.12</v>
      </c>
      <c r="K2446" s="2">
        <v>5.71</v>
      </c>
      <c r="L2446" s="2">
        <v>9.26</v>
      </c>
      <c r="M2446" s="2">
        <v>13.74</v>
      </c>
      <c r="N2446" s="2">
        <v>4.8687119049999996</v>
      </c>
      <c r="O2446" s="2">
        <v>4.7490793470000003</v>
      </c>
      <c r="P2446" s="2">
        <v>2.4234133309999999</v>
      </c>
      <c r="Q2446" s="2">
        <v>2.3552801639999998</v>
      </c>
      <c r="R2446" s="2">
        <v>1.0234246579999999</v>
      </c>
      <c r="S2446" s="2">
        <v>0.92342465799999995</v>
      </c>
      <c r="T2446" s="2">
        <v>2.196709845</v>
      </c>
      <c r="U2446" s="2">
        <v>2.1667098450000002</v>
      </c>
      <c r="V2446" s="2">
        <v>2.1778003180000001</v>
      </c>
      <c r="W2446" s="2">
        <v>2.0994856149999999</v>
      </c>
      <c r="X2446">
        <f t="shared" si="114"/>
        <v>1</v>
      </c>
      <c r="Y2446">
        <f t="shared" si="115"/>
        <v>0</v>
      </c>
      <c r="Z2446">
        <f t="shared" si="116"/>
        <v>1</v>
      </c>
    </row>
    <row r="2447" spans="1:26" ht="15.75" customHeight="1" x14ac:dyDescent="0.2">
      <c r="A2447" s="2" t="s">
        <v>36</v>
      </c>
      <c r="B2447" s="2" t="s">
        <v>24</v>
      </c>
      <c r="C2447" s="2" t="s">
        <v>25</v>
      </c>
      <c r="D2447" s="2" t="s">
        <v>25</v>
      </c>
      <c r="E2447" s="2">
        <v>203</v>
      </c>
      <c r="F2447" s="2">
        <v>254</v>
      </c>
      <c r="G2447" s="2">
        <v>838</v>
      </c>
      <c r="H2447" s="2">
        <v>1377</v>
      </c>
      <c r="I2447" s="2">
        <v>2714</v>
      </c>
      <c r="J2447" s="2">
        <v>2.54</v>
      </c>
      <c r="K2447" s="2">
        <v>7.5</v>
      </c>
      <c r="L2447" s="2">
        <v>10.53</v>
      </c>
      <c r="M2447" s="2">
        <v>15.04</v>
      </c>
      <c r="N2447" s="2">
        <v>0.50831019099999997</v>
      </c>
      <c r="O2447" s="2">
        <v>0.61727400899999996</v>
      </c>
      <c r="P2447" s="2">
        <v>2.3389310050000001</v>
      </c>
      <c r="Q2447" s="2">
        <v>2.234875674</v>
      </c>
      <c r="R2447" s="2">
        <v>2.1795854179999998</v>
      </c>
      <c r="S2447" s="2">
        <v>2.0795854180000002</v>
      </c>
      <c r="T2447" s="2">
        <v>0.84853146899999998</v>
      </c>
      <c r="U2447" s="2">
        <v>0.81853146899999996</v>
      </c>
      <c r="V2447" s="2">
        <v>3.9509022040000001</v>
      </c>
      <c r="W2447" s="2">
        <v>3.8842912439999999</v>
      </c>
      <c r="X2447">
        <f t="shared" si="114"/>
        <v>1</v>
      </c>
      <c r="Y2447">
        <f t="shared" si="115"/>
        <v>0</v>
      </c>
      <c r="Z2447">
        <f t="shared" si="116"/>
        <v>0</v>
      </c>
    </row>
    <row r="2448" spans="1:26" ht="15.75" customHeight="1" x14ac:dyDescent="0.2">
      <c r="A2448" s="2" t="s">
        <v>36</v>
      </c>
      <c r="B2448" s="2" t="s">
        <v>24</v>
      </c>
      <c r="C2448" s="2" t="s">
        <v>26</v>
      </c>
      <c r="D2448" s="2" t="s">
        <v>26</v>
      </c>
      <c r="E2448" s="2">
        <v>173</v>
      </c>
      <c r="F2448" s="2">
        <v>205</v>
      </c>
      <c r="G2448" s="2">
        <v>524</v>
      </c>
      <c r="H2448" s="2">
        <v>1105</v>
      </c>
      <c r="I2448" s="2">
        <v>3213</v>
      </c>
      <c r="J2448" s="2">
        <v>2</v>
      </c>
      <c r="K2448" s="2">
        <v>5.12</v>
      </c>
      <c r="L2448" s="2">
        <v>9.1300000000000008</v>
      </c>
      <c r="M2448" s="2">
        <v>16.12</v>
      </c>
      <c r="N2448" s="2">
        <v>0.25155924899999998</v>
      </c>
      <c r="O2448" s="2">
        <v>0.34764837599999998</v>
      </c>
      <c r="P2448" s="2">
        <v>2.254914689</v>
      </c>
      <c r="Q2448" s="2">
        <v>2.2361166319999999</v>
      </c>
      <c r="R2448" s="2">
        <v>0.19726748099999999</v>
      </c>
      <c r="S2448" s="2">
        <v>0.297267481</v>
      </c>
      <c r="T2448" s="2">
        <v>2.2462693059999999</v>
      </c>
      <c r="U2448" s="2">
        <v>2.2162693060000001</v>
      </c>
      <c r="V2448" s="2">
        <v>1.574049305</v>
      </c>
      <c r="W2448" s="2">
        <v>1.507438345</v>
      </c>
      <c r="X2448">
        <f t="shared" si="114"/>
        <v>1</v>
      </c>
      <c r="Y2448">
        <f t="shared" si="115"/>
        <v>0</v>
      </c>
      <c r="Z2448">
        <f t="shared" si="116"/>
        <v>0</v>
      </c>
    </row>
    <row r="2449" spans="1:26" ht="15.75" customHeight="1" x14ac:dyDescent="0.2">
      <c r="A2449" s="2" t="s">
        <v>36</v>
      </c>
      <c r="B2449" s="2" t="s">
        <v>24</v>
      </c>
      <c r="C2449" s="2" t="s">
        <v>27</v>
      </c>
      <c r="D2449" s="2" t="s">
        <v>27</v>
      </c>
      <c r="E2449" s="2">
        <v>146</v>
      </c>
      <c r="F2449" s="2">
        <v>150</v>
      </c>
      <c r="G2449" s="2">
        <v>564</v>
      </c>
      <c r="H2449" s="2">
        <v>1926</v>
      </c>
      <c r="I2449" s="2">
        <v>2754</v>
      </c>
      <c r="J2449" s="2">
        <v>1.37</v>
      </c>
      <c r="K2449" s="2">
        <v>5.46</v>
      </c>
      <c r="L2449" s="2">
        <v>12.76</v>
      </c>
      <c r="M2449" s="2">
        <v>15.13</v>
      </c>
      <c r="N2449" s="2">
        <v>1.1734603880000001</v>
      </c>
      <c r="O2449" s="2">
        <v>1.2333996460000001</v>
      </c>
      <c r="P2449" s="2">
        <v>1.38632921</v>
      </c>
      <c r="Q2449" s="2">
        <v>1.4095483369999999</v>
      </c>
      <c r="R2449" s="2">
        <v>0.143573221</v>
      </c>
      <c r="S2449" s="2">
        <v>4.3573221000000002E-2</v>
      </c>
      <c r="T2449" s="2">
        <v>1.3788746890000001</v>
      </c>
      <c r="U2449" s="2">
        <v>1.4088746889999999</v>
      </c>
      <c r="V2449" s="2">
        <v>1.9148900069999999</v>
      </c>
      <c r="W2449" s="2">
        <v>1.848279046</v>
      </c>
      <c r="X2449">
        <f t="shared" si="114"/>
        <v>1</v>
      </c>
      <c r="Y2449">
        <f t="shared" si="115"/>
        <v>0</v>
      </c>
      <c r="Z2449">
        <f t="shared" si="116"/>
        <v>0</v>
      </c>
    </row>
    <row r="2450" spans="1:26" ht="15.75" customHeight="1" x14ac:dyDescent="0.2">
      <c r="A2450" s="2" t="s">
        <v>36</v>
      </c>
      <c r="B2450" s="2" t="s">
        <v>24</v>
      </c>
      <c r="C2450" s="2" t="s">
        <v>28</v>
      </c>
      <c r="D2450" s="2" t="s">
        <v>29</v>
      </c>
      <c r="E2450" s="2">
        <v>160</v>
      </c>
      <c r="F2450" s="2">
        <v>242</v>
      </c>
      <c r="G2450" s="2">
        <v>394</v>
      </c>
      <c r="H2450" s="2">
        <v>1162</v>
      </c>
      <c r="I2450" s="2">
        <v>2635</v>
      </c>
      <c r="J2450" s="2">
        <v>2.41</v>
      </c>
      <c r="K2450" s="2">
        <v>3.96</v>
      </c>
      <c r="L2450" s="2">
        <v>9.4499999999999993</v>
      </c>
      <c r="M2450" s="2">
        <v>14.84</v>
      </c>
      <c r="N2450" s="2">
        <v>1.434554866</v>
      </c>
      <c r="O2450" s="2">
        <v>1.538428184</v>
      </c>
      <c r="P2450" s="2">
        <v>2.3633704309999999</v>
      </c>
      <c r="Q2450" s="2">
        <v>2.3984022610000002</v>
      </c>
      <c r="R2450" s="2">
        <v>1.3595242809999999</v>
      </c>
      <c r="S2450" s="2">
        <v>1.459524281</v>
      </c>
      <c r="T2450" s="2">
        <v>1.9331874</v>
      </c>
      <c r="U2450" s="2">
        <v>1.9031874</v>
      </c>
      <c r="V2450" s="2">
        <v>0.41179250499999998</v>
      </c>
      <c r="W2450" s="2">
        <v>0.34518154400000001</v>
      </c>
      <c r="X2450">
        <f t="shared" si="114"/>
        <v>1</v>
      </c>
      <c r="Y2450">
        <f t="shared" si="115"/>
        <v>0</v>
      </c>
      <c r="Z2450">
        <f t="shared" si="116"/>
        <v>1</v>
      </c>
    </row>
    <row r="2451" spans="1:26" ht="15.75" customHeight="1" x14ac:dyDescent="0.2">
      <c r="A2451" s="2" t="s">
        <v>36</v>
      </c>
      <c r="B2451" s="2" t="s">
        <v>24</v>
      </c>
      <c r="C2451" s="2" t="s">
        <v>30</v>
      </c>
      <c r="D2451" s="2" t="s">
        <v>31</v>
      </c>
      <c r="E2451" s="2">
        <v>178</v>
      </c>
      <c r="F2451" s="2">
        <v>262</v>
      </c>
      <c r="G2451" s="2">
        <v>740</v>
      </c>
      <c r="H2451" s="2">
        <v>1222</v>
      </c>
      <c r="I2451" s="2">
        <v>2535</v>
      </c>
      <c r="J2451" s="2">
        <v>2.63</v>
      </c>
      <c r="K2451" s="2">
        <v>6.82</v>
      </c>
      <c r="L2451" s="2">
        <v>9.77</v>
      </c>
      <c r="M2451" s="2">
        <v>14.59</v>
      </c>
      <c r="N2451" s="2">
        <v>4.4405086540000003</v>
      </c>
      <c r="O2451" s="2">
        <v>4.4800199090000001</v>
      </c>
      <c r="P2451" s="2">
        <v>2.1991036309999998</v>
      </c>
      <c r="Q2451" s="2">
        <v>2.1097665760000002</v>
      </c>
      <c r="R2451" s="2">
        <v>1.495522904</v>
      </c>
      <c r="S2451" s="2">
        <v>1.3955229039999999</v>
      </c>
      <c r="T2451" s="2">
        <v>1.6122865820000001</v>
      </c>
      <c r="U2451" s="2">
        <v>1.5822865820000001</v>
      </c>
      <c r="V2451" s="2">
        <v>3.2668396899999999</v>
      </c>
      <c r="W2451" s="2">
        <v>3.200228729</v>
      </c>
      <c r="X2451">
        <f t="shared" si="114"/>
        <v>1</v>
      </c>
      <c r="Y2451">
        <f t="shared" si="115"/>
        <v>0</v>
      </c>
      <c r="Z2451">
        <f t="shared" si="116"/>
        <v>1</v>
      </c>
    </row>
    <row r="2452" spans="1:26" ht="15.75" customHeight="1" x14ac:dyDescent="0.2">
      <c r="A2452" s="2" t="s">
        <v>36</v>
      </c>
      <c r="B2452" s="2" t="s">
        <v>24</v>
      </c>
      <c r="C2452" s="2" t="s">
        <v>26</v>
      </c>
      <c r="D2452" s="2" t="s">
        <v>26</v>
      </c>
      <c r="E2452" s="2">
        <v>189</v>
      </c>
      <c r="F2452" s="2">
        <v>234</v>
      </c>
      <c r="G2452" s="2">
        <v>547</v>
      </c>
      <c r="H2452" s="2">
        <v>955</v>
      </c>
      <c r="I2452" s="2">
        <v>3134</v>
      </c>
      <c r="J2452" s="2">
        <v>2.33</v>
      </c>
      <c r="K2452" s="2">
        <v>5.32</v>
      </c>
      <c r="L2452" s="2">
        <v>8.25</v>
      </c>
      <c r="M2452" s="2">
        <v>15.97</v>
      </c>
      <c r="N2452" s="2">
        <v>0.93004648099999998</v>
      </c>
      <c r="O2452" s="2">
        <v>0.91117271099999997</v>
      </c>
      <c r="P2452" s="2">
        <v>3.1286825450000002</v>
      </c>
      <c r="Q2452" s="2">
        <v>3.1003070359999998</v>
      </c>
      <c r="R2452" s="2">
        <v>3.5101700000000002E-4</v>
      </c>
      <c r="S2452" s="2">
        <v>0.100351017</v>
      </c>
      <c r="T2452" s="2">
        <v>3.1286825249999999</v>
      </c>
      <c r="U2452" s="2">
        <v>3.0986825250000001</v>
      </c>
      <c r="V2452" s="2">
        <v>1.770965769</v>
      </c>
      <c r="W2452" s="2">
        <v>1.7043548079999999</v>
      </c>
      <c r="X2452">
        <f t="shared" si="114"/>
        <v>1</v>
      </c>
      <c r="Y2452">
        <f t="shared" si="115"/>
        <v>0</v>
      </c>
      <c r="Z2452">
        <f t="shared" si="116"/>
        <v>0</v>
      </c>
    </row>
    <row r="2453" spans="1:26" ht="15.75" customHeight="1" x14ac:dyDescent="0.2">
      <c r="A2453" s="2" t="s">
        <v>36</v>
      </c>
      <c r="B2453" s="2" t="s">
        <v>24</v>
      </c>
      <c r="C2453" s="2" t="s">
        <v>28</v>
      </c>
      <c r="D2453" s="2" t="s">
        <v>29</v>
      </c>
      <c r="E2453" s="2">
        <v>160</v>
      </c>
      <c r="F2453" s="2">
        <v>237</v>
      </c>
      <c r="G2453" s="2">
        <v>440</v>
      </c>
      <c r="H2453" s="2">
        <v>1121</v>
      </c>
      <c r="I2453" s="2">
        <v>2773</v>
      </c>
      <c r="J2453" s="2">
        <v>2.36</v>
      </c>
      <c r="K2453" s="2">
        <v>4.3899999999999997</v>
      </c>
      <c r="L2453" s="2">
        <v>9.2200000000000006</v>
      </c>
      <c r="M2453" s="2">
        <v>15.18</v>
      </c>
      <c r="N2453" s="2">
        <v>0.98272452700000001</v>
      </c>
      <c r="O2453" s="2">
        <v>1.084238458</v>
      </c>
      <c r="P2453" s="2">
        <v>2.3498560049999999</v>
      </c>
      <c r="Q2453" s="2">
        <v>2.3642438079999999</v>
      </c>
      <c r="R2453" s="2">
        <v>0.931792807</v>
      </c>
      <c r="S2453" s="2">
        <v>1.031792807</v>
      </c>
      <c r="T2453" s="2">
        <v>2.1572170530000001</v>
      </c>
      <c r="U2453" s="2">
        <v>2.1272170529999999</v>
      </c>
      <c r="V2453" s="2">
        <v>0.83952397899999998</v>
      </c>
      <c r="W2453" s="2">
        <v>0.77291301899999998</v>
      </c>
      <c r="X2453">
        <f t="shared" si="114"/>
        <v>1</v>
      </c>
      <c r="Y2453">
        <f t="shared" si="115"/>
        <v>0</v>
      </c>
      <c r="Z2453">
        <f t="shared" si="116"/>
        <v>1</v>
      </c>
    </row>
    <row r="2454" spans="1:26" ht="15.75" customHeight="1" x14ac:dyDescent="0.2">
      <c r="A2454" s="2" t="s">
        <v>36</v>
      </c>
      <c r="B2454" s="2" t="s">
        <v>24</v>
      </c>
      <c r="C2454" s="2" t="s">
        <v>32</v>
      </c>
      <c r="D2454" s="2" t="s">
        <v>33</v>
      </c>
      <c r="E2454" s="2">
        <v>158</v>
      </c>
      <c r="F2454" s="2">
        <v>235</v>
      </c>
      <c r="G2454" s="2">
        <v>649</v>
      </c>
      <c r="H2454" s="2">
        <v>1018</v>
      </c>
      <c r="I2454" s="2">
        <v>2699</v>
      </c>
      <c r="J2454" s="2">
        <v>2.34</v>
      </c>
      <c r="K2454" s="2">
        <v>6.14</v>
      </c>
      <c r="L2454" s="2">
        <v>8.6300000000000008</v>
      </c>
      <c r="M2454" s="2">
        <v>15</v>
      </c>
      <c r="N2454" s="2">
        <v>2.8181877050000002</v>
      </c>
      <c r="O2454" s="2">
        <v>2.939456372</v>
      </c>
      <c r="P2454" s="2">
        <v>2.8648579980000002</v>
      </c>
      <c r="Q2454" s="2">
        <v>2.8088742959999999</v>
      </c>
      <c r="R2454" s="2">
        <v>0.81910310500000005</v>
      </c>
      <c r="S2454" s="2">
        <v>0.71910310499999996</v>
      </c>
      <c r="T2454" s="2">
        <v>2.7452652789999998</v>
      </c>
      <c r="U2454" s="2">
        <v>2.715265279</v>
      </c>
      <c r="V2454" s="2">
        <v>2.5904198909999998</v>
      </c>
      <c r="W2454" s="2">
        <v>2.52380893</v>
      </c>
      <c r="X2454">
        <f t="shared" si="114"/>
        <v>1</v>
      </c>
      <c r="Y2454">
        <f t="shared" si="115"/>
        <v>0</v>
      </c>
      <c r="Z2454">
        <f t="shared" si="116"/>
        <v>1</v>
      </c>
    </row>
    <row r="2455" spans="1:26" ht="15.75" customHeight="1" x14ac:dyDescent="0.2">
      <c r="A2455" s="2" t="s">
        <v>36</v>
      </c>
      <c r="B2455" s="2" t="s">
        <v>24</v>
      </c>
      <c r="C2455" s="2" t="s">
        <v>32</v>
      </c>
      <c r="D2455" s="2" t="s">
        <v>33</v>
      </c>
      <c r="E2455" s="2">
        <v>184</v>
      </c>
      <c r="F2455" s="2">
        <v>239</v>
      </c>
      <c r="G2455" s="2">
        <v>801</v>
      </c>
      <c r="H2455" s="2">
        <v>1001</v>
      </c>
      <c r="I2455" s="2">
        <v>2687</v>
      </c>
      <c r="J2455" s="2">
        <v>2.38</v>
      </c>
      <c r="K2455" s="2">
        <v>7.25</v>
      </c>
      <c r="L2455" s="2">
        <v>8.5399999999999991</v>
      </c>
      <c r="M2455" s="2">
        <v>14.97</v>
      </c>
      <c r="N2455" s="2">
        <v>2.514964934</v>
      </c>
      <c r="O2455" s="2">
        <v>2.6109268499999998</v>
      </c>
      <c r="P2455" s="2">
        <v>3.437630822</v>
      </c>
      <c r="Q2455" s="2">
        <v>3.357303929</v>
      </c>
      <c r="R2455" s="2">
        <v>1.9302076290000001</v>
      </c>
      <c r="S2455" s="2">
        <v>1.830207629</v>
      </c>
      <c r="T2455" s="2">
        <v>2.8445745160000002</v>
      </c>
      <c r="U2455" s="2">
        <v>2.814574516</v>
      </c>
      <c r="V2455" s="2">
        <v>3.7015244150000002</v>
      </c>
      <c r="W2455" s="2">
        <v>3.634913455</v>
      </c>
      <c r="X2455">
        <f t="shared" si="114"/>
        <v>1</v>
      </c>
      <c r="Y2455">
        <f t="shared" si="115"/>
        <v>0</v>
      </c>
      <c r="Z2455">
        <f t="shared" si="116"/>
        <v>1</v>
      </c>
    </row>
    <row r="2456" spans="1:26" ht="15.75" customHeight="1" x14ac:dyDescent="0.2">
      <c r="A2456" s="2" t="s">
        <v>36</v>
      </c>
      <c r="B2456" s="2" t="s">
        <v>24</v>
      </c>
      <c r="C2456" s="2" t="s">
        <v>25</v>
      </c>
      <c r="D2456" s="2" t="s">
        <v>25</v>
      </c>
      <c r="E2456" s="2">
        <v>211</v>
      </c>
      <c r="F2456" s="2">
        <v>263</v>
      </c>
      <c r="G2456" s="2">
        <v>813</v>
      </c>
      <c r="H2456" s="2">
        <v>1379</v>
      </c>
      <c r="I2456" s="2">
        <v>2172</v>
      </c>
      <c r="J2456" s="2">
        <v>2.65</v>
      </c>
      <c r="K2456" s="2">
        <v>7.33</v>
      </c>
      <c r="L2456" s="2">
        <v>10.54</v>
      </c>
      <c r="M2456" s="2">
        <v>13.56</v>
      </c>
      <c r="N2456" s="2">
        <v>0.56910651899999998</v>
      </c>
      <c r="O2456" s="2">
        <v>0.69198021200000004</v>
      </c>
      <c r="P2456" s="2">
        <v>2.175052719</v>
      </c>
      <c r="Q2456" s="2">
        <v>2.0712311680000002</v>
      </c>
      <c r="R2456" s="2">
        <v>2.0079923059999998</v>
      </c>
      <c r="S2456" s="2">
        <v>1.9079923059999999</v>
      </c>
      <c r="T2456" s="2">
        <v>0.83595527999999997</v>
      </c>
      <c r="U2456" s="2">
        <v>0.80595528000000005</v>
      </c>
      <c r="V2456" s="2">
        <v>3.7793090920000001</v>
      </c>
      <c r="W2456" s="2">
        <v>3.7126981309999998</v>
      </c>
      <c r="X2456">
        <f t="shared" si="114"/>
        <v>1</v>
      </c>
      <c r="Y2456">
        <f t="shared" si="115"/>
        <v>0</v>
      </c>
      <c r="Z2456">
        <f t="shared" si="116"/>
        <v>0</v>
      </c>
    </row>
    <row r="2457" spans="1:26" ht="15.75" customHeight="1" x14ac:dyDescent="0.2">
      <c r="A2457" s="2" t="s">
        <v>36</v>
      </c>
      <c r="B2457" s="2" t="s">
        <v>24</v>
      </c>
      <c r="C2457" s="2" t="s">
        <v>32</v>
      </c>
      <c r="D2457" s="2" t="s">
        <v>33</v>
      </c>
      <c r="E2457" s="2">
        <v>160</v>
      </c>
      <c r="F2457" s="2">
        <v>262</v>
      </c>
      <c r="G2457" s="2">
        <v>795</v>
      </c>
      <c r="H2457" s="2">
        <v>1204</v>
      </c>
      <c r="I2457" s="2">
        <v>3001</v>
      </c>
      <c r="J2457" s="2">
        <v>2.63</v>
      </c>
      <c r="K2457" s="2">
        <v>7.21</v>
      </c>
      <c r="L2457" s="2">
        <v>9.67</v>
      </c>
      <c r="M2457" s="2">
        <v>15.69</v>
      </c>
      <c r="N2457" s="2">
        <v>1.4135967469999999</v>
      </c>
      <c r="O2457" s="2">
        <v>1.5219383989999999</v>
      </c>
      <c r="P2457" s="2">
        <v>2.5453126020000001</v>
      </c>
      <c r="Q2457" s="2">
        <v>2.4514056470000001</v>
      </c>
      <c r="R2457" s="2">
        <v>1.8887684490000001</v>
      </c>
      <c r="S2457" s="2">
        <v>1.788768449</v>
      </c>
      <c r="T2457" s="2">
        <v>1.7062151059999999</v>
      </c>
      <c r="U2457" s="2">
        <v>1.6762151059999999</v>
      </c>
      <c r="V2457" s="2">
        <v>3.6600852349999999</v>
      </c>
      <c r="W2457" s="2">
        <v>3.5934742740000001</v>
      </c>
      <c r="X2457">
        <f t="shared" si="114"/>
        <v>1</v>
      </c>
      <c r="Y2457">
        <f t="shared" si="115"/>
        <v>0</v>
      </c>
      <c r="Z2457">
        <f t="shared" si="116"/>
        <v>1</v>
      </c>
    </row>
    <row r="2458" spans="1:26" ht="15.75" customHeight="1" x14ac:dyDescent="0.2">
      <c r="A2458" s="2" t="s">
        <v>36</v>
      </c>
      <c r="B2458" s="2" t="s">
        <v>24</v>
      </c>
      <c r="C2458" s="2" t="s">
        <v>32</v>
      </c>
      <c r="D2458" s="2" t="s">
        <v>33</v>
      </c>
      <c r="E2458" s="2">
        <v>177</v>
      </c>
      <c r="F2458" s="2">
        <v>231</v>
      </c>
      <c r="G2458" s="2">
        <v>754</v>
      </c>
      <c r="H2458" s="2">
        <v>1111</v>
      </c>
      <c r="I2458" s="2">
        <v>2829</v>
      </c>
      <c r="J2458" s="2">
        <v>2.2999999999999998</v>
      </c>
      <c r="K2458" s="2">
        <v>6.92</v>
      </c>
      <c r="L2458" s="2">
        <v>9.17</v>
      </c>
      <c r="M2458" s="2">
        <v>15.31</v>
      </c>
      <c r="N2458" s="2">
        <v>1.985763911</v>
      </c>
      <c r="O2458" s="2">
        <v>2.0975376429999999</v>
      </c>
      <c r="P2458" s="2">
        <v>2.7295327399999998</v>
      </c>
      <c r="Q2458" s="2">
        <v>2.6473486660000001</v>
      </c>
      <c r="R2458" s="2">
        <v>1.6006975320000001</v>
      </c>
      <c r="S2458" s="2">
        <v>1.500697532</v>
      </c>
      <c r="T2458" s="2">
        <v>2.2109084989999999</v>
      </c>
      <c r="U2458" s="2">
        <v>2.1809084990000001</v>
      </c>
      <c r="V2458" s="2">
        <v>3.3720143180000002</v>
      </c>
      <c r="W2458" s="2">
        <v>3.3054033569999999</v>
      </c>
      <c r="X2458">
        <f t="shared" si="114"/>
        <v>1</v>
      </c>
      <c r="Y2458">
        <f t="shared" si="115"/>
        <v>0</v>
      </c>
      <c r="Z2458">
        <f t="shared" si="116"/>
        <v>1</v>
      </c>
    </row>
    <row r="2459" spans="1:26" ht="15.75" customHeight="1" x14ac:dyDescent="0.2">
      <c r="A2459" s="2" t="s">
        <v>36</v>
      </c>
      <c r="B2459" s="2" t="s">
        <v>24</v>
      </c>
      <c r="C2459" s="2" t="s">
        <v>25</v>
      </c>
      <c r="D2459" s="2" t="s">
        <v>25</v>
      </c>
      <c r="E2459" s="2">
        <v>158</v>
      </c>
      <c r="F2459" s="2">
        <v>260</v>
      </c>
      <c r="G2459" s="2">
        <v>861</v>
      </c>
      <c r="H2459" s="2">
        <v>1477</v>
      </c>
      <c r="I2459" s="2">
        <v>2779</v>
      </c>
      <c r="J2459" s="2">
        <v>2.61</v>
      </c>
      <c r="K2459" s="2">
        <v>7.65</v>
      </c>
      <c r="L2459" s="2">
        <v>10.99</v>
      </c>
      <c r="M2459" s="2">
        <v>15.19</v>
      </c>
      <c r="N2459" s="2">
        <v>3.0125735000000001E-2</v>
      </c>
      <c r="O2459" s="2">
        <v>0.13833703999999999</v>
      </c>
      <c r="P2459" s="2">
        <v>2.3646405170000002</v>
      </c>
      <c r="Q2459" s="2">
        <v>2.2611158499999999</v>
      </c>
      <c r="R2459" s="2">
        <v>2.3327047150000002</v>
      </c>
      <c r="S2459" s="2">
        <v>2.2327047150000001</v>
      </c>
      <c r="T2459" s="2">
        <v>0.38731574899999999</v>
      </c>
      <c r="U2459" s="2">
        <v>0.35731574900000002</v>
      </c>
      <c r="V2459" s="2">
        <v>4.1040215010000001</v>
      </c>
      <c r="W2459" s="2">
        <v>4.0374105399999998</v>
      </c>
      <c r="X2459">
        <f t="shared" si="114"/>
        <v>1</v>
      </c>
      <c r="Y2459">
        <f t="shared" si="115"/>
        <v>0</v>
      </c>
      <c r="Z2459">
        <f t="shared" si="116"/>
        <v>0</v>
      </c>
    </row>
    <row r="2460" spans="1:26" ht="15.75" customHeight="1" x14ac:dyDescent="0.2">
      <c r="A2460" s="2" t="s">
        <v>36</v>
      </c>
      <c r="B2460" s="2" t="s">
        <v>24</v>
      </c>
      <c r="C2460" s="2" t="s">
        <v>25</v>
      </c>
      <c r="D2460" s="2" t="s">
        <v>25</v>
      </c>
      <c r="E2460" s="2">
        <v>190</v>
      </c>
      <c r="F2460" s="2">
        <v>240</v>
      </c>
      <c r="G2460" s="2">
        <v>816</v>
      </c>
      <c r="H2460" s="2">
        <v>1237</v>
      </c>
      <c r="I2460" s="2">
        <v>2200</v>
      </c>
      <c r="J2460" s="2">
        <v>2.39</v>
      </c>
      <c r="K2460" s="2">
        <v>7.35</v>
      </c>
      <c r="L2460" s="2">
        <v>9.85</v>
      </c>
      <c r="M2460" s="2">
        <v>13.65</v>
      </c>
      <c r="N2460" s="2">
        <v>1.209363481</v>
      </c>
      <c r="O2460" s="2">
        <v>1.3131363</v>
      </c>
      <c r="P2460" s="2">
        <v>2.5473226859999998</v>
      </c>
      <c r="Q2460" s="2">
        <v>2.4497059480000001</v>
      </c>
      <c r="R2460" s="2">
        <v>2.0330219710000001</v>
      </c>
      <c r="S2460" s="2">
        <v>1.9330219710000001</v>
      </c>
      <c r="T2460" s="2">
        <v>1.534820684</v>
      </c>
      <c r="U2460" s="2">
        <v>1.504820684</v>
      </c>
      <c r="V2460" s="2">
        <v>3.804338757</v>
      </c>
      <c r="W2460" s="2">
        <v>3.7377277969999998</v>
      </c>
      <c r="X2460">
        <f t="shared" si="114"/>
        <v>1</v>
      </c>
      <c r="Y2460">
        <f t="shared" si="115"/>
        <v>0</v>
      </c>
      <c r="Z2460">
        <f t="shared" si="116"/>
        <v>0</v>
      </c>
    </row>
    <row r="2461" spans="1:26" ht="15.75" customHeight="1" x14ac:dyDescent="0.2">
      <c r="A2461" s="2" t="s">
        <v>36</v>
      </c>
      <c r="B2461" s="2" t="s">
        <v>24</v>
      </c>
      <c r="C2461" s="2" t="s">
        <v>27</v>
      </c>
      <c r="D2461" s="2" t="s">
        <v>27</v>
      </c>
      <c r="E2461" s="2">
        <v>158</v>
      </c>
      <c r="F2461" s="2">
        <v>156</v>
      </c>
      <c r="G2461" s="2">
        <v>517</v>
      </c>
      <c r="H2461" s="2">
        <v>2369</v>
      </c>
      <c r="I2461" s="2">
        <v>3155</v>
      </c>
      <c r="J2461" s="2">
        <v>1.45</v>
      </c>
      <c r="K2461" s="2">
        <v>5.0599999999999996</v>
      </c>
      <c r="L2461" s="2">
        <v>14.14</v>
      </c>
      <c r="M2461" s="2">
        <v>16.010000000000002</v>
      </c>
      <c r="N2461" s="2">
        <v>0.27205454899999998</v>
      </c>
      <c r="O2461" s="2">
        <v>0.27809650000000002</v>
      </c>
      <c r="P2461" s="2">
        <v>2.7725008099999999</v>
      </c>
      <c r="Q2461" s="2">
        <v>2.8133089739999999</v>
      </c>
      <c r="R2461" s="2">
        <v>0.25706594900000002</v>
      </c>
      <c r="S2461" s="2">
        <v>0.35706594899999999</v>
      </c>
      <c r="T2461" s="2">
        <v>2.7605575230000001</v>
      </c>
      <c r="U2461" s="2">
        <v>2.7905575229999999</v>
      </c>
      <c r="V2461" s="2">
        <v>1.5142508370000001</v>
      </c>
      <c r="W2461" s="2">
        <v>1.4476398770000001</v>
      </c>
      <c r="X2461">
        <f t="shared" si="114"/>
        <v>1</v>
      </c>
      <c r="Y2461">
        <f t="shared" si="115"/>
        <v>0</v>
      </c>
      <c r="Z2461">
        <f t="shared" si="116"/>
        <v>0</v>
      </c>
    </row>
    <row r="2462" spans="1:26" ht="15.75" customHeight="1" x14ac:dyDescent="0.2">
      <c r="A2462" s="2" t="s">
        <v>36</v>
      </c>
      <c r="B2462" s="2" t="s">
        <v>24</v>
      </c>
      <c r="C2462" s="2" t="s">
        <v>30</v>
      </c>
      <c r="D2462" s="2" t="s">
        <v>31</v>
      </c>
      <c r="E2462" s="2">
        <v>175</v>
      </c>
      <c r="F2462" s="2">
        <v>279</v>
      </c>
      <c r="G2462" s="2">
        <v>867</v>
      </c>
      <c r="H2462" s="2">
        <v>1440</v>
      </c>
      <c r="I2462" s="2">
        <v>3425</v>
      </c>
      <c r="J2462" s="2">
        <v>2.81</v>
      </c>
      <c r="K2462" s="2">
        <v>7.69</v>
      </c>
      <c r="L2462" s="2">
        <v>10.83</v>
      </c>
      <c r="M2462" s="2">
        <v>16.52</v>
      </c>
      <c r="N2462" s="2">
        <v>3.9620235090000002</v>
      </c>
      <c r="O2462" s="2">
        <v>3.9630552200000002</v>
      </c>
      <c r="P2462" s="2">
        <v>2.433857954</v>
      </c>
      <c r="Q2462" s="2">
        <v>2.329664229</v>
      </c>
      <c r="R2462" s="2">
        <v>2.3700471699999999</v>
      </c>
      <c r="S2462" s="2">
        <v>2.2700471699999998</v>
      </c>
      <c r="T2462" s="2">
        <v>0.55366140600000002</v>
      </c>
      <c r="U2462" s="2">
        <v>0.523661406</v>
      </c>
      <c r="V2462" s="2">
        <v>4.1413639560000002</v>
      </c>
      <c r="W2462" s="2">
        <v>4.0747529949999999</v>
      </c>
      <c r="X2462">
        <f t="shared" si="114"/>
        <v>1</v>
      </c>
      <c r="Y2462">
        <f t="shared" si="115"/>
        <v>0</v>
      </c>
      <c r="Z2462">
        <f t="shared" si="116"/>
        <v>1</v>
      </c>
    </row>
    <row r="2463" spans="1:26" ht="15.75" customHeight="1" x14ac:dyDescent="0.2">
      <c r="A2463" s="2" t="s">
        <v>36</v>
      </c>
      <c r="B2463" s="2" t="s">
        <v>24</v>
      </c>
      <c r="C2463" s="2" t="s">
        <v>28</v>
      </c>
      <c r="D2463" s="2" t="s">
        <v>29</v>
      </c>
      <c r="E2463" s="2">
        <v>159</v>
      </c>
      <c r="F2463" s="2">
        <v>156</v>
      </c>
      <c r="G2463" s="2">
        <v>403</v>
      </c>
      <c r="H2463" s="2">
        <v>1163</v>
      </c>
      <c r="I2463" s="2">
        <v>2619</v>
      </c>
      <c r="J2463" s="2">
        <v>1.44</v>
      </c>
      <c r="K2463" s="2">
        <v>4.05</v>
      </c>
      <c r="L2463" s="2">
        <v>9.4499999999999993</v>
      </c>
      <c r="M2463" s="2">
        <v>14.81</v>
      </c>
      <c r="N2463" s="2">
        <v>1.352208458</v>
      </c>
      <c r="O2463" s="2">
        <v>1.456229862</v>
      </c>
      <c r="P2463" s="2">
        <v>2.3110215680000001</v>
      </c>
      <c r="Q2463" s="2">
        <v>2.3432794069999998</v>
      </c>
      <c r="R2463" s="2">
        <v>1.2745275039999999</v>
      </c>
      <c r="S2463" s="2">
        <v>1.374527504</v>
      </c>
      <c r="T2463" s="2">
        <v>1.9277967549999999</v>
      </c>
      <c r="U2463" s="2">
        <v>1.8977967549999999</v>
      </c>
      <c r="V2463" s="2">
        <v>0.496789282</v>
      </c>
      <c r="W2463" s="2">
        <v>0.430178322</v>
      </c>
      <c r="X2463">
        <f t="shared" si="114"/>
        <v>1</v>
      </c>
      <c r="Y2463">
        <f t="shared" si="115"/>
        <v>0</v>
      </c>
      <c r="Z2463">
        <f t="shared" si="116"/>
        <v>1</v>
      </c>
    </row>
    <row r="2464" spans="1:26" ht="15.75" customHeight="1" x14ac:dyDescent="0.2">
      <c r="A2464" s="2" t="s">
        <v>36</v>
      </c>
      <c r="B2464" s="2" t="s">
        <v>24</v>
      </c>
      <c r="C2464" s="2" t="s">
        <v>28</v>
      </c>
      <c r="D2464" s="2" t="s">
        <v>29</v>
      </c>
      <c r="E2464" s="2">
        <v>211</v>
      </c>
      <c r="F2464" s="2">
        <v>245</v>
      </c>
      <c r="G2464" s="2">
        <v>445</v>
      </c>
      <c r="H2464" s="2">
        <v>1149</v>
      </c>
      <c r="I2464" s="2">
        <v>2616</v>
      </c>
      <c r="J2464" s="2">
        <v>2.4500000000000002</v>
      </c>
      <c r="K2464" s="2">
        <v>4.43</v>
      </c>
      <c r="L2464" s="2">
        <v>9.3800000000000008</v>
      </c>
      <c r="M2464" s="2">
        <v>14.8</v>
      </c>
      <c r="N2464" s="2">
        <v>0.956667029</v>
      </c>
      <c r="O2464" s="2">
        <v>1.060732826</v>
      </c>
      <c r="P2464" s="2">
        <v>2.1908540109999999</v>
      </c>
      <c r="Q2464" s="2">
        <v>2.2063054229999999</v>
      </c>
      <c r="R2464" s="2">
        <v>0.88628603100000003</v>
      </c>
      <c r="S2464" s="2">
        <v>0.98628603100000001</v>
      </c>
      <c r="T2464" s="2">
        <v>2.0035813849999999</v>
      </c>
      <c r="U2464" s="2">
        <v>1.9735813849999999</v>
      </c>
      <c r="V2464" s="2">
        <v>0.88503075499999995</v>
      </c>
      <c r="W2464" s="2">
        <v>0.81841979399999998</v>
      </c>
      <c r="X2464">
        <f t="shared" si="114"/>
        <v>1</v>
      </c>
      <c r="Y2464">
        <f t="shared" si="115"/>
        <v>0</v>
      </c>
      <c r="Z2464">
        <f t="shared" si="116"/>
        <v>1</v>
      </c>
    </row>
    <row r="2465" spans="1:26" ht="15.75" customHeight="1" x14ac:dyDescent="0.2">
      <c r="A2465" s="2" t="s">
        <v>36</v>
      </c>
      <c r="B2465" s="2" t="s">
        <v>24</v>
      </c>
      <c r="C2465" s="2" t="s">
        <v>32</v>
      </c>
      <c r="D2465" s="2" t="s">
        <v>33</v>
      </c>
      <c r="E2465" s="2">
        <v>172</v>
      </c>
      <c r="F2465" s="2">
        <v>285</v>
      </c>
      <c r="G2465" s="2">
        <v>737</v>
      </c>
      <c r="H2465" s="2">
        <v>1329</v>
      </c>
      <c r="I2465" s="2">
        <v>3290</v>
      </c>
      <c r="J2465" s="2">
        <v>2.87</v>
      </c>
      <c r="K2465" s="2">
        <v>6.79</v>
      </c>
      <c r="L2465" s="2">
        <v>10.3</v>
      </c>
      <c r="M2465" s="2">
        <v>16.27</v>
      </c>
      <c r="N2465" s="2">
        <v>1.109965101</v>
      </c>
      <c r="O2465" s="2">
        <v>1.2379786749999999</v>
      </c>
      <c r="P2465" s="2">
        <v>1.8262572859999999</v>
      </c>
      <c r="Q2465" s="2">
        <v>1.728189357</v>
      </c>
      <c r="R2465" s="2">
        <v>1.4738689739999999</v>
      </c>
      <c r="S2465" s="2">
        <v>1.3738689740000001</v>
      </c>
      <c r="T2465" s="2">
        <v>1.078390432</v>
      </c>
      <c r="U2465" s="2">
        <v>1.0483904319999999</v>
      </c>
      <c r="V2465" s="2">
        <v>3.24518576</v>
      </c>
      <c r="W2465" s="2">
        <v>3.1785747990000002</v>
      </c>
      <c r="X2465">
        <f t="shared" si="114"/>
        <v>1</v>
      </c>
      <c r="Y2465">
        <f t="shared" si="115"/>
        <v>0</v>
      </c>
      <c r="Z2465">
        <f t="shared" si="116"/>
        <v>1</v>
      </c>
    </row>
    <row r="2466" spans="1:26" ht="15.75" customHeight="1" x14ac:dyDescent="0.2">
      <c r="A2466" s="2" t="s">
        <v>36</v>
      </c>
      <c r="B2466" s="2" t="s">
        <v>24</v>
      </c>
      <c r="C2466" s="2" t="s">
        <v>26</v>
      </c>
      <c r="D2466" s="2" t="s">
        <v>26</v>
      </c>
      <c r="E2466" s="2">
        <v>159</v>
      </c>
      <c r="F2466" s="2">
        <v>240</v>
      </c>
      <c r="G2466" s="2">
        <v>577</v>
      </c>
      <c r="H2466" s="2">
        <v>1094</v>
      </c>
      <c r="I2466" s="2">
        <v>2960</v>
      </c>
      <c r="J2466" s="2">
        <v>2.4</v>
      </c>
      <c r="K2466" s="2">
        <v>5.56</v>
      </c>
      <c r="L2466" s="2">
        <v>9.07</v>
      </c>
      <c r="M2466" s="2">
        <v>15.6</v>
      </c>
      <c r="N2466" s="2">
        <v>0.221832266</v>
      </c>
      <c r="O2466" s="2">
        <v>0.12158769</v>
      </c>
      <c r="P2466" s="2">
        <v>2.3191105319999998</v>
      </c>
      <c r="Q2466" s="2">
        <v>2.280755943</v>
      </c>
      <c r="R2466" s="2">
        <v>0.24478317999999999</v>
      </c>
      <c r="S2466" s="2">
        <v>0.14478318000000001</v>
      </c>
      <c r="T2466" s="2">
        <v>2.3061558610000001</v>
      </c>
      <c r="U2466" s="2">
        <v>2.2761558609999999</v>
      </c>
      <c r="V2466" s="2">
        <v>2.0160999660000001</v>
      </c>
      <c r="W2466" s="2">
        <v>1.949489005</v>
      </c>
      <c r="X2466">
        <f t="shared" si="114"/>
        <v>1</v>
      </c>
      <c r="Y2466">
        <f t="shared" si="115"/>
        <v>0</v>
      </c>
      <c r="Z2466">
        <f t="shared" si="116"/>
        <v>0</v>
      </c>
    </row>
    <row r="2467" spans="1:26" ht="15.75" customHeight="1" x14ac:dyDescent="0.2">
      <c r="A2467" s="2" t="s">
        <v>36</v>
      </c>
      <c r="B2467" s="2" t="s">
        <v>24</v>
      </c>
      <c r="C2467" s="2" t="s">
        <v>25</v>
      </c>
      <c r="D2467" s="2" t="s">
        <v>25</v>
      </c>
      <c r="E2467" s="2">
        <v>210</v>
      </c>
      <c r="F2467" s="2">
        <v>239</v>
      </c>
      <c r="G2467" s="2">
        <v>856</v>
      </c>
      <c r="H2467" s="2">
        <v>1440</v>
      </c>
      <c r="I2467" s="2">
        <v>2662</v>
      </c>
      <c r="J2467" s="2">
        <v>2.38</v>
      </c>
      <c r="K2467" s="2">
        <v>7.62</v>
      </c>
      <c r="L2467" s="2">
        <v>10.82</v>
      </c>
      <c r="M2467" s="2">
        <v>14.91</v>
      </c>
      <c r="N2467" s="2">
        <v>0.19601955700000001</v>
      </c>
      <c r="O2467" s="2">
        <v>0.29947295000000002</v>
      </c>
      <c r="P2467" s="2">
        <v>2.3678439440000001</v>
      </c>
      <c r="Q2467" s="2">
        <v>2.2636047580000001</v>
      </c>
      <c r="R2467" s="2">
        <v>2.301839271</v>
      </c>
      <c r="S2467" s="2">
        <v>2.2018392709999999</v>
      </c>
      <c r="T2467" s="2">
        <v>0.555176471</v>
      </c>
      <c r="U2467" s="2">
        <v>0.52517647099999998</v>
      </c>
      <c r="V2467" s="2">
        <v>4.0731560570000003</v>
      </c>
      <c r="W2467" s="2">
        <v>4.006545096</v>
      </c>
      <c r="X2467">
        <f t="shared" si="114"/>
        <v>1</v>
      </c>
      <c r="Y2467">
        <f t="shared" si="115"/>
        <v>0</v>
      </c>
      <c r="Z2467">
        <f t="shared" si="116"/>
        <v>0</v>
      </c>
    </row>
    <row r="2468" spans="1:26" ht="15.75" customHeight="1" x14ac:dyDescent="0.2">
      <c r="A2468" s="2" t="s">
        <v>36</v>
      </c>
      <c r="B2468" s="2" t="s">
        <v>24</v>
      </c>
      <c r="C2468" s="2" t="s">
        <v>30</v>
      </c>
      <c r="D2468" s="2" t="s">
        <v>31</v>
      </c>
      <c r="E2468" s="2">
        <v>163</v>
      </c>
      <c r="F2468" s="2">
        <v>203</v>
      </c>
      <c r="G2468" s="2">
        <v>747</v>
      </c>
      <c r="H2468" s="2">
        <v>1208</v>
      </c>
      <c r="I2468" s="2">
        <v>2348</v>
      </c>
      <c r="J2468" s="2">
        <v>1.99</v>
      </c>
      <c r="K2468" s="2">
        <v>6.87</v>
      </c>
      <c r="L2468" s="2">
        <v>9.69</v>
      </c>
      <c r="M2468" s="2">
        <v>14.08</v>
      </c>
      <c r="N2468" s="2">
        <v>4.5310073700000002</v>
      </c>
      <c r="O2468" s="2">
        <v>4.5699207560000001</v>
      </c>
      <c r="P2468" s="2">
        <v>2.2910544490000002</v>
      </c>
      <c r="Q2468" s="2">
        <v>2.2020116999999999</v>
      </c>
      <c r="R2468" s="2">
        <v>1.5482526780000001</v>
      </c>
      <c r="S2468" s="2">
        <v>1.448252678</v>
      </c>
      <c r="T2468" s="2">
        <v>1.688740398</v>
      </c>
      <c r="U2468" s="2">
        <v>1.6587403979999999</v>
      </c>
      <c r="V2468" s="2">
        <v>3.3195694640000002</v>
      </c>
      <c r="W2468" s="2">
        <v>3.252958504</v>
      </c>
      <c r="X2468">
        <f t="shared" si="114"/>
        <v>1</v>
      </c>
      <c r="Y2468">
        <f t="shared" si="115"/>
        <v>0</v>
      </c>
      <c r="Z2468">
        <f t="shared" si="116"/>
        <v>1</v>
      </c>
    </row>
    <row r="2469" spans="1:26" ht="15.75" customHeight="1" x14ac:dyDescent="0.2">
      <c r="A2469" s="2" t="s">
        <v>36</v>
      </c>
      <c r="B2469" s="2" t="s">
        <v>24</v>
      </c>
      <c r="C2469" s="2" t="s">
        <v>27</v>
      </c>
      <c r="D2469" s="2" t="s">
        <v>27</v>
      </c>
      <c r="E2469" s="2">
        <v>151</v>
      </c>
      <c r="F2469" s="2">
        <v>254</v>
      </c>
      <c r="G2469" s="2">
        <v>512</v>
      </c>
      <c r="H2469" s="2">
        <v>2523</v>
      </c>
      <c r="I2469" s="2">
        <v>3323</v>
      </c>
      <c r="J2469" s="2">
        <v>2.54</v>
      </c>
      <c r="K2469" s="2">
        <v>5.03</v>
      </c>
      <c r="L2469" s="2">
        <v>14.56</v>
      </c>
      <c r="M2469" s="2">
        <v>16.329999999999998</v>
      </c>
      <c r="N2469" s="2">
        <v>0.678651318</v>
      </c>
      <c r="O2469" s="2">
        <v>0.635973648</v>
      </c>
      <c r="P2469" s="2">
        <v>3.192065747</v>
      </c>
      <c r="Q2469" s="2">
        <v>3.232606214</v>
      </c>
      <c r="R2469" s="2">
        <v>0.29425374100000001</v>
      </c>
      <c r="S2469" s="2">
        <v>0.39425374099999999</v>
      </c>
      <c r="T2469" s="2">
        <v>3.178474236</v>
      </c>
      <c r="U2469" s="2">
        <v>3.2084742359999998</v>
      </c>
      <c r="V2469" s="2">
        <v>1.477063045</v>
      </c>
      <c r="W2469" s="2">
        <v>1.4104520840000001</v>
      </c>
      <c r="X2469">
        <f t="shared" si="114"/>
        <v>1</v>
      </c>
      <c r="Y2469">
        <f t="shared" si="115"/>
        <v>0</v>
      </c>
      <c r="Z2469">
        <f t="shared" si="116"/>
        <v>0</v>
      </c>
    </row>
    <row r="2470" spans="1:26" ht="15.75" customHeight="1" x14ac:dyDescent="0.2">
      <c r="A2470" s="2" t="s">
        <v>36</v>
      </c>
      <c r="B2470" s="2" t="s">
        <v>24</v>
      </c>
      <c r="C2470" s="2" t="s">
        <v>30</v>
      </c>
      <c r="D2470" s="2" t="s">
        <v>31</v>
      </c>
      <c r="E2470" s="2">
        <v>194</v>
      </c>
      <c r="F2470" s="2">
        <v>245</v>
      </c>
      <c r="G2470" s="2">
        <v>839</v>
      </c>
      <c r="H2470" s="2">
        <v>1334</v>
      </c>
      <c r="I2470" s="2">
        <v>2203</v>
      </c>
      <c r="J2470" s="2">
        <v>2.4500000000000002</v>
      </c>
      <c r="K2470" s="2">
        <v>7.5</v>
      </c>
      <c r="L2470" s="2">
        <v>10.33</v>
      </c>
      <c r="M2470" s="2">
        <v>13.66</v>
      </c>
      <c r="N2470" s="2">
        <v>4.2578521189999998</v>
      </c>
      <c r="O2470" s="2">
        <v>4.2725582879999999</v>
      </c>
      <c r="P2470" s="2">
        <v>2.4251418419999999</v>
      </c>
      <c r="Q2470" s="2">
        <v>2.3221010070000001</v>
      </c>
      <c r="R2470" s="2">
        <v>2.184059076</v>
      </c>
      <c r="S2470" s="2">
        <v>2.084059076</v>
      </c>
      <c r="T2470" s="2">
        <v>1.054134197</v>
      </c>
      <c r="U2470" s="2">
        <v>1.024134197</v>
      </c>
      <c r="V2470" s="2">
        <v>3.9553758619999999</v>
      </c>
      <c r="W2470" s="2">
        <v>3.8887649010000001</v>
      </c>
      <c r="X2470">
        <f t="shared" si="114"/>
        <v>1</v>
      </c>
      <c r="Y2470">
        <f t="shared" si="115"/>
        <v>0</v>
      </c>
      <c r="Z2470">
        <f t="shared" si="116"/>
        <v>1</v>
      </c>
    </row>
    <row r="2471" spans="1:26" ht="15.75" customHeight="1" x14ac:dyDescent="0.2">
      <c r="A2471" s="2" t="s">
        <v>36</v>
      </c>
      <c r="B2471" s="2" t="s">
        <v>24</v>
      </c>
      <c r="C2471" s="2" t="s">
        <v>27</v>
      </c>
      <c r="D2471" s="2" t="s">
        <v>27</v>
      </c>
      <c r="E2471" s="2">
        <v>153</v>
      </c>
      <c r="F2471" s="2">
        <v>229</v>
      </c>
      <c r="G2471" s="2">
        <v>532</v>
      </c>
      <c r="H2471" s="2">
        <v>2329</v>
      </c>
      <c r="I2471" s="2">
        <v>3299</v>
      </c>
      <c r="J2471" s="2">
        <v>2.27</v>
      </c>
      <c r="K2471" s="2">
        <v>5.19</v>
      </c>
      <c r="L2471" s="2">
        <v>14.03</v>
      </c>
      <c r="M2471" s="2">
        <v>16.29</v>
      </c>
      <c r="N2471" s="2">
        <v>0.12738168999999999</v>
      </c>
      <c r="O2471" s="2">
        <v>0.107498913</v>
      </c>
      <c r="P2471" s="2">
        <v>2.6503554729999999</v>
      </c>
      <c r="Q2471" s="2">
        <v>2.6868992440000001</v>
      </c>
      <c r="R2471" s="2">
        <v>0.12651685400000001</v>
      </c>
      <c r="S2471" s="2">
        <v>0.22651685399999999</v>
      </c>
      <c r="T2471" s="2">
        <v>2.6473340589999999</v>
      </c>
      <c r="U2471" s="2">
        <v>2.6773340590000001</v>
      </c>
      <c r="V2471" s="2">
        <v>1.644799932</v>
      </c>
      <c r="W2471" s="2">
        <v>1.5781889710000001</v>
      </c>
      <c r="X2471">
        <f t="shared" si="114"/>
        <v>1</v>
      </c>
      <c r="Y2471">
        <f t="shared" si="115"/>
        <v>0</v>
      </c>
      <c r="Z2471">
        <f t="shared" si="116"/>
        <v>0</v>
      </c>
    </row>
    <row r="2472" spans="1:26" ht="15.75" customHeight="1" x14ac:dyDescent="0.2">
      <c r="A2472" s="2" t="s">
        <v>36</v>
      </c>
      <c r="B2472" s="2" t="s">
        <v>24</v>
      </c>
      <c r="C2472" s="2" t="s">
        <v>26</v>
      </c>
      <c r="D2472" s="2" t="s">
        <v>26</v>
      </c>
      <c r="E2472" s="2">
        <v>170</v>
      </c>
      <c r="F2472" s="2">
        <v>206</v>
      </c>
      <c r="G2472" s="2">
        <v>581</v>
      </c>
      <c r="H2472" s="2">
        <v>1151</v>
      </c>
      <c r="I2472" s="2">
        <v>3102</v>
      </c>
      <c r="J2472" s="2">
        <v>2.02</v>
      </c>
      <c r="K2472" s="2">
        <v>5.6</v>
      </c>
      <c r="L2472" s="2">
        <v>9.39</v>
      </c>
      <c r="M2472" s="2">
        <v>15.9</v>
      </c>
      <c r="N2472" s="2">
        <v>0.31293425200000002</v>
      </c>
      <c r="O2472" s="2">
        <v>0.27351255499999999</v>
      </c>
      <c r="P2472" s="2">
        <v>2.0108914429999998</v>
      </c>
      <c r="Q2472" s="2">
        <v>1.969407441</v>
      </c>
      <c r="R2472" s="2">
        <v>0.28282266499999997</v>
      </c>
      <c r="S2472" s="2">
        <v>0.182822665</v>
      </c>
      <c r="T2472" s="2">
        <v>1.9909032470000001</v>
      </c>
      <c r="U2472" s="2">
        <v>1.9609032470000001</v>
      </c>
      <c r="V2472" s="2">
        <v>2.0541394510000002</v>
      </c>
      <c r="W2472" s="2">
        <v>1.987528491</v>
      </c>
      <c r="X2472">
        <f t="shared" si="114"/>
        <v>1</v>
      </c>
      <c r="Y2472">
        <f t="shared" si="115"/>
        <v>0</v>
      </c>
      <c r="Z2472">
        <f t="shared" si="116"/>
        <v>0</v>
      </c>
    </row>
    <row r="2473" spans="1:26" ht="15.75" customHeight="1" x14ac:dyDescent="0.2">
      <c r="A2473" s="2" t="s">
        <v>36</v>
      </c>
      <c r="B2473" s="2" t="s">
        <v>24</v>
      </c>
      <c r="C2473" s="2" t="s">
        <v>27</v>
      </c>
      <c r="D2473" s="2" t="s">
        <v>27</v>
      </c>
      <c r="E2473" s="2">
        <v>170</v>
      </c>
      <c r="F2473" s="2">
        <v>151</v>
      </c>
      <c r="G2473" s="2">
        <v>540</v>
      </c>
      <c r="H2473" s="2">
        <v>2326</v>
      </c>
      <c r="I2473" s="2">
        <v>3318</v>
      </c>
      <c r="J2473" s="2">
        <v>1.38</v>
      </c>
      <c r="K2473" s="2">
        <v>5.26</v>
      </c>
      <c r="L2473" s="2">
        <v>14.02</v>
      </c>
      <c r="M2473" s="2">
        <v>16.32</v>
      </c>
      <c r="N2473" s="2">
        <v>0.139800233</v>
      </c>
      <c r="O2473" s="2">
        <v>4.6803167999999999E-2</v>
      </c>
      <c r="P2473" s="2">
        <v>2.6393563059999998</v>
      </c>
      <c r="Q2473" s="2">
        <v>2.6733265240000001</v>
      </c>
      <c r="R2473" s="2">
        <v>5.6237835E-2</v>
      </c>
      <c r="S2473" s="2">
        <v>0.15623783499999999</v>
      </c>
      <c r="T2473" s="2">
        <v>2.6387570970000001</v>
      </c>
      <c r="U2473" s="2">
        <v>2.6687570969999999</v>
      </c>
      <c r="V2473" s="2">
        <v>1.715078951</v>
      </c>
      <c r="W2473" s="2">
        <v>1.6484679900000001</v>
      </c>
      <c r="X2473">
        <f t="shared" si="114"/>
        <v>1</v>
      </c>
      <c r="Y2473">
        <f t="shared" si="115"/>
        <v>0</v>
      </c>
      <c r="Z2473">
        <f t="shared" si="116"/>
        <v>0</v>
      </c>
    </row>
    <row r="2474" spans="1:26" ht="15.75" customHeight="1" x14ac:dyDescent="0.2">
      <c r="A2474" s="2" t="s">
        <v>36</v>
      </c>
      <c r="B2474" s="2" t="s">
        <v>24</v>
      </c>
      <c r="C2474" s="2" t="s">
        <v>30</v>
      </c>
      <c r="D2474" s="2" t="s">
        <v>31</v>
      </c>
      <c r="E2474" s="2">
        <v>171</v>
      </c>
      <c r="F2474" s="2">
        <v>269</v>
      </c>
      <c r="G2474" s="2">
        <v>680</v>
      </c>
      <c r="H2474" s="2">
        <v>1134</v>
      </c>
      <c r="I2474" s="2">
        <v>2180</v>
      </c>
      <c r="J2474" s="2">
        <v>2.71</v>
      </c>
      <c r="K2474" s="2">
        <v>6.37</v>
      </c>
      <c r="L2474" s="2">
        <v>9.3000000000000007</v>
      </c>
      <c r="M2474" s="2">
        <v>13.59</v>
      </c>
      <c r="N2474" s="2">
        <v>4.7515276950000001</v>
      </c>
      <c r="O2474" s="2">
        <v>4.8055278440000002</v>
      </c>
      <c r="P2474" s="2">
        <v>2.3330734770000001</v>
      </c>
      <c r="Q2474" s="2">
        <v>2.2624324269999998</v>
      </c>
      <c r="R2474" s="2">
        <v>1.053092562</v>
      </c>
      <c r="S2474" s="2">
        <v>0.95309256200000003</v>
      </c>
      <c r="T2474" s="2">
        <v>2.0818808569999998</v>
      </c>
      <c r="U2474" s="2">
        <v>2.051880857</v>
      </c>
      <c r="V2474" s="2">
        <v>2.8244093480000001</v>
      </c>
      <c r="W2474" s="2">
        <v>2.7577983879999999</v>
      </c>
      <c r="X2474">
        <f t="shared" si="114"/>
        <v>1</v>
      </c>
      <c r="Y2474">
        <f t="shared" si="115"/>
        <v>0</v>
      </c>
      <c r="Z2474">
        <f t="shared" si="116"/>
        <v>1</v>
      </c>
    </row>
    <row r="2475" spans="1:26" ht="15.75" customHeight="1" x14ac:dyDescent="0.2">
      <c r="A2475" s="2" t="s">
        <v>36</v>
      </c>
      <c r="B2475" s="2" t="s">
        <v>24</v>
      </c>
      <c r="C2475" s="2" t="s">
        <v>27</v>
      </c>
      <c r="D2475" s="2" t="s">
        <v>27</v>
      </c>
      <c r="E2475" s="2">
        <v>171</v>
      </c>
      <c r="F2475" s="2">
        <v>247</v>
      </c>
      <c r="G2475" s="2">
        <v>549</v>
      </c>
      <c r="H2475" s="2">
        <v>2421</v>
      </c>
      <c r="I2475" s="2">
        <v>3292</v>
      </c>
      <c r="J2475" s="2">
        <v>2.4700000000000002</v>
      </c>
      <c r="K2475" s="2">
        <v>5.33</v>
      </c>
      <c r="L2475" s="2">
        <v>14.29</v>
      </c>
      <c r="M2475" s="2">
        <v>16.28</v>
      </c>
      <c r="N2475" s="2">
        <v>0.41143336699999999</v>
      </c>
      <c r="O2475" s="2">
        <v>0.30866071899999997</v>
      </c>
      <c r="P2475" s="2">
        <v>2.9056012130000002</v>
      </c>
      <c r="Q2475" s="2">
        <v>2.936841453</v>
      </c>
      <c r="R2475" s="2">
        <v>1.3574276E-2</v>
      </c>
      <c r="S2475" s="2">
        <v>8.6425723999999995E-2</v>
      </c>
      <c r="T2475" s="2">
        <v>2.9055695049999999</v>
      </c>
      <c r="U2475" s="2">
        <v>2.9355695050000001</v>
      </c>
      <c r="V2475" s="2">
        <v>1.784891062</v>
      </c>
      <c r="W2475" s="2">
        <v>1.7182801009999999</v>
      </c>
      <c r="X2475">
        <f t="shared" si="114"/>
        <v>1</v>
      </c>
      <c r="Y2475">
        <f t="shared" si="115"/>
        <v>0</v>
      </c>
      <c r="Z2475">
        <f t="shared" si="116"/>
        <v>0</v>
      </c>
    </row>
    <row r="2476" spans="1:26" ht="15.75" customHeight="1" x14ac:dyDescent="0.2">
      <c r="A2476" s="2" t="s">
        <v>36</v>
      </c>
      <c r="B2476" s="2" t="s">
        <v>24</v>
      </c>
      <c r="C2476" s="2" t="s">
        <v>26</v>
      </c>
      <c r="D2476" s="2" t="s">
        <v>26</v>
      </c>
      <c r="E2476" s="2">
        <v>182</v>
      </c>
      <c r="F2476" s="2">
        <v>237</v>
      </c>
      <c r="G2476" s="2">
        <v>557</v>
      </c>
      <c r="H2476" s="2">
        <v>1215</v>
      </c>
      <c r="I2476" s="2">
        <v>3024</v>
      </c>
      <c r="J2476" s="2">
        <v>2.36</v>
      </c>
      <c r="K2476" s="2">
        <v>5.4</v>
      </c>
      <c r="L2476" s="2">
        <v>9.73</v>
      </c>
      <c r="M2476" s="2">
        <v>15.74</v>
      </c>
      <c r="N2476" s="2">
        <v>0.55056013400000003</v>
      </c>
      <c r="O2476" s="2">
        <v>0.58344333599999998</v>
      </c>
      <c r="P2476" s="2">
        <v>1.6525071069999999</v>
      </c>
      <c r="Q2476" s="2">
        <v>1.6205151659999999</v>
      </c>
      <c r="R2476" s="2">
        <v>8.2924116000000006E-2</v>
      </c>
      <c r="S2476" s="2">
        <v>1.7075884E-2</v>
      </c>
      <c r="T2476" s="2">
        <v>1.6504251969999999</v>
      </c>
      <c r="U2476" s="2">
        <v>1.6204251970000001</v>
      </c>
      <c r="V2476" s="2">
        <v>1.8542409019999999</v>
      </c>
      <c r="W2476" s="2">
        <v>1.7876299410000001</v>
      </c>
      <c r="X2476">
        <f t="shared" si="114"/>
        <v>1</v>
      </c>
      <c r="Y2476">
        <f t="shared" si="115"/>
        <v>0</v>
      </c>
      <c r="Z2476">
        <f t="shared" si="116"/>
        <v>0</v>
      </c>
    </row>
    <row r="2477" spans="1:26" ht="15.75" customHeight="1" x14ac:dyDescent="0.2">
      <c r="A2477" s="2" t="s">
        <v>36</v>
      </c>
      <c r="B2477" s="2" t="s">
        <v>24</v>
      </c>
      <c r="C2477" s="2" t="s">
        <v>30</v>
      </c>
      <c r="D2477" s="2" t="s">
        <v>31</v>
      </c>
      <c r="E2477" s="2">
        <v>193</v>
      </c>
      <c r="F2477" s="2">
        <v>235</v>
      </c>
      <c r="G2477" s="2">
        <v>760</v>
      </c>
      <c r="H2477" s="2">
        <v>1353</v>
      </c>
      <c r="I2477" s="2">
        <v>2588</v>
      </c>
      <c r="J2477" s="2">
        <v>2.34</v>
      </c>
      <c r="K2477" s="2">
        <v>6.96</v>
      </c>
      <c r="L2477" s="2">
        <v>10.42</v>
      </c>
      <c r="M2477" s="2">
        <v>14.73</v>
      </c>
      <c r="N2477" s="2">
        <v>3.9056537260000002</v>
      </c>
      <c r="O2477" s="2">
        <v>3.9336103410000001</v>
      </c>
      <c r="P2477" s="2">
        <v>1.9017256920000001</v>
      </c>
      <c r="Q2477" s="2">
        <v>1.8004423860000001</v>
      </c>
      <c r="R2477" s="2">
        <v>1.641029412</v>
      </c>
      <c r="S2477" s="2">
        <v>1.5410294120000001</v>
      </c>
      <c r="T2477" s="2">
        <v>0.96103229700000004</v>
      </c>
      <c r="U2477" s="2">
        <v>0.93103229700000001</v>
      </c>
      <c r="V2477" s="2">
        <v>3.4123461979999998</v>
      </c>
      <c r="W2477" s="2">
        <v>3.345735237</v>
      </c>
      <c r="X2477">
        <f t="shared" si="114"/>
        <v>1</v>
      </c>
      <c r="Y2477">
        <f t="shared" si="115"/>
        <v>0</v>
      </c>
      <c r="Z2477">
        <f t="shared" si="116"/>
        <v>1</v>
      </c>
    </row>
    <row r="2478" spans="1:26" ht="15.75" customHeight="1" x14ac:dyDescent="0.2">
      <c r="A2478" s="2" t="s">
        <v>36</v>
      </c>
      <c r="B2478" s="2" t="s">
        <v>24</v>
      </c>
      <c r="C2478" s="2" t="s">
        <v>32</v>
      </c>
      <c r="D2478" s="2" t="s">
        <v>33</v>
      </c>
      <c r="E2478" s="2">
        <v>141</v>
      </c>
      <c r="F2478" s="2">
        <v>239</v>
      </c>
      <c r="G2478" s="2">
        <v>852</v>
      </c>
      <c r="H2478" s="2">
        <v>1154</v>
      </c>
      <c r="I2478" s="2">
        <v>3201</v>
      </c>
      <c r="J2478" s="2">
        <v>2.39</v>
      </c>
      <c r="K2478" s="2">
        <v>7.6</v>
      </c>
      <c r="L2478" s="2">
        <v>9.41</v>
      </c>
      <c r="M2478" s="2">
        <v>16.100000000000001</v>
      </c>
      <c r="N2478" s="2">
        <v>1.6152492810000001</v>
      </c>
      <c r="O2478" s="2">
        <v>1.700797114</v>
      </c>
      <c r="P2478" s="2">
        <v>3.0126672550000002</v>
      </c>
      <c r="Q2478" s="2">
        <v>2.917794684</v>
      </c>
      <c r="R2478" s="2">
        <v>2.2753016480000001</v>
      </c>
      <c r="S2478" s="2">
        <v>2.175301648</v>
      </c>
      <c r="T2478" s="2">
        <v>1.9746307000000001</v>
      </c>
      <c r="U2478" s="2">
        <v>1.9446307</v>
      </c>
      <c r="V2478" s="2">
        <v>4.046618434</v>
      </c>
      <c r="W2478" s="2">
        <v>3.9800074730000001</v>
      </c>
      <c r="X2478">
        <f t="shared" si="114"/>
        <v>1</v>
      </c>
      <c r="Y2478">
        <f t="shared" si="115"/>
        <v>0</v>
      </c>
      <c r="Z2478">
        <f t="shared" si="116"/>
        <v>1</v>
      </c>
    </row>
    <row r="2479" spans="1:26" ht="15.75" customHeight="1" x14ac:dyDescent="0.2">
      <c r="A2479" s="2" t="s">
        <v>36</v>
      </c>
      <c r="B2479" s="2" t="s">
        <v>24</v>
      </c>
      <c r="C2479" s="2" t="s">
        <v>28</v>
      </c>
      <c r="D2479" s="2" t="s">
        <v>29</v>
      </c>
      <c r="E2479" s="2">
        <v>120</v>
      </c>
      <c r="F2479" s="2">
        <v>278</v>
      </c>
      <c r="G2479" s="2">
        <v>426</v>
      </c>
      <c r="H2479" s="2">
        <v>1105</v>
      </c>
      <c r="I2479" s="2">
        <v>2615</v>
      </c>
      <c r="J2479" s="2">
        <v>2.8</v>
      </c>
      <c r="K2479" s="2">
        <v>4.25</v>
      </c>
      <c r="L2479" s="2">
        <v>9.1300000000000008</v>
      </c>
      <c r="M2479" s="2">
        <v>14.79</v>
      </c>
      <c r="N2479" s="2">
        <v>1.1173381920000001</v>
      </c>
      <c r="O2479" s="2">
        <v>1.216488566</v>
      </c>
      <c r="P2479" s="2">
        <v>2.4865420980000001</v>
      </c>
      <c r="Q2479" s="2">
        <v>2.504454312</v>
      </c>
      <c r="R2479" s="2">
        <v>1.066379768</v>
      </c>
      <c r="S2479" s="2">
        <v>1.1663797680000001</v>
      </c>
      <c r="T2479" s="2">
        <v>2.2462693059999999</v>
      </c>
      <c r="U2479" s="2">
        <v>2.2162693060000001</v>
      </c>
      <c r="V2479" s="2">
        <v>0.70493701799999997</v>
      </c>
      <c r="W2479" s="2">
        <v>0.638326057</v>
      </c>
      <c r="X2479">
        <f t="shared" si="114"/>
        <v>1</v>
      </c>
      <c r="Y2479">
        <f t="shared" si="115"/>
        <v>0</v>
      </c>
      <c r="Z2479">
        <f t="shared" si="116"/>
        <v>1</v>
      </c>
    </row>
    <row r="2480" spans="1:26" ht="15.75" customHeight="1" x14ac:dyDescent="0.2">
      <c r="A2480" s="2" t="s">
        <v>36</v>
      </c>
      <c r="B2480" s="2" t="s">
        <v>24</v>
      </c>
      <c r="C2480" s="2" t="s">
        <v>28</v>
      </c>
      <c r="D2480" s="2" t="s">
        <v>29</v>
      </c>
      <c r="E2480" s="2">
        <v>140</v>
      </c>
      <c r="F2480" s="2">
        <v>272</v>
      </c>
      <c r="G2480" s="2">
        <v>422</v>
      </c>
      <c r="H2480" s="2">
        <v>1173</v>
      </c>
      <c r="I2480" s="2">
        <v>2946</v>
      </c>
      <c r="J2480" s="2">
        <v>2.73</v>
      </c>
      <c r="K2480" s="2">
        <v>4.22</v>
      </c>
      <c r="L2480" s="2">
        <v>9.51</v>
      </c>
      <c r="M2480" s="2">
        <v>15.57</v>
      </c>
      <c r="N2480" s="2">
        <v>1.1955671400000001</v>
      </c>
      <c r="O2480" s="2">
        <v>1.299958886</v>
      </c>
      <c r="P2480" s="2">
        <v>2.173200966</v>
      </c>
      <c r="Q2480" s="2">
        <v>2.2002987890000001</v>
      </c>
      <c r="R2480" s="2">
        <v>1.1002854740000001</v>
      </c>
      <c r="S2480" s="2">
        <v>1.200285474</v>
      </c>
      <c r="T2480" s="2">
        <v>1.8740795910000001</v>
      </c>
      <c r="U2480" s="2">
        <v>1.8440795910000001</v>
      </c>
      <c r="V2480" s="2">
        <v>0.67103131199999999</v>
      </c>
      <c r="W2480" s="2">
        <v>0.60442035100000002</v>
      </c>
      <c r="X2480">
        <f t="shared" si="114"/>
        <v>1</v>
      </c>
      <c r="Y2480">
        <f t="shared" si="115"/>
        <v>0</v>
      </c>
      <c r="Z2480">
        <f t="shared" si="116"/>
        <v>1</v>
      </c>
    </row>
    <row r="2481" spans="1:26" ht="15.75" customHeight="1" x14ac:dyDescent="0.2">
      <c r="A2481" s="2" t="s">
        <v>36</v>
      </c>
      <c r="B2481" s="2" t="s">
        <v>24</v>
      </c>
      <c r="C2481" s="2" t="s">
        <v>26</v>
      </c>
      <c r="D2481" s="2" t="s">
        <v>26</v>
      </c>
      <c r="E2481" s="2">
        <v>156</v>
      </c>
      <c r="F2481" s="2">
        <v>285</v>
      </c>
      <c r="G2481" s="2">
        <v>529</v>
      </c>
      <c r="H2481" s="2">
        <v>1095</v>
      </c>
      <c r="I2481" s="2">
        <v>2770</v>
      </c>
      <c r="J2481" s="2">
        <v>2.88</v>
      </c>
      <c r="K2481" s="2">
        <v>5.17</v>
      </c>
      <c r="L2481" s="2">
        <v>9.08</v>
      </c>
      <c r="M2481" s="2">
        <v>15.17</v>
      </c>
      <c r="N2481" s="2">
        <v>0.22556984799999999</v>
      </c>
      <c r="O2481" s="2">
        <v>0.31005940300000001</v>
      </c>
      <c r="P2481" s="2">
        <v>2.30553528</v>
      </c>
      <c r="Q2481" s="2">
        <v>2.2844579230000002</v>
      </c>
      <c r="R2481" s="2">
        <v>0.151932503</v>
      </c>
      <c r="S2481" s="2">
        <v>0.25193250299999997</v>
      </c>
      <c r="T2481" s="2">
        <v>2.3005237319999998</v>
      </c>
      <c r="U2481" s="2">
        <v>2.270523732</v>
      </c>
      <c r="V2481" s="2">
        <v>1.619384283</v>
      </c>
      <c r="W2481" s="2">
        <v>1.552773322</v>
      </c>
      <c r="X2481">
        <f t="shared" si="114"/>
        <v>1</v>
      </c>
      <c r="Y2481">
        <f t="shared" si="115"/>
        <v>0</v>
      </c>
      <c r="Z2481">
        <f t="shared" si="116"/>
        <v>0</v>
      </c>
    </row>
    <row r="2482" spans="1:26" ht="15.75" customHeight="1" x14ac:dyDescent="0.2">
      <c r="A2482" s="2" t="s">
        <v>36</v>
      </c>
      <c r="B2482" s="2" t="s">
        <v>24</v>
      </c>
      <c r="C2482" s="2" t="s">
        <v>25</v>
      </c>
      <c r="D2482" s="2" t="s">
        <v>25</v>
      </c>
      <c r="E2482" s="2">
        <v>185</v>
      </c>
      <c r="F2482" s="2">
        <v>233</v>
      </c>
      <c r="G2482" s="2">
        <v>925</v>
      </c>
      <c r="H2482" s="2">
        <v>1602</v>
      </c>
      <c r="I2482" s="2">
        <v>2668</v>
      </c>
      <c r="J2482" s="2">
        <v>2.31</v>
      </c>
      <c r="K2482" s="2">
        <v>8.06</v>
      </c>
      <c r="L2482" s="2">
        <v>11.53</v>
      </c>
      <c r="M2482" s="2">
        <v>14.92</v>
      </c>
      <c r="N2482" s="2">
        <v>0.66031138700000003</v>
      </c>
      <c r="O2482" s="2">
        <v>0.53537964999999998</v>
      </c>
      <c r="P2482" s="2">
        <v>2.7477224979999999</v>
      </c>
      <c r="Q2482" s="2">
        <v>2.64969718</v>
      </c>
      <c r="R2482" s="2">
        <v>2.7438225100000002</v>
      </c>
      <c r="S2482" s="2">
        <v>2.6438225100000001</v>
      </c>
      <c r="T2482" s="2">
        <v>0.14634534399999999</v>
      </c>
      <c r="U2482" s="2">
        <v>0.17634534399999999</v>
      </c>
      <c r="V2482" s="2">
        <v>4.5151392960000001</v>
      </c>
      <c r="W2482" s="2">
        <v>4.4485283349999998</v>
      </c>
      <c r="X2482">
        <f t="shared" si="114"/>
        <v>1</v>
      </c>
      <c r="Y2482">
        <f t="shared" si="115"/>
        <v>0</v>
      </c>
      <c r="Z2482">
        <f t="shared" si="116"/>
        <v>0</v>
      </c>
    </row>
    <row r="2483" spans="1:26" ht="15.75" customHeight="1" x14ac:dyDescent="0.2">
      <c r="A2483" s="2" t="s">
        <v>36</v>
      </c>
      <c r="B2483" s="2" t="s">
        <v>24</v>
      </c>
      <c r="C2483" s="2" t="s">
        <v>30</v>
      </c>
      <c r="D2483" s="2" t="s">
        <v>31</v>
      </c>
      <c r="E2483" s="2">
        <v>182</v>
      </c>
      <c r="F2483" s="2">
        <v>273</v>
      </c>
      <c r="G2483" s="2">
        <v>783</v>
      </c>
      <c r="H2483" s="2">
        <v>1834</v>
      </c>
      <c r="I2483" s="2">
        <v>3518</v>
      </c>
      <c r="J2483" s="2">
        <v>2.75</v>
      </c>
      <c r="K2483" s="2">
        <v>7.12</v>
      </c>
      <c r="L2483" s="2">
        <v>12.43</v>
      </c>
      <c r="M2483" s="2">
        <v>16.690000000000001</v>
      </c>
      <c r="N2483" s="2">
        <v>2.4278441380000002</v>
      </c>
      <c r="O2483" s="2">
        <v>2.3998454699999998</v>
      </c>
      <c r="P2483" s="2">
        <v>2.086994206</v>
      </c>
      <c r="Q2483" s="2">
        <v>2.0171522089999998</v>
      </c>
      <c r="R2483" s="2">
        <v>1.803018593</v>
      </c>
      <c r="S2483" s="2">
        <v>1.7030185929999999</v>
      </c>
      <c r="T2483" s="2">
        <v>1.0510322409999999</v>
      </c>
      <c r="U2483" s="2">
        <v>1.0810322409999999</v>
      </c>
      <c r="V2483" s="2">
        <v>3.5743353789999999</v>
      </c>
      <c r="W2483" s="2">
        <v>3.507724418</v>
      </c>
      <c r="X2483">
        <f t="shared" si="114"/>
        <v>1</v>
      </c>
      <c r="Y2483">
        <f t="shared" si="115"/>
        <v>0</v>
      </c>
      <c r="Z2483">
        <f t="shared" si="116"/>
        <v>1</v>
      </c>
    </row>
    <row r="2484" spans="1:26" ht="15.75" customHeight="1" x14ac:dyDescent="0.2">
      <c r="A2484" s="2" t="s">
        <v>36</v>
      </c>
      <c r="B2484" s="2" t="s">
        <v>24</v>
      </c>
      <c r="C2484" s="2" t="s">
        <v>28</v>
      </c>
      <c r="D2484" s="2" t="s">
        <v>29</v>
      </c>
      <c r="E2484" s="2">
        <v>162</v>
      </c>
      <c r="F2484" s="2">
        <v>158</v>
      </c>
      <c r="G2484" s="2">
        <v>470</v>
      </c>
      <c r="H2484" s="2">
        <v>1177</v>
      </c>
      <c r="I2484" s="2">
        <v>2907</v>
      </c>
      <c r="J2484" s="2">
        <v>1.47</v>
      </c>
      <c r="K2484" s="2">
        <v>4.6500000000000004</v>
      </c>
      <c r="L2484" s="2">
        <v>9.5299999999999994</v>
      </c>
      <c r="M2484" s="2">
        <v>15.48</v>
      </c>
      <c r="N2484" s="2">
        <v>0.79791087599999999</v>
      </c>
      <c r="O2484" s="2">
        <v>0.90111372899999997</v>
      </c>
      <c r="P2484" s="2">
        <v>1.9675898629999999</v>
      </c>
      <c r="Q2484" s="2">
        <v>1.9760450540000001</v>
      </c>
      <c r="R2484" s="2">
        <v>0.667493483</v>
      </c>
      <c r="S2484" s="2">
        <v>0.76749348299999998</v>
      </c>
      <c r="T2484" s="2">
        <v>1.8509085110000001</v>
      </c>
      <c r="U2484" s="2">
        <v>1.8209085110000001</v>
      </c>
      <c r="V2484" s="2">
        <v>1.103823303</v>
      </c>
      <c r="W2484" s="2">
        <v>1.0372123419999999</v>
      </c>
      <c r="X2484">
        <f t="shared" si="114"/>
        <v>1</v>
      </c>
      <c r="Y2484">
        <f t="shared" si="115"/>
        <v>0</v>
      </c>
      <c r="Z2484">
        <f t="shared" si="116"/>
        <v>1</v>
      </c>
    </row>
    <row r="2485" spans="1:26" ht="15.75" customHeight="1" x14ac:dyDescent="0.2">
      <c r="A2485" s="2" t="s">
        <v>36</v>
      </c>
      <c r="B2485" s="2" t="s">
        <v>24</v>
      </c>
      <c r="C2485" s="2" t="s">
        <v>28</v>
      </c>
      <c r="D2485" s="2" t="s">
        <v>29</v>
      </c>
      <c r="E2485" s="2">
        <v>155</v>
      </c>
      <c r="F2485" s="2">
        <v>245</v>
      </c>
      <c r="G2485" s="2">
        <v>405</v>
      </c>
      <c r="H2485" s="2">
        <v>1164</v>
      </c>
      <c r="I2485" s="2">
        <v>2501</v>
      </c>
      <c r="J2485" s="2">
        <v>2.4500000000000002</v>
      </c>
      <c r="K2485" s="2">
        <v>4.0599999999999996</v>
      </c>
      <c r="L2485" s="2">
        <v>9.4600000000000009</v>
      </c>
      <c r="M2485" s="2">
        <v>14.5</v>
      </c>
      <c r="N2485" s="2">
        <v>1.335659248</v>
      </c>
      <c r="O2485" s="2">
        <v>1.43975757</v>
      </c>
      <c r="P2485" s="2">
        <v>2.2931901309999998</v>
      </c>
      <c r="Q2485" s="2">
        <v>2.3250026259999999</v>
      </c>
      <c r="R2485" s="2">
        <v>1.2557271699999999</v>
      </c>
      <c r="S2485" s="2">
        <v>1.35572717</v>
      </c>
      <c r="T2485" s="2">
        <v>1.9188200150000001</v>
      </c>
      <c r="U2485" s="2">
        <v>1.8888200150000001</v>
      </c>
      <c r="V2485" s="2">
        <v>0.51558961599999997</v>
      </c>
      <c r="W2485" s="2">
        <v>0.448978655</v>
      </c>
      <c r="X2485">
        <f t="shared" si="114"/>
        <v>1</v>
      </c>
      <c r="Y2485">
        <f t="shared" si="115"/>
        <v>0</v>
      </c>
      <c r="Z2485">
        <f t="shared" si="116"/>
        <v>1</v>
      </c>
    </row>
    <row r="2486" spans="1:26" ht="15.75" customHeight="1" x14ac:dyDescent="0.2">
      <c r="A2486" s="2" t="s">
        <v>36</v>
      </c>
      <c r="B2486" s="2" t="s">
        <v>24</v>
      </c>
      <c r="C2486" s="2" t="s">
        <v>32</v>
      </c>
      <c r="D2486" s="2" t="s">
        <v>33</v>
      </c>
      <c r="E2486" s="2">
        <v>196</v>
      </c>
      <c r="F2486" s="2">
        <v>273</v>
      </c>
      <c r="G2486" s="2">
        <v>727</v>
      </c>
      <c r="H2486" s="2">
        <v>1111</v>
      </c>
      <c r="I2486" s="2">
        <v>2680</v>
      </c>
      <c r="J2486" s="2">
        <v>2.75</v>
      </c>
      <c r="K2486" s="2">
        <v>6.72</v>
      </c>
      <c r="L2486" s="2">
        <v>9.17</v>
      </c>
      <c r="M2486" s="2">
        <v>14.95</v>
      </c>
      <c r="N2486" s="2">
        <v>2.0636073920000002</v>
      </c>
      <c r="O2486" s="2">
        <v>2.180360163</v>
      </c>
      <c r="P2486" s="2">
        <v>2.6173398809999999</v>
      </c>
      <c r="Q2486" s="2">
        <v>2.5393053600000002</v>
      </c>
      <c r="R2486" s="2">
        <v>1.4037662820000001</v>
      </c>
      <c r="S2486" s="2">
        <v>1.303766282</v>
      </c>
      <c r="T2486" s="2">
        <v>2.2090514429999999</v>
      </c>
      <c r="U2486" s="2">
        <v>2.1790514430000001</v>
      </c>
      <c r="V2486" s="2">
        <v>3.1750830680000002</v>
      </c>
      <c r="W2486" s="2">
        <v>3.1084721069999999</v>
      </c>
      <c r="X2486">
        <f t="shared" si="114"/>
        <v>1</v>
      </c>
      <c r="Y2486">
        <f t="shared" si="115"/>
        <v>0</v>
      </c>
      <c r="Z2486">
        <f t="shared" si="116"/>
        <v>1</v>
      </c>
    </row>
    <row r="2487" spans="1:26" ht="15.75" customHeight="1" x14ac:dyDescent="0.2">
      <c r="A2487" s="2" t="s">
        <v>36</v>
      </c>
      <c r="B2487" s="2" t="s">
        <v>24</v>
      </c>
      <c r="C2487" s="2" t="s">
        <v>25</v>
      </c>
      <c r="D2487" s="2" t="s">
        <v>25</v>
      </c>
      <c r="E2487" s="2">
        <v>136</v>
      </c>
      <c r="F2487" s="2">
        <v>265</v>
      </c>
      <c r="G2487" s="2">
        <v>946</v>
      </c>
      <c r="H2487" s="2">
        <v>1672</v>
      </c>
      <c r="I2487" s="2">
        <v>3210</v>
      </c>
      <c r="J2487" s="2">
        <v>2.67</v>
      </c>
      <c r="K2487" s="2">
        <v>8.1999999999999993</v>
      </c>
      <c r="L2487" s="2">
        <v>11.81</v>
      </c>
      <c r="M2487" s="2">
        <v>16.12</v>
      </c>
      <c r="N2487" s="2">
        <v>0.96969459999999996</v>
      </c>
      <c r="O2487" s="2">
        <v>0.84750070899999996</v>
      </c>
      <c r="P2487" s="2">
        <v>2.9100014270000001</v>
      </c>
      <c r="Q2487" s="2">
        <v>2.8159369480000001</v>
      </c>
      <c r="R2487" s="2">
        <v>2.8775498970000002</v>
      </c>
      <c r="S2487" s="2">
        <v>2.7775498970000001</v>
      </c>
      <c r="T2487" s="2">
        <v>0.43337615899999998</v>
      </c>
      <c r="U2487" s="2">
        <v>0.46337615900000001</v>
      </c>
      <c r="V2487" s="2">
        <v>4.6488666829999996</v>
      </c>
      <c r="W2487" s="2">
        <v>4.5822557220000002</v>
      </c>
      <c r="X2487">
        <f t="shared" si="114"/>
        <v>1</v>
      </c>
      <c r="Y2487">
        <f t="shared" si="115"/>
        <v>0</v>
      </c>
      <c r="Z2487">
        <f t="shared" si="116"/>
        <v>0</v>
      </c>
    </row>
    <row r="2488" spans="1:26" ht="15.75" customHeight="1" x14ac:dyDescent="0.2">
      <c r="A2488" s="2" t="s">
        <v>36</v>
      </c>
      <c r="B2488" s="2" t="s">
        <v>24</v>
      </c>
      <c r="C2488" s="2" t="s">
        <v>27</v>
      </c>
      <c r="D2488" s="2" t="s">
        <v>27</v>
      </c>
      <c r="E2488" s="2">
        <v>170</v>
      </c>
      <c r="F2488" s="2">
        <v>282</v>
      </c>
      <c r="G2488" s="2">
        <v>536</v>
      </c>
      <c r="H2488" s="2">
        <v>2365</v>
      </c>
      <c r="I2488" s="2">
        <v>3354</v>
      </c>
      <c r="J2488" s="2">
        <v>2.85</v>
      </c>
      <c r="K2488" s="2">
        <v>5.22</v>
      </c>
      <c r="L2488" s="2">
        <v>14.13</v>
      </c>
      <c r="M2488" s="2">
        <v>16.39</v>
      </c>
      <c r="N2488" s="2">
        <v>0.231904583</v>
      </c>
      <c r="O2488" s="2">
        <v>0.163077527</v>
      </c>
      <c r="P2488" s="2">
        <v>2.7509888189999998</v>
      </c>
      <c r="Q2488" s="2">
        <v>2.7861992930000001</v>
      </c>
      <c r="R2488" s="2">
        <v>9.5536262999999996E-2</v>
      </c>
      <c r="S2488" s="2">
        <v>0.19553626299999999</v>
      </c>
      <c r="T2488" s="2">
        <v>2.7493294279999998</v>
      </c>
      <c r="U2488" s="2">
        <v>2.779329428</v>
      </c>
      <c r="V2488" s="2">
        <v>1.675780523</v>
      </c>
      <c r="W2488" s="2">
        <v>1.609169563</v>
      </c>
      <c r="X2488">
        <f t="shared" si="114"/>
        <v>1</v>
      </c>
      <c r="Y2488">
        <f t="shared" si="115"/>
        <v>0</v>
      </c>
      <c r="Z2488">
        <f t="shared" si="116"/>
        <v>0</v>
      </c>
    </row>
    <row r="2489" spans="1:26" ht="15.75" customHeight="1" x14ac:dyDescent="0.2">
      <c r="A2489" s="2" t="s">
        <v>36</v>
      </c>
      <c r="B2489" s="2" t="s">
        <v>24</v>
      </c>
      <c r="C2489" s="2" t="s">
        <v>32</v>
      </c>
      <c r="D2489" s="2" t="s">
        <v>33</v>
      </c>
      <c r="E2489" s="2">
        <v>174</v>
      </c>
      <c r="F2489" s="2">
        <v>277</v>
      </c>
      <c r="G2489" s="2">
        <v>549</v>
      </c>
      <c r="H2489" s="2">
        <v>903</v>
      </c>
      <c r="I2489" s="2">
        <v>2624</v>
      </c>
      <c r="J2489" s="2">
        <v>2.79</v>
      </c>
      <c r="K2489" s="2">
        <v>5.33</v>
      </c>
      <c r="L2489" s="2">
        <v>7.93</v>
      </c>
      <c r="M2489" s="2">
        <v>14.82</v>
      </c>
      <c r="N2489" s="2">
        <v>3.8573864360000001</v>
      </c>
      <c r="O2489" s="2">
        <v>3.9814342730000001</v>
      </c>
      <c r="P2489" s="2">
        <v>3.4519242449999998</v>
      </c>
      <c r="Q2489" s="2">
        <v>3.4229887940000001</v>
      </c>
      <c r="R2489" s="2">
        <v>1.3574276E-2</v>
      </c>
      <c r="S2489" s="2">
        <v>8.6425723999999995E-2</v>
      </c>
      <c r="T2489" s="2">
        <v>3.451897555</v>
      </c>
      <c r="U2489" s="2">
        <v>3.4218975550000001</v>
      </c>
      <c r="V2489" s="2">
        <v>1.784891062</v>
      </c>
      <c r="W2489" s="2">
        <v>1.7182801009999999</v>
      </c>
      <c r="X2489">
        <f t="shared" si="114"/>
        <v>1</v>
      </c>
      <c r="Y2489">
        <f t="shared" si="115"/>
        <v>0</v>
      </c>
      <c r="Z2489">
        <f t="shared" si="116"/>
        <v>1</v>
      </c>
    </row>
    <row r="2490" spans="1:26" ht="15.75" customHeight="1" x14ac:dyDescent="0.2">
      <c r="A2490" s="2" t="s">
        <v>36</v>
      </c>
      <c r="B2490" s="2" t="s">
        <v>24</v>
      </c>
      <c r="C2490" s="2" t="s">
        <v>28</v>
      </c>
      <c r="D2490" s="2" t="s">
        <v>29</v>
      </c>
      <c r="E2490" s="2">
        <v>144</v>
      </c>
      <c r="F2490" s="2">
        <v>267</v>
      </c>
      <c r="G2490" s="2">
        <v>497</v>
      </c>
      <c r="H2490" s="2">
        <v>1169</v>
      </c>
      <c r="I2490" s="2">
        <v>2614</v>
      </c>
      <c r="J2490" s="2">
        <v>2.68</v>
      </c>
      <c r="K2490" s="2">
        <v>4.9000000000000004</v>
      </c>
      <c r="L2490" s="2">
        <v>9.49</v>
      </c>
      <c r="M2490" s="2">
        <v>14.79</v>
      </c>
      <c r="N2490" s="2">
        <v>0.56530202200000002</v>
      </c>
      <c r="O2490" s="2">
        <v>0.66614431100000004</v>
      </c>
      <c r="P2490" s="2">
        <v>1.9388745599999999</v>
      </c>
      <c r="Q2490" s="2">
        <v>1.9342741349999999</v>
      </c>
      <c r="R2490" s="2">
        <v>0.423993489</v>
      </c>
      <c r="S2490" s="2">
        <v>0.52399348899999998</v>
      </c>
      <c r="T2490" s="2">
        <v>1.8919471670000001</v>
      </c>
      <c r="U2490" s="2">
        <v>1.8619471670000001</v>
      </c>
      <c r="V2490" s="2">
        <v>1.347323297</v>
      </c>
      <c r="W2490" s="2">
        <v>1.280712337</v>
      </c>
      <c r="X2490">
        <f t="shared" si="114"/>
        <v>1</v>
      </c>
      <c r="Y2490">
        <f t="shared" si="115"/>
        <v>0</v>
      </c>
      <c r="Z2490">
        <f t="shared" si="116"/>
        <v>1</v>
      </c>
    </row>
    <row r="2491" spans="1:26" ht="15.75" customHeight="1" x14ac:dyDescent="0.2">
      <c r="A2491" s="2" t="s">
        <v>36</v>
      </c>
      <c r="B2491" s="2" t="s">
        <v>24</v>
      </c>
      <c r="C2491" s="2" t="s">
        <v>27</v>
      </c>
      <c r="D2491" s="2" t="s">
        <v>27</v>
      </c>
      <c r="E2491" s="2">
        <v>160</v>
      </c>
      <c r="F2491" s="2">
        <v>280</v>
      </c>
      <c r="G2491" s="2">
        <v>491</v>
      </c>
      <c r="H2491" s="2">
        <v>1976</v>
      </c>
      <c r="I2491" s="2">
        <v>2664</v>
      </c>
      <c r="J2491" s="2">
        <v>2.82</v>
      </c>
      <c r="K2491" s="2">
        <v>4.84</v>
      </c>
      <c r="L2491" s="2">
        <v>12.93</v>
      </c>
      <c r="M2491" s="2">
        <v>14.92</v>
      </c>
      <c r="N2491" s="2">
        <v>1.0334904629999999</v>
      </c>
      <c r="O2491" s="2">
        <v>1.1447260960000001</v>
      </c>
      <c r="P2491" s="2">
        <v>1.6216983979999999</v>
      </c>
      <c r="Q2491" s="2">
        <v>1.682302126</v>
      </c>
      <c r="R2491" s="2">
        <v>0.482165397</v>
      </c>
      <c r="S2491" s="2">
        <v>0.58216539700000003</v>
      </c>
      <c r="T2491" s="2">
        <v>1.5483611420000001</v>
      </c>
      <c r="U2491" s="2">
        <v>1.5783611420000001</v>
      </c>
      <c r="V2491" s="2">
        <v>1.2891513889999999</v>
      </c>
      <c r="W2491" s="2">
        <v>1.2225404280000001</v>
      </c>
      <c r="X2491">
        <f t="shared" si="114"/>
        <v>1</v>
      </c>
      <c r="Y2491">
        <f t="shared" si="115"/>
        <v>0</v>
      </c>
      <c r="Z2491">
        <f t="shared" si="116"/>
        <v>0</v>
      </c>
    </row>
    <row r="2492" spans="1:26" ht="15.75" customHeight="1" x14ac:dyDescent="0.2">
      <c r="A2492" s="2" t="s">
        <v>36</v>
      </c>
      <c r="B2492" s="2" t="s">
        <v>24</v>
      </c>
      <c r="C2492" s="2" t="s">
        <v>26</v>
      </c>
      <c r="D2492" s="2" t="s">
        <v>26</v>
      </c>
      <c r="E2492" s="2">
        <v>182</v>
      </c>
      <c r="F2492" s="2">
        <v>250</v>
      </c>
      <c r="G2492" s="2">
        <v>544</v>
      </c>
      <c r="H2492" s="2">
        <v>1069</v>
      </c>
      <c r="I2492" s="2">
        <v>2908</v>
      </c>
      <c r="J2492" s="2">
        <v>2.5</v>
      </c>
      <c r="K2492" s="2">
        <v>5.3</v>
      </c>
      <c r="L2492" s="2">
        <v>8.93</v>
      </c>
      <c r="M2492" s="2">
        <v>15.48</v>
      </c>
      <c r="N2492" s="2">
        <v>0.25858876200000003</v>
      </c>
      <c r="O2492" s="2">
        <v>0.27823028700000002</v>
      </c>
      <c r="P2492" s="2">
        <v>2.4482726719999999</v>
      </c>
      <c r="Q2492" s="2">
        <v>2.4212771470000001</v>
      </c>
      <c r="R2492" s="2">
        <v>2.2670038999999999E-2</v>
      </c>
      <c r="S2492" s="2">
        <v>0.12267003899999999</v>
      </c>
      <c r="T2492" s="2">
        <v>2.4481677120000001</v>
      </c>
      <c r="U2492" s="2">
        <v>2.4181677119999998</v>
      </c>
      <c r="V2492" s="2">
        <v>1.748646747</v>
      </c>
      <c r="W2492" s="2">
        <v>1.682035787</v>
      </c>
      <c r="X2492">
        <f t="shared" si="114"/>
        <v>1</v>
      </c>
      <c r="Y2492">
        <f t="shared" si="115"/>
        <v>0</v>
      </c>
      <c r="Z2492">
        <f t="shared" si="116"/>
        <v>0</v>
      </c>
    </row>
    <row r="2493" spans="1:26" ht="15.75" customHeight="1" x14ac:dyDescent="0.2">
      <c r="A2493" s="2" t="s">
        <v>36</v>
      </c>
      <c r="B2493" s="2" t="s">
        <v>24</v>
      </c>
      <c r="C2493" s="2" t="s">
        <v>27</v>
      </c>
      <c r="D2493" s="2" t="s">
        <v>27</v>
      </c>
      <c r="E2493" s="2">
        <v>140</v>
      </c>
      <c r="F2493" s="2">
        <v>226</v>
      </c>
      <c r="G2493" s="2">
        <v>532</v>
      </c>
      <c r="H2493" s="2">
        <v>2427</v>
      </c>
      <c r="I2493" s="2">
        <v>3131</v>
      </c>
      <c r="J2493" s="2">
        <v>2.25</v>
      </c>
      <c r="K2493" s="2">
        <v>5.19</v>
      </c>
      <c r="L2493" s="2">
        <v>14.3</v>
      </c>
      <c r="M2493" s="2">
        <v>15.96</v>
      </c>
      <c r="N2493" s="2">
        <v>0.40107895500000001</v>
      </c>
      <c r="O2493" s="2">
        <v>0.33525734299999999</v>
      </c>
      <c r="P2493" s="2">
        <v>2.923802389</v>
      </c>
      <c r="Q2493" s="2">
        <v>2.9597445179999999</v>
      </c>
      <c r="R2493" s="2">
        <v>0.12651685400000001</v>
      </c>
      <c r="S2493" s="2">
        <v>0.22651685399999999</v>
      </c>
      <c r="T2493" s="2">
        <v>2.92106383</v>
      </c>
      <c r="U2493" s="2">
        <v>2.9510638299999998</v>
      </c>
      <c r="V2493" s="2">
        <v>1.644799932</v>
      </c>
      <c r="W2493" s="2">
        <v>1.5781889710000001</v>
      </c>
      <c r="X2493">
        <f t="shared" si="114"/>
        <v>1</v>
      </c>
      <c r="Y2493">
        <f t="shared" si="115"/>
        <v>0</v>
      </c>
      <c r="Z2493">
        <f t="shared" si="116"/>
        <v>0</v>
      </c>
    </row>
    <row r="2494" spans="1:26" ht="15.75" customHeight="1" x14ac:dyDescent="0.2">
      <c r="A2494" s="2" t="s">
        <v>36</v>
      </c>
      <c r="B2494" s="2" t="s">
        <v>24</v>
      </c>
      <c r="C2494" s="2" t="s">
        <v>27</v>
      </c>
      <c r="D2494" s="2" t="s">
        <v>27</v>
      </c>
      <c r="E2494" s="2">
        <v>160</v>
      </c>
      <c r="F2494" s="2">
        <v>213</v>
      </c>
      <c r="G2494" s="2">
        <v>534</v>
      </c>
      <c r="H2494" s="2">
        <v>2191</v>
      </c>
      <c r="I2494" s="2">
        <v>3092</v>
      </c>
      <c r="J2494" s="2">
        <v>2.1</v>
      </c>
      <c r="K2494" s="2">
        <v>5.21</v>
      </c>
      <c r="L2494" s="2">
        <v>13.62</v>
      </c>
      <c r="M2494" s="2">
        <v>15.88</v>
      </c>
      <c r="N2494" s="2">
        <v>0.27998548600000001</v>
      </c>
      <c r="O2494" s="2">
        <v>0.36714255899999998</v>
      </c>
      <c r="P2494" s="2">
        <v>2.2435211490000002</v>
      </c>
      <c r="Q2494" s="2">
        <v>2.2803736780000001</v>
      </c>
      <c r="R2494" s="2">
        <v>0.106791394</v>
      </c>
      <c r="S2494" s="2">
        <v>0.20679139399999999</v>
      </c>
      <c r="T2494" s="2">
        <v>2.2409780779999999</v>
      </c>
      <c r="U2494" s="2">
        <v>2.2709780780000002</v>
      </c>
      <c r="V2494" s="2">
        <v>1.664525392</v>
      </c>
      <c r="W2494" s="2">
        <v>1.5979144320000001</v>
      </c>
      <c r="X2494">
        <f t="shared" si="114"/>
        <v>1</v>
      </c>
      <c r="Y2494">
        <f t="shared" si="115"/>
        <v>0</v>
      </c>
      <c r="Z2494">
        <f t="shared" si="116"/>
        <v>0</v>
      </c>
    </row>
    <row r="2495" spans="1:26" ht="15.75" customHeight="1" x14ac:dyDescent="0.2">
      <c r="A2495" s="2" t="s">
        <v>36</v>
      </c>
      <c r="B2495" s="2" t="s">
        <v>24</v>
      </c>
      <c r="C2495" s="2" t="s">
        <v>32</v>
      </c>
      <c r="D2495" s="2" t="s">
        <v>33</v>
      </c>
      <c r="E2495" s="2">
        <v>154</v>
      </c>
      <c r="F2495" s="2">
        <v>202</v>
      </c>
      <c r="G2495" s="2">
        <v>831</v>
      </c>
      <c r="H2495" s="2">
        <v>1196</v>
      </c>
      <c r="I2495" s="2">
        <v>2885</v>
      </c>
      <c r="J2495" s="2">
        <v>1.97</v>
      </c>
      <c r="K2495" s="2">
        <v>7.45</v>
      </c>
      <c r="L2495" s="2">
        <v>9.6300000000000008</v>
      </c>
      <c r="M2495" s="2">
        <v>15.43</v>
      </c>
      <c r="N2495" s="2">
        <v>1.402654201</v>
      </c>
      <c r="O2495" s="2">
        <v>1.4979160030000001</v>
      </c>
      <c r="P2495" s="2">
        <v>2.7586600859999999</v>
      </c>
      <c r="Q2495" s="2">
        <v>2.6626312300000001</v>
      </c>
      <c r="R2495" s="2">
        <v>2.1324829809999999</v>
      </c>
      <c r="S2495" s="2">
        <v>2.0324829809999998</v>
      </c>
      <c r="T2495" s="2">
        <v>1.750063371</v>
      </c>
      <c r="U2495" s="2">
        <v>1.720063371</v>
      </c>
      <c r="V2495" s="2">
        <v>3.9037997670000002</v>
      </c>
      <c r="W2495" s="2">
        <v>3.8371888059999999</v>
      </c>
      <c r="X2495">
        <f t="shared" si="114"/>
        <v>1</v>
      </c>
      <c r="Y2495">
        <f t="shared" si="115"/>
        <v>0</v>
      </c>
      <c r="Z2495">
        <f t="shared" si="116"/>
        <v>1</v>
      </c>
    </row>
    <row r="2496" spans="1:26" ht="15.75" customHeight="1" x14ac:dyDescent="0.2">
      <c r="A2496" s="2" t="s">
        <v>36</v>
      </c>
      <c r="B2496" s="2" t="s">
        <v>24</v>
      </c>
      <c r="C2496" s="2" t="s">
        <v>28</v>
      </c>
      <c r="D2496" s="2" t="s">
        <v>29</v>
      </c>
      <c r="E2496" s="2">
        <v>159</v>
      </c>
      <c r="F2496" s="2">
        <v>201</v>
      </c>
      <c r="G2496" s="2">
        <v>508</v>
      </c>
      <c r="H2496" s="2">
        <v>1121</v>
      </c>
      <c r="I2496" s="2">
        <v>2593</v>
      </c>
      <c r="J2496" s="2">
        <v>1.97</v>
      </c>
      <c r="K2496" s="2">
        <v>4.99</v>
      </c>
      <c r="L2496" s="2">
        <v>9.23</v>
      </c>
      <c r="M2496" s="2">
        <v>14.74</v>
      </c>
      <c r="N2496" s="2">
        <v>0.38153776</v>
      </c>
      <c r="O2496" s="2">
        <v>0.48476678000000001</v>
      </c>
      <c r="P2496" s="2">
        <v>2.1784669999999999</v>
      </c>
      <c r="Q2496" s="2">
        <v>2.1663670599999998</v>
      </c>
      <c r="R2496" s="2">
        <v>0.328696826</v>
      </c>
      <c r="S2496" s="2">
        <v>0.42869682599999998</v>
      </c>
      <c r="T2496" s="2">
        <v>2.1535266119999998</v>
      </c>
      <c r="U2496" s="2">
        <v>2.123526612</v>
      </c>
      <c r="V2496" s="2">
        <v>1.44261996</v>
      </c>
      <c r="W2496" s="2">
        <v>1.376008999</v>
      </c>
      <c r="X2496">
        <f t="shared" si="114"/>
        <v>1</v>
      </c>
      <c r="Y2496">
        <f t="shared" si="115"/>
        <v>0</v>
      </c>
      <c r="Z2496">
        <f t="shared" si="116"/>
        <v>1</v>
      </c>
    </row>
    <row r="2497" spans="1:26" ht="15.75" customHeight="1" x14ac:dyDescent="0.2">
      <c r="A2497" s="2" t="s">
        <v>36</v>
      </c>
      <c r="B2497" s="2" t="s">
        <v>24</v>
      </c>
      <c r="C2497" s="2" t="s">
        <v>26</v>
      </c>
      <c r="D2497" s="2" t="s">
        <v>26</v>
      </c>
      <c r="E2497" s="2">
        <v>188</v>
      </c>
      <c r="F2497" s="2">
        <v>237</v>
      </c>
      <c r="G2497" s="2">
        <v>550</v>
      </c>
      <c r="H2497" s="2">
        <v>1194</v>
      </c>
      <c r="I2497" s="2">
        <v>2851</v>
      </c>
      <c r="J2497" s="2">
        <v>2.36</v>
      </c>
      <c r="K2497" s="2">
        <v>5.34</v>
      </c>
      <c r="L2497" s="2">
        <v>9.6199999999999992</v>
      </c>
      <c r="M2497" s="2">
        <v>15.36</v>
      </c>
      <c r="N2497" s="2">
        <v>0.44203192699999999</v>
      </c>
      <c r="O2497" s="2">
        <v>0.488238118</v>
      </c>
      <c r="P2497" s="2">
        <v>1.7589974180000001</v>
      </c>
      <c r="Q2497" s="2">
        <v>1.730623054</v>
      </c>
      <c r="R2497" s="2">
        <v>2.1920574000000002E-2</v>
      </c>
      <c r="S2497" s="2">
        <v>7.8079425999999993E-2</v>
      </c>
      <c r="T2497" s="2">
        <v>1.758860826</v>
      </c>
      <c r="U2497" s="2">
        <v>1.728860826</v>
      </c>
      <c r="V2497" s="2">
        <v>1.79323736</v>
      </c>
      <c r="W2497" s="2">
        <v>1.7266263989999999</v>
      </c>
      <c r="X2497">
        <f t="shared" si="114"/>
        <v>1</v>
      </c>
      <c r="Y2497">
        <f t="shared" si="115"/>
        <v>0</v>
      </c>
      <c r="Z2497">
        <f t="shared" si="116"/>
        <v>0</v>
      </c>
    </row>
    <row r="2498" spans="1:26" ht="15.75" customHeight="1" x14ac:dyDescent="0.2">
      <c r="A2498" s="2" t="s">
        <v>36</v>
      </c>
      <c r="B2498" s="2" t="s">
        <v>24</v>
      </c>
      <c r="C2498" s="2" t="s">
        <v>30</v>
      </c>
      <c r="D2498" s="2" t="s">
        <v>31</v>
      </c>
      <c r="E2498" s="2">
        <v>183</v>
      </c>
      <c r="F2498" s="2">
        <v>241</v>
      </c>
      <c r="G2498" s="2">
        <v>800</v>
      </c>
      <c r="H2498" s="2">
        <v>1334</v>
      </c>
      <c r="I2498" s="2">
        <v>1908</v>
      </c>
      <c r="J2498" s="2">
        <v>2.41</v>
      </c>
      <c r="K2498" s="2">
        <v>7.24</v>
      </c>
      <c r="L2498" s="2">
        <v>10.33</v>
      </c>
      <c r="M2498" s="2">
        <v>12.7</v>
      </c>
      <c r="N2498" s="2">
        <v>4.116867643</v>
      </c>
      <c r="O2498" s="2">
        <v>4.1384297889999999</v>
      </c>
      <c r="P2498" s="2">
        <v>2.187662939</v>
      </c>
      <c r="Q2498" s="2">
        <v>2.0856586090000002</v>
      </c>
      <c r="R2498" s="2">
        <v>1.918714821</v>
      </c>
      <c r="S2498" s="2">
        <v>1.8187148209999999</v>
      </c>
      <c r="T2498" s="2">
        <v>1.0509055949999999</v>
      </c>
      <c r="U2498" s="2">
        <v>1.0209055950000001</v>
      </c>
      <c r="V2498" s="2">
        <v>3.6900316069999999</v>
      </c>
      <c r="W2498" s="2">
        <v>3.623420646</v>
      </c>
      <c r="X2498">
        <f t="shared" si="114"/>
        <v>1</v>
      </c>
      <c r="Y2498">
        <f t="shared" si="115"/>
        <v>0</v>
      </c>
      <c r="Z2498">
        <f t="shared" si="116"/>
        <v>1</v>
      </c>
    </row>
    <row r="2499" spans="1:26" ht="15.75" customHeight="1" x14ac:dyDescent="0.2">
      <c r="A2499" s="2" t="s">
        <v>36</v>
      </c>
      <c r="B2499" s="2" t="s">
        <v>24</v>
      </c>
      <c r="C2499" s="2" t="s">
        <v>27</v>
      </c>
      <c r="D2499" s="2" t="s">
        <v>27</v>
      </c>
      <c r="E2499" s="2">
        <v>151</v>
      </c>
      <c r="F2499" s="2">
        <v>286</v>
      </c>
      <c r="G2499" s="2">
        <v>554</v>
      </c>
      <c r="H2499" s="2">
        <v>2251</v>
      </c>
      <c r="I2499" s="2">
        <v>3086</v>
      </c>
      <c r="J2499" s="2">
        <v>2.89</v>
      </c>
      <c r="K2499" s="2">
        <v>5.38</v>
      </c>
      <c r="L2499" s="2">
        <v>13.8</v>
      </c>
      <c r="M2499" s="2">
        <v>15.87</v>
      </c>
      <c r="N2499" s="2">
        <v>0.21186395899999999</v>
      </c>
      <c r="O2499" s="2">
        <v>0.198268154</v>
      </c>
      <c r="P2499" s="2">
        <v>2.4230310899999998</v>
      </c>
      <c r="Q2499" s="2">
        <v>2.4526959920000002</v>
      </c>
      <c r="R2499" s="2">
        <v>5.8011137999999997E-2</v>
      </c>
      <c r="S2499" s="2">
        <v>4.1988862000000002E-2</v>
      </c>
      <c r="T2499" s="2">
        <v>2.422336552</v>
      </c>
      <c r="U2499" s="2">
        <v>2.4523365519999998</v>
      </c>
      <c r="V2499" s="2">
        <v>1.829327924</v>
      </c>
      <c r="W2499" s="2">
        <v>1.7627169629999999</v>
      </c>
      <c r="X2499">
        <f t="shared" ref="X2499:X2562" si="117">IF(B2499="normal",1,0)</f>
        <v>1</v>
      </c>
      <c r="Y2499">
        <f t="shared" ref="Y2499:Y2562" si="118">IF(A2499="lecture",1,0)</f>
        <v>0</v>
      </c>
      <c r="Z2499">
        <f t="shared" ref="Z2499:Z2562" si="119">IF(ISNUMBER(FIND("~",D2499)),1,0)</f>
        <v>0</v>
      </c>
    </row>
    <row r="2500" spans="1:26" ht="15.75" customHeight="1" x14ac:dyDescent="0.2">
      <c r="A2500" s="2" t="s">
        <v>36</v>
      </c>
      <c r="B2500" s="2" t="s">
        <v>24</v>
      </c>
      <c r="C2500" s="2" t="s">
        <v>30</v>
      </c>
      <c r="D2500" s="2" t="s">
        <v>31</v>
      </c>
      <c r="E2500" s="2">
        <v>178</v>
      </c>
      <c r="F2500" s="2">
        <v>243</v>
      </c>
      <c r="G2500" s="2">
        <v>755</v>
      </c>
      <c r="H2500" s="2">
        <v>1274</v>
      </c>
      <c r="I2500" s="2">
        <v>2330</v>
      </c>
      <c r="J2500" s="2">
        <v>2.4300000000000002</v>
      </c>
      <c r="K2500" s="2">
        <v>6.93</v>
      </c>
      <c r="L2500" s="2">
        <v>10.029999999999999</v>
      </c>
      <c r="M2500" s="2">
        <v>14.03</v>
      </c>
      <c r="N2500" s="2">
        <v>4.2408982819999999</v>
      </c>
      <c r="O2500" s="2">
        <v>4.2746941859999996</v>
      </c>
      <c r="P2500" s="2">
        <v>2.0984564670000001</v>
      </c>
      <c r="Q2500" s="2">
        <v>2.0029840299999999</v>
      </c>
      <c r="R2500" s="2">
        <v>1.607827154</v>
      </c>
      <c r="S2500" s="2">
        <v>1.5078271539999999</v>
      </c>
      <c r="T2500" s="2">
        <v>1.348484848</v>
      </c>
      <c r="U2500" s="2">
        <v>1.318484848</v>
      </c>
      <c r="V2500" s="2">
        <v>3.3791439400000001</v>
      </c>
      <c r="W2500" s="2">
        <v>3.3125329799999998</v>
      </c>
      <c r="X2500">
        <f t="shared" si="117"/>
        <v>1</v>
      </c>
      <c r="Y2500">
        <f t="shared" si="118"/>
        <v>0</v>
      </c>
      <c r="Z2500">
        <f t="shared" si="119"/>
        <v>1</v>
      </c>
    </row>
    <row r="2501" spans="1:26" ht="15.75" customHeight="1" x14ac:dyDescent="0.2">
      <c r="A2501" s="2" t="s">
        <v>36</v>
      </c>
      <c r="B2501" s="2" t="s">
        <v>24</v>
      </c>
      <c r="C2501" s="2" t="s">
        <v>26</v>
      </c>
      <c r="D2501" s="2" t="s">
        <v>26</v>
      </c>
      <c r="E2501" s="2">
        <v>163</v>
      </c>
      <c r="F2501" s="2">
        <v>251</v>
      </c>
      <c r="G2501" s="2">
        <v>548</v>
      </c>
      <c r="H2501" s="2">
        <v>1219</v>
      </c>
      <c r="I2501" s="2">
        <v>2788</v>
      </c>
      <c r="J2501" s="2">
        <v>2.52</v>
      </c>
      <c r="K2501" s="2">
        <v>5.33</v>
      </c>
      <c r="L2501" s="2">
        <v>9.75</v>
      </c>
      <c r="M2501" s="2">
        <v>15.21</v>
      </c>
      <c r="N2501" s="2">
        <v>0.573474492</v>
      </c>
      <c r="O2501" s="2">
        <v>0.61801521400000003</v>
      </c>
      <c r="P2501" s="2">
        <v>1.6279032410000001</v>
      </c>
      <c r="Q2501" s="2">
        <v>1.6003558280000001</v>
      </c>
      <c r="R2501" s="2">
        <v>1.0790698E-2</v>
      </c>
      <c r="S2501" s="2">
        <v>8.9209302000000004E-2</v>
      </c>
      <c r="T2501" s="2">
        <v>1.6278674769999999</v>
      </c>
      <c r="U2501" s="2">
        <v>1.5978674770000001</v>
      </c>
      <c r="V2501" s="2">
        <v>1.782107484</v>
      </c>
      <c r="W2501" s="2">
        <v>1.7154965230000001</v>
      </c>
      <c r="X2501">
        <f t="shared" si="117"/>
        <v>1</v>
      </c>
      <c r="Y2501">
        <f t="shared" si="118"/>
        <v>0</v>
      </c>
      <c r="Z2501">
        <f t="shared" si="119"/>
        <v>0</v>
      </c>
    </row>
    <row r="2502" spans="1:26" ht="15.75" customHeight="1" x14ac:dyDescent="0.2">
      <c r="A2502" s="2" t="s">
        <v>36</v>
      </c>
      <c r="B2502" s="2" t="s">
        <v>24</v>
      </c>
      <c r="C2502" s="2" t="s">
        <v>26</v>
      </c>
      <c r="D2502" s="2" t="s">
        <v>26</v>
      </c>
      <c r="E2502" s="2">
        <v>173</v>
      </c>
      <c r="F2502" s="2">
        <v>150</v>
      </c>
      <c r="G2502" s="2">
        <v>580</v>
      </c>
      <c r="H2502" s="2">
        <v>1102</v>
      </c>
      <c r="I2502" s="2">
        <v>3199</v>
      </c>
      <c r="J2502" s="2">
        <v>1.37</v>
      </c>
      <c r="K2502" s="2">
        <v>5.59</v>
      </c>
      <c r="L2502" s="2">
        <v>9.1199999999999992</v>
      </c>
      <c r="M2502" s="2">
        <v>16.100000000000001</v>
      </c>
      <c r="N2502" s="2">
        <v>0.22814427700000001</v>
      </c>
      <c r="O2502" s="2">
        <v>0.123753631</v>
      </c>
      <c r="P2502" s="2">
        <v>2.2790313979999999</v>
      </c>
      <c r="Q2502" s="2">
        <v>2.2394752200000001</v>
      </c>
      <c r="R2502" s="2">
        <v>0.26925318300000001</v>
      </c>
      <c r="S2502" s="2">
        <v>0.169253183</v>
      </c>
      <c r="T2502" s="2">
        <v>2.2630702230000002</v>
      </c>
      <c r="U2502" s="2">
        <v>2.2330702229999999</v>
      </c>
      <c r="V2502" s="2">
        <v>2.0405699689999999</v>
      </c>
      <c r="W2502" s="2">
        <v>1.973959008</v>
      </c>
      <c r="X2502">
        <f t="shared" si="117"/>
        <v>1</v>
      </c>
      <c r="Y2502">
        <f t="shared" si="118"/>
        <v>0</v>
      </c>
      <c r="Z2502">
        <f t="shared" si="119"/>
        <v>0</v>
      </c>
    </row>
    <row r="2503" spans="1:26" ht="15.75" customHeight="1" x14ac:dyDescent="0.2">
      <c r="A2503" s="2" t="s">
        <v>36</v>
      </c>
      <c r="B2503" s="2" t="s">
        <v>24</v>
      </c>
      <c r="C2503" s="2" t="s">
        <v>26</v>
      </c>
      <c r="D2503" s="2" t="s">
        <v>26</v>
      </c>
      <c r="E2503" s="2">
        <v>168</v>
      </c>
      <c r="F2503" s="2">
        <v>288</v>
      </c>
      <c r="G2503" s="2">
        <v>548</v>
      </c>
      <c r="H2503" s="2">
        <v>965</v>
      </c>
      <c r="I2503" s="2">
        <v>3270</v>
      </c>
      <c r="J2503" s="2">
        <v>2.9</v>
      </c>
      <c r="K2503" s="2">
        <v>5.33</v>
      </c>
      <c r="L2503" s="2">
        <v>8.31</v>
      </c>
      <c r="M2503" s="2">
        <v>16.23</v>
      </c>
      <c r="N2503" s="2">
        <v>0.86819451800000003</v>
      </c>
      <c r="O2503" s="2">
        <v>0.84946754999999996</v>
      </c>
      <c r="P2503" s="2">
        <v>3.0670434229999999</v>
      </c>
      <c r="Q2503" s="2">
        <v>3.0385175260000001</v>
      </c>
      <c r="R2503" s="2">
        <v>5.2213210000000001E-3</v>
      </c>
      <c r="S2503" s="2">
        <v>9.4778679000000005E-2</v>
      </c>
      <c r="T2503" s="2">
        <v>3.0670389789999999</v>
      </c>
      <c r="U2503" s="2">
        <v>3.0370389790000001</v>
      </c>
      <c r="V2503" s="2">
        <v>1.7765381069999999</v>
      </c>
      <c r="W2503" s="2">
        <v>1.7099271469999999</v>
      </c>
      <c r="X2503">
        <f t="shared" si="117"/>
        <v>1</v>
      </c>
      <c r="Y2503">
        <f t="shared" si="118"/>
        <v>0</v>
      </c>
      <c r="Z2503">
        <f t="shared" si="119"/>
        <v>0</v>
      </c>
    </row>
    <row r="2504" spans="1:26" ht="15.75" customHeight="1" x14ac:dyDescent="0.2">
      <c r="A2504" s="2" t="s">
        <v>36</v>
      </c>
      <c r="B2504" s="2" t="s">
        <v>24</v>
      </c>
      <c r="C2504" s="2" t="s">
        <v>25</v>
      </c>
      <c r="D2504" s="2" t="s">
        <v>25</v>
      </c>
      <c r="E2504" s="2">
        <v>199</v>
      </c>
      <c r="F2504" s="2">
        <v>246</v>
      </c>
      <c r="G2504" s="2">
        <v>820</v>
      </c>
      <c r="H2504" s="2">
        <v>1559</v>
      </c>
      <c r="I2504" s="2">
        <v>2570</v>
      </c>
      <c r="J2504" s="2">
        <v>2.46</v>
      </c>
      <c r="K2504" s="2">
        <v>7.38</v>
      </c>
      <c r="L2504" s="2">
        <v>11.35</v>
      </c>
      <c r="M2504" s="2">
        <v>14.68</v>
      </c>
      <c r="N2504" s="2">
        <v>0.41686481800000003</v>
      </c>
      <c r="O2504" s="2">
        <v>0.43584203900000001</v>
      </c>
      <c r="P2504" s="2">
        <v>2.0605315100000001</v>
      </c>
      <c r="Q2504" s="2">
        <v>1.960255753</v>
      </c>
      <c r="R2504" s="2">
        <v>2.0602517680000001</v>
      </c>
      <c r="S2504" s="2">
        <v>1.960251768</v>
      </c>
      <c r="T2504" s="2">
        <v>3.3952255000000001E-2</v>
      </c>
      <c r="U2504" s="2">
        <v>3.952255E-3</v>
      </c>
      <c r="V2504" s="2">
        <v>3.831568554</v>
      </c>
      <c r="W2504" s="2">
        <v>3.7649575940000002</v>
      </c>
      <c r="X2504">
        <f t="shared" si="117"/>
        <v>1</v>
      </c>
      <c r="Y2504">
        <f t="shared" si="118"/>
        <v>0</v>
      </c>
      <c r="Z2504">
        <f t="shared" si="119"/>
        <v>0</v>
      </c>
    </row>
    <row r="2505" spans="1:26" ht="15.75" customHeight="1" x14ac:dyDescent="0.2">
      <c r="A2505" s="2" t="s">
        <v>36</v>
      </c>
      <c r="B2505" s="2" t="s">
        <v>24</v>
      </c>
      <c r="C2505" s="2" t="s">
        <v>25</v>
      </c>
      <c r="D2505" s="2" t="s">
        <v>25</v>
      </c>
      <c r="E2505" s="2">
        <v>194</v>
      </c>
      <c r="F2505" s="2">
        <v>277</v>
      </c>
      <c r="G2505" s="2">
        <v>901</v>
      </c>
      <c r="H2505" s="2">
        <v>1645</v>
      </c>
      <c r="I2505" s="2">
        <v>3222</v>
      </c>
      <c r="J2505" s="2">
        <v>2.79</v>
      </c>
      <c r="K2505" s="2">
        <v>7.91</v>
      </c>
      <c r="L2505" s="2">
        <v>11.71</v>
      </c>
      <c r="M2505" s="2">
        <v>16.14</v>
      </c>
      <c r="N2505" s="2">
        <v>0.737481214</v>
      </c>
      <c r="O2505" s="2">
        <v>0.62932151599999997</v>
      </c>
      <c r="P2505" s="2">
        <v>2.6134267840000001</v>
      </c>
      <c r="Q2505" s="2">
        <v>2.518288053</v>
      </c>
      <c r="R2505" s="2">
        <v>2.5931352670000001</v>
      </c>
      <c r="S2505" s="2">
        <v>2.493135267</v>
      </c>
      <c r="T2505" s="2">
        <v>0.32503698199999997</v>
      </c>
      <c r="U2505" s="2">
        <v>0.355036982</v>
      </c>
      <c r="V2505" s="2">
        <v>4.3644520529999999</v>
      </c>
      <c r="W2505" s="2">
        <v>4.2978410929999997</v>
      </c>
      <c r="X2505">
        <f t="shared" si="117"/>
        <v>1</v>
      </c>
      <c r="Y2505">
        <f t="shared" si="118"/>
        <v>0</v>
      </c>
      <c r="Z2505">
        <f t="shared" si="119"/>
        <v>0</v>
      </c>
    </row>
    <row r="2506" spans="1:26" ht="15.75" customHeight="1" x14ac:dyDescent="0.2">
      <c r="A2506" s="2" t="s">
        <v>36</v>
      </c>
      <c r="B2506" s="2" t="s">
        <v>24</v>
      </c>
      <c r="C2506" s="2" t="s">
        <v>25</v>
      </c>
      <c r="D2506" s="2" t="s">
        <v>25</v>
      </c>
      <c r="E2506" s="2">
        <v>211</v>
      </c>
      <c r="F2506" s="2">
        <v>230</v>
      </c>
      <c r="G2506" s="2">
        <v>787</v>
      </c>
      <c r="H2506" s="2">
        <v>1331</v>
      </c>
      <c r="I2506" s="2">
        <v>2676</v>
      </c>
      <c r="J2506" s="2">
        <v>2.29</v>
      </c>
      <c r="K2506" s="2">
        <v>7.15</v>
      </c>
      <c r="L2506" s="2">
        <v>10.31</v>
      </c>
      <c r="M2506" s="2">
        <v>14.95</v>
      </c>
      <c r="N2506" s="2">
        <v>0.85708377099999999</v>
      </c>
      <c r="O2506" s="2">
        <v>0.98041664399999995</v>
      </c>
      <c r="P2506" s="2">
        <v>2.120358811</v>
      </c>
      <c r="Q2506" s="2">
        <v>2.0189719859999999</v>
      </c>
      <c r="R2506" s="2">
        <v>1.833234652</v>
      </c>
      <c r="S2506" s="2">
        <v>1.7332346519999999</v>
      </c>
      <c r="T2506" s="2">
        <v>1.0654446019999999</v>
      </c>
      <c r="U2506" s="2">
        <v>1.0354446020000001</v>
      </c>
      <c r="V2506" s="2">
        <v>3.6045514380000001</v>
      </c>
      <c r="W2506" s="2">
        <v>3.5379404769999998</v>
      </c>
      <c r="X2506">
        <f t="shared" si="117"/>
        <v>1</v>
      </c>
      <c r="Y2506">
        <f t="shared" si="118"/>
        <v>0</v>
      </c>
      <c r="Z2506">
        <f t="shared" si="119"/>
        <v>0</v>
      </c>
    </row>
    <row r="2507" spans="1:26" ht="15.75" customHeight="1" x14ac:dyDescent="0.2">
      <c r="A2507" s="2" t="s">
        <v>36</v>
      </c>
      <c r="B2507" s="2" t="s">
        <v>24</v>
      </c>
      <c r="C2507" s="2" t="s">
        <v>28</v>
      </c>
      <c r="D2507" s="2" t="s">
        <v>29</v>
      </c>
      <c r="E2507" s="2">
        <v>135</v>
      </c>
      <c r="F2507" s="2">
        <v>287</v>
      </c>
      <c r="G2507" s="2">
        <v>401</v>
      </c>
      <c r="H2507" s="2">
        <v>1182</v>
      </c>
      <c r="I2507" s="2">
        <v>2672</v>
      </c>
      <c r="J2507" s="2">
        <v>2.89</v>
      </c>
      <c r="K2507" s="2">
        <v>4.0199999999999996</v>
      </c>
      <c r="L2507" s="2">
        <v>9.56</v>
      </c>
      <c r="M2507" s="2">
        <v>14.94</v>
      </c>
      <c r="N2507" s="2">
        <v>1.401450053</v>
      </c>
      <c r="O2507" s="2">
        <v>1.5058361149999999</v>
      </c>
      <c r="P2507" s="2">
        <v>2.2384148370000001</v>
      </c>
      <c r="Q2507" s="2">
        <v>2.2741990099999998</v>
      </c>
      <c r="R2507" s="2">
        <v>1.2996441679999999</v>
      </c>
      <c r="S2507" s="2">
        <v>1.399644168</v>
      </c>
      <c r="T2507" s="2">
        <v>1.822477989</v>
      </c>
      <c r="U2507" s="2">
        <v>1.792477989</v>
      </c>
      <c r="V2507" s="2">
        <v>0.47167261799999999</v>
      </c>
      <c r="W2507" s="2">
        <v>0.40506165700000002</v>
      </c>
      <c r="X2507">
        <f t="shared" si="117"/>
        <v>1</v>
      </c>
      <c r="Y2507">
        <f t="shared" si="118"/>
        <v>0</v>
      </c>
      <c r="Z2507">
        <f t="shared" si="119"/>
        <v>1</v>
      </c>
    </row>
    <row r="2508" spans="1:26" ht="15.75" customHeight="1" x14ac:dyDescent="0.2">
      <c r="A2508" s="2" t="s">
        <v>36</v>
      </c>
      <c r="B2508" s="2" t="s">
        <v>24</v>
      </c>
      <c r="C2508" s="2" t="s">
        <v>30</v>
      </c>
      <c r="D2508" s="2" t="s">
        <v>31</v>
      </c>
      <c r="E2508" s="2">
        <v>170</v>
      </c>
      <c r="F2508" s="2">
        <v>200</v>
      </c>
      <c r="G2508" s="2">
        <v>790</v>
      </c>
      <c r="H2508" s="2">
        <v>1296</v>
      </c>
      <c r="I2508" s="2">
        <v>2709</v>
      </c>
      <c r="J2508" s="2">
        <v>1.96</v>
      </c>
      <c r="K2508" s="2">
        <v>7.17</v>
      </c>
      <c r="L2508" s="2">
        <v>10.14</v>
      </c>
      <c r="M2508" s="2">
        <v>15.03</v>
      </c>
      <c r="N2508" s="2">
        <v>4.2476878410000003</v>
      </c>
      <c r="O2508" s="2">
        <v>4.2736428200000001</v>
      </c>
      <c r="P2508" s="2">
        <v>2.2269661219999999</v>
      </c>
      <c r="Q2508" s="2">
        <v>2.1273690319999998</v>
      </c>
      <c r="R2508" s="2">
        <v>1.8517818180000001</v>
      </c>
      <c r="S2508" s="2">
        <v>1.751781818</v>
      </c>
      <c r="T2508" s="2">
        <v>1.237045757</v>
      </c>
      <c r="U2508" s="2">
        <v>1.2070457569999999</v>
      </c>
      <c r="V2508" s="2">
        <v>3.6230986039999999</v>
      </c>
      <c r="W2508" s="2">
        <v>3.5564876440000002</v>
      </c>
      <c r="X2508">
        <f t="shared" si="117"/>
        <v>1</v>
      </c>
      <c r="Y2508">
        <f t="shared" si="118"/>
        <v>0</v>
      </c>
      <c r="Z2508">
        <f t="shared" si="119"/>
        <v>1</v>
      </c>
    </row>
    <row r="2509" spans="1:26" ht="15.75" customHeight="1" x14ac:dyDescent="0.2">
      <c r="A2509" s="2" t="s">
        <v>36</v>
      </c>
      <c r="B2509" s="2" t="s">
        <v>24</v>
      </c>
      <c r="C2509" s="2" t="s">
        <v>32</v>
      </c>
      <c r="D2509" s="2" t="s">
        <v>33</v>
      </c>
      <c r="E2509" s="2">
        <v>181</v>
      </c>
      <c r="F2509" s="2">
        <v>240</v>
      </c>
      <c r="G2509" s="2">
        <v>740</v>
      </c>
      <c r="H2509" s="2">
        <v>1019</v>
      </c>
      <c r="I2509" s="2">
        <v>2429</v>
      </c>
      <c r="J2509" s="2">
        <v>2.39</v>
      </c>
      <c r="K2509" s="2">
        <v>6.82</v>
      </c>
      <c r="L2509" s="2">
        <v>8.64</v>
      </c>
      <c r="M2509" s="2">
        <v>14.31</v>
      </c>
      <c r="N2509" s="2">
        <v>2.5200056530000001</v>
      </c>
      <c r="O2509" s="2">
        <v>2.6292079560000001</v>
      </c>
      <c r="P2509" s="2">
        <v>3.12272354</v>
      </c>
      <c r="Q2509" s="2">
        <v>3.049380062</v>
      </c>
      <c r="R2509" s="2">
        <v>1.495522904</v>
      </c>
      <c r="S2509" s="2">
        <v>1.3955229039999999</v>
      </c>
      <c r="T2509" s="2">
        <v>2.7413160250000002</v>
      </c>
      <c r="U2509" s="2">
        <v>2.7113160249999999</v>
      </c>
      <c r="V2509" s="2">
        <v>3.2668396899999999</v>
      </c>
      <c r="W2509" s="2">
        <v>3.200228729</v>
      </c>
      <c r="X2509">
        <f t="shared" si="117"/>
        <v>1</v>
      </c>
      <c r="Y2509">
        <f t="shared" si="118"/>
        <v>0</v>
      </c>
      <c r="Z2509">
        <f t="shared" si="119"/>
        <v>1</v>
      </c>
    </row>
    <row r="2510" spans="1:26" ht="15.75" customHeight="1" x14ac:dyDescent="0.2">
      <c r="A2510" s="2" t="s">
        <v>36</v>
      </c>
      <c r="B2510" s="2" t="s">
        <v>24</v>
      </c>
      <c r="C2510" s="2" t="s">
        <v>26</v>
      </c>
      <c r="D2510" s="2" t="s">
        <v>26</v>
      </c>
      <c r="E2510" s="2">
        <v>177</v>
      </c>
      <c r="F2510" s="2">
        <v>241</v>
      </c>
      <c r="G2510" s="2">
        <v>552</v>
      </c>
      <c r="H2510" s="2">
        <v>1232</v>
      </c>
      <c r="I2510" s="2">
        <v>2969</v>
      </c>
      <c r="J2510" s="2">
        <v>2.41</v>
      </c>
      <c r="K2510" s="2">
        <v>5.36</v>
      </c>
      <c r="L2510" s="2">
        <v>9.82</v>
      </c>
      <c r="M2510" s="2">
        <v>15.62</v>
      </c>
      <c r="N2510" s="2">
        <v>0.63610228300000005</v>
      </c>
      <c r="O2510" s="2">
        <v>0.67525363199999999</v>
      </c>
      <c r="P2510" s="2">
        <v>1.5644760900000001</v>
      </c>
      <c r="Q2510" s="2">
        <v>1.535228579</v>
      </c>
      <c r="R2510" s="2">
        <v>3.8593231999999998E-2</v>
      </c>
      <c r="S2510" s="2">
        <v>6.1406768E-2</v>
      </c>
      <c r="T2510" s="2">
        <v>1.5640000000000001</v>
      </c>
      <c r="U2510" s="2">
        <v>1.534</v>
      </c>
      <c r="V2510" s="2">
        <v>1.8099100180000001</v>
      </c>
      <c r="W2510" s="2">
        <v>1.743299057</v>
      </c>
      <c r="X2510">
        <f t="shared" si="117"/>
        <v>1</v>
      </c>
      <c r="Y2510">
        <f t="shared" si="118"/>
        <v>0</v>
      </c>
      <c r="Z2510">
        <f t="shared" si="119"/>
        <v>0</v>
      </c>
    </row>
    <row r="2511" spans="1:26" ht="15.75" customHeight="1" x14ac:dyDescent="0.2">
      <c r="A2511" s="2" t="s">
        <v>36</v>
      </c>
      <c r="B2511" s="2" t="s">
        <v>24</v>
      </c>
      <c r="C2511" s="2" t="s">
        <v>32</v>
      </c>
      <c r="D2511" s="2" t="s">
        <v>33</v>
      </c>
      <c r="E2511" s="2">
        <v>160</v>
      </c>
      <c r="F2511" s="2">
        <v>240</v>
      </c>
      <c r="G2511" s="2">
        <v>857</v>
      </c>
      <c r="H2511" s="2">
        <v>1113</v>
      </c>
      <c r="I2511" s="2">
        <v>2889</v>
      </c>
      <c r="J2511" s="2">
        <v>2.39</v>
      </c>
      <c r="K2511" s="2">
        <v>7.63</v>
      </c>
      <c r="L2511" s="2">
        <v>9.18</v>
      </c>
      <c r="M2511" s="2">
        <v>15.44</v>
      </c>
      <c r="N2511" s="2">
        <v>1.83980839</v>
      </c>
      <c r="O2511" s="2">
        <v>1.923009642</v>
      </c>
      <c r="P2511" s="2">
        <v>3.1887292340000002</v>
      </c>
      <c r="Q2511" s="2">
        <v>3.0959999059999999</v>
      </c>
      <c r="R2511" s="2">
        <v>2.308461903</v>
      </c>
      <c r="S2511" s="2">
        <v>2.2084619029999999</v>
      </c>
      <c r="T2511" s="2">
        <v>2.1997722099999999</v>
      </c>
      <c r="U2511" s="2">
        <v>2.1697722100000001</v>
      </c>
      <c r="V2511" s="2">
        <v>4.0797786890000003</v>
      </c>
      <c r="W2511" s="2">
        <v>4.013167728</v>
      </c>
      <c r="X2511">
        <f t="shared" si="117"/>
        <v>1</v>
      </c>
      <c r="Y2511">
        <f t="shared" si="118"/>
        <v>0</v>
      </c>
      <c r="Z2511">
        <f t="shared" si="119"/>
        <v>1</v>
      </c>
    </row>
    <row r="2512" spans="1:26" ht="15.75" customHeight="1" x14ac:dyDescent="0.2">
      <c r="A2512" s="2" t="s">
        <v>36</v>
      </c>
      <c r="B2512" s="2" t="s">
        <v>24</v>
      </c>
      <c r="C2512" s="2" t="s">
        <v>28</v>
      </c>
      <c r="D2512" s="2" t="s">
        <v>29</v>
      </c>
      <c r="E2512" s="2">
        <v>160</v>
      </c>
      <c r="F2512" s="2">
        <v>244</v>
      </c>
      <c r="G2512" s="2">
        <v>461</v>
      </c>
      <c r="H2512" s="2">
        <v>1135</v>
      </c>
      <c r="I2512" s="2">
        <v>2616</v>
      </c>
      <c r="J2512" s="2">
        <v>2.44</v>
      </c>
      <c r="K2512" s="2">
        <v>4.58</v>
      </c>
      <c r="L2512" s="2">
        <v>9.3000000000000007</v>
      </c>
      <c r="M2512" s="2">
        <v>14.8</v>
      </c>
      <c r="N2512" s="2">
        <v>0.80095971399999999</v>
      </c>
      <c r="O2512" s="2">
        <v>0.90444393000000001</v>
      </c>
      <c r="P2512" s="2">
        <v>2.2084092059999998</v>
      </c>
      <c r="Q2512" s="2">
        <v>2.2162025129999998</v>
      </c>
      <c r="R2512" s="2">
        <v>0.74192731300000003</v>
      </c>
      <c r="S2512" s="2">
        <v>0.84192731300000001</v>
      </c>
      <c r="T2512" s="2">
        <v>2.080051702</v>
      </c>
      <c r="U2512" s="2">
        <v>2.0500517020000002</v>
      </c>
      <c r="V2512" s="2">
        <v>1.0293894729999999</v>
      </c>
      <c r="W2512" s="2">
        <v>0.96277851299999995</v>
      </c>
      <c r="X2512">
        <f t="shared" si="117"/>
        <v>1</v>
      </c>
      <c r="Y2512">
        <f t="shared" si="118"/>
        <v>0</v>
      </c>
      <c r="Z2512">
        <f t="shared" si="119"/>
        <v>1</v>
      </c>
    </row>
    <row r="2513" spans="1:26" ht="15.75" customHeight="1" x14ac:dyDescent="0.2">
      <c r="A2513" s="2" t="s">
        <v>36</v>
      </c>
      <c r="B2513" s="2" t="s">
        <v>24</v>
      </c>
      <c r="C2513" s="2" t="s">
        <v>32</v>
      </c>
      <c r="D2513" s="2" t="s">
        <v>33</v>
      </c>
      <c r="E2513" s="2">
        <v>168</v>
      </c>
      <c r="F2513" s="2">
        <v>242</v>
      </c>
      <c r="G2513" s="2">
        <v>594</v>
      </c>
      <c r="H2513" s="2">
        <v>1061</v>
      </c>
      <c r="I2513" s="2">
        <v>2837</v>
      </c>
      <c r="J2513" s="2">
        <v>2.42</v>
      </c>
      <c r="K2513" s="2">
        <v>5.7</v>
      </c>
      <c r="L2513" s="2">
        <v>8.89</v>
      </c>
      <c r="M2513" s="2">
        <v>15.32</v>
      </c>
      <c r="N2513" s="2">
        <v>2.8808702949999998</v>
      </c>
      <c r="O2513" s="2">
        <v>3.0073953200000001</v>
      </c>
      <c r="P2513" s="2">
        <v>2.5213992620000001</v>
      </c>
      <c r="Q2513" s="2">
        <v>2.4783634999999999</v>
      </c>
      <c r="R2513" s="2">
        <v>0.38268633299999999</v>
      </c>
      <c r="S2513" s="2">
        <v>0.28268633300000001</v>
      </c>
      <c r="T2513" s="2">
        <v>2.492188879</v>
      </c>
      <c r="U2513" s="2">
        <v>2.4621888790000002</v>
      </c>
      <c r="V2513" s="2">
        <v>2.154003119</v>
      </c>
      <c r="W2513" s="2">
        <v>2.0873921590000002</v>
      </c>
      <c r="X2513">
        <f t="shared" si="117"/>
        <v>1</v>
      </c>
      <c r="Y2513">
        <f t="shared" si="118"/>
        <v>0</v>
      </c>
      <c r="Z2513">
        <f t="shared" si="119"/>
        <v>1</v>
      </c>
    </row>
    <row r="2514" spans="1:26" ht="15.75" customHeight="1" x14ac:dyDescent="0.2">
      <c r="A2514" s="2" t="s">
        <v>36</v>
      </c>
      <c r="B2514" s="2" t="s">
        <v>24</v>
      </c>
      <c r="C2514" s="2" t="s">
        <v>25</v>
      </c>
      <c r="D2514" s="2" t="s">
        <v>25</v>
      </c>
      <c r="E2514" s="2">
        <v>200</v>
      </c>
      <c r="F2514" s="2">
        <v>276</v>
      </c>
      <c r="G2514" s="2">
        <v>915</v>
      </c>
      <c r="H2514" s="2">
        <v>1743</v>
      </c>
      <c r="I2514" s="2">
        <v>3196</v>
      </c>
      <c r="J2514" s="2">
        <v>2.78</v>
      </c>
      <c r="K2514" s="2">
        <v>8</v>
      </c>
      <c r="L2514" s="2">
        <v>12.09</v>
      </c>
      <c r="M2514" s="2">
        <v>16.09</v>
      </c>
      <c r="N2514" s="2">
        <v>1.1297735289999999</v>
      </c>
      <c r="O2514" s="2">
        <v>1.0243928280000001</v>
      </c>
      <c r="P2514" s="2">
        <v>2.7730799460000002</v>
      </c>
      <c r="Q2514" s="2">
        <v>2.684664825</v>
      </c>
      <c r="R2514" s="2">
        <v>2.6804545449999999</v>
      </c>
      <c r="S2514" s="2">
        <v>2.5804545449999998</v>
      </c>
      <c r="T2514" s="2">
        <v>0.71072907299999999</v>
      </c>
      <c r="U2514" s="2">
        <v>0.74072907300000002</v>
      </c>
      <c r="V2514" s="2">
        <v>4.4517713309999998</v>
      </c>
      <c r="W2514" s="2">
        <v>4.3851603709999996</v>
      </c>
      <c r="X2514">
        <f t="shared" si="117"/>
        <v>1</v>
      </c>
      <c r="Y2514">
        <f t="shared" si="118"/>
        <v>0</v>
      </c>
      <c r="Z2514">
        <f t="shared" si="119"/>
        <v>0</v>
      </c>
    </row>
    <row r="2515" spans="1:26" ht="15.75" customHeight="1" x14ac:dyDescent="0.2">
      <c r="A2515" s="2" t="s">
        <v>36</v>
      </c>
      <c r="B2515" s="2" t="s">
        <v>24</v>
      </c>
      <c r="C2515" s="2" t="s">
        <v>27</v>
      </c>
      <c r="D2515" s="2" t="s">
        <v>27</v>
      </c>
      <c r="E2515" s="2">
        <v>161</v>
      </c>
      <c r="F2515" s="2">
        <v>280</v>
      </c>
      <c r="G2515" s="2">
        <v>517</v>
      </c>
      <c r="H2515" s="2">
        <v>2395</v>
      </c>
      <c r="I2515" s="2">
        <v>3303</v>
      </c>
      <c r="J2515" s="2">
        <v>2.82</v>
      </c>
      <c r="K2515" s="2">
        <v>5.0599999999999996</v>
      </c>
      <c r="L2515" s="2">
        <v>14.21</v>
      </c>
      <c r="M2515" s="2">
        <v>16.3</v>
      </c>
      <c r="N2515" s="2">
        <v>0.33784336700000001</v>
      </c>
      <c r="O2515" s="2">
        <v>0.32536956500000003</v>
      </c>
      <c r="P2515" s="2">
        <v>2.8446763530000001</v>
      </c>
      <c r="Q2515" s="2">
        <v>2.8852173200000002</v>
      </c>
      <c r="R2515" s="2">
        <v>0.25706594900000002</v>
      </c>
      <c r="S2515" s="2">
        <v>0.35706594899999999</v>
      </c>
      <c r="T2515" s="2">
        <v>2.8330373550000001</v>
      </c>
      <c r="U2515" s="2">
        <v>2.8630373549999999</v>
      </c>
      <c r="V2515" s="2">
        <v>1.5142508370000001</v>
      </c>
      <c r="W2515" s="2">
        <v>1.4476398770000001</v>
      </c>
      <c r="X2515">
        <f t="shared" si="117"/>
        <v>1</v>
      </c>
      <c r="Y2515">
        <f t="shared" si="118"/>
        <v>0</v>
      </c>
      <c r="Z2515">
        <f t="shared" si="119"/>
        <v>0</v>
      </c>
    </row>
    <row r="2516" spans="1:26" ht="15.75" customHeight="1" x14ac:dyDescent="0.2">
      <c r="A2516" s="2" t="s">
        <v>36</v>
      </c>
      <c r="B2516" s="2" t="s">
        <v>24</v>
      </c>
      <c r="C2516" s="2" t="s">
        <v>30</v>
      </c>
      <c r="D2516" s="2" t="s">
        <v>31</v>
      </c>
      <c r="E2516" s="2">
        <v>165</v>
      </c>
      <c r="F2516" s="2">
        <v>274</v>
      </c>
      <c r="G2516" s="2">
        <v>654</v>
      </c>
      <c r="H2516" s="2">
        <v>1255</v>
      </c>
      <c r="I2516" s="2">
        <v>2327</v>
      </c>
      <c r="J2516" s="2">
        <v>2.75</v>
      </c>
      <c r="K2516" s="2">
        <v>6.18</v>
      </c>
      <c r="L2516" s="2">
        <v>9.94</v>
      </c>
      <c r="M2516" s="2">
        <v>14.02</v>
      </c>
      <c r="N2516" s="2">
        <v>4.083412783</v>
      </c>
      <c r="O2516" s="2">
        <v>4.1385622599999996</v>
      </c>
      <c r="P2516" s="2">
        <v>1.677155988</v>
      </c>
      <c r="Q2516" s="2">
        <v>1.601927085</v>
      </c>
      <c r="R2516" s="2">
        <v>0.85506440500000003</v>
      </c>
      <c r="S2516" s="2">
        <v>0.75506440500000005</v>
      </c>
      <c r="T2516" s="2">
        <v>1.4428156750000001</v>
      </c>
      <c r="U2516" s="2">
        <v>1.412815675</v>
      </c>
      <c r="V2516" s="2">
        <v>2.6263811910000001</v>
      </c>
      <c r="W2516" s="2">
        <v>2.5597702299999998</v>
      </c>
      <c r="X2516">
        <f t="shared" si="117"/>
        <v>1</v>
      </c>
      <c r="Y2516">
        <f t="shared" si="118"/>
        <v>0</v>
      </c>
      <c r="Z2516">
        <f t="shared" si="119"/>
        <v>1</v>
      </c>
    </row>
    <row r="2517" spans="1:26" ht="15.75" customHeight="1" x14ac:dyDescent="0.2">
      <c r="A2517" s="2" t="s">
        <v>36</v>
      </c>
      <c r="B2517" s="2" t="s">
        <v>24</v>
      </c>
      <c r="C2517" s="2" t="s">
        <v>25</v>
      </c>
      <c r="D2517" s="2" t="s">
        <v>25</v>
      </c>
      <c r="E2517" s="2">
        <v>151</v>
      </c>
      <c r="F2517" s="2">
        <v>236</v>
      </c>
      <c r="G2517" s="2">
        <v>847</v>
      </c>
      <c r="H2517" s="2">
        <v>1422</v>
      </c>
      <c r="I2517" s="2">
        <v>2589</v>
      </c>
      <c r="J2517" s="2">
        <v>2.35</v>
      </c>
      <c r="K2517" s="2">
        <v>7.56</v>
      </c>
      <c r="L2517" s="2">
        <v>10.74</v>
      </c>
      <c r="M2517" s="2">
        <v>14.73</v>
      </c>
      <c r="N2517" s="2">
        <v>0.28795062599999999</v>
      </c>
      <c r="O2517" s="2">
        <v>0.39993059600000003</v>
      </c>
      <c r="P2517" s="2">
        <v>2.3261821440000001</v>
      </c>
      <c r="Q2517" s="2">
        <v>2.2217906730000001</v>
      </c>
      <c r="R2517" s="2">
        <v>2.2375771969999998</v>
      </c>
      <c r="S2517" s="2">
        <v>2.1375771970000002</v>
      </c>
      <c r="T2517" s="2">
        <v>0.63590223700000004</v>
      </c>
      <c r="U2517" s="2">
        <v>0.60590223700000001</v>
      </c>
      <c r="V2517" s="2">
        <v>4.0088939830000001</v>
      </c>
      <c r="W2517" s="2">
        <v>3.9422830229999999</v>
      </c>
      <c r="X2517">
        <f t="shared" si="117"/>
        <v>1</v>
      </c>
      <c r="Y2517">
        <f t="shared" si="118"/>
        <v>0</v>
      </c>
      <c r="Z2517">
        <f t="shared" si="119"/>
        <v>0</v>
      </c>
    </row>
    <row r="2518" spans="1:26" ht="15.75" customHeight="1" x14ac:dyDescent="0.2">
      <c r="A2518" s="2" t="s">
        <v>36</v>
      </c>
      <c r="B2518" s="2" t="s">
        <v>24</v>
      </c>
      <c r="C2518" s="2" t="s">
        <v>30</v>
      </c>
      <c r="D2518" s="2" t="s">
        <v>31</v>
      </c>
      <c r="E2518" s="2">
        <v>190</v>
      </c>
      <c r="F2518" s="2">
        <v>238</v>
      </c>
      <c r="G2518" s="2">
        <v>717</v>
      </c>
      <c r="H2518" s="2">
        <v>1201</v>
      </c>
      <c r="I2518" s="2">
        <v>2002</v>
      </c>
      <c r="J2518" s="2">
        <v>2.37</v>
      </c>
      <c r="K2518" s="2">
        <v>6.65</v>
      </c>
      <c r="L2518" s="2">
        <v>9.66</v>
      </c>
      <c r="M2518" s="2">
        <v>13.02</v>
      </c>
      <c r="N2518" s="2">
        <v>4.4888802090000004</v>
      </c>
      <c r="O2518" s="2">
        <v>4.5335207430000004</v>
      </c>
      <c r="P2518" s="2">
        <v>2.1791150049999999</v>
      </c>
      <c r="Q2518" s="2">
        <v>2.0950864249999999</v>
      </c>
      <c r="R2518" s="2">
        <v>1.333157371</v>
      </c>
      <c r="S2518" s="2">
        <v>1.2331573709999999</v>
      </c>
      <c r="T2518" s="2">
        <v>1.7237266689999999</v>
      </c>
      <c r="U2518" s="2">
        <v>1.6937266689999999</v>
      </c>
      <c r="V2518" s="2">
        <v>3.1044741569999998</v>
      </c>
      <c r="W2518" s="2">
        <v>3.037863196</v>
      </c>
      <c r="X2518">
        <f t="shared" si="117"/>
        <v>1</v>
      </c>
      <c r="Y2518">
        <f t="shared" si="118"/>
        <v>0</v>
      </c>
      <c r="Z2518">
        <f t="shared" si="119"/>
        <v>1</v>
      </c>
    </row>
    <row r="2519" spans="1:26" ht="15.75" customHeight="1" x14ac:dyDescent="0.2">
      <c r="A2519" s="2" t="s">
        <v>36</v>
      </c>
      <c r="B2519" s="2" t="s">
        <v>24</v>
      </c>
      <c r="C2519" s="2" t="s">
        <v>25</v>
      </c>
      <c r="D2519" s="2" t="s">
        <v>25</v>
      </c>
      <c r="E2519" s="2">
        <v>141</v>
      </c>
      <c r="F2519" s="2">
        <v>142</v>
      </c>
      <c r="G2519" s="2">
        <v>662</v>
      </c>
      <c r="H2519" s="2">
        <v>1341</v>
      </c>
      <c r="I2519" s="2">
        <v>2437</v>
      </c>
      <c r="J2519" s="2">
        <v>1.28</v>
      </c>
      <c r="K2519" s="2">
        <v>6.24</v>
      </c>
      <c r="L2519" s="2">
        <v>10.36</v>
      </c>
      <c r="M2519" s="2">
        <v>14.33</v>
      </c>
      <c r="N2519" s="2">
        <v>0.37871382100000001</v>
      </c>
      <c r="O2519" s="2">
        <v>0.40905849999999999</v>
      </c>
      <c r="P2519" s="2">
        <v>2.062701074</v>
      </c>
      <c r="Q2519" s="2">
        <v>2.0287921189999998</v>
      </c>
      <c r="R2519" s="2">
        <v>2.001510106</v>
      </c>
      <c r="S2519" s="2">
        <v>1.971510106</v>
      </c>
      <c r="T2519" s="2">
        <v>0.498691306</v>
      </c>
      <c r="U2519" s="2">
        <v>0.47869130599999998</v>
      </c>
      <c r="V2519" s="2">
        <v>2.8936966179999999</v>
      </c>
      <c r="W2519" s="2">
        <v>2.8489124750000001</v>
      </c>
      <c r="X2519">
        <f t="shared" si="117"/>
        <v>1</v>
      </c>
      <c r="Y2519">
        <f t="shared" si="118"/>
        <v>0</v>
      </c>
      <c r="Z2519">
        <f t="shared" si="119"/>
        <v>0</v>
      </c>
    </row>
    <row r="2520" spans="1:26" ht="15.75" customHeight="1" x14ac:dyDescent="0.2">
      <c r="A2520" s="2" t="s">
        <v>36</v>
      </c>
      <c r="B2520" s="2" t="s">
        <v>24</v>
      </c>
      <c r="C2520" s="2" t="s">
        <v>26</v>
      </c>
      <c r="D2520" s="2" t="s">
        <v>26</v>
      </c>
      <c r="E2520" s="2">
        <v>139</v>
      </c>
      <c r="F2520" s="2">
        <v>158</v>
      </c>
      <c r="G2520" s="2">
        <v>393</v>
      </c>
      <c r="H2520" s="2">
        <v>1033</v>
      </c>
      <c r="I2520" s="2">
        <v>2559</v>
      </c>
      <c r="J2520" s="2">
        <v>1.47</v>
      </c>
      <c r="K2520" s="2">
        <v>3.94</v>
      </c>
      <c r="L2520" s="2">
        <v>8.73</v>
      </c>
      <c r="M2520" s="2">
        <v>14.65</v>
      </c>
      <c r="N2520" s="2">
        <v>0.76551992400000002</v>
      </c>
      <c r="O2520" s="2">
        <v>0.78527225700000003</v>
      </c>
      <c r="P2520" s="2">
        <v>2.1552088509999998</v>
      </c>
      <c r="Q2520" s="2">
        <v>2.139754715</v>
      </c>
      <c r="R2520" s="2">
        <v>0.29533578900000002</v>
      </c>
      <c r="S2520" s="2">
        <v>0.32533578899999999</v>
      </c>
      <c r="T2520" s="2">
        <v>2.134877506</v>
      </c>
      <c r="U2520" s="2">
        <v>2.114877506</v>
      </c>
      <c r="V2520" s="2">
        <v>0.59685072400000005</v>
      </c>
      <c r="W2520" s="2">
        <v>0.55206657999999997</v>
      </c>
      <c r="X2520">
        <f t="shared" si="117"/>
        <v>1</v>
      </c>
      <c r="Y2520">
        <f t="shared" si="118"/>
        <v>0</v>
      </c>
      <c r="Z2520">
        <f t="shared" si="119"/>
        <v>0</v>
      </c>
    </row>
    <row r="2521" spans="1:26" ht="15.75" customHeight="1" x14ac:dyDescent="0.2">
      <c r="A2521" s="2" t="s">
        <v>36</v>
      </c>
      <c r="B2521" s="2" t="s">
        <v>24</v>
      </c>
      <c r="C2521" s="2" t="s">
        <v>27</v>
      </c>
      <c r="D2521" s="2" t="s">
        <v>27</v>
      </c>
      <c r="E2521" s="2">
        <v>180</v>
      </c>
      <c r="F2521" s="2">
        <v>150</v>
      </c>
      <c r="G2521" s="2">
        <v>359</v>
      </c>
      <c r="H2521" s="2">
        <v>2084</v>
      </c>
      <c r="I2521" s="2">
        <v>2603</v>
      </c>
      <c r="J2521" s="2">
        <v>1.38</v>
      </c>
      <c r="K2521" s="2">
        <v>3.62</v>
      </c>
      <c r="L2521" s="2">
        <v>13.29</v>
      </c>
      <c r="M2521" s="2">
        <v>14.76</v>
      </c>
      <c r="N2521" s="2">
        <v>0.394538365</v>
      </c>
      <c r="O2521" s="2">
        <v>0.48827801999999998</v>
      </c>
      <c r="P2521" s="2">
        <v>2.5049419610000001</v>
      </c>
      <c r="Q2521" s="2">
        <v>2.5318558590000002</v>
      </c>
      <c r="R2521" s="2">
        <v>0.61959465300000005</v>
      </c>
      <c r="S2521" s="2">
        <v>0.64959465299999997</v>
      </c>
      <c r="T2521" s="2">
        <v>2.427104591</v>
      </c>
      <c r="U2521" s="2">
        <v>2.447104591</v>
      </c>
      <c r="V2521" s="2">
        <v>0.27259186000000002</v>
      </c>
      <c r="W2521" s="2">
        <v>0.22780771699999999</v>
      </c>
      <c r="X2521">
        <f t="shared" si="117"/>
        <v>1</v>
      </c>
      <c r="Y2521">
        <f t="shared" si="118"/>
        <v>0</v>
      </c>
      <c r="Z2521">
        <f t="shared" si="119"/>
        <v>0</v>
      </c>
    </row>
    <row r="2522" spans="1:26" ht="15.75" customHeight="1" x14ac:dyDescent="0.2">
      <c r="A2522" s="2" t="s">
        <v>36</v>
      </c>
      <c r="B2522" s="2" t="s">
        <v>24</v>
      </c>
      <c r="C2522" s="2" t="s">
        <v>28</v>
      </c>
      <c r="D2522" s="2" t="s">
        <v>29</v>
      </c>
      <c r="E2522" s="2">
        <v>190</v>
      </c>
      <c r="F2522" s="2">
        <v>172</v>
      </c>
      <c r="G2522" s="2">
        <v>436</v>
      </c>
      <c r="H2522" s="2">
        <v>1650</v>
      </c>
      <c r="I2522" s="2">
        <v>2617</v>
      </c>
      <c r="J2522" s="2">
        <v>1.63</v>
      </c>
      <c r="K2522" s="2">
        <v>4.3499999999999996</v>
      </c>
      <c r="L2522" s="2">
        <v>11.72</v>
      </c>
      <c r="M2522" s="2">
        <v>14.8</v>
      </c>
      <c r="N2522" s="2">
        <v>3.7878598430000001</v>
      </c>
      <c r="O2522" s="2">
        <v>3.8034710839999999</v>
      </c>
      <c r="P2522" s="2">
        <v>0.87030391799999995</v>
      </c>
      <c r="Q2522" s="2">
        <v>0.88710217300000005</v>
      </c>
      <c r="R2522" s="2">
        <v>0.105562822</v>
      </c>
      <c r="S2522" s="2">
        <v>7.5562822000000002E-2</v>
      </c>
      <c r="T2522" s="2">
        <v>0.86387811599999997</v>
      </c>
      <c r="U2522" s="2">
        <v>0.88387811599999999</v>
      </c>
      <c r="V2522" s="2">
        <v>0.99774933499999996</v>
      </c>
      <c r="W2522" s="2">
        <v>0.95296519099999999</v>
      </c>
      <c r="X2522">
        <f t="shared" si="117"/>
        <v>1</v>
      </c>
      <c r="Y2522">
        <f t="shared" si="118"/>
        <v>0</v>
      </c>
      <c r="Z2522">
        <f t="shared" si="119"/>
        <v>1</v>
      </c>
    </row>
    <row r="2523" spans="1:26" ht="15.75" customHeight="1" x14ac:dyDescent="0.2">
      <c r="A2523" s="2" t="s">
        <v>36</v>
      </c>
      <c r="B2523" s="2" t="s">
        <v>24</v>
      </c>
      <c r="C2523" s="2" t="s">
        <v>30</v>
      </c>
      <c r="D2523" s="2" t="s">
        <v>31</v>
      </c>
      <c r="E2523" s="2">
        <v>185</v>
      </c>
      <c r="F2523" s="2">
        <v>152</v>
      </c>
      <c r="G2523" s="2">
        <v>695</v>
      </c>
      <c r="H2523" s="2">
        <v>1288</v>
      </c>
      <c r="I2523" s="2">
        <v>2767</v>
      </c>
      <c r="J2523" s="2">
        <v>1.4</v>
      </c>
      <c r="K2523" s="2">
        <v>6.49</v>
      </c>
      <c r="L2523" s="2">
        <v>10.1</v>
      </c>
      <c r="M2523" s="2">
        <v>15.16</v>
      </c>
      <c r="N2523" s="2">
        <v>3.8921060810000001</v>
      </c>
      <c r="O2523" s="2">
        <v>3.8043902890000001</v>
      </c>
      <c r="P2523" s="2">
        <v>2.3743799590000001</v>
      </c>
      <c r="Q2523" s="2">
        <v>2.339588848</v>
      </c>
      <c r="R2523" s="2">
        <v>2.250544815</v>
      </c>
      <c r="S2523" s="2">
        <v>2.2205448149999998</v>
      </c>
      <c r="T2523" s="2">
        <v>0.75678809599999997</v>
      </c>
      <c r="U2523" s="2">
        <v>0.73678809599999995</v>
      </c>
      <c r="V2523" s="2">
        <v>3.142731328</v>
      </c>
      <c r="W2523" s="2">
        <v>3.0979471850000002</v>
      </c>
      <c r="X2523">
        <f t="shared" si="117"/>
        <v>1</v>
      </c>
      <c r="Y2523">
        <f t="shared" si="118"/>
        <v>0</v>
      </c>
      <c r="Z2523">
        <f t="shared" si="119"/>
        <v>1</v>
      </c>
    </row>
    <row r="2524" spans="1:26" ht="15.75" customHeight="1" x14ac:dyDescent="0.2">
      <c r="A2524" s="2" t="s">
        <v>36</v>
      </c>
      <c r="B2524" s="2" t="s">
        <v>24</v>
      </c>
      <c r="C2524" s="2" t="s">
        <v>26</v>
      </c>
      <c r="D2524" s="2" t="s">
        <v>26</v>
      </c>
      <c r="E2524" s="2">
        <v>168</v>
      </c>
      <c r="F2524" s="2">
        <v>149</v>
      </c>
      <c r="G2524" s="2">
        <v>402</v>
      </c>
      <c r="H2524" s="2">
        <v>806</v>
      </c>
      <c r="I2524" s="2">
        <v>2612</v>
      </c>
      <c r="J2524" s="2">
        <v>1.36</v>
      </c>
      <c r="K2524" s="2">
        <v>4.03</v>
      </c>
      <c r="L2524" s="2">
        <v>7.28</v>
      </c>
      <c r="M2524" s="2">
        <v>14.79</v>
      </c>
      <c r="N2524" s="2">
        <v>0.684260969</v>
      </c>
      <c r="O2524" s="2">
        <v>0.65910142900000002</v>
      </c>
      <c r="P2524" s="2">
        <v>3.5815717070000002</v>
      </c>
      <c r="Q2524" s="2">
        <v>3.5635029309999999</v>
      </c>
      <c r="R2524" s="2">
        <v>0.210218772</v>
      </c>
      <c r="S2524" s="2">
        <v>0.240218772</v>
      </c>
      <c r="T2524" s="2">
        <v>3.575397036</v>
      </c>
      <c r="U2524" s="2">
        <v>3.555397036</v>
      </c>
      <c r="V2524" s="2">
        <v>0.68196774100000002</v>
      </c>
      <c r="W2524" s="2">
        <v>0.63718359700000005</v>
      </c>
      <c r="X2524">
        <f t="shared" si="117"/>
        <v>1</v>
      </c>
      <c r="Y2524">
        <f t="shared" si="118"/>
        <v>0</v>
      </c>
      <c r="Z2524">
        <f t="shared" si="119"/>
        <v>0</v>
      </c>
    </row>
    <row r="2525" spans="1:26" ht="15.75" customHeight="1" x14ac:dyDescent="0.2">
      <c r="A2525" s="2" t="s">
        <v>36</v>
      </c>
      <c r="B2525" s="2" t="s">
        <v>24</v>
      </c>
      <c r="C2525" s="2" t="s">
        <v>28</v>
      </c>
      <c r="D2525" s="2" t="s">
        <v>29</v>
      </c>
      <c r="E2525" s="2">
        <v>120</v>
      </c>
      <c r="F2525" s="2">
        <v>165</v>
      </c>
      <c r="G2525" s="2">
        <v>555</v>
      </c>
      <c r="H2525" s="2">
        <v>1217</v>
      </c>
      <c r="I2525" s="2">
        <v>2316</v>
      </c>
      <c r="J2525" s="2">
        <v>1.56</v>
      </c>
      <c r="K2525" s="2">
        <v>5.38</v>
      </c>
      <c r="L2525" s="2">
        <v>9.74</v>
      </c>
      <c r="M2525" s="2">
        <v>13.99</v>
      </c>
      <c r="N2525" s="2">
        <v>2.3030822569999998</v>
      </c>
      <c r="O2525" s="2">
        <v>2.2935200039999999</v>
      </c>
      <c r="P2525" s="2">
        <v>1.601879246</v>
      </c>
      <c r="Q2525" s="2">
        <v>1.566471926</v>
      </c>
      <c r="R2525" s="2">
        <v>1.143552492</v>
      </c>
      <c r="S2525" s="2">
        <v>1.1135524919999999</v>
      </c>
      <c r="T2525" s="2">
        <v>1.121741868</v>
      </c>
      <c r="U2525" s="2">
        <v>1.101741868</v>
      </c>
      <c r="V2525" s="2">
        <v>2.0357390049999999</v>
      </c>
      <c r="W2525" s="2">
        <v>1.9909548610000001</v>
      </c>
      <c r="X2525">
        <f t="shared" si="117"/>
        <v>1</v>
      </c>
      <c r="Y2525">
        <f t="shared" si="118"/>
        <v>0</v>
      </c>
      <c r="Z2525">
        <f t="shared" si="119"/>
        <v>1</v>
      </c>
    </row>
    <row r="2526" spans="1:26" ht="15.75" customHeight="1" x14ac:dyDescent="0.2">
      <c r="A2526" s="2" t="s">
        <v>36</v>
      </c>
      <c r="B2526" s="2" t="s">
        <v>24</v>
      </c>
      <c r="C2526" s="2" t="s">
        <v>32</v>
      </c>
      <c r="D2526" s="2" t="s">
        <v>33</v>
      </c>
      <c r="E2526" s="2">
        <v>145</v>
      </c>
      <c r="F2526" s="2">
        <v>157</v>
      </c>
      <c r="G2526" s="2">
        <v>864</v>
      </c>
      <c r="H2526" s="2">
        <v>1833</v>
      </c>
      <c r="I2526" s="2">
        <v>3464</v>
      </c>
      <c r="J2526" s="2">
        <v>1.46</v>
      </c>
      <c r="K2526" s="2">
        <v>7.67</v>
      </c>
      <c r="L2526" s="2">
        <v>12.43</v>
      </c>
      <c r="M2526" s="2">
        <v>16.59</v>
      </c>
      <c r="N2526" s="2">
        <v>2.3082576700000002</v>
      </c>
      <c r="O2526" s="2">
        <v>2.258490428</v>
      </c>
      <c r="P2526" s="2">
        <v>3.7749116869999999</v>
      </c>
      <c r="Q2526" s="2">
        <v>3.7560382670000001</v>
      </c>
      <c r="R2526" s="2">
        <v>3.4346890120000002</v>
      </c>
      <c r="S2526" s="2">
        <v>3.404689012</v>
      </c>
      <c r="T2526" s="2">
        <v>1.5661639860000001</v>
      </c>
      <c r="U2526" s="2">
        <v>1.5861639860000001</v>
      </c>
      <c r="V2526" s="2">
        <v>4.3268755250000002</v>
      </c>
      <c r="W2526" s="2">
        <v>4.2820913819999999</v>
      </c>
      <c r="X2526">
        <f t="shared" si="117"/>
        <v>1</v>
      </c>
      <c r="Y2526">
        <f t="shared" si="118"/>
        <v>0</v>
      </c>
      <c r="Z2526">
        <f t="shared" si="119"/>
        <v>1</v>
      </c>
    </row>
    <row r="2527" spans="1:26" ht="15.75" customHeight="1" x14ac:dyDescent="0.2">
      <c r="A2527" s="2" t="s">
        <v>36</v>
      </c>
      <c r="B2527" s="2" t="s">
        <v>24</v>
      </c>
      <c r="C2527" s="2" t="s">
        <v>32</v>
      </c>
      <c r="D2527" s="2" t="s">
        <v>33</v>
      </c>
      <c r="E2527" s="2">
        <v>167</v>
      </c>
      <c r="F2527" s="2">
        <v>148</v>
      </c>
      <c r="G2527" s="2">
        <v>643</v>
      </c>
      <c r="H2527" s="2">
        <v>1599</v>
      </c>
      <c r="I2527" s="2">
        <v>2552</v>
      </c>
      <c r="J2527" s="2">
        <v>1.35</v>
      </c>
      <c r="K2527" s="2">
        <v>6.1</v>
      </c>
      <c r="L2527" s="2">
        <v>11.51</v>
      </c>
      <c r="M2527" s="2">
        <v>14.63</v>
      </c>
      <c r="N2527" s="2">
        <v>0.79429313700000004</v>
      </c>
      <c r="O2527" s="2">
        <v>0.75589232900000003</v>
      </c>
      <c r="P2527" s="2">
        <v>1.9671284490000001</v>
      </c>
      <c r="Q2527" s="2">
        <v>1.9456965079999999</v>
      </c>
      <c r="R2527" s="2">
        <v>1.855262484</v>
      </c>
      <c r="S2527" s="2">
        <v>1.825262484</v>
      </c>
      <c r="T2527" s="2">
        <v>0.65390783100000005</v>
      </c>
      <c r="U2527" s="2">
        <v>0.67390783099999996</v>
      </c>
      <c r="V2527" s="2">
        <v>2.7474489969999998</v>
      </c>
      <c r="W2527" s="2">
        <v>2.7026648529999999</v>
      </c>
      <c r="X2527">
        <f t="shared" si="117"/>
        <v>1</v>
      </c>
      <c r="Y2527">
        <f t="shared" si="118"/>
        <v>0</v>
      </c>
      <c r="Z2527">
        <f t="shared" si="119"/>
        <v>1</v>
      </c>
    </row>
    <row r="2528" spans="1:26" ht="15.75" customHeight="1" x14ac:dyDescent="0.2">
      <c r="A2528" s="2" t="s">
        <v>36</v>
      </c>
      <c r="B2528" s="2" t="s">
        <v>24</v>
      </c>
      <c r="C2528" s="2" t="s">
        <v>25</v>
      </c>
      <c r="D2528" s="2" t="s">
        <v>25</v>
      </c>
      <c r="E2528" s="2">
        <v>134</v>
      </c>
      <c r="F2528" s="2">
        <v>144</v>
      </c>
      <c r="G2528" s="2">
        <v>667</v>
      </c>
      <c r="H2528" s="2">
        <v>1527</v>
      </c>
      <c r="I2528" s="2">
        <v>2620</v>
      </c>
      <c r="J2528" s="2">
        <v>1.31</v>
      </c>
      <c r="K2528" s="2">
        <v>6.28</v>
      </c>
      <c r="L2528" s="2">
        <v>11.21</v>
      </c>
      <c r="M2528" s="2">
        <v>14.81</v>
      </c>
      <c r="N2528" s="2">
        <v>0.51438736399999996</v>
      </c>
      <c r="O2528" s="2">
        <v>0.46732937499999999</v>
      </c>
      <c r="P2528" s="2">
        <v>2.0692854820000002</v>
      </c>
      <c r="Q2528" s="2">
        <v>2.043238406</v>
      </c>
      <c r="R2528" s="2">
        <v>2.0396447599999998</v>
      </c>
      <c r="S2528" s="2">
        <v>2.00964476</v>
      </c>
      <c r="T2528" s="2">
        <v>0.34898661600000003</v>
      </c>
      <c r="U2528" s="2">
        <v>0.36898661599999999</v>
      </c>
      <c r="V2528" s="2">
        <v>2.9318312729999998</v>
      </c>
      <c r="W2528" s="2">
        <v>2.88704713</v>
      </c>
      <c r="X2528">
        <f t="shared" si="117"/>
        <v>1</v>
      </c>
      <c r="Y2528">
        <f t="shared" si="118"/>
        <v>0</v>
      </c>
      <c r="Z2528">
        <f t="shared" si="119"/>
        <v>0</v>
      </c>
    </row>
    <row r="2529" spans="1:26" ht="15.75" customHeight="1" x14ac:dyDescent="0.2">
      <c r="A2529" s="2" t="s">
        <v>36</v>
      </c>
      <c r="B2529" s="2" t="s">
        <v>24</v>
      </c>
      <c r="C2529" s="2" t="s">
        <v>32</v>
      </c>
      <c r="D2529" s="2" t="s">
        <v>33</v>
      </c>
      <c r="E2529" s="2">
        <v>120</v>
      </c>
      <c r="F2529" s="2">
        <v>152</v>
      </c>
      <c r="G2529" s="2">
        <v>715</v>
      </c>
      <c r="H2529" s="2">
        <v>880</v>
      </c>
      <c r="I2529" s="2">
        <v>2514</v>
      </c>
      <c r="J2529" s="2">
        <v>1.4</v>
      </c>
      <c r="K2529" s="2">
        <v>6.63</v>
      </c>
      <c r="L2529" s="2">
        <v>7.78</v>
      </c>
      <c r="M2529" s="2">
        <v>14.54</v>
      </c>
      <c r="N2529" s="2">
        <v>2.9892981729999999</v>
      </c>
      <c r="O2529" s="2">
        <v>3.0237685179999998</v>
      </c>
      <c r="P2529" s="2">
        <v>3.904555867</v>
      </c>
      <c r="Q2529" s="2">
        <v>3.8703807619999999</v>
      </c>
      <c r="R2529" s="2">
        <v>2.3935892320000001</v>
      </c>
      <c r="S2529" s="2">
        <v>2.3635892319999998</v>
      </c>
      <c r="T2529" s="2">
        <v>3.0848479869999998</v>
      </c>
      <c r="U2529" s="2">
        <v>3.0648479869999998</v>
      </c>
      <c r="V2529" s="2">
        <v>3.285775745</v>
      </c>
      <c r="W2529" s="2">
        <v>3.2409916019999998</v>
      </c>
      <c r="X2529">
        <f t="shared" si="117"/>
        <v>1</v>
      </c>
      <c r="Y2529">
        <f t="shared" si="118"/>
        <v>0</v>
      </c>
      <c r="Z2529">
        <f t="shared" si="119"/>
        <v>1</v>
      </c>
    </row>
    <row r="2530" spans="1:26" ht="15.75" customHeight="1" x14ac:dyDescent="0.2">
      <c r="A2530" s="2" t="s">
        <v>36</v>
      </c>
      <c r="B2530" s="2" t="s">
        <v>24</v>
      </c>
      <c r="C2530" s="2" t="s">
        <v>32</v>
      </c>
      <c r="D2530" s="2" t="s">
        <v>33</v>
      </c>
      <c r="E2530" s="2">
        <v>152</v>
      </c>
      <c r="F2530" s="2">
        <v>142</v>
      </c>
      <c r="G2530" s="2">
        <v>599</v>
      </c>
      <c r="H2530" s="2">
        <v>1265</v>
      </c>
      <c r="I2530" s="2">
        <v>2532</v>
      </c>
      <c r="J2530" s="2">
        <v>1.28</v>
      </c>
      <c r="K2530" s="2">
        <v>5.75</v>
      </c>
      <c r="L2530" s="2">
        <v>9.99</v>
      </c>
      <c r="M2530" s="2">
        <v>14.58</v>
      </c>
      <c r="N2530" s="2">
        <v>0.82111959700000003</v>
      </c>
      <c r="O2530" s="2">
        <v>0.87041037300000001</v>
      </c>
      <c r="P2530" s="2">
        <v>1.742253319</v>
      </c>
      <c r="Q2530" s="2">
        <v>1.7062725430000001</v>
      </c>
      <c r="R2530" s="2">
        <v>1.508246939</v>
      </c>
      <c r="S2530" s="2">
        <v>1.4782469389999999</v>
      </c>
      <c r="T2530" s="2">
        <v>0.87214551500000004</v>
      </c>
      <c r="U2530" s="2">
        <v>0.85214551500000002</v>
      </c>
      <c r="V2530" s="2">
        <v>2.4004334520000001</v>
      </c>
      <c r="W2530" s="2">
        <v>2.3556493089999999</v>
      </c>
      <c r="X2530">
        <f t="shared" si="117"/>
        <v>1</v>
      </c>
      <c r="Y2530">
        <f t="shared" si="118"/>
        <v>0</v>
      </c>
      <c r="Z2530">
        <f t="shared" si="119"/>
        <v>1</v>
      </c>
    </row>
    <row r="2531" spans="1:26" ht="15.75" customHeight="1" x14ac:dyDescent="0.2">
      <c r="A2531" s="2" t="s">
        <v>36</v>
      </c>
      <c r="B2531" s="2" t="s">
        <v>24</v>
      </c>
      <c r="C2531" s="2" t="s">
        <v>25</v>
      </c>
      <c r="D2531" s="2" t="s">
        <v>25</v>
      </c>
      <c r="E2531" s="2">
        <v>95</v>
      </c>
      <c r="F2531" s="2">
        <v>143</v>
      </c>
      <c r="G2531" s="2">
        <v>622</v>
      </c>
      <c r="H2531" s="2">
        <v>1527</v>
      </c>
      <c r="I2531" s="2">
        <v>2704</v>
      </c>
      <c r="J2531" s="2">
        <v>1.29</v>
      </c>
      <c r="K2531" s="2">
        <v>5.93</v>
      </c>
      <c r="L2531" s="2">
        <v>11.21</v>
      </c>
      <c r="M2531" s="2">
        <v>15.01</v>
      </c>
      <c r="N2531" s="2">
        <v>0.52554342499999995</v>
      </c>
      <c r="O2531" s="2">
        <v>0.50079408299999995</v>
      </c>
      <c r="P2531" s="2">
        <v>1.7270421300000001</v>
      </c>
      <c r="Q2531" s="2">
        <v>1.7019179230000001</v>
      </c>
      <c r="R2531" s="2">
        <v>1.6911165610000001</v>
      </c>
      <c r="S2531" s="2">
        <v>1.661116561</v>
      </c>
      <c r="T2531" s="2">
        <v>0.35042730100000002</v>
      </c>
      <c r="U2531" s="2">
        <v>0.37042730099999999</v>
      </c>
      <c r="V2531" s="2">
        <v>2.5833030739999998</v>
      </c>
      <c r="W2531" s="2">
        <v>2.538518931</v>
      </c>
      <c r="X2531">
        <f t="shared" si="117"/>
        <v>1</v>
      </c>
      <c r="Y2531">
        <f t="shared" si="118"/>
        <v>0</v>
      </c>
      <c r="Z2531">
        <f t="shared" si="119"/>
        <v>0</v>
      </c>
    </row>
    <row r="2532" spans="1:26" ht="15.75" customHeight="1" x14ac:dyDescent="0.2">
      <c r="A2532" s="2" t="s">
        <v>36</v>
      </c>
      <c r="B2532" s="2" t="s">
        <v>24</v>
      </c>
      <c r="C2532" s="2" t="s">
        <v>25</v>
      </c>
      <c r="D2532" s="2" t="s">
        <v>25</v>
      </c>
      <c r="E2532" s="2">
        <v>162</v>
      </c>
      <c r="F2532" s="2">
        <v>137</v>
      </c>
      <c r="G2532" s="2">
        <v>689</v>
      </c>
      <c r="H2532" s="2">
        <v>1363</v>
      </c>
      <c r="I2532" s="2">
        <v>2532</v>
      </c>
      <c r="J2532" s="2">
        <v>1.22</v>
      </c>
      <c r="K2532" s="2">
        <v>6.44</v>
      </c>
      <c r="L2532" s="2">
        <v>10.47</v>
      </c>
      <c r="M2532" s="2">
        <v>14.58</v>
      </c>
      <c r="N2532" s="2">
        <v>0.408696012</v>
      </c>
      <c r="O2532" s="2">
        <v>0.41297994100000002</v>
      </c>
      <c r="P2532" s="2">
        <v>2.2356028779999999</v>
      </c>
      <c r="Q2532" s="2">
        <v>2.2025993920000002</v>
      </c>
      <c r="R2532" s="2">
        <v>2.2007349610000002</v>
      </c>
      <c r="S2532" s="2">
        <v>2.170734961</v>
      </c>
      <c r="T2532" s="2">
        <v>0.393301234</v>
      </c>
      <c r="U2532" s="2">
        <v>0.37330123399999998</v>
      </c>
      <c r="V2532" s="2">
        <v>3.0929214740000002</v>
      </c>
      <c r="W2532" s="2">
        <v>3.0481373299999999</v>
      </c>
      <c r="X2532">
        <f t="shared" si="117"/>
        <v>1</v>
      </c>
      <c r="Y2532">
        <f t="shared" si="118"/>
        <v>0</v>
      </c>
      <c r="Z2532">
        <f t="shared" si="119"/>
        <v>0</v>
      </c>
    </row>
    <row r="2533" spans="1:26" ht="15.75" customHeight="1" x14ac:dyDescent="0.2">
      <c r="A2533" s="2" t="s">
        <v>36</v>
      </c>
      <c r="B2533" s="2" t="s">
        <v>24</v>
      </c>
      <c r="C2533" s="2" t="s">
        <v>27</v>
      </c>
      <c r="D2533" s="2" t="s">
        <v>27</v>
      </c>
      <c r="E2533" s="2">
        <v>125</v>
      </c>
      <c r="F2533" s="2">
        <v>148</v>
      </c>
      <c r="G2533" s="2">
        <v>335</v>
      </c>
      <c r="H2533" s="2">
        <v>2057</v>
      </c>
      <c r="I2533" s="2">
        <v>2608</v>
      </c>
      <c r="J2533" s="2">
        <v>1.35</v>
      </c>
      <c r="K2533" s="2">
        <v>3.38</v>
      </c>
      <c r="L2533" s="2">
        <v>13.2</v>
      </c>
      <c r="M2533" s="2">
        <v>14.78</v>
      </c>
      <c r="N2533" s="2">
        <v>0.54169883900000004</v>
      </c>
      <c r="O2533" s="2">
        <v>0.60128888899999999</v>
      </c>
      <c r="P2533" s="2">
        <v>2.4917658349999998</v>
      </c>
      <c r="Q2533" s="2">
        <v>2.5209795370000001</v>
      </c>
      <c r="R2533" s="2">
        <v>0.85988378799999998</v>
      </c>
      <c r="S2533" s="2">
        <v>0.88988378800000001</v>
      </c>
      <c r="T2533" s="2">
        <v>2.3386955440000001</v>
      </c>
      <c r="U2533" s="2">
        <v>2.3586955440000001</v>
      </c>
      <c r="V2533" s="2">
        <v>3.2302723999999998E-2</v>
      </c>
      <c r="W2533" s="2">
        <v>-1.2481419000000001E-2</v>
      </c>
      <c r="X2533">
        <f t="shared" si="117"/>
        <v>1</v>
      </c>
      <c r="Y2533">
        <f t="shared" si="118"/>
        <v>0</v>
      </c>
      <c r="Z2533">
        <f t="shared" si="119"/>
        <v>0</v>
      </c>
    </row>
    <row r="2534" spans="1:26" ht="15.75" customHeight="1" x14ac:dyDescent="0.2">
      <c r="A2534" s="2" t="s">
        <v>36</v>
      </c>
      <c r="B2534" s="2" t="s">
        <v>24</v>
      </c>
      <c r="C2534" s="2" t="s">
        <v>30</v>
      </c>
      <c r="D2534" s="2" t="s">
        <v>31</v>
      </c>
      <c r="E2534" s="2">
        <v>164</v>
      </c>
      <c r="F2534" s="2">
        <v>152</v>
      </c>
      <c r="G2534" s="2">
        <v>711</v>
      </c>
      <c r="H2534" s="2">
        <v>1257</v>
      </c>
      <c r="I2534" s="2">
        <v>2557</v>
      </c>
      <c r="J2534" s="2">
        <v>1.4</v>
      </c>
      <c r="K2534" s="2">
        <v>6.6</v>
      </c>
      <c r="L2534" s="2">
        <v>9.94</v>
      </c>
      <c r="M2534" s="2">
        <v>14.65</v>
      </c>
      <c r="N2534" s="2">
        <v>4.0864944239999996</v>
      </c>
      <c r="O2534" s="2">
        <v>3.9983777069999999</v>
      </c>
      <c r="P2534" s="2">
        <v>2.5354293910000001</v>
      </c>
      <c r="Q2534" s="2">
        <v>2.5002421309999998</v>
      </c>
      <c r="R2534" s="2">
        <v>2.3641637539999998</v>
      </c>
      <c r="S2534" s="2">
        <v>2.334163754</v>
      </c>
      <c r="T2534" s="2">
        <v>0.91604145100000001</v>
      </c>
      <c r="U2534" s="2">
        <v>0.89604145099999999</v>
      </c>
      <c r="V2534" s="2">
        <v>3.2563502670000002</v>
      </c>
      <c r="W2534" s="2">
        <v>3.211566124</v>
      </c>
      <c r="X2534">
        <f t="shared" si="117"/>
        <v>1</v>
      </c>
      <c r="Y2534">
        <f t="shared" si="118"/>
        <v>0</v>
      </c>
      <c r="Z2534">
        <f t="shared" si="119"/>
        <v>1</v>
      </c>
    </row>
    <row r="2535" spans="1:26" ht="15.75" customHeight="1" x14ac:dyDescent="0.2">
      <c r="A2535" s="2" t="s">
        <v>36</v>
      </c>
      <c r="B2535" s="2" t="s">
        <v>24</v>
      </c>
      <c r="C2535" s="2" t="s">
        <v>28</v>
      </c>
      <c r="D2535" s="2" t="s">
        <v>29</v>
      </c>
      <c r="E2535" s="2">
        <v>140</v>
      </c>
      <c r="F2535" s="2">
        <v>155</v>
      </c>
      <c r="G2535" s="2">
        <v>520</v>
      </c>
      <c r="H2535" s="2">
        <v>1246</v>
      </c>
      <c r="I2535" s="2">
        <v>2390</v>
      </c>
      <c r="J2535" s="2">
        <v>1.43</v>
      </c>
      <c r="K2535" s="2">
        <v>5.09</v>
      </c>
      <c r="L2535" s="2">
        <v>9.89</v>
      </c>
      <c r="M2535" s="2">
        <v>14.2</v>
      </c>
      <c r="N2535" s="2">
        <v>2.25590505</v>
      </c>
      <c r="O2535" s="2">
        <v>2.2526667690000002</v>
      </c>
      <c r="P2535" s="2">
        <v>1.2922627689999999</v>
      </c>
      <c r="Q2535" s="2">
        <v>1.2574864109999999</v>
      </c>
      <c r="R2535" s="2">
        <v>0.85145161300000005</v>
      </c>
      <c r="S2535" s="2">
        <v>0.82145161300000002</v>
      </c>
      <c r="T2535" s="2">
        <v>0.97209732800000004</v>
      </c>
      <c r="U2535" s="2">
        <v>0.95209732800000002</v>
      </c>
      <c r="V2535" s="2">
        <v>1.743638126</v>
      </c>
      <c r="W2535" s="2">
        <v>1.6988539819999999</v>
      </c>
      <c r="X2535">
        <f t="shared" si="117"/>
        <v>1</v>
      </c>
      <c r="Y2535">
        <f t="shared" si="118"/>
        <v>0</v>
      </c>
      <c r="Z2535">
        <f t="shared" si="119"/>
        <v>1</v>
      </c>
    </row>
    <row r="2536" spans="1:26" ht="15.75" customHeight="1" x14ac:dyDescent="0.2">
      <c r="A2536" s="2" t="s">
        <v>36</v>
      </c>
      <c r="B2536" s="2" t="s">
        <v>24</v>
      </c>
      <c r="C2536" s="2" t="s">
        <v>28</v>
      </c>
      <c r="D2536" s="2" t="s">
        <v>29</v>
      </c>
      <c r="E2536" s="2">
        <v>137</v>
      </c>
      <c r="F2536" s="2">
        <v>175</v>
      </c>
      <c r="G2536" s="2">
        <v>495</v>
      </c>
      <c r="H2536" s="2">
        <v>983</v>
      </c>
      <c r="I2536" s="2">
        <v>2328</v>
      </c>
      <c r="J2536" s="2">
        <v>1.67</v>
      </c>
      <c r="K2536" s="2">
        <v>4.87</v>
      </c>
      <c r="L2536" s="2">
        <v>8.42</v>
      </c>
      <c r="M2536" s="2">
        <v>14.03</v>
      </c>
      <c r="N2536" s="2">
        <v>1.059256435</v>
      </c>
      <c r="O2536" s="2">
        <v>1.032626112</v>
      </c>
      <c r="P2536" s="2">
        <v>2.517943367</v>
      </c>
      <c r="Q2536" s="2">
        <v>2.4911617380000002</v>
      </c>
      <c r="R2536" s="2">
        <v>0.63277566500000004</v>
      </c>
      <c r="S2536" s="2">
        <v>0.60277566500000002</v>
      </c>
      <c r="T2536" s="2">
        <v>2.437136384</v>
      </c>
      <c r="U2536" s="2">
        <v>2.417136384</v>
      </c>
      <c r="V2536" s="2">
        <v>1.524962178</v>
      </c>
      <c r="W2536" s="2">
        <v>1.480178035</v>
      </c>
      <c r="X2536">
        <f t="shared" si="117"/>
        <v>1</v>
      </c>
      <c r="Y2536">
        <f t="shared" si="118"/>
        <v>0</v>
      </c>
      <c r="Z2536">
        <f t="shared" si="119"/>
        <v>1</v>
      </c>
    </row>
    <row r="2537" spans="1:26" ht="15.75" customHeight="1" x14ac:dyDescent="0.2">
      <c r="A2537" s="2" t="s">
        <v>36</v>
      </c>
      <c r="B2537" s="2" t="s">
        <v>24</v>
      </c>
      <c r="C2537" s="2" t="s">
        <v>32</v>
      </c>
      <c r="D2537" s="2" t="s">
        <v>33</v>
      </c>
      <c r="E2537" s="2">
        <v>170</v>
      </c>
      <c r="F2537" s="2">
        <v>147</v>
      </c>
      <c r="G2537" s="2">
        <v>669</v>
      </c>
      <c r="H2537" s="2">
        <v>1017</v>
      </c>
      <c r="I2537" s="2">
        <v>2373</v>
      </c>
      <c r="J2537" s="2">
        <v>1.34</v>
      </c>
      <c r="K2537" s="2">
        <v>6.29</v>
      </c>
      <c r="L2537" s="2">
        <v>8.6300000000000008</v>
      </c>
      <c r="M2537" s="2">
        <v>14.15</v>
      </c>
      <c r="N2537" s="2">
        <v>2.098490242</v>
      </c>
      <c r="O2537" s="2">
        <v>2.1361098310000002</v>
      </c>
      <c r="P2537" s="2">
        <v>3.0332591899999999</v>
      </c>
      <c r="Q2537" s="2">
        <v>2.9982365039999999</v>
      </c>
      <c r="R2537" s="2">
        <v>2.054858012</v>
      </c>
      <c r="S2537" s="2">
        <v>2.0248580120000002</v>
      </c>
      <c r="T2537" s="2">
        <v>2.2311924759999999</v>
      </c>
      <c r="U2537" s="2">
        <v>2.2111924759999999</v>
      </c>
      <c r="V2537" s="2">
        <v>2.9470445249999999</v>
      </c>
      <c r="W2537" s="2">
        <v>2.9022603820000001</v>
      </c>
      <c r="X2537">
        <f t="shared" si="117"/>
        <v>1</v>
      </c>
      <c r="Y2537">
        <f t="shared" si="118"/>
        <v>0</v>
      </c>
      <c r="Z2537">
        <f t="shared" si="119"/>
        <v>1</v>
      </c>
    </row>
    <row r="2538" spans="1:26" ht="15.75" customHeight="1" x14ac:dyDescent="0.2">
      <c r="A2538" s="2" t="s">
        <v>36</v>
      </c>
      <c r="B2538" s="2" t="s">
        <v>24</v>
      </c>
      <c r="C2538" s="2" t="s">
        <v>26</v>
      </c>
      <c r="D2538" s="2" t="s">
        <v>26</v>
      </c>
      <c r="E2538" s="2">
        <v>197</v>
      </c>
      <c r="F2538" s="2">
        <v>165</v>
      </c>
      <c r="G2538" s="2">
        <v>408</v>
      </c>
      <c r="H2538" s="2">
        <v>965</v>
      </c>
      <c r="I2538" s="2">
        <v>2439</v>
      </c>
      <c r="J2538" s="2">
        <v>1.56</v>
      </c>
      <c r="K2538" s="2">
        <v>4.09</v>
      </c>
      <c r="L2538" s="2">
        <v>8.31</v>
      </c>
      <c r="M2538" s="2">
        <v>14.33</v>
      </c>
      <c r="N2538" s="2">
        <v>0.39282056799999998</v>
      </c>
      <c r="O2538" s="2">
        <v>0.39576929599999999</v>
      </c>
      <c r="P2538" s="2">
        <v>2.5513112800000002</v>
      </c>
      <c r="Q2538" s="2">
        <v>2.5332711780000001</v>
      </c>
      <c r="R2538" s="2">
        <v>0.147586207</v>
      </c>
      <c r="S2538" s="2">
        <v>0.177586207</v>
      </c>
      <c r="T2538" s="2">
        <v>2.5470389789999999</v>
      </c>
      <c r="U2538" s="2">
        <v>2.5270389789999999</v>
      </c>
      <c r="V2538" s="2">
        <v>0.74460030600000005</v>
      </c>
      <c r="W2538" s="2">
        <v>0.69981616300000005</v>
      </c>
      <c r="X2538">
        <f t="shared" si="117"/>
        <v>1</v>
      </c>
      <c r="Y2538">
        <f t="shared" si="118"/>
        <v>0</v>
      </c>
      <c r="Z2538">
        <f t="shared" si="119"/>
        <v>0</v>
      </c>
    </row>
    <row r="2539" spans="1:26" ht="15.75" customHeight="1" x14ac:dyDescent="0.2">
      <c r="A2539" s="2" t="s">
        <v>36</v>
      </c>
      <c r="B2539" s="2" t="s">
        <v>24</v>
      </c>
      <c r="C2539" s="2" t="s">
        <v>25</v>
      </c>
      <c r="D2539" s="2" t="s">
        <v>25</v>
      </c>
      <c r="E2539" s="2">
        <v>105</v>
      </c>
      <c r="F2539" s="2">
        <v>141</v>
      </c>
      <c r="G2539" s="2">
        <v>664</v>
      </c>
      <c r="H2539" s="2">
        <v>1318</v>
      </c>
      <c r="I2539" s="2">
        <v>2616</v>
      </c>
      <c r="J2539" s="2">
        <v>1.27</v>
      </c>
      <c r="K2539" s="2">
        <v>6.25</v>
      </c>
      <c r="L2539" s="2">
        <v>10.25</v>
      </c>
      <c r="M2539" s="2">
        <v>14.8</v>
      </c>
      <c r="N2539" s="2">
        <v>0.486902379</v>
      </c>
      <c r="O2539" s="2">
        <v>0.51881853200000005</v>
      </c>
      <c r="P2539" s="2">
        <v>2.1017832790000002</v>
      </c>
      <c r="Q2539" s="2">
        <v>2.0673028709999999</v>
      </c>
      <c r="R2539" s="2">
        <v>2.0116935589999998</v>
      </c>
      <c r="S2539" s="2">
        <v>1.981693559</v>
      </c>
      <c r="T2539" s="2">
        <v>0.608754448</v>
      </c>
      <c r="U2539" s="2">
        <v>0.58875444799999999</v>
      </c>
      <c r="V2539" s="2">
        <v>2.9038800710000001</v>
      </c>
      <c r="W2539" s="2">
        <v>2.8590959279999999</v>
      </c>
      <c r="X2539">
        <f t="shared" si="117"/>
        <v>1</v>
      </c>
      <c r="Y2539">
        <f t="shared" si="118"/>
        <v>0</v>
      </c>
      <c r="Z2539">
        <f t="shared" si="119"/>
        <v>0</v>
      </c>
    </row>
    <row r="2540" spans="1:26" ht="15.75" customHeight="1" x14ac:dyDescent="0.2">
      <c r="A2540" s="2" t="s">
        <v>36</v>
      </c>
      <c r="B2540" s="2" t="s">
        <v>24</v>
      </c>
      <c r="C2540" s="2" t="s">
        <v>30</v>
      </c>
      <c r="D2540" s="2" t="s">
        <v>31</v>
      </c>
      <c r="E2540" s="2">
        <v>209</v>
      </c>
      <c r="F2540" s="2">
        <v>154</v>
      </c>
      <c r="G2540" s="2">
        <v>641</v>
      </c>
      <c r="H2540" s="2">
        <v>1225</v>
      </c>
      <c r="I2540" s="2">
        <v>2051</v>
      </c>
      <c r="J2540" s="2">
        <v>1.42</v>
      </c>
      <c r="K2540" s="2">
        <v>6.08</v>
      </c>
      <c r="L2540" s="2">
        <v>9.7799999999999994</v>
      </c>
      <c r="M2540" s="2">
        <v>13.18</v>
      </c>
      <c r="N2540" s="2">
        <v>3.8900898979999998</v>
      </c>
      <c r="O2540" s="2">
        <v>3.7940499289999998</v>
      </c>
      <c r="P2540" s="2">
        <v>2.1311840040000001</v>
      </c>
      <c r="Q2540" s="2">
        <v>2.0951869670000001</v>
      </c>
      <c r="R2540" s="2">
        <v>1.83715494</v>
      </c>
      <c r="S2540" s="2">
        <v>1.80715494</v>
      </c>
      <c r="T2540" s="2">
        <v>1.080188403</v>
      </c>
      <c r="U2540" s="2">
        <v>1.0601884029999999</v>
      </c>
      <c r="V2540" s="2">
        <v>2.729341453</v>
      </c>
      <c r="W2540" s="2">
        <v>2.6845573100000002</v>
      </c>
      <c r="X2540">
        <f t="shared" si="117"/>
        <v>1</v>
      </c>
      <c r="Y2540">
        <f t="shared" si="118"/>
        <v>0</v>
      </c>
      <c r="Z2540">
        <f t="shared" si="119"/>
        <v>1</v>
      </c>
    </row>
    <row r="2541" spans="1:26" ht="15.75" customHeight="1" x14ac:dyDescent="0.2">
      <c r="A2541" s="2" t="s">
        <v>36</v>
      </c>
      <c r="B2541" s="2" t="s">
        <v>24</v>
      </c>
      <c r="C2541" s="2" t="s">
        <v>27</v>
      </c>
      <c r="D2541" s="2" t="s">
        <v>27</v>
      </c>
      <c r="E2541" s="2">
        <v>163</v>
      </c>
      <c r="F2541" s="2">
        <v>157</v>
      </c>
      <c r="G2541" s="2">
        <v>364</v>
      </c>
      <c r="H2541" s="2">
        <v>2059</v>
      </c>
      <c r="I2541" s="2">
        <v>2755</v>
      </c>
      <c r="J2541" s="2">
        <v>1.46</v>
      </c>
      <c r="K2541" s="2">
        <v>3.67</v>
      </c>
      <c r="L2541" s="2">
        <v>13.21</v>
      </c>
      <c r="M2541" s="2">
        <v>15.14</v>
      </c>
      <c r="N2541" s="2">
        <v>0.29979869999999997</v>
      </c>
      <c r="O2541" s="2">
        <v>0.39219253900000001</v>
      </c>
      <c r="P2541" s="2">
        <v>2.4139688260000001</v>
      </c>
      <c r="Q2541" s="2">
        <v>2.4405845859999999</v>
      </c>
      <c r="R2541" s="2">
        <v>0.56760074599999999</v>
      </c>
      <c r="S2541" s="2">
        <v>0.59760074600000002</v>
      </c>
      <c r="T2541" s="2">
        <v>2.3462896</v>
      </c>
      <c r="U2541" s="2">
        <v>2.3662896</v>
      </c>
      <c r="V2541" s="2">
        <v>0.32458576700000003</v>
      </c>
      <c r="W2541" s="2">
        <v>0.27980162400000003</v>
      </c>
      <c r="X2541">
        <f t="shared" si="117"/>
        <v>1</v>
      </c>
      <c r="Y2541">
        <f t="shared" si="118"/>
        <v>0</v>
      </c>
      <c r="Z2541">
        <f t="shared" si="119"/>
        <v>0</v>
      </c>
    </row>
    <row r="2542" spans="1:26" ht="15.75" customHeight="1" x14ac:dyDescent="0.2">
      <c r="A2542" s="2" t="s">
        <v>36</v>
      </c>
      <c r="B2542" s="2" t="s">
        <v>24</v>
      </c>
      <c r="C2542" s="2" t="s">
        <v>30</v>
      </c>
      <c r="D2542" s="2" t="s">
        <v>31</v>
      </c>
      <c r="E2542" s="2">
        <v>190</v>
      </c>
      <c r="F2542" s="2">
        <v>163</v>
      </c>
      <c r="G2542" s="2">
        <v>572</v>
      </c>
      <c r="H2542" s="2">
        <v>1280</v>
      </c>
      <c r="I2542" s="2">
        <v>2405</v>
      </c>
      <c r="J2542" s="2">
        <v>1.53</v>
      </c>
      <c r="K2542" s="2">
        <v>5.53</v>
      </c>
      <c r="L2542" s="2">
        <v>10.06</v>
      </c>
      <c r="M2542" s="2">
        <v>14.24</v>
      </c>
      <c r="N2542" s="2">
        <v>3.3581292459999998</v>
      </c>
      <c r="O2542" s="2">
        <v>3.2576709610000001</v>
      </c>
      <c r="P2542" s="2">
        <v>1.5133148700000001</v>
      </c>
      <c r="Q2542" s="2">
        <v>1.477280143</v>
      </c>
      <c r="R2542" s="2">
        <v>1.286603476</v>
      </c>
      <c r="S2542" s="2">
        <v>1.256603476</v>
      </c>
      <c r="T2542" s="2">
        <v>0.79672667399999997</v>
      </c>
      <c r="U2542" s="2">
        <v>0.77672667399999995</v>
      </c>
      <c r="V2542" s="2">
        <v>2.1787899880000001</v>
      </c>
      <c r="W2542" s="2">
        <v>2.1340058449999999</v>
      </c>
      <c r="X2542">
        <f t="shared" si="117"/>
        <v>1</v>
      </c>
      <c r="Y2542">
        <f t="shared" si="118"/>
        <v>0</v>
      </c>
      <c r="Z2542">
        <f t="shared" si="119"/>
        <v>1</v>
      </c>
    </row>
    <row r="2543" spans="1:26" ht="15.75" customHeight="1" x14ac:dyDescent="0.2">
      <c r="A2543" s="2" t="s">
        <v>36</v>
      </c>
      <c r="B2543" s="2" t="s">
        <v>24</v>
      </c>
      <c r="C2543" s="2" t="s">
        <v>27</v>
      </c>
      <c r="D2543" s="2" t="s">
        <v>27</v>
      </c>
      <c r="E2543" s="2">
        <v>180</v>
      </c>
      <c r="F2543" s="2">
        <v>145</v>
      </c>
      <c r="G2543" s="2">
        <v>404</v>
      </c>
      <c r="H2543" s="2">
        <v>1956</v>
      </c>
      <c r="I2543" s="2">
        <v>2760</v>
      </c>
      <c r="J2543" s="2">
        <v>1.31</v>
      </c>
      <c r="K2543" s="2">
        <v>4.05</v>
      </c>
      <c r="L2543" s="2">
        <v>12.86</v>
      </c>
      <c r="M2543" s="2">
        <v>15.15</v>
      </c>
      <c r="N2543" s="2">
        <v>0.21280455400000001</v>
      </c>
      <c r="O2543" s="2">
        <v>0.15984351399999999</v>
      </c>
      <c r="P2543" s="2">
        <v>2.0093012419999998</v>
      </c>
      <c r="Q2543" s="2">
        <v>2.03226022</v>
      </c>
      <c r="R2543" s="2">
        <v>0.191391905</v>
      </c>
      <c r="S2543" s="2">
        <v>0.221391905</v>
      </c>
      <c r="T2543" s="2">
        <v>2.0001651489999999</v>
      </c>
      <c r="U2543" s="2">
        <v>2.0201651489999999</v>
      </c>
      <c r="V2543" s="2">
        <v>0.70079460800000004</v>
      </c>
      <c r="W2543" s="2">
        <v>0.65601046399999996</v>
      </c>
      <c r="X2543">
        <f t="shared" si="117"/>
        <v>1</v>
      </c>
      <c r="Y2543">
        <f t="shared" si="118"/>
        <v>0</v>
      </c>
      <c r="Z2543">
        <f t="shared" si="119"/>
        <v>0</v>
      </c>
    </row>
    <row r="2544" spans="1:26" ht="15.75" customHeight="1" x14ac:dyDescent="0.2">
      <c r="A2544" s="2" t="s">
        <v>36</v>
      </c>
      <c r="B2544" s="2" t="s">
        <v>24</v>
      </c>
      <c r="C2544" s="2" t="s">
        <v>26</v>
      </c>
      <c r="D2544" s="2" t="s">
        <v>26</v>
      </c>
      <c r="E2544" s="2">
        <v>153</v>
      </c>
      <c r="F2544" s="2">
        <v>132</v>
      </c>
      <c r="G2544" s="2">
        <v>394</v>
      </c>
      <c r="H2544" s="2">
        <v>901</v>
      </c>
      <c r="I2544" s="2">
        <v>2521</v>
      </c>
      <c r="J2544" s="2">
        <v>1.1599999999999999</v>
      </c>
      <c r="K2544" s="2">
        <v>3.96</v>
      </c>
      <c r="L2544" s="2">
        <v>7.91</v>
      </c>
      <c r="M2544" s="2">
        <v>14.55</v>
      </c>
      <c r="N2544" s="2">
        <v>6.1924041999999999E-2</v>
      </c>
      <c r="O2544" s="2">
        <v>2.6868943999999999E-2</v>
      </c>
      <c r="P2544" s="2">
        <v>2.9600921570000001</v>
      </c>
      <c r="Q2544" s="2">
        <v>2.9431857639999999</v>
      </c>
      <c r="R2544" s="2">
        <v>0.27952428099999999</v>
      </c>
      <c r="S2544" s="2">
        <v>0.30952428100000001</v>
      </c>
      <c r="T2544" s="2">
        <v>2.946864733</v>
      </c>
      <c r="U2544" s="2">
        <v>2.9268647329999999</v>
      </c>
      <c r="V2544" s="2">
        <v>0.61266223099999995</v>
      </c>
      <c r="W2544" s="2">
        <v>0.56787808799999995</v>
      </c>
      <c r="X2544">
        <f t="shared" si="117"/>
        <v>1</v>
      </c>
      <c r="Y2544">
        <f t="shared" si="118"/>
        <v>0</v>
      </c>
      <c r="Z2544">
        <f t="shared" si="119"/>
        <v>0</v>
      </c>
    </row>
    <row r="2545" spans="1:26" ht="15.75" customHeight="1" x14ac:dyDescent="0.2">
      <c r="A2545" s="2" t="s">
        <v>36</v>
      </c>
      <c r="B2545" s="2" t="s">
        <v>24</v>
      </c>
      <c r="C2545" s="2" t="s">
        <v>27</v>
      </c>
      <c r="D2545" s="2" t="s">
        <v>27</v>
      </c>
      <c r="E2545" s="2">
        <v>158</v>
      </c>
      <c r="F2545" s="2">
        <v>165</v>
      </c>
      <c r="G2545" s="2">
        <v>350</v>
      </c>
      <c r="H2545" s="2">
        <v>2050</v>
      </c>
      <c r="I2545" s="2">
        <v>2643</v>
      </c>
      <c r="J2545" s="2">
        <v>1.56</v>
      </c>
      <c r="K2545" s="2">
        <v>3.54</v>
      </c>
      <c r="L2545" s="2">
        <v>13.18</v>
      </c>
      <c r="M2545" s="2">
        <v>14.86</v>
      </c>
      <c r="N2545" s="2">
        <v>0.391523923</v>
      </c>
      <c r="O2545" s="2">
        <v>0.46181402500000002</v>
      </c>
      <c r="P2545" s="2">
        <v>2.4206746419999998</v>
      </c>
      <c r="Q2545" s="2">
        <v>2.4486477780000002</v>
      </c>
      <c r="R2545" s="2">
        <v>0.70459673899999997</v>
      </c>
      <c r="S2545" s="2">
        <v>0.734596739</v>
      </c>
      <c r="T2545" s="2">
        <v>2.3158603489999998</v>
      </c>
      <c r="U2545" s="2">
        <v>2.3358603489999998</v>
      </c>
      <c r="V2545" s="2">
        <v>0.18758977399999999</v>
      </c>
      <c r="W2545" s="2">
        <v>0.14280562999999999</v>
      </c>
      <c r="X2545">
        <f t="shared" si="117"/>
        <v>1</v>
      </c>
      <c r="Y2545">
        <f t="shared" si="118"/>
        <v>0</v>
      </c>
      <c r="Z2545">
        <f t="shared" si="119"/>
        <v>0</v>
      </c>
    </row>
    <row r="2546" spans="1:26" ht="15.75" customHeight="1" x14ac:dyDescent="0.2">
      <c r="A2546" s="2" t="s">
        <v>36</v>
      </c>
      <c r="B2546" s="2" t="s">
        <v>24</v>
      </c>
      <c r="C2546" s="2" t="s">
        <v>30</v>
      </c>
      <c r="D2546" s="2" t="s">
        <v>31</v>
      </c>
      <c r="E2546" s="2">
        <v>124</v>
      </c>
      <c r="F2546" s="2">
        <v>152</v>
      </c>
      <c r="G2546" s="2">
        <v>743</v>
      </c>
      <c r="H2546" s="2">
        <v>1354</v>
      </c>
      <c r="I2546" s="2">
        <v>2945</v>
      </c>
      <c r="J2546" s="2">
        <v>1.4</v>
      </c>
      <c r="K2546" s="2">
        <v>6.84</v>
      </c>
      <c r="L2546" s="2">
        <v>10.42</v>
      </c>
      <c r="M2546" s="2">
        <v>15.57</v>
      </c>
      <c r="N2546" s="2">
        <v>3.9182401119999999</v>
      </c>
      <c r="O2546" s="2">
        <v>3.8393606199999999</v>
      </c>
      <c r="P2546" s="2">
        <v>2.63614164</v>
      </c>
      <c r="Q2546" s="2">
        <v>2.6032782239999999</v>
      </c>
      <c r="R2546" s="2">
        <v>2.5995264520000001</v>
      </c>
      <c r="S2546" s="2">
        <v>2.5695264519999998</v>
      </c>
      <c r="T2546" s="2">
        <v>0.43784126299999998</v>
      </c>
      <c r="U2546" s="2">
        <v>0.41784126300000002</v>
      </c>
      <c r="V2546" s="2">
        <v>3.4917129650000001</v>
      </c>
      <c r="W2546" s="2">
        <v>3.4469288219999998</v>
      </c>
      <c r="X2546">
        <f t="shared" si="117"/>
        <v>1</v>
      </c>
      <c r="Y2546">
        <f t="shared" si="118"/>
        <v>0</v>
      </c>
      <c r="Z2546">
        <f t="shared" si="119"/>
        <v>1</v>
      </c>
    </row>
    <row r="2547" spans="1:26" ht="15.75" customHeight="1" x14ac:dyDescent="0.2">
      <c r="A2547" s="2" t="s">
        <v>36</v>
      </c>
      <c r="B2547" s="2" t="s">
        <v>24</v>
      </c>
      <c r="C2547" s="2" t="s">
        <v>27</v>
      </c>
      <c r="D2547" s="2" t="s">
        <v>27</v>
      </c>
      <c r="E2547" s="2">
        <v>164</v>
      </c>
      <c r="F2547" s="2">
        <v>144</v>
      </c>
      <c r="G2547" s="2">
        <v>423</v>
      </c>
      <c r="H2547" s="2">
        <v>1975</v>
      </c>
      <c r="I2547" s="2">
        <v>2860</v>
      </c>
      <c r="J2547" s="2">
        <v>1.3</v>
      </c>
      <c r="K2547" s="2">
        <v>4.2300000000000004</v>
      </c>
      <c r="L2547" s="2">
        <v>12.93</v>
      </c>
      <c r="M2547" s="2">
        <v>15.38</v>
      </c>
      <c r="N2547" s="2">
        <v>0.35780820499999999</v>
      </c>
      <c r="O2547" s="2">
        <v>0.34514836900000001</v>
      </c>
      <c r="P2547" s="2">
        <v>2.0661143829999999</v>
      </c>
      <c r="Q2547" s="2">
        <v>2.086444164</v>
      </c>
      <c r="R2547" s="2">
        <v>7.9440559999999997E-3</v>
      </c>
      <c r="S2547" s="2">
        <v>3.7944055999999997E-2</v>
      </c>
      <c r="T2547" s="2">
        <v>2.0660991110000002</v>
      </c>
      <c r="U2547" s="2">
        <v>2.0860991109999998</v>
      </c>
      <c r="V2547" s="2">
        <v>0.88424245700000004</v>
      </c>
      <c r="W2547" s="2">
        <v>0.83945831299999996</v>
      </c>
      <c r="X2547">
        <f t="shared" si="117"/>
        <v>1</v>
      </c>
      <c r="Y2547">
        <f t="shared" si="118"/>
        <v>0</v>
      </c>
      <c r="Z2547">
        <f t="shared" si="119"/>
        <v>0</v>
      </c>
    </row>
    <row r="2548" spans="1:26" ht="15.75" customHeight="1" x14ac:dyDescent="0.2">
      <c r="A2548" s="2" t="s">
        <v>36</v>
      </c>
      <c r="B2548" s="2" t="s">
        <v>24</v>
      </c>
      <c r="C2548" s="2" t="s">
        <v>26</v>
      </c>
      <c r="D2548" s="2" t="s">
        <v>26</v>
      </c>
      <c r="E2548" s="2">
        <v>169</v>
      </c>
      <c r="F2548" s="2">
        <v>161</v>
      </c>
      <c r="G2548" s="2">
        <v>368</v>
      </c>
      <c r="H2548" s="2">
        <v>882</v>
      </c>
      <c r="I2548" s="2">
        <v>2489</v>
      </c>
      <c r="J2548" s="2">
        <v>1.5</v>
      </c>
      <c r="K2548" s="2">
        <v>3.71</v>
      </c>
      <c r="L2548" s="2">
        <v>7.79</v>
      </c>
      <c r="M2548" s="2">
        <v>14.47</v>
      </c>
      <c r="N2548" s="2">
        <v>0.27017201299999999</v>
      </c>
      <c r="O2548" s="2">
        <v>0.29198098300000003</v>
      </c>
      <c r="P2548" s="2">
        <v>3.1132767299999999</v>
      </c>
      <c r="Q2548" s="2">
        <v>3.0988727159999998</v>
      </c>
      <c r="R2548" s="2">
        <v>0.53199312700000001</v>
      </c>
      <c r="S2548" s="2">
        <v>0.56199312700000004</v>
      </c>
      <c r="T2548" s="2">
        <v>3.0674868069999999</v>
      </c>
      <c r="U2548" s="2">
        <v>3.0474868069999999</v>
      </c>
      <c r="V2548" s="2">
        <v>0.360193386</v>
      </c>
      <c r="W2548" s="2">
        <v>0.31540924199999998</v>
      </c>
      <c r="X2548">
        <f t="shared" si="117"/>
        <v>1</v>
      </c>
      <c r="Y2548">
        <f t="shared" si="118"/>
        <v>0</v>
      </c>
      <c r="Z2548">
        <f t="shared" si="119"/>
        <v>0</v>
      </c>
    </row>
    <row r="2549" spans="1:26" ht="15.75" customHeight="1" x14ac:dyDescent="0.2">
      <c r="A2549" s="2" t="s">
        <v>36</v>
      </c>
      <c r="B2549" s="2" t="s">
        <v>24</v>
      </c>
      <c r="C2549" s="2" t="s">
        <v>30</v>
      </c>
      <c r="D2549" s="2" t="s">
        <v>31</v>
      </c>
      <c r="E2549" s="2">
        <v>168</v>
      </c>
      <c r="F2549" s="2">
        <v>149</v>
      </c>
      <c r="G2549" s="2">
        <v>667</v>
      </c>
      <c r="H2549" s="2">
        <v>1267</v>
      </c>
      <c r="I2549" s="2">
        <v>2480</v>
      </c>
      <c r="J2549" s="2">
        <v>1.36</v>
      </c>
      <c r="K2549" s="2">
        <v>6.28</v>
      </c>
      <c r="L2549" s="2">
        <v>10</v>
      </c>
      <c r="M2549" s="2">
        <v>14.45</v>
      </c>
      <c r="N2549" s="2">
        <v>3.8338596740000002</v>
      </c>
      <c r="O2549" s="2">
        <v>3.7422569459999999</v>
      </c>
      <c r="P2549" s="2">
        <v>2.2119976380000002</v>
      </c>
      <c r="Q2549" s="2">
        <v>2.1765856669999999</v>
      </c>
      <c r="R2549" s="2">
        <v>2.0371069660000001</v>
      </c>
      <c r="S2549" s="2">
        <v>2.0071069659999998</v>
      </c>
      <c r="T2549" s="2">
        <v>0.86204916300000001</v>
      </c>
      <c r="U2549" s="2">
        <v>0.84204916299999999</v>
      </c>
      <c r="V2549" s="2">
        <v>2.929293479</v>
      </c>
      <c r="W2549" s="2">
        <v>2.8845093359999998</v>
      </c>
      <c r="X2549">
        <f t="shared" si="117"/>
        <v>1</v>
      </c>
      <c r="Y2549">
        <f t="shared" si="118"/>
        <v>0</v>
      </c>
      <c r="Z2549">
        <f t="shared" si="119"/>
        <v>1</v>
      </c>
    </row>
    <row r="2550" spans="1:26" ht="15.75" customHeight="1" x14ac:dyDescent="0.2">
      <c r="A2550" s="2" t="s">
        <v>36</v>
      </c>
      <c r="B2550" s="2" t="s">
        <v>24</v>
      </c>
      <c r="C2550" s="2" t="s">
        <v>32</v>
      </c>
      <c r="D2550" s="2" t="s">
        <v>33</v>
      </c>
      <c r="E2550" s="2">
        <v>170</v>
      </c>
      <c r="F2550" s="2">
        <v>146</v>
      </c>
      <c r="G2550" s="2">
        <v>693</v>
      </c>
      <c r="H2550" s="2">
        <v>2032</v>
      </c>
      <c r="I2550" s="2">
        <v>3202</v>
      </c>
      <c r="J2550" s="2">
        <v>1.33</v>
      </c>
      <c r="K2550" s="2">
        <v>6.47</v>
      </c>
      <c r="L2550" s="2">
        <v>13.12</v>
      </c>
      <c r="M2550" s="2">
        <v>16.100000000000001</v>
      </c>
      <c r="N2550" s="2">
        <v>2.4215621409999999</v>
      </c>
      <c r="O2550" s="2">
        <v>2.3777343979999999</v>
      </c>
      <c r="P2550" s="2">
        <v>3.1741109299999999</v>
      </c>
      <c r="Q2550" s="2">
        <v>3.1674151570000002</v>
      </c>
      <c r="R2550" s="2">
        <v>2.2331398419999999</v>
      </c>
      <c r="S2550" s="2">
        <v>2.2031398420000001</v>
      </c>
      <c r="T2550" s="2">
        <v>2.255674322</v>
      </c>
      <c r="U2550" s="2">
        <v>2.275674322</v>
      </c>
      <c r="V2550" s="2">
        <v>3.1253263549999999</v>
      </c>
      <c r="W2550" s="2">
        <v>3.080542211</v>
      </c>
      <c r="X2550">
        <f t="shared" si="117"/>
        <v>1</v>
      </c>
      <c r="Y2550">
        <f t="shared" si="118"/>
        <v>0</v>
      </c>
      <c r="Z2550">
        <f t="shared" si="119"/>
        <v>1</v>
      </c>
    </row>
    <row r="2551" spans="1:26" ht="15.75" customHeight="1" x14ac:dyDescent="0.2">
      <c r="A2551" s="2" t="s">
        <v>36</v>
      </c>
      <c r="B2551" s="2" t="s">
        <v>24</v>
      </c>
      <c r="C2551" s="2" t="s">
        <v>28</v>
      </c>
      <c r="D2551" s="2" t="s">
        <v>29</v>
      </c>
      <c r="E2551" s="2">
        <v>189</v>
      </c>
      <c r="F2551" s="2">
        <v>167</v>
      </c>
      <c r="G2551" s="2">
        <v>554</v>
      </c>
      <c r="H2551" s="2">
        <v>1592</v>
      </c>
      <c r="I2551" s="2">
        <v>2649</v>
      </c>
      <c r="J2551" s="2">
        <v>1.57</v>
      </c>
      <c r="K2551" s="2">
        <v>5.38</v>
      </c>
      <c r="L2551" s="2">
        <v>11.49</v>
      </c>
      <c r="M2551" s="2">
        <v>14.88</v>
      </c>
      <c r="N2551" s="2">
        <v>3.8170185139999999</v>
      </c>
      <c r="O2551" s="2">
        <v>3.8204833100000002</v>
      </c>
      <c r="P2551" s="2">
        <v>1.2995877629999999</v>
      </c>
      <c r="Q2551" s="2">
        <v>1.2833748330000001</v>
      </c>
      <c r="R2551" s="2">
        <v>1.138011138</v>
      </c>
      <c r="S2551" s="2">
        <v>1.108011138</v>
      </c>
      <c r="T2551" s="2">
        <v>0.62758187099999996</v>
      </c>
      <c r="U2551" s="2">
        <v>0.64758187099999998</v>
      </c>
      <c r="V2551" s="2">
        <v>2.0301976499999999</v>
      </c>
      <c r="W2551" s="2">
        <v>1.9854135070000001</v>
      </c>
      <c r="X2551">
        <f t="shared" si="117"/>
        <v>1</v>
      </c>
      <c r="Y2551">
        <f t="shared" si="118"/>
        <v>0</v>
      </c>
      <c r="Z2551">
        <f t="shared" si="119"/>
        <v>1</v>
      </c>
    </row>
    <row r="2552" spans="1:26" ht="15.75" customHeight="1" x14ac:dyDescent="0.2">
      <c r="A2552" s="2" t="s">
        <v>36</v>
      </c>
      <c r="B2552" s="2" t="s">
        <v>24</v>
      </c>
      <c r="C2552" s="2" t="s">
        <v>28</v>
      </c>
      <c r="D2552" s="2" t="s">
        <v>29</v>
      </c>
      <c r="E2552" s="2">
        <v>110</v>
      </c>
      <c r="F2552" s="2">
        <v>148</v>
      </c>
      <c r="G2552" s="2">
        <v>547</v>
      </c>
      <c r="H2552" s="2">
        <v>1128</v>
      </c>
      <c r="I2552" s="2">
        <v>2356</v>
      </c>
      <c r="J2552" s="2">
        <v>1.36</v>
      </c>
      <c r="K2552" s="2">
        <v>5.32</v>
      </c>
      <c r="L2552" s="2">
        <v>9.26</v>
      </c>
      <c r="M2552" s="2">
        <v>14.11</v>
      </c>
      <c r="N2552" s="2">
        <v>1.9132709029999999</v>
      </c>
      <c r="O2552" s="2">
        <v>1.8980170780000001</v>
      </c>
      <c r="P2552" s="2">
        <v>1.9305488529999999</v>
      </c>
      <c r="Q2552" s="2">
        <v>1.8972166100000001</v>
      </c>
      <c r="R2552" s="2">
        <v>1.0824355219999999</v>
      </c>
      <c r="S2552" s="2">
        <v>1.0524355219999999</v>
      </c>
      <c r="T2552" s="2">
        <v>1.598546907</v>
      </c>
      <c r="U2552" s="2">
        <v>1.578546907</v>
      </c>
      <c r="V2552" s="2">
        <v>1.9746220350000001</v>
      </c>
      <c r="W2552" s="2">
        <v>1.9298378920000001</v>
      </c>
      <c r="X2552">
        <f t="shared" si="117"/>
        <v>1</v>
      </c>
      <c r="Y2552">
        <f t="shared" si="118"/>
        <v>0</v>
      </c>
      <c r="Z2552">
        <f t="shared" si="119"/>
        <v>1</v>
      </c>
    </row>
    <row r="2553" spans="1:26" ht="15.75" customHeight="1" x14ac:dyDescent="0.2">
      <c r="A2553" s="2" t="s">
        <v>36</v>
      </c>
      <c r="B2553" s="2" t="s">
        <v>24</v>
      </c>
      <c r="C2553" s="2" t="s">
        <v>26</v>
      </c>
      <c r="D2553" s="2" t="s">
        <v>26</v>
      </c>
      <c r="E2553" s="2">
        <v>163</v>
      </c>
      <c r="F2553" s="2">
        <v>170</v>
      </c>
      <c r="G2553" s="2">
        <v>401</v>
      </c>
      <c r="H2553" s="2">
        <v>922</v>
      </c>
      <c r="I2553" s="2">
        <v>2686</v>
      </c>
      <c r="J2553" s="2">
        <v>1.61</v>
      </c>
      <c r="K2553" s="2">
        <v>4.0199999999999996</v>
      </c>
      <c r="L2553" s="2">
        <v>8.0399999999999991</v>
      </c>
      <c r="M2553" s="2">
        <v>14.97</v>
      </c>
      <c r="N2553" s="2">
        <v>0.13142383299999999</v>
      </c>
      <c r="O2553" s="2">
        <v>0.120987972</v>
      </c>
      <c r="P2553" s="2">
        <v>2.8236972840000001</v>
      </c>
      <c r="Q2553" s="2">
        <v>2.8062678660000002</v>
      </c>
      <c r="R2553" s="2">
        <v>0.219644168</v>
      </c>
      <c r="S2553" s="2">
        <v>0.249644168</v>
      </c>
      <c r="T2553" s="2">
        <v>2.8151416999999999</v>
      </c>
      <c r="U2553" s="2">
        <v>2.7951416999999998</v>
      </c>
      <c r="V2553" s="2">
        <v>0.67254234499999999</v>
      </c>
      <c r="W2553" s="2">
        <v>0.62775820100000002</v>
      </c>
      <c r="X2553">
        <f t="shared" si="117"/>
        <v>1</v>
      </c>
      <c r="Y2553">
        <f t="shared" si="118"/>
        <v>0</v>
      </c>
      <c r="Z2553">
        <f t="shared" si="119"/>
        <v>0</v>
      </c>
    </row>
    <row r="2554" spans="1:26" ht="15.75" customHeight="1" x14ac:dyDescent="0.2">
      <c r="A2554" s="2" t="s">
        <v>36</v>
      </c>
      <c r="B2554" s="2" t="s">
        <v>24</v>
      </c>
      <c r="C2554" s="2" t="s">
        <v>25</v>
      </c>
      <c r="D2554" s="2" t="s">
        <v>25</v>
      </c>
      <c r="E2554" s="2">
        <v>167</v>
      </c>
      <c r="F2554" s="2">
        <v>133</v>
      </c>
      <c r="G2554" s="2">
        <v>694</v>
      </c>
      <c r="H2554" s="2">
        <v>1431</v>
      </c>
      <c r="I2554" s="2">
        <v>2545</v>
      </c>
      <c r="J2554" s="2">
        <v>1.17</v>
      </c>
      <c r="K2554" s="2">
        <v>6.48</v>
      </c>
      <c r="L2554" s="2">
        <v>10.78</v>
      </c>
      <c r="M2554" s="2">
        <v>14.61</v>
      </c>
      <c r="N2554" s="2">
        <v>0.36865268899999998</v>
      </c>
      <c r="O2554" s="2">
        <v>0.33393878599999999</v>
      </c>
      <c r="P2554" s="2">
        <v>2.2443830679999999</v>
      </c>
      <c r="Q2554" s="2">
        <v>2.2138026480000002</v>
      </c>
      <c r="R2554" s="2">
        <v>2.2430892880000002</v>
      </c>
      <c r="S2554" s="2">
        <v>2.2130892879999999</v>
      </c>
      <c r="T2554" s="2">
        <v>7.6195812000000002E-2</v>
      </c>
      <c r="U2554" s="2">
        <v>5.6195811999999998E-2</v>
      </c>
      <c r="V2554" s="2">
        <v>3.1352758010000001</v>
      </c>
      <c r="W2554" s="2">
        <v>3.0904916569999998</v>
      </c>
      <c r="X2554">
        <f t="shared" si="117"/>
        <v>1</v>
      </c>
      <c r="Y2554">
        <f t="shared" si="118"/>
        <v>0</v>
      </c>
      <c r="Z2554">
        <f t="shared" si="119"/>
        <v>0</v>
      </c>
    </row>
    <row r="2555" spans="1:26" ht="15.75" customHeight="1" x14ac:dyDescent="0.2">
      <c r="A2555" s="2" t="s">
        <v>36</v>
      </c>
      <c r="B2555" s="2" t="s">
        <v>24</v>
      </c>
      <c r="C2555" s="2" t="s">
        <v>30</v>
      </c>
      <c r="D2555" s="2" t="s">
        <v>31</v>
      </c>
      <c r="E2555" s="2">
        <v>170</v>
      </c>
      <c r="F2555" s="2">
        <v>145</v>
      </c>
      <c r="G2555" s="2">
        <v>699</v>
      </c>
      <c r="H2555" s="2">
        <v>1447</v>
      </c>
      <c r="I2555" s="2">
        <v>2872</v>
      </c>
      <c r="J2555" s="2">
        <v>1.31</v>
      </c>
      <c r="K2555" s="2">
        <v>6.52</v>
      </c>
      <c r="L2555" s="2">
        <v>10.86</v>
      </c>
      <c r="M2555" s="2">
        <v>15.4</v>
      </c>
      <c r="N2555" s="2">
        <v>3.3897133890000002</v>
      </c>
      <c r="O2555" s="2">
        <v>3.3137031800000001</v>
      </c>
      <c r="P2555" s="2">
        <v>2.2753568729999998</v>
      </c>
      <c r="Q2555" s="2">
        <v>2.2454289109999999</v>
      </c>
      <c r="R2555" s="2">
        <v>2.2753560679999998</v>
      </c>
      <c r="S2555" s="2">
        <v>2.245356068</v>
      </c>
      <c r="T2555" s="2">
        <v>1.9135199999999999E-3</v>
      </c>
      <c r="U2555" s="2">
        <v>1.8086479999999999E-2</v>
      </c>
      <c r="V2555" s="2">
        <v>3.1675425810000002</v>
      </c>
      <c r="W2555" s="2">
        <v>3.122758438</v>
      </c>
      <c r="X2555">
        <f t="shared" si="117"/>
        <v>1</v>
      </c>
      <c r="Y2555">
        <f t="shared" si="118"/>
        <v>0</v>
      </c>
      <c r="Z2555">
        <f t="shared" si="119"/>
        <v>1</v>
      </c>
    </row>
    <row r="2556" spans="1:26" ht="15.75" customHeight="1" x14ac:dyDescent="0.2">
      <c r="A2556" s="2" t="s">
        <v>36</v>
      </c>
      <c r="B2556" s="2" t="s">
        <v>24</v>
      </c>
      <c r="C2556" s="2" t="s">
        <v>28</v>
      </c>
      <c r="D2556" s="2" t="s">
        <v>29</v>
      </c>
      <c r="E2556" s="2">
        <v>167</v>
      </c>
      <c r="F2556" s="2">
        <v>161</v>
      </c>
      <c r="G2556" s="2">
        <v>485</v>
      </c>
      <c r="H2556" s="2">
        <v>1729</v>
      </c>
      <c r="I2556" s="2">
        <v>2946</v>
      </c>
      <c r="J2556" s="2">
        <v>1.51</v>
      </c>
      <c r="K2556" s="2">
        <v>4.79</v>
      </c>
      <c r="L2556" s="2">
        <v>12.03</v>
      </c>
      <c r="M2556" s="2">
        <v>15.57</v>
      </c>
      <c r="N2556" s="2">
        <v>4.1657738149999997</v>
      </c>
      <c r="O2556" s="2">
        <v>4.1772230940000004</v>
      </c>
      <c r="P2556" s="2">
        <v>1.295940423</v>
      </c>
      <c r="Q2556" s="2">
        <v>1.30186238</v>
      </c>
      <c r="R2556" s="2">
        <v>0.54813905900000004</v>
      </c>
      <c r="S2556" s="2">
        <v>0.51813905900000001</v>
      </c>
      <c r="T2556" s="2">
        <v>1.1743105009999999</v>
      </c>
      <c r="U2556" s="2">
        <v>1.1943105009999999</v>
      </c>
      <c r="V2556" s="2">
        <v>1.4403255720000001</v>
      </c>
      <c r="W2556" s="2">
        <v>1.3955414290000001</v>
      </c>
      <c r="X2556">
        <f t="shared" si="117"/>
        <v>1</v>
      </c>
      <c r="Y2556">
        <f t="shared" si="118"/>
        <v>0</v>
      </c>
      <c r="Z2556">
        <f t="shared" si="119"/>
        <v>1</v>
      </c>
    </row>
    <row r="2557" spans="1:26" ht="15.75" customHeight="1" x14ac:dyDescent="0.2">
      <c r="A2557" s="2" t="s">
        <v>36</v>
      </c>
      <c r="B2557" s="2" t="s">
        <v>24</v>
      </c>
      <c r="C2557" s="2" t="s">
        <v>28</v>
      </c>
      <c r="D2557" s="2" t="s">
        <v>29</v>
      </c>
      <c r="E2557" s="2">
        <v>190</v>
      </c>
      <c r="F2557" s="2">
        <v>165</v>
      </c>
      <c r="G2557" s="2">
        <v>518</v>
      </c>
      <c r="H2557" s="2">
        <v>1181</v>
      </c>
      <c r="I2557" s="2">
        <v>2312</v>
      </c>
      <c r="J2557" s="2">
        <v>1.55</v>
      </c>
      <c r="K2557" s="2">
        <v>5.07</v>
      </c>
      <c r="L2557" s="2">
        <v>9.5500000000000007</v>
      </c>
      <c r="M2557" s="2">
        <v>13.98</v>
      </c>
      <c r="N2557" s="2">
        <v>1.9635154450000001</v>
      </c>
      <c r="O2557" s="2">
        <v>1.9567549790000001</v>
      </c>
      <c r="P2557" s="2">
        <v>1.551250681</v>
      </c>
      <c r="Q2557" s="2">
        <v>1.5183562719999999</v>
      </c>
      <c r="R2557" s="2">
        <v>0.83149737700000004</v>
      </c>
      <c r="S2557" s="2">
        <v>0.80149737700000001</v>
      </c>
      <c r="T2557" s="2">
        <v>1.309576568</v>
      </c>
      <c r="U2557" s="2">
        <v>1.289576568</v>
      </c>
      <c r="V2557" s="2">
        <v>1.7236838889999999</v>
      </c>
      <c r="W2557" s="2">
        <v>1.6788997459999999</v>
      </c>
      <c r="X2557">
        <f t="shared" si="117"/>
        <v>1</v>
      </c>
      <c r="Y2557">
        <f t="shared" si="118"/>
        <v>0</v>
      </c>
      <c r="Z2557">
        <f t="shared" si="119"/>
        <v>1</v>
      </c>
    </row>
    <row r="2558" spans="1:26" ht="15.75" customHeight="1" x14ac:dyDescent="0.2">
      <c r="A2558" s="2" t="s">
        <v>36</v>
      </c>
      <c r="B2558" s="2" t="s">
        <v>24</v>
      </c>
      <c r="C2558" s="2" t="s">
        <v>32</v>
      </c>
      <c r="D2558" s="2" t="s">
        <v>33</v>
      </c>
      <c r="E2558" s="2">
        <v>130</v>
      </c>
      <c r="F2558" s="2">
        <v>138</v>
      </c>
      <c r="G2558" s="2">
        <v>590</v>
      </c>
      <c r="H2558" s="2">
        <v>1201</v>
      </c>
      <c r="I2558" s="2">
        <v>2824</v>
      </c>
      <c r="J2558" s="2">
        <v>1.23</v>
      </c>
      <c r="K2558" s="2">
        <v>5.67</v>
      </c>
      <c r="L2558" s="2">
        <v>9.65</v>
      </c>
      <c r="M2558" s="2">
        <v>15.3</v>
      </c>
      <c r="N2558" s="2">
        <v>1.1554084499999999</v>
      </c>
      <c r="O2558" s="2">
        <v>1.2039606279999999</v>
      </c>
      <c r="P2558" s="2">
        <v>1.872685685</v>
      </c>
      <c r="Q2558" s="2">
        <v>1.836857806</v>
      </c>
      <c r="R2558" s="2">
        <v>1.4330980390000001</v>
      </c>
      <c r="S2558" s="2">
        <v>1.4030980390000001</v>
      </c>
      <c r="T2558" s="2">
        <v>1.205479857</v>
      </c>
      <c r="U2558" s="2">
        <v>1.185479857</v>
      </c>
      <c r="V2558" s="2">
        <v>2.3252845519999998</v>
      </c>
      <c r="W2558" s="2">
        <v>2.2805004090000001</v>
      </c>
      <c r="X2558">
        <f t="shared" si="117"/>
        <v>1</v>
      </c>
      <c r="Y2558">
        <f t="shared" si="118"/>
        <v>0</v>
      </c>
      <c r="Z2558">
        <f t="shared" si="119"/>
        <v>1</v>
      </c>
    </row>
    <row r="2559" spans="1:26" ht="15.75" customHeight="1" x14ac:dyDescent="0.2">
      <c r="A2559" s="2" t="s">
        <v>36</v>
      </c>
      <c r="B2559" s="2" t="s">
        <v>24</v>
      </c>
      <c r="C2559" s="2" t="s">
        <v>25</v>
      </c>
      <c r="D2559" s="2" t="s">
        <v>25</v>
      </c>
      <c r="E2559" s="2">
        <v>100</v>
      </c>
      <c r="F2559" s="2">
        <v>147</v>
      </c>
      <c r="G2559" s="2">
        <v>614</v>
      </c>
      <c r="H2559" s="2">
        <v>1446</v>
      </c>
      <c r="I2559" s="2">
        <v>2827</v>
      </c>
      <c r="J2559" s="2">
        <v>1.34</v>
      </c>
      <c r="K2559" s="2">
        <v>5.87</v>
      </c>
      <c r="L2559" s="2">
        <v>10.85</v>
      </c>
      <c r="M2559" s="2">
        <v>15.3</v>
      </c>
      <c r="N2559" s="2">
        <v>0.28460734100000001</v>
      </c>
      <c r="O2559" s="2">
        <v>0.29675675400000001</v>
      </c>
      <c r="P2559" s="2">
        <v>1.627899773</v>
      </c>
      <c r="Q2559" s="2">
        <v>1.597925788</v>
      </c>
      <c r="R2559" s="2">
        <v>1.627880357</v>
      </c>
      <c r="S2559" s="2">
        <v>1.597880357</v>
      </c>
      <c r="T2559" s="2">
        <v>7.9506750000000008E-3</v>
      </c>
      <c r="U2559" s="2">
        <v>1.2049325E-2</v>
      </c>
      <c r="V2559" s="2">
        <v>2.52006687</v>
      </c>
      <c r="W2559" s="2">
        <v>2.4752827270000002</v>
      </c>
      <c r="X2559">
        <f t="shared" si="117"/>
        <v>1</v>
      </c>
      <c r="Y2559">
        <f t="shared" si="118"/>
        <v>0</v>
      </c>
      <c r="Z2559">
        <f t="shared" si="119"/>
        <v>0</v>
      </c>
    </row>
    <row r="2560" spans="1:26" ht="15.75" customHeight="1" x14ac:dyDescent="0.2">
      <c r="A2560" s="2" t="s">
        <v>36</v>
      </c>
      <c r="B2560" s="2" t="s">
        <v>24</v>
      </c>
      <c r="C2560" s="2" t="s">
        <v>27</v>
      </c>
      <c r="D2560" s="2" t="s">
        <v>27</v>
      </c>
      <c r="E2560" s="2">
        <v>128</v>
      </c>
      <c r="F2560" s="2">
        <v>141</v>
      </c>
      <c r="G2560" s="2">
        <v>382</v>
      </c>
      <c r="H2560" s="2">
        <v>1945</v>
      </c>
      <c r="I2560" s="2">
        <v>2926</v>
      </c>
      <c r="J2560" s="2">
        <v>1.27</v>
      </c>
      <c r="K2560" s="2">
        <v>3.84</v>
      </c>
      <c r="L2560" s="2">
        <v>12.82</v>
      </c>
      <c r="M2560" s="2">
        <v>15.53</v>
      </c>
      <c r="N2560" s="2">
        <v>0.17056698300000001</v>
      </c>
      <c r="O2560" s="2">
        <v>7.3526684999999994E-2</v>
      </c>
      <c r="P2560" s="2">
        <v>2.0032532129999998</v>
      </c>
      <c r="Q2560" s="2">
        <v>2.0289621750000002</v>
      </c>
      <c r="R2560" s="2">
        <v>0.39706234000000001</v>
      </c>
      <c r="S2560" s="2">
        <v>0.42706233999999998</v>
      </c>
      <c r="T2560" s="2">
        <v>1.9635083230000001</v>
      </c>
      <c r="U2560" s="2">
        <v>1.9835083229999999</v>
      </c>
      <c r="V2560" s="2">
        <v>0.495124173</v>
      </c>
      <c r="W2560" s="2">
        <v>0.45034003</v>
      </c>
      <c r="X2560">
        <f t="shared" si="117"/>
        <v>1</v>
      </c>
      <c r="Y2560">
        <f t="shared" si="118"/>
        <v>0</v>
      </c>
      <c r="Z2560">
        <f t="shared" si="119"/>
        <v>0</v>
      </c>
    </row>
    <row r="2561" spans="1:26" ht="15.75" customHeight="1" x14ac:dyDescent="0.2">
      <c r="A2561" s="2" t="s">
        <v>36</v>
      </c>
      <c r="B2561" s="2" t="s">
        <v>24</v>
      </c>
      <c r="C2561" s="2" t="s">
        <v>32</v>
      </c>
      <c r="D2561" s="2" t="s">
        <v>33</v>
      </c>
      <c r="E2561" s="2">
        <v>95</v>
      </c>
      <c r="F2561" s="2">
        <v>150</v>
      </c>
      <c r="G2561" s="2">
        <v>608</v>
      </c>
      <c r="H2561" s="2">
        <v>1202</v>
      </c>
      <c r="I2561" s="2">
        <v>2601</v>
      </c>
      <c r="J2561" s="2">
        <v>1.38</v>
      </c>
      <c r="K2561" s="2">
        <v>5.81</v>
      </c>
      <c r="L2561" s="2">
        <v>9.66</v>
      </c>
      <c r="M2561" s="2">
        <v>14.76</v>
      </c>
      <c r="N2561" s="2">
        <v>1.101568876</v>
      </c>
      <c r="O2561" s="2">
        <v>1.1484505140000001</v>
      </c>
      <c r="P2561" s="2">
        <v>1.97903604</v>
      </c>
      <c r="Q2561" s="2">
        <v>1.9430522189999999</v>
      </c>
      <c r="R2561" s="2">
        <v>1.5748825129999999</v>
      </c>
      <c r="S2561" s="2">
        <v>1.5448825129999999</v>
      </c>
      <c r="T2561" s="2">
        <v>1.1984693230000001</v>
      </c>
      <c r="U2561" s="2">
        <v>1.1784693230000001</v>
      </c>
      <c r="V2561" s="2">
        <v>2.4670690259999999</v>
      </c>
      <c r="W2561" s="2">
        <v>2.4222848830000001</v>
      </c>
      <c r="X2561">
        <f t="shared" si="117"/>
        <v>1</v>
      </c>
      <c r="Y2561">
        <f t="shared" si="118"/>
        <v>0</v>
      </c>
      <c r="Z2561">
        <f t="shared" si="119"/>
        <v>1</v>
      </c>
    </row>
    <row r="2562" spans="1:26" ht="15.75" customHeight="1" x14ac:dyDescent="0.2">
      <c r="A2562" s="2" t="s">
        <v>36</v>
      </c>
      <c r="B2562" s="2" t="s">
        <v>24</v>
      </c>
      <c r="C2562" s="2" t="s">
        <v>28</v>
      </c>
      <c r="D2562" s="2" t="s">
        <v>29</v>
      </c>
      <c r="E2562" s="2">
        <v>168</v>
      </c>
      <c r="F2562" s="2">
        <v>154</v>
      </c>
      <c r="G2562" s="2">
        <v>503</v>
      </c>
      <c r="H2562" s="2">
        <v>1511</v>
      </c>
      <c r="I2562" s="2">
        <v>2487</v>
      </c>
      <c r="J2562" s="2">
        <v>1.42</v>
      </c>
      <c r="K2562" s="2">
        <v>4.95</v>
      </c>
      <c r="L2562" s="2">
        <v>11.14</v>
      </c>
      <c r="M2562" s="2">
        <v>14.46</v>
      </c>
      <c r="N2562" s="2">
        <v>3.3443601260000002</v>
      </c>
      <c r="O2562" s="2">
        <v>3.351386867</v>
      </c>
      <c r="P2562" s="2">
        <v>0.76233397400000003</v>
      </c>
      <c r="Q2562" s="2">
        <v>0.74247168699999999</v>
      </c>
      <c r="R2562" s="2">
        <v>0.70809201600000005</v>
      </c>
      <c r="S2562" s="2">
        <v>0.67809201600000002</v>
      </c>
      <c r="T2562" s="2">
        <v>0.28241597800000001</v>
      </c>
      <c r="U2562" s="2">
        <v>0.30241597799999997</v>
      </c>
      <c r="V2562" s="2">
        <v>1.6002785289999999</v>
      </c>
      <c r="W2562" s="2">
        <v>1.5554943859999999</v>
      </c>
      <c r="X2562">
        <f t="shared" si="117"/>
        <v>1</v>
      </c>
      <c r="Y2562">
        <f t="shared" si="118"/>
        <v>0</v>
      </c>
      <c r="Z2562">
        <f t="shared" si="119"/>
        <v>1</v>
      </c>
    </row>
    <row r="2563" spans="1:26" ht="15.75" customHeight="1" x14ac:dyDescent="0.2">
      <c r="A2563" s="2" t="s">
        <v>36</v>
      </c>
      <c r="B2563" s="2" t="s">
        <v>24</v>
      </c>
      <c r="C2563" s="2" t="s">
        <v>27</v>
      </c>
      <c r="D2563" s="2" t="s">
        <v>27</v>
      </c>
      <c r="E2563" s="2">
        <v>153</v>
      </c>
      <c r="F2563" s="2">
        <v>164</v>
      </c>
      <c r="G2563" s="2">
        <v>375</v>
      </c>
      <c r="H2563" s="2">
        <v>2006</v>
      </c>
      <c r="I2563" s="2">
        <v>2833</v>
      </c>
      <c r="J2563" s="2">
        <v>1.54</v>
      </c>
      <c r="K2563" s="2">
        <v>3.78</v>
      </c>
      <c r="L2563" s="2">
        <v>13.03</v>
      </c>
      <c r="M2563" s="2">
        <v>15.32</v>
      </c>
      <c r="N2563" s="2">
        <v>0.108914926</v>
      </c>
      <c r="O2563" s="2">
        <v>0.187056472</v>
      </c>
      <c r="P2563" s="2">
        <v>2.218919761</v>
      </c>
      <c r="Q2563" s="2">
        <v>2.244858764</v>
      </c>
      <c r="R2563" s="2">
        <v>0.46111333100000002</v>
      </c>
      <c r="S2563" s="2">
        <v>0.49111333099999999</v>
      </c>
      <c r="T2563" s="2">
        <v>2.170479072</v>
      </c>
      <c r="U2563" s="2">
        <v>2.190479072</v>
      </c>
      <c r="V2563" s="2">
        <v>0.43107318100000003</v>
      </c>
      <c r="W2563" s="2">
        <v>0.38628903799999997</v>
      </c>
      <c r="X2563">
        <f t="shared" ref="X2563:X2626" si="120">IF(B2563="normal",1,0)</f>
        <v>1</v>
      </c>
      <c r="Y2563">
        <f t="shared" ref="Y2563:Y2626" si="121">IF(A2563="lecture",1,0)</f>
        <v>0</v>
      </c>
      <c r="Z2563">
        <f t="shared" ref="Z2563:Z2626" si="122">IF(ISNUMBER(FIND("~",D2563)),1,0)</f>
        <v>0</v>
      </c>
    </row>
    <row r="2564" spans="1:26" ht="15.75" customHeight="1" x14ac:dyDescent="0.2">
      <c r="A2564" s="2" t="s">
        <v>36</v>
      </c>
      <c r="B2564" s="2" t="s">
        <v>24</v>
      </c>
      <c r="C2564" s="2" t="s">
        <v>26</v>
      </c>
      <c r="D2564" s="2" t="s">
        <v>26</v>
      </c>
      <c r="E2564" s="2">
        <v>142</v>
      </c>
      <c r="F2564" s="2">
        <v>156</v>
      </c>
      <c r="G2564" s="2">
        <v>393</v>
      </c>
      <c r="H2564" s="2">
        <v>841</v>
      </c>
      <c r="I2564" s="2">
        <v>2527</v>
      </c>
      <c r="J2564" s="2">
        <v>1.44</v>
      </c>
      <c r="K2564" s="2">
        <v>3.95</v>
      </c>
      <c r="L2564" s="2">
        <v>7.52</v>
      </c>
      <c r="M2564" s="2">
        <v>14.57</v>
      </c>
      <c r="N2564" s="2">
        <v>0.44138924899999998</v>
      </c>
      <c r="O2564" s="2">
        <v>0.42039642399999999</v>
      </c>
      <c r="P2564" s="2">
        <v>3.3527793379999999</v>
      </c>
      <c r="Q2564" s="2">
        <v>3.335589573</v>
      </c>
      <c r="R2564" s="2">
        <v>0.28900849899999997</v>
      </c>
      <c r="S2564" s="2">
        <v>0.319008499</v>
      </c>
      <c r="T2564" s="2">
        <v>3.3402998930000001</v>
      </c>
      <c r="U2564" s="2">
        <v>3.3202998930000001</v>
      </c>
      <c r="V2564" s="2">
        <v>0.60317801400000004</v>
      </c>
      <c r="W2564" s="2">
        <v>0.55839387100000004</v>
      </c>
      <c r="X2564">
        <f t="shared" si="120"/>
        <v>1</v>
      </c>
      <c r="Y2564">
        <f t="shared" si="121"/>
        <v>0</v>
      </c>
      <c r="Z2564">
        <f t="shared" si="122"/>
        <v>0</v>
      </c>
    </row>
    <row r="2565" spans="1:26" ht="15.75" customHeight="1" x14ac:dyDescent="0.2">
      <c r="A2565" s="2" t="s">
        <v>36</v>
      </c>
      <c r="B2565" s="2" t="s">
        <v>24</v>
      </c>
      <c r="C2565" s="2" t="s">
        <v>27</v>
      </c>
      <c r="D2565" s="2" t="s">
        <v>27</v>
      </c>
      <c r="E2565" s="2">
        <v>160</v>
      </c>
      <c r="F2565" s="2">
        <v>149</v>
      </c>
      <c r="G2565" s="2">
        <v>406</v>
      </c>
      <c r="H2565" s="2">
        <v>2048</v>
      </c>
      <c r="I2565" s="2">
        <v>2705</v>
      </c>
      <c r="J2565" s="2">
        <v>1.37</v>
      </c>
      <c r="K2565" s="2">
        <v>4.07</v>
      </c>
      <c r="L2565" s="2">
        <v>13.17</v>
      </c>
      <c r="M2565" s="2">
        <v>15.02</v>
      </c>
      <c r="N2565" s="2">
        <v>0.25937633199999999</v>
      </c>
      <c r="O2565" s="2">
        <v>0.33937990200000001</v>
      </c>
      <c r="P2565" s="2">
        <v>2.3157622529999999</v>
      </c>
      <c r="Q2565" s="2">
        <v>2.3381153690000001</v>
      </c>
      <c r="R2565" s="2">
        <v>0.17259687200000001</v>
      </c>
      <c r="S2565" s="2">
        <v>0.20259687200000001</v>
      </c>
      <c r="T2565" s="2">
        <v>2.309321357</v>
      </c>
      <c r="U2565" s="2">
        <v>2.329321357</v>
      </c>
      <c r="V2565" s="2">
        <v>0.719589641</v>
      </c>
      <c r="W2565" s="2">
        <v>0.67480549700000003</v>
      </c>
      <c r="X2565">
        <f t="shared" si="120"/>
        <v>1</v>
      </c>
      <c r="Y2565">
        <f t="shared" si="121"/>
        <v>0</v>
      </c>
      <c r="Z2565">
        <f t="shared" si="122"/>
        <v>0</v>
      </c>
    </row>
    <row r="2566" spans="1:26" ht="15.75" customHeight="1" x14ac:dyDescent="0.2">
      <c r="A2566" s="2" t="s">
        <v>36</v>
      </c>
      <c r="B2566" s="2" t="s">
        <v>24</v>
      </c>
      <c r="C2566" s="2" t="s">
        <v>27</v>
      </c>
      <c r="D2566" s="2" t="s">
        <v>27</v>
      </c>
      <c r="E2566" s="2">
        <v>151</v>
      </c>
      <c r="F2566" s="2">
        <v>162</v>
      </c>
      <c r="G2566" s="2">
        <v>389</v>
      </c>
      <c r="H2566" s="2">
        <v>1941</v>
      </c>
      <c r="I2566" s="2">
        <v>2607</v>
      </c>
      <c r="J2566" s="2">
        <v>1.52</v>
      </c>
      <c r="K2566" s="2">
        <v>3.91</v>
      </c>
      <c r="L2566" s="2">
        <v>12.81</v>
      </c>
      <c r="M2566" s="2">
        <v>14.77</v>
      </c>
      <c r="N2566" s="2">
        <v>0.181106561</v>
      </c>
      <c r="O2566" s="2">
        <v>7.1109488999999998E-2</v>
      </c>
      <c r="P2566" s="2">
        <v>1.979140839</v>
      </c>
      <c r="Q2566" s="2">
        <v>2.0040796909999998</v>
      </c>
      <c r="R2566" s="2">
        <v>0.33337496500000002</v>
      </c>
      <c r="S2566" s="2">
        <v>0.36337496499999999</v>
      </c>
      <c r="T2566" s="2">
        <v>1.9508612439999999</v>
      </c>
      <c r="U2566" s="2">
        <v>1.970861244</v>
      </c>
      <c r="V2566" s="2">
        <v>0.55881154799999999</v>
      </c>
      <c r="W2566" s="2">
        <v>0.51402740499999999</v>
      </c>
      <c r="X2566">
        <f t="shared" si="120"/>
        <v>1</v>
      </c>
      <c r="Y2566">
        <f t="shared" si="121"/>
        <v>0</v>
      </c>
      <c r="Z2566">
        <f t="shared" si="122"/>
        <v>0</v>
      </c>
    </row>
    <row r="2567" spans="1:26" ht="15.75" customHeight="1" x14ac:dyDescent="0.2">
      <c r="A2567" s="2" t="s">
        <v>36</v>
      </c>
      <c r="B2567" s="2" t="s">
        <v>24</v>
      </c>
      <c r="C2567" s="2" t="s">
        <v>32</v>
      </c>
      <c r="D2567" s="2" t="s">
        <v>33</v>
      </c>
      <c r="E2567" s="2">
        <v>150</v>
      </c>
      <c r="F2567" s="2">
        <v>148</v>
      </c>
      <c r="G2567" s="2">
        <v>747</v>
      </c>
      <c r="H2567" s="2">
        <v>921</v>
      </c>
      <c r="I2567" s="2">
        <v>3074</v>
      </c>
      <c r="J2567" s="2">
        <v>1.35</v>
      </c>
      <c r="K2567" s="2">
        <v>6.87</v>
      </c>
      <c r="L2567" s="2">
        <v>8.0399999999999991</v>
      </c>
      <c r="M2567" s="2">
        <v>15.84</v>
      </c>
      <c r="N2567" s="2">
        <v>2.7825243240000002</v>
      </c>
      <c r="O2567" s="2">
        <v>2.813228032</v>
      </c>
      <c r="P2567" s="2">
        <v>3.8560445190000001</v>
      </c>
      <c r="Q2567" s="2">
        <v>3.8209640560000002</v>
      </c>
      <c r="R2567" s="2">
        <v>2.630642699</v>
      </c>
      <c r="S2567" s="2">
        <v>2.6006426989999998</v>
      </c>
      <c r="T2567" s="2">
        <v>2.8193613329999998</v>
      </c>
      <c r="U2567" s="2">
        <v>2.7993613329999998</v>
      </c>
      <c r="V2567" s="2">
        <v>3.522829212</v>
      </c>
      <c r="W2567" s="2">
        <v>3.4780450680000001</v>
      </c>
      <c r="X2567">
        <f t="shared" si="120"/>
        <v>1</v>
      </c>
      <c r="Y2567">
        <f t="shared" si="121"/>
        <v>0</v>
      </c>
      <c r="Z2567">
        <f t="shared" si="122"/>
        <v>1</v>
      </c>
    </row>
    <row r="2568" spans="1:26" ht="15.75" customHeight="1" x14ac:dyDescent="0.2">
      <c r="A2568" s="2" t="s">
        <v>36</v>
      </c>
      <c r="B2568" s="2" t="s">
        <v>24</v>
      </c>
      <c r="C2568" s="2" t="s">
        <v>28</v>
      </c>
      <c r="D2568" s="2" t="s">
        <v>29</v>
      </c>
      <c r="E2568" s="2">
        <v>144</v>
      </c>
      <c r="F2568" s="2">
        <v>146</v>
      </c>
      <c r="G2568" s="2">
        <v>548</v>
      </c>
      <c r="H2568" s="2">
        <v>1322</v>
      </c>
      <c r="I2568" s="2">
        <v>2588</v>
      </c>
      <c r="J2568" s="2">
        <v>1.32</v>
      </c>
      <c r="K2568" s="2">
        <v>5.33</v>
      </c>
      <c r="L2568" s="2">
        <v>10.27</v>
      </c>
      <c r="M2568" s="2">
        <v>14.73</v>
      </c>
      <c r="N2568" s="2">
        <v>2.7045047910000002</v>
      </c>
      <c r="O2568" s="2">
        <v>2.7011774499999999</v>
      </c>
      <c r="P2568" s="2">
        <v>1.234863069</v>
      </c>
      <c r="Q2568" s="2">
        <v>1.1989598319999999</v>
      </c>
      <c r="R2568" s="2">
        <v>1.0852213209999999</v>
      </c>
      <c r="S2568" s="2">
        <v>1.0552213210000001</v>
      </c>
      <c r="T2568" s="2">
        <v>0.58922108299999998</v>
      </c>
      <c r="U2568" s="2">
        <v>0.56922108299999996</v>
      </c>
      <c r="V2568" s="2">
        <v>1.9774078340000001</v>
      </c>
      <c r="W2568" s="2">
        <v>1.9326236910000001</v>
      </c>
      <c r="X2568">
        <f t="shared" si="120"/>
        <v>1</v>
      </c>
      <c r="Y2568">
        <f t="shared" si="121"/>
        <v>0</v>
      </c>
      <c r="Z2568">
        <f t="shared" si="122"/>
        <v>1</v>
      </c>
    </row>
    <row r="2569" spans="1:26" ht="15.75" customHeight="1" x14ac:dyDescent="0.2">
      <c r="A2569" s="2" t="s">
        <v>36</v>
      </c>
      <c r="B2569" s="2" t="s">
        <v>24</v>
      </c>
      <c r="C2569" s="2" t="s">
        <v>26</v>
      </c>
      <c r="D2569" s="2" t="s">
        <v>26</v>
      </c>
      <c r="E2569" s="2">
        <v>149</v>
      </c>
      <c r="F2569" s="2">
        <v>145</v>
      </c>
      <c r="G2569" s="2">
        <v>371</v>
      </c>
      <c r="H2569" s="2">
        <v>917</v>
      </c>
      <c r="I2569" s="2">
        <v>2559</v>
      </c>
      <c r="J2569" s="2">
        <v>1.31</v>
      </c>
      <c r="K2569" s="2">
        <v>3.73</v>
      </c>
      <c r="L2569" s="2">
        <v>8.01</v>
      </c>
      <c r="M2569" s="2">
        <v>14.65</v>
      </c>
      <c r="N2569" s="2">
        <v>0.19360918099999999</v>
      </c>
      <c r="O2569" s="2">
        <v>0.237706572</v>
      </c>
      <c r="P2569" s="2">
        <v>2.8914847049999999</v>
      </c>
      <c r="Q2569" s="2">
        <v>2.8772348459999999</v>
      </c>
      <c r="R2569" s="2">
        <v>0.50616704800000001</v>
      </c>
      <c r="S2569" s="2">
        <v>0.53616704800000003</v>
      </c>
      <c r="T2569" s="2">
        <v>2.846836616</v>
      </c>
      <c r="U2569" s="2">
        <v>2.826836616</v>
      </c>
      <c r="V2569" s="2">
        <v>0.38601946500000001</v>
      </c>
      <c r="W2569" s="2">
        <v>0.34123532099999998</v>
      </c>
      <c r="X2569">
        <f t="shared" si="120"/>
        <v>1</v>
      </c>
      <c r="Y2569">
        <f t="shared" si="121"/>
        <v>0</v>
      </c>
      <c r="Z2569">
        <f t="shared" si="122"/>
        <v>0</v>
      </c>
    </row>
    <row r="2570" spans="1:26" ht="15.75" customHeight="1" x14ac:dyDescent="0.2">
      <c r="A2570" s="2" t="s">
        <v>36</v>
      </c>
      <c r="B2570" s="2" t="s">
        <v>24</v>
      </c>
      <c r="C2570" s="2" t="s">
        <v>30</v>
      </c>
      <c r="D2570" s="2" t="s">
        <v>31</v>
      </c>
      <c r="E2570" s="2">
        <v>109</v>
      </c>
      <c r="F2570" s="2">
        <v>144</v>
      </c>
      <c r="G2570" s="2">
        <v>594</v>
      </c>
      <c r="H2570" s="2">
        <v>1338</v>
      </c>
      <c r="I2570" s="2">
        <v>3145</v>
      </c>
      <c r="J2570" s="2">
        <v>1.3</v>
      </c>
      <c r="K2570" s="2">
        <v>5.7</v>
      </c>
      <c r="L2570" s="2">
        <v>10.35</v>
      </c>
      <c r="M2570" s="2">
        <v>15.99</v>
      </c>
      <c r="N2570" s="2">
        <v>3.2120177760000002</v>
      </c>
      <c r="O2570" s="2">
        <v>3.1162401040000001</v>
      </c>
      <c r="P2570" s="2">
        <v>1.550629547</v>
      </c>
      <c r="Q2570" s="2">
        <v>1.5157174950000001</v>
      </c>
      <c r="R2570" s="2">
        <v>1.4626863329999999</v>
      </c>
      <c r="S2570" s="2">
        <v>1.4326863329999999</v>
      </c>
      <c r="T2570" s="2">
        <v>0.51478216899999996</v>
      </c>
      <c r="U2570" s="2">
        <v>0.49478216899999999</v>
      </c>
      <c r="V2570" s="2">
        <v>2.3548728460000001</v>
      </c>
      <c r="W2570" s="2">
        <v>2.3100887029999999</v>
      </c>
      <c r="X2570">
        <f t="shared" si="120"/>
        <v>1</v>
      </c>
      <c r="Y2570">
        <f t="shared" si="121"/>
        <v>0</v>
      </c>
      <c r="Z2570">
        <f t="shared" si="122"/>
        <v>1</v>
      </c>
    </row>
    <row r="2571" spans="1:26" ht="15.75" customHeight="1" x14ac:dyDescent="0.2">
      <c r="A2571" s="2" t="s">
        <v>36</v>
      </c>
      <c r="B2571" s="2" t="s">
        <v>24</v>
      </c>
      <c r="C2571" s="2" t="s">
        <v>27</v>
      </c>
      <c r="D2571" s="2" t="s">
        <v>27</v>
      </c>
      <c r="E2571" s="2">
        <v>160</v>
      </c>
      <c r="F2571" s="2">
        <v>149</v>
      </c>
      <c r="G2571" s="2">
        <v>390</v>
      </c>
      <c r="H2571" s="2">
        <v>2021</v>
      </c>
      <c r="I2571" s="2">
        <v>2682</v>
      </c>
      <c r="J2571" s="2">
        <v>1.37</v>
      </c>
      <c r="K2571" s="2">
        <v>3.92</v>
      </c>
      <c r="L2571" s="2">
        <v>13.08</v>
      </c>
      <c r="M2571" s="2">
        <v>14.96</v>
      </c>
      <c r="N2571" s="2">
        <v>9.9889646999999998E-2</v>
      </c>
      <c r="O2571" s="2">
        <v>0.20301860299999999</v>
      </c>
      <c r="P2571" s="2">
        <v>2.2429884009999999</v>
      </c>
      <c r="Q2571" s="2">
        <v>2.2671928939999999</v>
      </c>
      <c r="R2571" s="2">
        <v>0.31750957299999999</v>
      </c>
      <c r="S2571" s="2">
        <v>0.34750957300000002</v>
      </c>
      <c r="T2571" s="2">
        <v>2.220401909</v>
      </c>
      <c r="U2571" s="2">
        <v>2.240401909</v>
      </c>
      <c r="V2571" s="2">
        <v>0.57467694000000002</v>
      </c>
      <c r="W2571" s="2">
        <v>0.52989279600000005</v>
      </c>
      <c r="X2571">
        <f t="shared" si="120"/>
        <v>1</v>
      </c>
      <c r="Y2571">
        <f t="shared" si="121"/>
        <v>0</v>
      </c>
      <c r="Z2571">
        <f t="shared" si="122"/>
        <v>0</v>
      </c>
    </row>
    <row r="2572" spans="1:26" ht="15.75" customHeight="1" x14ac:dyDescent="0.2">
      <c r="A2572" s="2" t="s">
        <v>36</v>
      </c>
      <c r="B2572" s="2" t="s">
        <v>24</v>
      </c>
      <c r="C2572" s="2" t="s">
        <v>30</v>
      </c>
      <c r="D2572" s="2" t="s">
        <v>31</v>
      </c>
      <c r="E2572" s="2">
        <v>166</v>
      </c>
      <c r="F2572" s="2">
        <v>160</v>
      </c>
      <c r="G2572" s="2">
        <v>770</v>
      </c>
      <c r="H2572" s="2">
        <v>1340</v>
      </c>
      <c r="I2572" s="2">
        <v>3106</v>
      </c>
      <c r="J2572" s="2">
        <v>1.49</v>
      </c>
      <c r="K2572" s="2">
        <v>7.03</v>
      </c>
      <c r="L2572" s="2">
        <v>10.35</v>
      </c>
      <c r="M2572" s="2">
        <v>15.91</v>
      </c>
      <c r="N2572" s="2">
        <v>4.106443359</v>
      </c>
      <c r="O2572" s="2">
        <v>4.028940425</v>
      </c>
      <c r="P2572" s="2">
        <v>2.8348103870000001</v>
      </c>
      <c r="Q2572" s="2">
        <v>2.8017634299999998</v>
      </c>
      <c r="R2572" s="2">
        <v>2.7894443770000001</v>
      </c>
      <c r="S2572" s="2">
        <v>2.7594443769999999</v>
      </c>
      <c r="T2572" s="2">
        <v>0.50512374999999998</v>
      </c>
      <c r="U2572" s="2">
        <v>0.48512375000000002</v>
      </c>
      <c r="V2572" s="2">
        <v>3.681630889</v>
      </c>
      <c r="W2572" s="2">
        <v>3.6368467459999998</v>
      </c>
      <c r="X2572">
        <f t="shared" si="120"/>
        <v>1</v>
      </c>
      <c r="Y2572">
        <f t="shared" si="121"/>
        <v>0</v>
      </c>
      <c r="Z2572">
        <f t="shared" si="122"/>
        <v>1</v>
      </c>
    </row>
    <row r="2573" spans="1:26" ht="15.75" customHeight="1" x14ac:dyDescent="0.2">
      <c r="A2573" s="2" t="s">
        <v>36</v>
      </c>
      <c r="B2573" s="2" t="s">
        <v>24</v>
      </c>
      <c r="C2573" s="2" t="s">
        <v>26</v>
      </c>
      <c r="D2573" s="2" t="s">
        <v>26</v>
      </c>
      <c r="E2573" s="2">
        <v>229</v>
      </c>
      <c r="F2573" s="2">
        <v>159</v>
      </c>
      <c r="G2573" s="2">
        <v>392</v>
      </c>
      <c r="H2573" s="2">
        <v>990</v>
      </c>
      <c r="I2573" s="2">
        <v>2585</v>
      </c>
      <c r="J2573" s="2">
        <v>1.49</v>
      </c>
      <c r="K2573" s="2">
        <v>3.94</v>
      </c>
      <c r="L2573" s="2">
        <v>8.4700000000000006</v>
      </c>
      <c r="M2573" s="2">
        <v>14.72</v>
      </c>
      <c r="N2573" s="2">
        <v>0.50770963899999999</v>
      </c>
      <c r="O2573" s="2">
        <v>0.52757872400000005</v>
      </c>
      <c r="P2573" s="2">
        <v>2.4112932219999998</v>
      </c>
      <c r="Q2573" s="2">
        <v>2.3953778859999999</v>
      </c>
      <c r="R2573" s="2">
        <v>0.29850077899999999</v>
      </c>
      <c r="S2573" s="2">
        <v>0.32850077900000002</v>
      </c>
      <c r="T2573" s="2">
        <v>2.3927457630000002</v>
      </c>
      <c r="U2573" s="2">
        <v>2.3727457630000002</v>
      </c>
      <c r="V2573" s="2">
        <v>0.59368573300000005</v>
      </c>
      <c r="W2573" s="2">
        <v>0.54890159000000005</v>
      </c>
      <c r="X2573">
        <f t="shared" si="120"/>
        <v>1</v>
      </c>
      <c r="Y2573">
        <f t="shared" si="121"/>
        <v>0</v>
      </c>
      <c r="Z2573">
        <f t="shared" si="122"/>
        <v>0</v>
      </c>
    </row>
    <row r="2574" spans="1:26" ht="15.75" customHeight="1" x14ac:dyDescent="0.2">
      <c r="A2574" s="2" t="s">
        <v>36</v>
      </c>
      <c r="B2574" s="2" t="s">
        <v>24</v>
      </c>
      <c r="C2574" s="2" t="s">
        <v>26</v>
      </c>
      <c r="D2574" s="2" t="s">
        <v>26</v>
      </c>
      <c r="E2574" s="2">
        <v>171</v>
      </c>
      <c r="F2574" s="2">
        <v>149</v>
      </c>
      <c r="G2574" s="2">
        <v>372</v>
      </c>
      <c r="H2574" s="2">
        <v>881</v>
      </c>
      <c r="I2574" s="2">
        <v>2536</v>
      </c>
      <c r="J2574" s="2">
        <v>1.36</v>
      </c>
      <c r="K2574" s="2">
        <v>3.74</v>
      </c>
      <c r="L2574" s="2">
        <v>7.78</v>
      </c>
      <c r="M2574" s="2">
        <v>14.59</v>
      </c>
      <c r="N2574" s="2">
        <v>0.24936897</v>
      </c>
      <c r="O2574" s="2">
        <v>0.26694222200000001</v>
      </c>
      <c r="P2574" s="2">
        <v>3.115973452</v>
      </c>
      <c r="Q2574" s="2">
        <v>3.1011826569999998</v>
      </c>
      <c r="R2574" s="2">
        <v>0.49649749799999998</v>
      </c>
      <c r="S2574" s="2">
        <v>0.52649749800000001</v>
      </c>
      <c r="T2574" s="2">
        <v>3.0761633229999998</v>
      </c>
      <c r="U2574" s="2">
        <v>3.0561633229999998</v>
      </c>
      <c r="V2574" s="2">
        <v>0.39568901499999998</v>
      </c>
      <c r="W2574" s="2">
        <v>0.35090487100000001</v>
      </c>
      <c r="X2574">
        <f t="shared" si="120"/>
        <v>1</v>
      </c>
      <c r="Y2574">
        <f t="shared" si="121"/>
        <v>0</v>
      </c>
      <c r="Z2574">
        <f t="shared" si="122"/>
        <v>0</v>
      </c>
    </row>
    <row r="2575" spans="1:26" ht="15.75" customHeight="1" x14ac:dyDescent="0.2">
      <c r="A2575" s="2" t="s">
        <v>36</v>
      </c>
      <c r="B2575" s="2" t="s">
        <v>24</v>
      </c>
      <c r="C2575" s="2" t="s">
        <v>26</v>
      </c>
      <c r="D2575" s="2" t="s">
        <v>26</v>
      </c>
      <c r="E2575" s="2">
        <v>182</v>
      </c>
      <c r="F2575" s="2">
        <v>153</v>
      </c>
      <c r="G2575" s="2">
        <v>400</v>
      </c>
      <c r="H2575" s="2">
        <v>823</v>
      </c>
      <c r="I2575" s="2">
        <v>2722</v>
      </c>
      <c r="J2575" s="2">
        <v>1.41</v>
      </c>
      <c r="K2575" s="2">
        <v>4.0199999999999996</v>
      </c>
      <c r="L2575" s="2">
        <v>7.4</v>
      </c>
      <c r="M2575" s="2">
        <v>15.06</v>
      </c>
      <c r="N2575" s="2">
        <v>0.57221832500000003</v>
      </c>
      <c r="O2575" s="2">
        <v>0.54690110400000003</v>
      </c>
      <c r="P2575" s="2">
        <v>3.4710574630000002</v>
      </c>
      <c r="Q2575" s="2">
        <v>3.453165383</v>
      </c>
      <c r="R2575" s="2">
        <v>0.22278774200000001</v>
      </c>
      <c r="S2575" s="2">
        <v>0.25278774199999998</v>
      </c>
      <c r="T2575" s="2">
        <v>3.4639003349999999</v>
      </c>
      <c r="U2575" s="2">
        <v>3.4439003349999999</v>
      </c>
      <c r="V2575" s="2">
        <v>0.669398771</v>
      </c>
      <c r="W2575" s="2">
        <v>0.62461462800000001</v>
      </c>
      <c r="X2575">
        <f t="shared" si="120"/>
        <v>1</v>
      </c>
      <c r="Y2575">
        <f t="shared" si="121"/>
        <v>0</v>
      </c>
      <c r="Z2575">
        <f t="shared" si="122"/>
        <v>0</v>
      </c>
    </row>
    <row r="2576" spans="1:26" ht="15.75" customHeight="1" x14ac:dyDescent="0.2">
      <c r="A2576" s="2" t="s">
        <v>36</v>
      </c>
      <c r="B2576" s="2" t="s">
        <v>24</v>
      </c>
      <c r="C2576" s="2" t="s">
        <v>25</v>
      </c>
      <c r="D2576" s="2" t="s">
        <v>25</v>
      </c>
      <c r="E2576" s="2">
        <v>150</v>
      </c>
      <c r="F2576" s="2">
        <v>143</v>
      </c>
      <c r="G2576" s="2">
        <v>600</v>
      </c>
      <c r="H2576" s="2">
        <v>1323</v>
      </c>
      <c r="I2576" s="2">
        <v>2455</v>
      </c>
      <c r="J2576" s="2">
        <v>1.29</v>
      </c>
      <c r="K2576" s="2">
        <v>5.75</v>
      </c>
      <c r="L2576" s="2">
        <v>10.27</v>
      </c>
      <c r="M2576" s="2">
        <v>14.38</v>
      </c>
      <c r="N2576" s="2">
        <v>0.58013896799999998</v>
      </c>
      <c r="O2576" s="2">
        <v>0.63009016600000001</v>
      </c>
      <c r="P2576" s="2">
        <v>1.6211569180000001</v>
      </c>
      <c r="Q2576" s="2">
        <v>1.5859668010000001</v>
      </c>
      <c r="R2576" s="2">
        <v>1.5109206930000001</v>
      </c>
      <c r="S2576" s="2">
        <v>1.4809206930000001</v>
      </c>
      <c r="T2576" s="2">
        <v>0.58759545099999999</v>
      </c>
      <c r="U2576" s="2">
        <v>0.56759545099999997</v>
      </c>
      <c r="V2576" s="2">
        <v>2.4031072060000001</v>
      </c>
      <c r="W2576" s="2">
        <v>2.3583230620000002</v>
      </c>
      <c r="X2576">
        <f t="shared" si="120"/>
        <v>1</v>
      </c>
      <c r="Y2576">
        <f t="shared" si="121"/>
        <v>0</v>
      </c>
      <c r="Z2576">
        <f t="shared" si="122"/>
        <v>0</v>
      </c>
    </row>
    <row r="2577" spans="1:26" ht="15.75" customHeight="1" x14ac:dyDescent="0.2">
      <c r="A2577" s="2" t="s">
        <v>36</v>
      </c>
      <c r="B2577" s="2" t="s">
        <v>24</v>
      </c>
      <c r="C2577" s="2" t="s">
        <v>25</v>
      </c>
      <c r="D2577" s="2" t="s">
        <v>25</v>
      </c>
      <c r="E2577" s="2">
        <v>167</v>
      </c>
      <c r="F2577" s="2">
        <v>142</v>
      </c>
      <c r="G2577" s="2">
        <v>686</v>
      </c>
      <c r="H2577" s="2">
        <v>1357</v>
      </c>
      <c r="I2577" s="2">
        <v>2771</v>
      </c>
      <c r="J2577" s="2">
        <v>1.28</v>
      </c>
      <c r="K2577" s="2">
        <v>6.42</v>
      </c>
      <c r="L2577" s="2">
        <v>10.44</v>
      </c>
      <c r="M2577" s="2">
        <v>15.17</v>
      </c>
      <c r="N2577" s="2">
        <v>0.40929444300000001</v>
      </c>
      <c r="O2577" s="2">
        <v>0.41779505</v>
      </c>
      <c r="P2577" s="2">
        <v>2.2184199260000002</v>
      </c>
      <c r="Q2577" s="2">
        <v>2.1852185500000001</v>
      </c>
      <c r="R2577" s="2">
        <v>2.178238629</v>
      </c>
      <c r="S2577" s="2">
        <v>2.1482386290000002</v>
      </c>
      <c r="T2577" s="2">
        <v>0.42031350499999998</v>
      </c>
      <c r="U2577" s="2">
        <v>0.40031350500000001</v>
      </c>
      <c r="V2577" s="2">
        <v>3.0704251419999999</v>
      </c>
      <c r="W2577" s="2">
        <v>3.0256409990000002</v>
      </c>
      <c r="X2577">
        <f t="shared" si="120"/>
        <v>1</v>
      </c>
      <c r="Y2577">
        <f t="shared" si="121"/>
        <v>0</v>
      </c>
      <c r="Z2577">
        <f t="shared" si="122"/>
        <v>0</v>
      </c>
    </row>
    <row r="2578" spans="1:26" ht="15.75" customHeight="1" x14ac:dyDescent="0.2">
      <c r="A2578" s="2" t="s">
        <v>36</v>
      </c>
      <c r="B2578" s="2" t="s">
        <v>24</v>
      </c>
      <c r="C2578" s="2" t="s">
        <v>25</v>
      </c>
      <c r="D2578" s="2" t="s">
        <v>25</v>
      </c>
      <c r="E2578" s="2">
        <v>101</v>
      </c>
      <c r="F2578" s="2">
        <v>154</v>
      </c>
      <c r="G2578" s="2">
        <v>638</v>
      </c>
      <c r="H2578" s="2">
        <v>1545</v>
      </c>
      <c r="I2578" s="2">
        <v>2689</v>
      </c>
      <c r="J2578" s="2">
        <v>1.42</v>
      </c>
      <c r="K2578" s="2">
        <v>6.06</v>
      </c>
      <c r="L2578" s="2">
        <v>11.29</v>
      </c>
      <c r="M2578" s="2">
        <v>14.98</v>
      </c>
      <c r="N2578" s="2">
        <v>0.57278266099999997</v>
      </c>
      <c r="O2578" s="2">
        <v>0.53745258799999995</v>
      </c>
      <c r="P2578" s="2">
        <v>1.866449587</v>
      </c>
      <c r="Q2578" s="2">
        <v>1.8420419480000001</v>
      </c>
      <c r="R2578" s="2">
        <v>1.8164207830000001</v>
      </c>
      <c r="S2578" s="2">
        <v>1.7864207830000001</v>
      </c>
      <c r="T2578" s="2">
        <v>0.42924305800000001</v>
      </c>
      <c r="U2578" s="2">
        <v>0.44924305799999997</v>
      </c>
      <c r="V2578" s="2">
        <v>2.7086072950000002</v>
      </c>
      <c r="W2578" s="2">
        <v>2.663823152</v>
      </c>
      <c r="X2578">
        <f t="shared" si="120"/>
        <v>1</v>
      </c>
      <c r="Y2578">
        <f t="shared" si="121"/>
        <v>0</v>
      </c>
      <c r="Z2578">
        <f t="shared" si="122"/>
        <v>0</v>
      </c>
    </row>
    <row r="2579" spans="1:26" ht="15.75" customHeight="1" x14ac:dyDescent="0.2">
      <c r="A2579" s="2" t="s">
        <v>36</v>
      </c>
      <c r="B2579" s="2" t="s">
        <v>24</v>
      </c>
      <c r="C2579" s="2" t="s">
        <v>28</v>
      </c>
      <c r="D2579" s="2" t="s">
        <v>29</v>
      </c>
      <c r="E2579" s="2">
        <v>162</v>
      </c>
      <c r="F2579" s="2">
        <v>152</v>
      </c>
      <c r="G2579" s="2">
        <v>482</v>
      </c>
      <c r="H2579" s="2">
        <v>1025</v>
      </c>
      <c r="I2579" s="2">
        <v>2370</v>
      </c>
      <c r="J2579" s="2">
        <v>1.4</v>
      </c>
      <c r="K2579" s="2">
        <v>4.76</v>
      </c>
      <c r="L2579" s="2">
        <v>8.68</v>
      </c>
      <c r="M2579" s="2">
        <v>14.15</v>
      </c>
      <c r="N2579" s="2">
        <v>1.1064168000000001</v>
      </c>
      <c r="O2579" s="2">
        <v>1.0897441960000001</v>
      </c>
      <c r="P2579" s="2">
        <v>2.2434317049999999</v>
      </c>
      <c r="Q2579" s="2">
        <v>2.217138882</v>
      </c>
      <c r="R2579" s="2">
        <v>0.521736282</v>
      </c>
      <c r="S2579" s="2">
        <v>0.49173628200000002</v>
      </c>
      <c r="T2579" s="2">
        <v>2.1819204999999999</v>
      </c>
      <c r="U2579" s="2">
        <v>2.1619204999999999</v>
      </c>
      <c r="V2579" s="2">
        <v>1.413922795</v>
      </c>
      <c r="W2579" s="2">
        <v>1.3691386510000001</v>
      </c>
      <c r="X2579">
        <f t="shared" si="120"/>
        <v>1</v>
      </c>
      <c r="Y2579">
        <f t="shared" si="121"/>
        <v>0</v>
      </c>
      <c r="Z2579">
        <f t="shared" si="122"/>
        <v>1</v>
      </c>
    </row>
    <row r="2580" spans="1:26" ht="15.75" customHeight="1" x14ac:dyDescent="0.2">
      <c r="A2580" s="2" t="s">
        <v>36</v>
      </c>
      <c r="B2580" s="2" t="s">
        <v>24</v>
      </c>
      <c r="C2580" s="2" t="s">
        <v>30</v>
      </c>
      <c r="D2580" s="2" t="s">
        <v>31</v>
      </c>
      <c r="E2580" s="2">
        <v>188</v>
      </c>
      <c r="F2580" s="2">
        <v>146</v>
      </c>
      <c r="G2580" s="2">
        <v>686</v>
      </c>
      <c r="H2580" s="2">
        <v>1139</v>
      </c>
      <c r="I2580" s="2">
        <v>2265</v>
      </c>
      <c r="J2580" s="2">
        <v>1.33</v>
      </c>
      <c r="K2580" s="2">
        <v>6.42</v>
      </c>
      <c r="L2580" s="2">
        <v>9.32</v>
      </c>
      <c r="M2580" s="2">
        <v>13.84</v>
      </c>
      <c r="N2580" s="2">
        <v>4.4621250290000001</v>
      </c>
      <c r="O2580" s="2">
        <v>4.3663435269999997</v>
      </c>
      <c r="P2580" s="2">
        <v>2.6686104730000002</v>
      </c>
      <c r="Q2580" s="2">
        <v>2.6325675890000002</v>
      </c>
      <c r="R2580" s="2">
        <v>2.1807407410000001</v>
      </c>
      <c r="S2580" s="2">
        <v>2.1507407409999999</v>
      </c>
      <c r="T2580" s="2">
        <v>1.5381325299999999</v>
      </c>
      <c r="U2580" s="2">
        <v>1.5181325299999999</v>
      </c>
      <c r="V2580" s="2">
        <v>3.0729272540000001</v>
      </c>
      <c r="W2580" s="2">
        <v>3.0281431099999998</v>
      </c>
      <c r="X2580">
        <f t="shared" si="120"/>
        <v>1</v>
      </c>
      <c r="Y2580">
        <f t="shared" si="121"/>
        <v>0</v>
      </c>
      <c r="Z2580">
        <f t="shared" si="122"/>
        <v>1</v>
      </c>
    </row>
    <row r="2581" spans="1:26" ht="15.75" customHeight="1" x14ac:dyDescent="0.2">
      <c r="A2581" s="2" t="s">
        <v>36</v>
      </c>
      <c r="B2581" s="2" t="s">
        <v>24</v>
      </c>
      <c r="C2581" s="2" t="s">
        <v>32</v>
      </c>
      <c r="D2581" s="2" t="s">
        <v>33</v>
      </c>
      <c r="E2581" s="2">
        <v>126</v>
      </c>
      <c r="F2581" s="2">
        <v>152</v>
      </c>
      <c r="G2581" s="2">
        <v>540</v>
      </c>
      <c r="H2581" s="2">
        <v>962</v>
      </c>
      <c r="I2581" s="2">
        <v>3118</v>
      </c>
      <c r="J2581" s="2">
        <v>1.4</v>
      </c>
      <c r="K2581" s="2">
        <v>5.26</v>
      </c>
      <c r="L2581" s="2">
        <v>8.3000000000000007</v>
      </c>
      <c r="M2581" s="2">
        <v>15.93</v>
      </c>
      <c r="N2581" s="2">
        <v>2.5692515980000001</v>
      </c>
      <c r="O2581" s="2">
        <v>2.6170225349999998</v>
      </c>
      <c r="P2581" s="2">
        <v>2.7573630699999998</v>
      </c>
      <c r="Q2581" s="2">
        <v>2.727753308</v>
      </c>
      <c r="R2581" s="2">
        <v>1.0209600000000001</v>
      </c>
      <c r="S2581" s="2">
        <v>0.99095999999999995</v>
      </c>
      <c r="T2581" s="2">
        <v>2.5613847380000001</v>
      </c>
      <c r="U2581" s="2">
        <v>2.5413847380000001</v>
      </c>
      <c r="V2581" s="2">
        <v>1.913146513</v>
      </c>
      <c r="W2581" s="2">
        <v>1.868362369</v>
      </c>
      <c r="X2581">
        <f t="shared" si="120"/>
        <v>1</v>
      </c>
      <c r="Y2581">
        <f t="shared" si="121"/>
        <v>0</v>
      </c>
      <c r="Z2581">
        <f t="shared" si="122"/>
        <v>1</v>
      </c>
    </row>
    <row r="2582" spans="1:26" ht="15.75" customHeight="1" x14ac:dyDescent="0.2">
      <c r="A2582" s="2" t="s">
        <v>36</v>
      </c>
      <c r="B2582" s="2" t="s">
        <v>24</v>
      </c>
      <c r="C2582" s="2" t="s">
        <v>26</v>
      </c>
      <c r="D2582" s="2" t="s">
        <v>26</v>
      </c>
      <c r="E2582" s="2">
        <v>189</v>
      </c>
      <c r="F2582" s="2">
        <v>162</v>
      </c>
      <c r="G2582" s="2">
        <v>384</v>
      </c>
      <c r="H2582" s="2">
        <v>966</v>
      </c>
      <c r="I2582" s="2">
        <v>2614</v>
      </c>
      <c r="J2582" s="2">
        <v>1.51</v>
      </c>
      <c r="K2582" s="2">
        <v>3.86</v>
      </c>
      <c r="L2582" s="2">
        <v>8.32</v>
      </c>
      <c r="M2582" s="2">
        <v>14.79</v>
      </c>
      <c r="N2582" s="2">
        <v>0.365763063</v>
      </c>
      <c r="O2582" s="2">
        <v>0.39352509200000002</v>
      </c>
      <c r="P2582" s="2">
        <v>2.566824869</v>
      </c>
      <c r="Q2582" s="2">
        <v>2.5516682629999998</v>
      </c>
      <c r="R2582" s="2">
        <v>0.37791808900000001</v>
      </c>
      <c r="S2582" s="2">
        <v>0.40791808899999998</v>
      </c>
      <c r="T2582" s="2">
        <v>2.5388516750000001</v>
      </c>
      <c r="U2582" s="2">
        <v>2.5188516750000001</v>
      </c>
      <c r="V2582" s="2">
        <v>0.51426842399999995</v>
      </c>
      <c r="W2582" s="2">
        <v>0.469484281</v>
      </c>
      <c r="X2582">
        <f t="shared" si="120"/>
        <v>1</v>
      </c>
      <c r="Y2582">
        <f t="shared" si="121"/>
        <v>0</v>
      </c>
      <c r="Z2582">
        <f t="shared" si="122"/>
        <v>0</v>
      </c>
    </row>
    <row r="2583" spans="1:26" ht="15.75" customHeight="1" x14ac:dyDescent="0.2">
      <c r="A2583" s="2" t="s">
        <v>36</v>
      </c>
      <c r="B2583" s="2" t="s">
        <v>24</v>
      </c>
      <c r="C2583" s="2" t="s">
        <v>32</v>
      </c>
      <c r="D2583" s="2" t="s">
        <v>33</v>
      </c>
      <c r="E2583" s="2">
        <v>110</v>
      </c>
      <c r="F2583" s="2">
        <v>145</v>
      </c>
      <c r="G2583" s="2">
        <v>674</v>
      </c>
      <c r="H2583" s="2">
        <v>1474</v>
      </c>
      <c r="I2583" s="2">
        <v>3008</v>
      </c>
      <c r="J2583" s="2">
        <v>1.31</v>
      </c>
      <c r="K2583" s="2">
        <v>6.33</v>
      </c>
      <c r="L2583" s="2">
        <v>10.98</v>
      </c>
      <c r="M2583" s="2">
        <v>15.7</v>
      </c>
      <c r="N2583" s="2">
        <v>0.33155982899999997</v>
      </c>
      <c r="O2583" s="2">
        <v>0.28161535700000001</v>
      </c>
      <c r="P2583" s="2">
        <v>2.0935019659999998</v>
      </c>
      <c r="Q2583" s="2">
        <v>2.0647733330000002</v>
      </c>
      <c r="R2583" s="2">
        <v>2.090265756</v>
      </c>
      <c r="S2583" s="2">
        <v>2.0602657560000002</v>
      </c>
      <c r="T2583" s="2">
        <v>0.11635957700000001</v>
      </c>
      <c r="U2583" s="2">
        <v>0.13635957700000001</v>
      </c>
      <c r="V2583" s="2">
        <v>2.9824522679999999</v>
      </c>
      <c r="W2583" s="2">
        <v>2.9376681250000001</v>
      </c>
      <c r="X2583">
        <f t="shared" si="120"/>
        <v>1</v>
      </c>
      <c r="Y2583">
        <f t="shared" si="121"/>
        <v>0</v>
      </c>
      <c r="Z2583">
        <f t="shared" si="122"/>
        <v>1</v>
      </c>
    </row>
    <row r="2584" spans="1:26" ht="15.75" customHeight="1" x14ac:dyDescent="0.2">
      <c r="A2584" s="2" t="s">
        <v>36</v>
      </c>
      <c r="B2584" s="2" t="s">
        <v>24</v>
      </c>
      <c r="C2584" s="2" t="s">
        <v>28</v>
      </c>
      <c r="D2584" s="2" t="s">
        <v>29</v>
      </c>
      <c r="E2584" s="2">
        <v>130</v>
      </c>
      <c r="F2584" s="2">
        <v>143</v>
      </c>
      <c r="G2584" s="2">
        <v>543</v>
      </c>
      <c r="H2584" s="2">
        <v>2216</v>
      </c>
      <c r="I2584" s="2">
        <v>2991</v>
      </c>
      <c r="J2584" s="2">
        <v>1.3</v>
      </c>
      <c r="K2584" s="2">
        <v>5.28</v>
      </c>
      <c r="L2584" s="2">
        <v>13.7</v>
      </c>
      <c r="M2584" s="2">
        <v>15.67</v>
      </c>
      <c r="N2584" s="2">
        <v>5.8955627499999999</v>
      </c>
      <c r="O2584" s="2">
        <v>5.9059310820000004</v>
      </c>
      <c r="P2584" s="2">
        <v>3.021608155</v>
      </c>
      <c r="Q2584" s="2">
        <v>3.0302219020000001</v>
      </c>
      <c r="R2584" s="2">
        <v>1.0433564200000001</v>
      </c>
      <c r="S2584" s="2">
        <v>1.01335642</v>
      </c>
      <c r="T2584" s="2">
        <v>2.8357579629999998</v>
      </c>
      <c r="U2584" s="2">
        <v>2.8557579629999998</v>
      </c>
      <c r="V2584" s="2">
        <v>1.935542933</v>
      </c>
      <c r="W2584" s="2">
        <v>1.8907587889999999</v>
      </c>
      <c r="X2584">
        <f t="shared" si="120"/>
        <v>1</v>
      </c>
      <c r="Y2584">
        <f t="shared" si="121"/>
        <v>0</v>
      </c>
      <c r="Z2584">
        <f t="shared" si="122"/>
        <v>1</v>
      </c>
    </row>
    <row r="2585" spans="1:26" ht="15.75" customHeight="1" x14ac:dyDescent="0.2">
      <c r="A2585" s="2" t="s">
        <v>36</v>
      </c>
      <c r="B2585" s="2" t="s">
        <v>24</v>
      </c>
      <c r="C2585" s="2" t="s">
        <v>32</v>
      </c>
      <c r="D2585" s="2" t="s">
        <v>33</v>
      </c>
      <c r="E2585" s="2">
        <v>111</v>
      </c>
      <c r="F2585" s="2">
        <v>143</v>
      </c>
      <c r="G2585" s="2">
        <v>621</v>
      </c>
      <c r="H2585" s="2">
        <v>1014</v>
      </c>
      <c r="I2585" s="2">
        <v>2707</v>
      </c>
      <c r="J2585" s="2">
        <v>1.29</v>
      </c>
      <c r="K2585" s="2">
        <v>5.92</v>
      </c>
      <c r="L2585" s="2">
        <v>8.61</v>
      </c>
      <c r="M2585" s="2">
        <v>15.02</v>
      </c>
      <c r="N2585" s="2">
        <v>2.120374779</v>
      </c>
      <c r="O2585" s="2">
        <v>2.1631761900000002</v>
      </c>
      <c r="P2585" s="2">
        <v>2.8091521529999999</v>
      </c>
      <c r="Q2585" s="2">
        <v>2.7752045710000002</v>
      </c>
      <c r="R2585" s="2">
        <v>1.6806044170000001</v>
      </c>
      <c r="S2585" s="2">
        <v>1.650604417</v>
      </c>
      <c r="T2585" s="2">
        <v>2.2509785899999999</v>
      </c>
      <c r="U2585" s="2">
        <v>2.2309785899999999</v>
      </c>
      <c r="V2585" s="2">
        <v>2.57279093</v>
      </c>
      <c r="W2585" s="2">
        <v>2.5280067860000002</v>
      </c>
      <c r="X2585">
        <f t="shared" si="120"/>
        <v>1</v>
      </c>
      <c r="Y2585">
        <f t="shared" si="121"/>
        <v>0</v>
      </c>
      <c r="Z2585">
        <f t="shared" si="122"/>
        <v>1</v>
      </c>
    </row>
    <row r="2586" spans="1:26" ht="15.75" customHeight="1" x14ac:dyDescent="0.2">
      <c r="A2586" s="2" t="s">
        <v>36</v>
      </c>
      <c r="B2586" s="2" t="s">
        <v>24</v>
      </c>
      <c r="C2586" s="2" t="s">
        <v>25</v>
      </c>
      <c r="D2586" s="2" t="s">
        <v>25</v>
      </c>
      <c r="E2586" s="2">
        <v>115</v>
      </c>
      <c r="F2586" s="2">
        <v>142</v>
      </c>
      <c r="G2586" s="2">
        <v>577</v>
      </c>
      <c r="H2586" s="2">
        <v>1422</v>
      </c>
      <c r="I2586" s="2">
        <v>2493</v>
      </c>
      <c r="J2586" s="2">
        <v>1.28</v>
      </c>
      <c r="K2586" s="2">
        <v>5.57</v>
      </c>
      <c r="L2586" s="2">
        <v>10.74</v>
      </c>
      <c r="M2586" s="2">
        <v>14.48</v>
      </c>
      <c r="N2586" s="2">
        <v>0.55295574300000006</v>
      </c>
      <c r="O2586" s="2">
        <v>0.58275589699999997</v>
      </c>
      <c r="P2586" s="2">
        <v>1.3326889930000001</v>
      </c>
      <c r="Q2586" s="2">
        <v>1.3011580679999999</v>
      </c>
      <c r="R2586" s="2">
        <v>1.3275049269999999</v>
      </c>
      <c r="S2586" s="2">
        <v>1.2975049270000001</v>
      </c>
      <c r="T2586" s="2">
        <v>0.117433471</v>
      </c>
      <c r="U2586" s="2">
        <v>9.7433470999999994E-2</v>
      </c>
      <c r="V2586" s="2">
        <v>2.2196914400000001</v>
      </c>
      <c r="W2586" s="2">
        <v>2.1749072960000002</v>
      </c>
      <c r="X2586">
        <f t="shared" si="120"/>
        <v>1</v>
      </c>
      <c r="Y2586">
        <f t="shared" si="121"/>
        <v>0</v>
      </c>
      <c r="Z2586">
        <f t="shared" si="122"/>
        <v>0</v>
      </c>
    </row>
    <row r="2587" spans="1:26" ht="15.75" customHeight="1" x14ac:dyDescent="0.2">
      <c r="A2587" s="2" t="s">
        <v>36</v>
      </c>
      <c r="B2587" s="2" t="s">
        <v>24</v>
      </c>
      <c r="C2587" s="2" t="s">
        <v>27</v>
      </c>
      <c r="D2587" s="2" t="s">
        <v>27</v>
      </c>
      <c r="E2587" s="2">
        <v>160</v>
      </c>
      <c r="F2587" s="2">
        <v>150</v>
      </c>
      <c r="G2587" s="2">
        <v>453</v>
      </c>
      <c r="H2587" s="2">
        <v>1800</v>
      </c>
      <c r="I2587" s="2">
        <v>2650</v>
      </c>
      <c r="J2587" s="2">
        <v>1.38</v>
      </c>
      <c r="K2587" s="2">
        <v>4.5</v>
      </c>
      <c r="L2587" s="2">
        <v>12.3</v>
      </c>
      <c r="M2587" s="2">
        <v>14.88</v>
      </c>
      <c r="N2587" s="2">
        <v>0.92633287900000005</v>
      </c>
      <c r="O2587" s="2">
        <v>0.84085461900000003</v>
      </c>
      <c r="P2587" s="2">
        <v>1.468342611</v>
      </c>
      <c r="Q2587" s="2">
        <v>1.4830123120000001</v>
      </c>
      <c r="R2587" s="2">
        <v>0.263124741</v>
      </c>
      <c r="S2587" s="2">
        <v>0.233124741</v>
      </c>
      <c r="T2587" s="2">
        <v>1.4445744679999999</v>
      </c>
      <c r="U2587" s="2">
        <v>1.4645744679999999</v>
      </c>
      <c r="V2587" s="2">
        <v>1.1553112539999999</v>
      </c>
      <c r="W2587" s="2">
        <v>1.11052711</v>
      </c>
      <c r="X2587">
        <f t="shared" si="120"/>
        <v>1</v>
      </c>
      <c r="Y2587">
        <f t="shared" si="121"/>
        <v>0</v>
      </c>
      <c r="Z2587">
        <f t="shared" si="122"/>
        <v>0</v>
      </c>
    </row>
    <row r="2588" spans="1:26" ht="15.75" customHeight="1" x14ac:dyDescent="0.2">
      <c r="A2588" s="2" t="s">
        <v>36</v>
      </c>
      <c r="B2588" s="2" t="s">
        <v>24</v>
      </c>
      <c r="C2588" s="2" t="s">
        <v>30</v>
      </c>
      <c r="D2588" s="2" t="s">
        <v>31</v>
      </c>
      <c r="E2588" s="2">
        <v>215</v>
      </c>
      <c r="F2588" s="2">
        <v>140</v>
      </c>
      <c r="G2588" s="2">
        <v>669</v>
      </c>
      <c r="H2588" s="2">
        <v>1221</v>
      </c>
      <c r="I2588" s="2">
        <v>2411</v>
      </c>
      <c r="J2588" s="2">
        <v>1.26</v>
      </c>
      <c r="K2588" s="2">
        <v>6.29</v>
      </c>
      <c r="L2588" s="2">
        <v>9.76</v>
      </c>
      <c r="M2588" s="2">
        <v>14.26</v>
      </c>
      <c r="N2588" s="2">
        <v>4.0321550469999998</v>
      </c>
      <c r="O2588" s="2">
        <v>3.9384541710000001</v>
      </c>
      <c r="P2588" s="2">
        <v>2.328969904</v>
      </c>
      <c r="Q2588" s="2">
        <v>2.2930817280000002</v>
      </c>
      <c r="R2588" s="2">
        <v>2.0523240779999998</v>
      </c>
      <c r="S2588" s="2">
        <v>2.022324078</v>
      </c>
      <c r="T2588" s="2">
        <v>1.1009390059999999</v>
      </c>
      <c r="U2588" s="2">
        <v>1.0809390059999999</v>
      </c>
      <c r="V2588" s="2">
        <v>2.9445105900000001</v>
      </c>
      <c r="W2588" s="2">
        <v>2.8997264469999999</v>
      </c>
      <c r="X2588">
        <f t="shared" si="120"/>
        <v>1</v>
      </c>
      <c r="Y2588">
        <f t="shared" si="121"/>
        <v>0</v>
      </c>
      <c r="Z2588">
        <f t="shared" si="122"/>
        <v>1</v>
      </c>
    </row>
    <row r="2589" spans="1:26" ht="15.75" customHeight="1" x14ac:dyDescent="0.2">
      <c r="A2589" s="2" t="s">
        <v>36</v>
      </c>
      <c r="B2589" s="2" t="s">
        <v>24</v>
      </c>
      <c r="C2589" s="2" t="s">
        <v>25</v>
      </c>
      <c r="D2589" s="2" t="s">
        <v>25</v>
      </c>
      <c r="E2589" s="2">
        <v>179</v>
      </c>
      <c r="F2589" s="2">
        <v>145</v>
      </c>
      <c r="G2589" s="2">
        <v>644</v>
      </c>
      <c r="H2589" s="2">
        <v>1430</v>
      </c>
      <c r="I2589" s="2">
        <v>2602</v>
      </c>
      <c r="J2589" s="2">
        <v>1.32</v>
      </c>
      <c r="K2589" s="2">
        <v>6.1</v>
      </c>
      <c r="L2589" s="2">
        <v>10.78</v>
      </c>
      <c r="M2589" s="2">
        <v>14.76</v>
      </c>
      <c r="N2589" s="2">
        <v>6.2382157000000001E-2</v>
      </c>
      <c r="O2589" s="2">
        <v>5.3170330000000002E-2</v>
      </c>
      <c r="P2589" s="2">
        <v>1.862182453</v>
      </c>
      <c r="Q2589" s="2">
        <v>1.831438506</v>
      </c>
      <c r="R2589" s="2">
        <v>1.8604301080000001</v>
      </c>
      <c r="S2589" s="2">
        <v>1.8304301080000001</v>
      </c>
      <c r="T2589" s="2">
        <v>8.0766961999999998E-2</v>
      </c>
      <c r="U2589" s="2">
        <v>6.0766962000000001E-2</v>
      </c>
      <c r="V2589" s="2">
        <v>2.75261662</v>
      </c>
      <c r="W2589" s="2">
        <v>2.7078324770000002</v>
      </c>
      <c r="X2589">
        <f t="shared" si="120"/>
        <v>1</v>
      </c>
      <c r="Y2589">
        <f t="shared" si="121"/>
        <v>0</v>
      </c>
      <c r="Z2589">
        <f t="shared" si="122"/>
        <v>0</v>
      </c>
    </row>
    <row r="2590" spans="1:26" ht="15.75" customHeight="1" x14ac:dyDescent="0.2">
      <c r="A2590" s="2" t="s">
        <v>36</v>
      </c>
      <c r="B2590" s="2" t="s">
        <v>24</v>
      </c>
      <c r="C2590" s="2" t="s">
        <v>30</v>
      </c>
      <c r="D2590" s="2" t="s">
        <v>31</v>
      </c>
      <c r="E2590" s="2">
        <v>117</v>
      </c>
      <c r="F2590" s="2">
        <v>138</v>
      </c>
      <c r="G2590" s="2">
        <v>538</v>
      </c>
      <c r="H2590" s="2">
        <v>1242</v>
      </c>
      <c r="I2590" s="2">
        <v>2834</v>
      </c>
      <c r="J2590" s="2">
        <v>1.24</v>
      </c>
      <c r="K2590" s="2">
        <v>5.24</v>
      </c>
      <c r="L2590" s="2">
        <v>9.8699999999999992</v>
      </c>
      <c r="M2590" s="2">
        <v>15.32</v>
      </c>
      <c r="N2590" s="2">
        <v>3.406418725</v>
      </c>
      <c r="O2590" s="2">
        <v>3.3017715189999999</v>
      </c>
      <c r="P2590" s="2">
        <v>1.409914262</v>
      </c>
      <c r="Q2590" s="2">
        <v>1.374545642</v>
      </c>
      <c r="R2590" s="2">
        <v>1.001323902</v>
      </c>
      <c r="S2590" s="2">
        <v>0.97132390199999996</v>
      </c>
      <c r="T2590" s="2">
        <v>0.99257678299999996</v>
      </c>
      <c r="U2590" s="2">
        <v>0.97257678299999994</v>
      </c>
      <c r="V2590" s="2">
        <v>1.8935104149999999</v>
      </c>
      <c r="W2590" s="2">
        <v>1.8487262719999999</v>
      </c>
      <c r="X2590">
        <f t="shared" si="120"/>
        <v>1</v>
      </c>
      <c r="Y2590">
        <f t="shared" si="121"/>
        <v>0</v>
      </c>
      <c r="Z2590">
        <f t="shared" si="122"/>
        <v>1</v>
      </c>
    </row>
    <row r="2591" spans="1:26" ht="15.75" customHeight="1" x14ac:dyDescent="0.2">
      <c r="A2591" s="2" t="s">
        <v>36</v>
      </c>
      <c r="B2591" s="2" t="s">
        <v>24</v>
      </c>
      <c r="C2591" s="2" t="s">
        <v>25</v>
      </c>
      <c r="D2591" s="2" t="s">
        <v>25</v>
      </c>
      <c r="E2591" s="2">
        <v>130</v>
      </c>
      <c r="F2591" s="2">
        <v>221</v>
      </c>
      <c r="G2591" s="2">
        <v>900</v>
      </c>
      <c r="H2591" s="2">
        <v>1629</v>
      </c>
      <c r="I2591" s="2">
        <v>2897</v>
      </c>
      <c r="J2591" s="2">
        <v>2.19</v>
      </c>
      <c r="K2591" s="2">
        <v>7.91</v>
      </c>
      <c r="L2591" s="2">
        <v>11.64</v>
      </c>
      <c r="M2591" s="2">
        <v>15.46</v>
      </c>
      <c r="N2591" s="2">
        <v>0.76677595399999998</v>
      </c>
      <c r="O2591" s="2">
        <v>0.59972491699999997</v>
      </c>
      <c r="P2591" s="2">
        <v>3.40957446</v>
      </c>
      <c r="Q2591" s="2">
        <v>3.3790919960000001</v>
      </c>
      <c r="R2591" s="2">
        <v>3.4088544459999999</v>
      </c>
      <c r="S2591" s="2">
        <v>3.3788544460000001</v>
      </c>
      <c r="T2591" s="2">
        <v>7.0066865000000006E-2</v>
      </c>
      <c r="U2591" s="2">
        <v>4.0066865E-2</v>
      </c>
      <c r="V2591" s="2">
        <v>4.8017122329999999</v>
      </c>
      <c r="W2591" s="2">
        <v>4.8532661299999997</v>
      </c>
      <c r="X2591">
        <f t="shared" si="120"/>
        <v>1</v>
      </c>
      <c r="Y2591">
        <f t="shared" si="121"/>
        <v>0</v>
      </c>
      <c r="Z2591">
        <f t="shared" si="122"/>
        <v>0</v>
      </c>
    </row>
    <row r="2592" spans="1:26" ht="15.75" customHeight="1" x14ac:dyDescent="0.2">
      <c r="A2592" s="2" t="s">
        <v>36</v>
      </c>
      <c r="B2592" s="2" t="s">
        <v>24</v>
      </c>
      <c r="C2592" s="2" t="s">
        <v>26</v>
      </c>
      <c r="D2592" s="2" t="s">
        <v>26</v>
      </c>
      <c r="E2592" s="2">
        <v>74</v>
      </c>
      <c r="F2592" s="2">
        <v>205</v>
      </c>
      <c r="G2592" s="2">
        <v>374</v>
      </c>
      <c r="H2592" s="2">
        <v>1262</v>
      </c>
      <c r="I2592" s="2">
        <v>2709</v>
      </c>
      <c r="J2592" s="2">
        <v>2</v>
      </c>
      <c r="K2592" s="2">
        <v>3.76</v>
      </c>
      <c r="L2592" s="2">
        <v>9.9700000000000006</v>
      </c>
      <c r="M2592" s="2">
        <v>15.03</v>
      </c>
      <c r="N2592" s="2">
        <v>1.537368407</v>
      </c>
      <c r="O2592" s="2">
        <v>1.482484012</v>
      </c>
      <c r="P2592" s="2">
        <v>1.762283005</v>
      </c>
      <c r="Q2592" s="2">
        <v>1.8021414120000001</v>
      </c>
      <c r="R2592" s="2">
        <v>0.73718326000000001</v>
      </c>
      <c r="S2592" s="2">
        <v>0.76718326000000003</v>
      </c>
      <c r="T2592" s="2">
        <v>1.60068805</v>
      </c>
      <c r="U2592" s="2">
        <v>1.6306880500000001</v>
      </c>
      <c r="V2592" s="2">
        <v>0.65567452800000003</v>
      </c>
      <c r="W2592" s="2">
        <v>0.70722842399999997</v>
      </c>
      <c r="X2592">
        <f t="shared" si="120"/>
        <v>1</v>
      </c>
      <c r="Y2592">
        <f t="shared" si="121"/>
        <v>0</v>
      </c>
      <c r="Z2592">
        <f t="shared" si="122"/>
        <v>0</v>
      </c>
    </row>
    <row r="2593" spans="1:26" ht="15.75" customHeight="1" x14ac:dyDescent="0.2">
      <c r="A2593" s="2" t="s">
        <v>36</v>
      </c>
      <c r="B2593" s="2" t="s">
        <v>24</v>
      </c>
      <c r="C2593" s="2" t="s">
        <v>27</v>
      </c>
      <c r="D2593" s="2" t="s">
        <v>27</v>
      </c>
      <c r="E2593" s="2">
        <v>166</v>
      </c>
      <c r="F2593" s="2">
        <v>243</v>
      </c>
      <c r="G2593" s="2">
        <v>363</v>
      </c>
      <c r="H2593" s="2">
        <v>2380</v>
      </c>
      <c r="I2593" s="2">
        <v>3085</v>
      </c>
      <c r="J2593" s="2">
        <v>2.4300000000000002</v>
      </c>
      <c r="K2593" s="2">
        <v>3.66</v>
      </c>
      <c r="L2593" s="2">
        <v>14.17</v>
      </c>
      <c r="M2593" s="2">
        <v>15.86</v>
      </c>
      <c r="N2593" s="2">
        <v>0.334973937</v>
      </c>
      <c r="O2593" s="2">
        <v>0.39422263099999999</v>
      </c>
      <c r="P2593" s="2">
        <v>2.735650675</v>
      </c>
      <c r="Q2593" s="2">
        <v>2.7166299930000002</v>
      </c>
      <c r="R2593" s="2">
        <v>0.843823192</v>
      </c>
      <c r="S2593" s="2">
        <v>0.87382319200000003</v>
      </c>
      <c r="T2593" s="2">
        <v>2.602258065</v>
      </c>
      <c r="U2593" s="2">
        <v>2.5722580650000002</v>
      </c>
      <c r="V2593" s="2">
        <v>0.54903459499999996</v>
      </c>
      <c r="W2593" s="2">
        <v>0.60058849199999997</v>
      </c>
      <c r="X2593">
        <f t="shared" si="120"/>
        <v>1</v>
      </c>
      <c r="Y2593">
        <f t="shared" si="121"/>
        <v>0</v>
      </c>
      <c r="Z2593">
        <f t="shared" si="122"/>
        <v>0</v>
      </c>
    </row>
    <row r="2594" spans="1:26" ht="15.75" customHeight="1" x14ac:dyDescent="0.2">
      <c r="A2594" s="2" t="s">
        <v>36</v>
      </c>
      <c r="B2594" s="2" t="s">
        <v>24</v>
      </c>
      <c r="C2594" s="2" t="s">
        <v>28</v>
      </c>
      <c r="D2594" s="2" t="s">
        <v>29</v>
      </c>
      <c r="E2594" s="2">
        <v>143</v>
      </c>
      <c r="F2594" s="2">
        <v>228</v>
      </c>
      <c r="G2594" s="2">
        <v>371</v>
      </c>
      <c r="H2594" s="2">
        <v>990</v>
      </c>
      <c r="I2594" s="2">
        <v>2680</v>
      </c>
      <c r="J2594" s="2">
        <v>2.2599999999999998</v>
      </c>
      <c r="K2594" s="2">
        <v>3.73</v>
      </c>
      <c r="L2594" s="2">
        <v>8.4700000000000006</v>
      </c>
      <c r="M2594" s="2">
        <v>14.96</v>
      </c>
      <c r="N2594" s="2">
        <v>0.18845347500000001</v>
      </c>
      <c r="O2594" s="2">
        <v>0.22824562700000001</v>
      </c>
      <c r="P2594" s="2">
        <v>3.1939878890000002</v>
      </c>
      <c r="Q2594" s="2">
        <v>3.2303827410000001</v>
      </c>
      <c r="R2594" s="2">
        <v>0.76616704800000002</v>
      </c>
      <c r="S2594" s="2">
        <v>0.79616704800000004</v>
      </c>
      <c r="T2594" s="2">
        <v>3.1007332500000002</v>
      </c>
      <c r="U2594" s="2">
        <v>3.13073325</v>
      </c>
      <c r="V2594" s="2">
        <v>0.62669073900000005</v>
      </c>
      <c r="W2594" s="2">
        <v>0.67824463599999996</v>
      </c>
      <c r="X2594">
        <f t="shared" si="120"/>
        <v>1</v>
      </c>
      <c r="Y2594">
        <f t="shared" si="121"/>
        <v>0</v>
      </c>
      <c r="Z2594">
        <f t="shared" si="122"/>
        <v>1</v>
      </c>
    </row>
    <row r="2595" spans="1:26" ht="15.75" customHeight="1" x14ac:dyDescent="0.2">
      <c r="A2595" s="2" t="s">
        <v>36</v>
      </c>
      <c r="B2595" s="2" t="s">
        <v>24</v>
      </c>
      <c r="C2595" s="2" t="s">
        <v>30</v>
      </c>
      <c r="D2595" s="2" t="s">
        <v>31</v>
      </c>
      <c r="E2595" s="2">
        <v>174</v>
      </c>
      <c r="F2595" s="2">
        <v>230</v>
      </c>
      <c r="G2595" s="2">
        <v>465</v>
      </c>
      <c r="H2595" s="2">
        <v>1366</v>
      </c>
      <c r="I2595" s="2">
        <v>2449</v>
      </c>
      <c r="J2595" s="2">
        <v>2.29</v>
      </c>
      <c r="K2595" s="2">
        <v>4.6100000000000003</v>
      </c>
      <c r="L2595" s="2">
        <v>10.48</v>
      </c>
      <c r="M2595" s="2">
        <v>14.36</v>
      </c>
      <c r="N2595" s="2">
        <v>3.768948033</v>
      </c>
      <c r="O2595" s="2">
        <v>3.7496418220000001</v>
      </c>
      <c r="P2595" s="2">
        <v>1.0930935289999999</v>
      </c>
      <c r="Q2595" s="2">
        <v>1.120378305</v>
      </c>
      <c r="R2595" s="2">
        <v>0.110886598</v>
      </c>
      <c r="S2595" s="2">
        <v>8.0886598000000004E-2</v>
      </c>
      <c r="T2595" s="2">
        <v>1.0874546549999999</v>
      </c>
      <c r="U2595" s="2">
        <v>1.117454655</v>
      </c>
      <c r="V2595" s="2">
        <v>1.5037443850000001</v>
      </c>
      <c r="W2595" s="2">
        <v>1.5552982820000001</v>
      </c>
      <c r="X2595">
        <f t="shared" si="120"/>
        <v>1</v>
      </c>
      <c r="Y2595">
        <f t="shared" si="121"/>
        <v>0</v>
      </c>
      <c r="Z2595">
        <f t="shared" si="122"/>
        <v>1</v>
      </c>
    </row>
    <row r="2596" spans="1:26" ht="15.75" customHeight="1" x14ac:dyDescent="0.2">
      <c r="A2596" s="2" t="s">
        <v>36</v>
      </c>
      <c r="B2596" s="2" t="s">
        <v>24</v>
      </c>
      <c r="C2596" s="2" t="s">
        <v>26</v>
      </c>
      <c r="D2596" s="2" t="s">
        <v>26</v>
      </c>
      <c r="E2596" s="2">
        <v>141</v>
      </c>
      <c r="F2596" s="2">
        <v>231</v>
      </c>
      <c r="G2596" s="2">
        <v>383</v>
      </c>
      <c r="H2596" s="2">
        <v>760</v>
      </c>
      <c r="I2596" s="2">
        <v>2718</v>
      </c>
      <c r="J2596" s="2">
        <v>2.2999999999999998</v>
      </c>
      <c r="K2596" s="2">
        <v>3.86</v>
      </c>
      <c r="L2596" s="2">
        <v>6.96</v>
      </c>
      <c r="M2596" s="2">
        <v>15.05</v>
      </c>
      <c r="N2596" s="2">
        <v>1.4803675089999999</v>
      </c>
      <c r="O2596" s="2">
        <v>1.5425006000000001</v>
      </c>
      <c r="P2596" s="2">
        <v>4.6537863140000004</v>
      </c>
      <c r="Q2596" s="2">
        <v>4.6877204529999998</v>
      </c>
      <c r="R2596" s="2">
        <v>0.64429587499999996</v>
      </c>
      <c r="S2596" s="2">
        <v>0.67429587499999999</v>
      </c>
      <c r="T2596" s="2">
        <v>4.608970588</v>
      </c>
      <c r="U2596" s="2">
        <v>4.6389705880000003</v>
      </c>
      <c r="V2596" s="2">
        <v>0.748561912</v>
      </c>
      <c r="W2596" s="2">
        <v>0.80011580900000001</v>
      </c>
      <c r="X2596">
        <f t="shared" si="120"/>
        <v>1</v>
      </c>
      <c r="Y2596">
        <f t="shared" si="121"/>
        <v>0</v>
      </c>
      <c r="Z2596">
        <f t="shared" si="122"/>
        <v>0</v>
      </c>
    </row>
    <row r="2597" spans="1:26" ht="15.75" customHeight="1" x14ac:dyDescent="0.2">
      <c r="A2597" s="2" t="s">
        <v>36</v>
      </c>
      <c r="B2597" s="2" t="s">
        <v>24</v>
      </c>
      <c r="C2597" s="2" t="s">
        <v>28</v>
      </c>
      <c r="D2597" s="2" t="s">
        <v>29</v>
      </c>
      <c r="E2597" s="2">
        <v>100</v>
      </c>
      <c r="F2597" s="2">
        <v>241</v>
      </c>
      <c r="G2597" s="2">
        <v>447</v>
      </c>
      <c r="H2597" s="2">
        <v>1817</v>
      </c>
      <c r="I2597" s="2">
        <v>3066</v>
      </c>
      <c r="J2597" s="2">
        <v>2.41</v>
      </c>
      <c r="K2597" s="2">
        <v>4.45</v>
      </c>
      <c r="L2597" s="2">
        <v>12.37</v>
      </c>
      <c r="M2597" s="2">
        <v>15.82</v>
      </c>
      <c r="N2597" s="2">
        <v>3.9633260429999999</v>
      </c>
      <c r="O2597" s="2">
        <v>3.8986288619999998</v>
      </c>
      <c r="P2597" s="2">
        <v>0.79892828100000002</v>
      </c>
      <c r="Q2597" s="2">
        <v>0.77144407699999995</v>
      </c>
      <c r="R2597" s="2">
        <v>4.8136249999999998E-2</v>
      </c>
      <c r="S2597" s="2">
        <v>7.8136250000000004E-2</v>
      </c>
      <c r="T2597" s="2">
        <v>0.79747683300000005</v>
      </c>
      <c r="U2597" s="2">
        <v>0.76747683300000002</v>
      </c>
      <c r="V2597" s="2">
        <v>1.3447215370000001</v>
      </c>
      <c r="W2597" s="2">
        <v>1.396275433</v>
      </c>
      <c r="X2597">
        <f t="shared" si="120"/>
        <v>1</v>
      </c>
      <c r="Y2597">
        <f t="shared" si="121"/>
        <v>0</v>
      </c>
      <c r="Z2597">
        <f t="shared" si="122"/>
        <v>1</v>
      </c>
    </row>
    <row r="2598" spans="1:26" ht="15.75" customHeight="1" x14ac:dyDescent="0.2">
      <c r="A2598" s="2" t="s">
        <v>36</v>
      </c>
      <c r="B2598" s="2" t="s">
        <v>24</v>
      </c>
      <c r="C2598" s="2" t="s">
        <v>32</v>
      </c>
      <c r="D2598" s="2" t="s">
        <v>33</v>
      </c>
      <c r="E2598" s="2">
        <v>154</v>
      </c>
      <c r="F2598" s="2">
        <v>228</v>
      </c>
      <c r="G2598" s="2">
        <v>514</v>
      </c>
      <c r="H2598" s="2">
        <v>1272</v>
      </c>
      <c r="I2598" s="2">
        <v>2893</v>
      </c>
      <c r="J2598" s="2">
        <v>2.2599999999999998</v>
      </c>
      <c r="K2598" s="2">
        <v>5.04</v>
      </c>
      <c r="L2598" s="2">
        <v>10.02</v>
      </c>
      <c r="M2598" s="2">
        <v>15.45</v>
      </c>
      <c r="N2598" s="2">
        <v>2.726514758</v>
      </c>
      <c r="O2598" s="2">
        <v>2.9248002020000001</v>
      </c>
      <c r="P2598" s="2">
        <v>1.6384305990000001</v>
      </c>
      <c r="Q2598" s="2">
        <v>1.6573058629999999</v>
      </c>
      <c r="R2598" s="2">
        <v>0.54006467300000005</v>
      </c>
      <c r="S2598" s="2">
        <v>0.51006467300000002</v>
      </c>
      <c r="T2598" s="2">
        <v>1.5468629469999999</v>
      </c>
      <c r="U2598" s="2">
        <v>1.576862947</v>
      </c>
      <c r="V2598" s="2">
        <v>1.9329224599999999</v>
      </c>
      <c r="W2598" s="2">
        <v>1.9844763560000001</v>
      </c>
      <c r="X2598">
        <f t="shared" si="120"/>
        <v>1</v>
      </c>
      <c r="Y2598">
        <f t="shared" si="121"/>
        <v>0</v>
      </c>
      <c r="Z2598">
        <f t="shared" si="122"/>
        <v>1</v>
      </c>
    </row>
    <row r="2599" spans="1:26" ht="15.75" customHeight="1" x14ac:dyDescent="0.2">
      <c r="A2599" s="2" t="s">
        <v>36</v>
      </c>
      <c r="B2599" s="2" t="s">
        <v>24</v>
      </c>
      <c r="C2599" s="2" t="s">
        <v>32</v>
      </c>
      <c r="D2599" s="2" t="s">
        <v>33</v>
      </c>
      <c r="E2599" s="2">
        <v>187</v>
      </c>
      <c r="F2599" s="2">
        <v>231</v>
      </c>
      <c r="G2599" s="2">
        <v>362</v>
      </c>
      <c r="H2599" s="2">
        <v>832</v>
      </c>
      <c r="I2599" s="2">
        <v>2705</v>
      </c>
      <c r="J2599" s="2">
        <v>2.29</v>
      </c>
      <c r="K2599" s="2">
        <v>3.65</v>
      </c>
      <c r="L2599" s="2">
        <v>7.46</v>
      </c>
      <c r="M2599" s="2">
        <v>15.01</v>
      </c>
      <c r="N2599" s="2">
        <v>5.5377297460000001</v>
      </c>
      <c r="O2599" s="2">
        <v>5.7207054480000004</v>
      </c>
      <c r="P2599" s="2">
        <v>4.1962568439999997</v>
      </c>
      <c r="Q2599" s="2">
        <v>4.2317959759999999</v>
      </c>
      <c r="R2599" s="2">
        <v>0.85356783899999999</v>
      </c>
      <c r="S2599" s="2">
        <v>0.88356783900000002</v>
      </c>
      <c r="T2599" s="2">
        <v>4.108526919</v>
      </c>
      <c r="U2599" s="2">
        <v>4.1385269190000002</v>
      </c>
      <c r="V2599" s="2">
        <v>0.53928994799999996</v>
      </c>
      <c r="W2599" s="2">
        <v>0.59084384499999998</v>
      </c>
      <c r="X2599">
        <f t="shared" si="120"/>
        <v>1</v>
      </c>
      <c r="Y2599">
        <f t="shared" si="121"/>
        <v>0</v>
      </c>
      <c r="Z2599">
        <f t="shared" si="122"/>
        <v>1</v>
      </c>
    </row>
    <row r="2600" spans="1:26" ht="15.75" customHeight="1" x14ac:dyDescent="0.2">
      <c r="A2600" s="2" t="s">
        <v>36</v>
      </c>
      <c r="B2600" s="2" t="s">
        <v>24</v>
      </c>
      <c r="C2600" s="2" t="s">
        <v>25</v>
      </c>
      <c r="D2600" s="2" t="s">
        <v>25</v>
      </c>
      <c r="E2600" s="2">
        <v>197</v>
      </c>
      <c r="F2600" s="2">
        <v>204</v>
      </c>
      <c r="G2600" s="2">
        <v>849</v>
      </c>
      <c r="H2600" s="2">
        <v>1656</v>
      </c>
      <c r="I2600" s="2">
        <v>2864</v>
      </c>
      <c r="J2600" s="2">
        <v>2</v>
      </c>
      <c r="K2600" s="2">
        <v>7.58</v>
      </c>
      <c r="L2600" s="2">
        <v>11.75</v>
      </c>
      <c r="M2600" s="2">
        <v>15.39</v>
      </c>
      <c r="N2600" s="2">
        <v>0.42534930300000001</v>
      </c>
      <c r="O2600" s="2">
        <v>0.24877741</v>
      </c>
      <c r="P2600" s="2">
        <v>3.0805753079999998</v>
      </c>
      <c r="Q2600" s="2">
        <v>3.0490098510000001</v>
      </c>
      <c r="R2600" s="2">
        <v>3.0753488369999999</v>
      </c>
      <c r="S2600" s="2">
        <v>3.0453488370000001</v>
      </c>
      <c r="T2600" s="2">
        <v>0.17937044899999999</v>
      </c>
      <c r="U2600" s="2">
        <v>0.14937044899999999</v>
      </c>
      <c r="V2600" s="2">
        <v>4.4682066239999996</v>
      </c>
      <c r="W2600" s="2">
        <v>4.5197605210000003</v>
      </c>
      <c r="X2600">
        <f t="shared" si="120"/>
        <v>1</v>
      </c>
      <c r="Y2600">
        <f t="shared" si="121"/>
        <v>0</v>
      </c>
      <c r="Z2600">
        <f t="shared" si="122"/>
        <v>0</v>
      </c>
    </row>
    <row r="2601" spans="1:26" ht="15.75" customHeight="1" x14ac:dyDescent="0.2">
      <c r="A2601" s="2" t="s">
        <v>36</v>
      </c>
      <c r="B2601" s="2" t="s">
        <v>24</v>
      </c>
      <c r="C2601" s="2" t="s">
        <v>32</v>
      </c>
      <c r="D2601" s="2" t="s">
        <v>33</v>
      </c>
      <c r="E2601" s="2">
        <v>186</v>
      </c>
      <c r="F2601" s="2">
        <v>224</v>
      </c>
      <c r="G2601" s="2">
        <v>418</v>
      </c>
      <c r="H2601" s="2">
        <v>913</v>
      </c>
      <c r="I2601" s="2">
        <v>2538</v>
      </c>
      <c r="J2601" s="2">
        <v>2.2200000000000002</v>
      </c>
      <c r="K2601" s="2">
        <v>4.18</v>
      </c>
      <c r="L2601" s="2">
        <v>7.99</v>
      </c>
      <c r="M2601" s="2">
        <v>14.6</v>
      </c>
      <c r="N2601" s="2">
        <v>4.7919244980000002</v>
      </c>
      <c r="O2601" s="2">
        <v>4.9734747209999997</v>
      </c>
      <c r="P2601" s="2">
        <v>3.594466014</v>
      </c>
      <c r="Q2601" s="2">
        <v>3.6271234259999998</v>
      </c>
      <c r="R2601" s="2">
        <v>0.320490677</v>
      </c>
      <c r="S2601" s="2">
        <v>0.35049067699999997</v>
      </c>
      <c r="T2601" s="2">
        <v>3.5801496689999999</v>
      </c>
      <c r="U2601" s="2">
        <v>3.6101496690000001</v>
      </c>
      <c r="V2601" s="2">
        <v>1.0723671100000001</v>
      </c>
      <c r="W2601" s="2">
        <v>1.1239210070000001</v>
      </c>
      <c r="X2601">
        <f t="shared" si="120"/>
        <v>1</v>
      </c>
      <c r="Y2601">
        <f t="shared" si="121"/>
        <v>0</v>
      </c>
      <c r="Z2601">
        <f t="shared" si="122"/>
        <v>1</v>
      </c>
    </row>
    <row r="2602" spans="1:26" ht="15.75" customHeight="1" x14ac:dyDescent="0.2">
      <c r="A2602" s="2" t="s">
        <v>36</v>
      </c>
      <c r="B2602" s="2" t="s">
        <v>24</v>
      </c>
      <c r="C2602" s="2" t="s">
        <v>32</v>
      </c>
      <c r="D2602" s="2" t="s">
        <v>33</v>
      </c>
      <c r="E2602" s="2">
        <v>144</v>
      </c>
      <c r="F2602" s="2">
        <v>210</v>
      </c>
      <c r="G2602" s="2">
        <v>663</v>
      </c>
      <c r="H2602" s="2">
        <v>1820</v>
      </c>
      <c r="I2602" s="2">
        <v>3220</v>
      </c>
      <c r="J2602" s="2">
        <v>2.06</v>
      </c>
      <c r="K2602" s="2">
        <v>6.25</v>
      </c>
      <c r="L2602" s="2">
        <v>12.38</v>
      </c>
      <c r="M2602" s="2">
        <v>16.14</v>
      </c>
      <c r="N2602" s="2">
        <v>1.097738149</v>
      </c>
      <c r="O2602" s="2">
        <v>1.2204448969999999</v>
      </c>
      <c r="P2602" s="2">
        <v>1.9264584819999999</v>
      </c>
      <c r="Q2602" s="2">
        <v>1.886705015</v>
      </c>
      <c r="R2602" s="2">
        <v>1.749148666</v>
      </c>
      <c r="S2602" s="2">
        <v>1.7191486659999999</v>
      </c>
      <c r="T2602" s="2">
        <v>0.80729253000000001</v>
      </c>
      <c r="U2602" s="2">
        <v>0.77729252999999998</v>
      </c>
      <c r="V2602" s="2">
        <v>3.142006453</v>
      </c>
      <c r="W2602" s="2">
        <v>3.1935603499999998</v>
      </c>
      <c r="X2602">
        <f t="shared" si="120"/>
        <v>1</v>
      </c>
      <c r="Y2602">
        <f t="shared" si="121"/>
        <v>0</v>
      </c>
      <c r="Z2602">
        <f t="shared" si="122"/>
        <v>1</v>
      </c>
    </row>
    <row r="2603" spans="1:26" ht="15.75" customHeight="1" x14ac:dyDescent="0.2">
      <c r="A2603" s="2" t="s">
        <v>36</v>
      </c>
      <c r="B2603" s="2" t="s">
        <v>24</v>
      </c>
      <c r="C2603" s="2" t="s">
        <v>25</v>
      </c>
      <c r="D2603" s="2" t="s">
        <v>25</v>
      </c>
      <c r="E2603" s="2">
        <v>90</v>
      </c>
      <c r="F2603" s="2">
        <v>205</v>
      </c>
      <c r="G2603" s="2">
        <v>750</v>
      </c>
      <c r="H2603" s="2">
        <v>1695</v>
      </c>
      <c r="I2603" s="2">
        <v>2883</v>
      </c>
      <c r="J2603" s="2">
        <v>2.0099999999999998</v>
      </c>
      <c r="K2603" s="2">
        <v>6.89</v>
      </c>
      <c r="L2603" s="2">
        <v>11.9</v>
      </c>
      <c r="M2603" s="2">
        <v>15.43</v>
      </c>
      <c r="N2603" s="2">
        <v>0.30400448499999999</v>
      </c>
      <c r="O2603" s="2">
        <v>0.45850696600000002</v>
      </c>
      <c r="P2603" s="2">
        <v>2.4104813890000001</v>
      </c>
      <c r="Q2603" s="2">
        <v>2.3767611670000002</v>
      </c>
      <c r="R2603" s="2">
        <v>2.3873563779999998</v>
      </c>
      <c r="S2603" s="2">
        <v>2.357356378</v>
      </c>
      <c r="T2603" s="2">
        <v>0.33309165499999999</v>
      </c>
      <c r="U2603" s="2">
        <v>0.30309165500000002</v>
      </c>
      <c r="V2603" s="2">
        <v>3.7802141659999999</v>
      </c>
      <c r="W2603" s="2">
        <v>3.8317680620000001</v>
      </c>
      <c r="X2603">
        <f t="shared" si="120"/>
        <v>1</v>
      </c>
      <c r="Y2603">
        <f t="shared" si="121"/>
        <v>0</v>
      </c>
      <c r="Z2603">
        <f t="shared" si="122"/>
        <v>0</v>
      </c>
    </row>
    <row r="2604" spans="1:26" ht="15.75" customHeight="1" x14ac:dyDescent="0.2">
      <c r="A2604" s="2" t="s">
        <v>36</v>
      </c>
      <c r="B2604" s="2" t="s">
        <v>24</v>
      </c>
      <c r="C2604" s="2" t="s">
        <v>25</v>
      </c>
      <c r="D2604" s="2" t="s">
        <v>25</v>
      </c>
      <c r="E2604" s="2">
        <v>162</v>
      </c>
      <c r="F2604" s="2">
        <v>214</v>
      </c>
      <c r="G2604" s="2">
        <v>791</v>
      </c>
      <c r="H2604" s="2">
        <v>1449</v>
      </c>
      <c r="I2604" s="2">
        <v>2983</v>
      </c>
      <c r="J2604" s="2">
        <v>2.11</v>
      </c>
      <c r="K2604" s="2">
        <v>7.18</v>
      </c>
      <c r="L2604" s="2">
        <v>10.87</v>
      </c>
      <c r="M2604" s="2">
        <v>15.65</v>
      </c>
      <c r="N2604" s="2">
        <v>0.88491834199999997</v>
      </c>
      <c r="O2604" s="2">
        <v>0.97738648299999997</v>
      </c>
      <c r="P2604" s="2">
        <v>2.7720259930000002</v>
      </c>
      <c r="Q2604" s="2">
        <v>2.7508776799999999</v>
      </c>
      <c r="R2604" s="2">
        <v>2.6810419190000001</v>
      </c>
      <c r="S2604" s="2">
        <v>2.6510419189999999</v>
      </c>
      <c r="T2604" s="2">
        <v>0.70437371699999995</v>
      </c>
      <c r="U2604" s="2">
        <v>0.73437371699999998</v>
      </c>
      <c r="V2604" s="2">
        <v>4.0738997059999997</v>
      </c>
      <c r="W2604" s="2">
        <v>4.1254536030000004</v>
      </c>
      <c r="X2604">
        <f t="shared" si="120"/>
        <v>1</v>
      </c>
      <c r="Y2604">
        <f t="shared" si="121"/>
        <v>0</v>
      </c>
      <c r="Z2604">
        <f t="shared" si="122"/>
        <v>0</v>
      </c>
    </row>
    <row r="2605" spans="1:26" ht="15.75" customHeight="1" x14ac:dyDescent="0.2">
      <c r="A2605" s="2" t="s">
        <v>36</v>
      </c>
      <c r="B2605" s="2" t="s">
        <v>24</v>
      </c>
      <c r="C2605" s="2" t="s">
        <v>27</v>
      </c>
      <c r="D2605" s="2" t="s">
        <v>27</v>
      </c>
      <c r="E2605" s="2">
        <v>140</v>
      </c>
      <c r="F2605" s="2">
        <v>234</v>
      </c>
      <c r="G2605" s="2">
        <v>425</v>
      </c>
      <c r="H2605" s="2">
        <v>2321</v>
      </c>
      <c r="I2605" s="2">
        <v>2974</v>
      </c>
      <c r="J2605" s="2">
        <v>2.33</v>
      </c>
      <c r="K2605" s="2">
        <v>4.24</v>
      </c>
      <c r="L2605" s="2">
        <v>14</v>
      </c>
      <c r="M2605" s="2">
        <v>15.63</v>
      </c>
      <c r="N2605" s="2">
        <v>0.320868339</v>
      </c>
      <c r="O2605" s="2">
        <v>0.26873625099999998</v>
      </c>
      <c r="P2605" s="2">
        <v>2.4478185610000001</v>
      </c>
      <c r="Q2605" s="2">
        <v>2.4213398279999998</v>
      </c>
      <c r="R2605" s="2">
        <v>0.255616438</v>
      </c>
      <c r="S2605" s="2">
        <v>0.28561643799999997</v>
      </c>
      <c r="T2605" s="2">
        <v>2.4344354460000002</v>
      </c>
      <c r="U2605" s="2">
        <v>2.4044354459999999</v>
      </c>
      <c r="V2605" s="2">
        <v>1.137241349</v>
      </c>
      <c r="W2605" s="2">
        <v>1.1887952449999999</v>
      </c>
      <c r="X2605">
        <f t="shared" si="120"/>
        <v>1</v>
      </c>
      <c r="Y2605">
        <f t="shared" si="121"/>
        <v>0</v>
      </c>
      <c r="Z2605">
        <f t="shared" si="122"/>
        <v>0</v>
      </c>
    </row>
    <row r="2606" spans="1:26" ht="15.75" customHeight="1" x14ac:dyDescent="0.2">
      <c r="A2606" s="2" t="s">
        <v>36</v>
      </c>
      <c r="B2606" s="2" t="s">
        <v>24</v>
      </c>
      <c r="C2606" s="2" t="s">
        <v>30</v>
      </c>
      <c r="D2606" s="2" t="s">
        <v>31</v>
      </c>
      <c r="E2606" s="2">
        <v>183</v>
      </c>
      <c r="F2606" s="2">
        <v>226</v>
      </c>
      <c r="G2606" s="2">
        <v>491</v>
      </c>
      <c r="H2606" s="2">
        <v>1236</v>
      </c>
      <c r="I2606" s="2">
        <v>2705</v>
      </c>
      <c r="J2606" s="2">
        <v>2.2400000000000002</v>
      </c>
      <c r="K2606" s="2">
        <v>4.84</v>
      </c>
      <c r="L2606" s="2">
        <v>9.84</v>
      </c>
      <c r="M2606" s="2">
        <v>15.02</v>
      </c>
      <c r="N2606" s="2">
        <v>4.4416321480000001</v>
      </c>
      <c r="O2606" s="2">
        <v>4.4207303400000004</v>
      </c>
      <c r="P2606" s="2">
        <v>1.7626407239999999</v>
      </c>
      <c r="Q2606" s="2">
        <v>1.786681279</v>
      </c>
      <c r="R2606" s="2">
        <v>0.33783460300000001</v>
      </c>
      <c r="S2606" s="2">
        <v>0.30783460299999998</v>
      </c>
      <c r="T2606" s="2">
        <v>1.7299624570000001</v>
      </c>
      <c r="U2606" s="2">
        <v>1.7599624570000001</v>
      </c>
      <c r="V2606" s="2">
        <v>1.73069239</v>
      </c>
      <c r="W2606" s="2">
        <v>1.782246287</v>
      </c>
      <c r="X2606">
        <f t="shared" si="120"/>
        <v>1</v>
      </c>
      <c r="Y2606">
        <f t="shared" si="121"/>
        <v>0</v>
      </c>
      <c r="Z2606">
        <f t="shared" si="122"/>
        <v>1</v>
      </c>
    </row>
    <row r="2607" spans="1:26" ht="15.75" customHeight="1" x14ac:dyDescent="0.2">
      <c r="A2607" s="2" t="s">
        <v>36</v>
      </c>
      <c r="B2607" s="2" t="s">
        <v>24</v>
      </c>
      <c r="C2607" s="2" t="s">
        <v>28</v>
      </c>
      <c r="D2607" s="2" t="s">
        <v>29</v>
      </c>
      <c r="E2607" s="2">
        <v>87</v>
      </c>
      <c r="F2607" s="2">
        <v>211</v>
      </c>
      <c r="G2607" s="2">
        <v>404</v>
      </c>
      <c r="H2607" s="2">
        <v>936</v>
      </c>
      <c r="I2607" s="2">
        <v>2465</v>
      </c>
      <c r="J2607" s="2">
        <v>2.08</v>
      </c>
      <c r="K2607" s="2">
        <v>4.05</v>
      </c>
      <c r="L2607" s="2">
        <v>8.14</v>
      </c>
      <c r="M2607" s="2">
        <v>14.4</v>
      </c>
      <c r="N2607" s="2">
        <v>0.33213517799999998</v>
      </c>
      <c r="O2607" s="2">
        <v>0.37624605300000002</v>
      </c>
      <c r="P2607" s="2">
        <v>3.4640150699999999</v>
      </c>
      <c r="Q2607" s="2">
        <v>3.4977405859999999</v>
      </c>
      <c r="R2607" s="2">
        <v>0.448257191</v>
      </c>
      <c r="S2607" s="2">
        <v>0.47825719100000003</v>
      </c>
      <c r="T2607" s="2">
        <v>3.434889503</v>
      </c>
      <c r="U2607" s="2">
        <v>3.4648895030000002</v>
      </c>
      <c r="V2607" s="2">
        <v>0.94460059600000001</v>
      </c>
      <c r="W2607" s="2">
        <v>0.99615449300000003</v>
      </c>
      <c r="X2607">
        <f t="shared" si="120"/>
        <v>1</v>
      </c>
      <c r="Y2607">
        <f t="shared" si="121"/>
        <v>0</v>
      </c>
      <c r="Z2607">
        <f t="shared" si="122"/>
        <v>1</v>
      </c>
    </row>
    <row r="2608" spans="1:26" ht="15.75" customHeight="1" x14ac:dyDescent="0.2">
      <c r="A2608" s="2" t="s">
        <v>36</v>
      </c>
      <c r="B2608" s="2" t="s">
        <v>24</v>
      </c>
      <c r="C2608" s="2" t="s">
        <v>28</v>
      </c>
      <c r="D2608" s="2" t="s">
        <v>29</v>
      </c>
      <c r="E2608" s="2">
        <v>183</v>
      </c>
      <c r="F2608" s="2">
        <v>222</v>
      </c>
      <c r="G2608" s="2">
        <v>356</v>
      </c>
      <c r="H2608" s="2">
        <v>1329</v>
      </c>
      <c r="I2608" s="2">
        <v>2722</v>
      </c>
      <c r="J2608" s="2">
        <v>2.19</v>
      </c>
      <c r="K2608" s="2">
        <v>3.59</v>
      </c>
      <c r="L2608" s="2">
        <v>10.3</v>
      </c>
      <c r="M2608" s="2">
        <v>15.06</v>
      </c>
      <c r="N2608" s="2">
        <v>1.890448613</v>
      </c>
      <c r="O2608" s="2">
        <v>1.838999327</v>
      </c>
      <c r="P2608" s="2">
        <v>1.5604479979999999</v>
      </c>
      <c r="Q2608" s="2">
        <v>1.6023227410000001</v>
      </c>
      <c r="R2608" s="2">
        <v>0.90894645900000004</v>
      </c>
      <c r="S2608" s="2">
        <v>0.93894645899999996</v>
      </c>
      <c r="T2608" s="2">
        <v>1.2683904319999999</v>
      </c>
      <c r="U2608" s="2">
        <v>1.2983904319999999</v>
      </c>
      <c r="V2608" s="2">
        <v>0.48391132799999997</v>
      </c>
      <c r="W2608" s="2">
        <v>0.53546522399999996</v>
      </c>
      <c r="X2608">
        <f t="shared" si="120"/>
        <v>1</v>
      </c>
      <c r="Y2608">
        <f t="shared" si="121"/>
        <v>0</v>
      </c>
      <c r="Z2608">
        <f t="shared" si="122"/>
        <v>1</v>
      </c>
    </row>
    <row r="2609" spans="1:26" ht="15.75" customHeight="1" x14ac:dyDescent="0.2">
      <c r="A2609" s="2" t="s">
        <v>36</v>
      </c>
      <c r="B2609" s="2" t="s">
        <v>24</v>
      </c>
      <c r="C2609" s="2" t="s">
        <v>32</v>
      </c>
      <c r="D2609" s="2" t="s">
        <v>33</v>
      </c>
      <c r="E2609" s="2">
        <v>121</v>
      </c>
      <c r="F2609" s="2">
        <v>234</v>
      </c>
      <c r="G2609" s="2">
        <v>413</v>
      </c>
      <c r="H2609" s="2">
        <v>1212</v>
      </c>
      <c r="I2609" s="2">
        <v>2797</v>
      </c>
      <c r="J2609" s="2">
        <v>2.33</v>
      </c>
      <c r="K2609" s="2">
        <v>4.13</v>
      </c>
      <c r="L2609" s="2">
        <v>9.7100000000000009</v>
      </c>
      <c r="M2609" s="2">
        <v>15.23</v>
      </c>
      <c r="N2609" s="2">
        <v>3.6398198079999999</v>
      </c>
      <c r="O2609" s="2">
        <v>3.8422708110000001</v>
      </c>
      <c r="P2609" s="2">
        <v>1.8920259100000001</v>
      </c>
      <c r="Q2609" s="2">
        <v>1.927420702</v>
      </c>
      <c r="R2609" s="2">
        <v>0.36706378200000001</v>
      </c>
      <c r="S2609" s="2">
        <v>0.39706378199999998</v>
      </c>
      <c r="T2609" s="2">
        <v>1.856078184</v>
      </c>
      <c r="U2609" s="2">
        <v>1.886078184</v>
      </c>
      <c r="V2609" s="2">
        <v>1.0257940050000001</v>
      </c>
      <c r="W2609" s="2">
        <v>1.0773479020000001</v>
      </c>
      <c r="X2609">
        <f t="shared" si="120"/>
        <v>1</v>
      </c>
      <c r="Y2609">
        <f t="shared" si="121"/>
        <v>0</v>
      </c>
      <c r="Z2609">
        <f t="shared" si="122"/>
        <v>1</v>
      </c>
    </row>
    <row r="2610" spans="1:26" ht="15.75" customHeight="1" x14ac:dyDescent="0.2">
      <c r="A2610" s="2" t="s">
        <v>36</v>
      </c>
      <c r="B2610" s="2" t="s">
        <v>24</v>
      </c>
      <c r="C2610" s="2" t="s">
        <v>26</v>
      </c>
      <c r="D2610" s="2" t="s">
        <v>26</v>
      </c>
      <c r="E2610" s="2">
        <v>129</v>
      </c>
      <c r="F2610" s="2">
        <v>220</v>
      </c>
      <c r="G2610" s="2">
        <v>363</v>
      </c>
      <c r="H2610" s="2">
        <v>985</v>
      </c>
      <c r="I2610" s="2">
        <v>2709</v>
      </c>
      <c r="J2610" s="2">
        <v>2.17</v>
      </c>
      <c r="K2610" s="2">
        <v>3.66</v>
      </c>
      <c r="L2610" s="2">
        <v>8.44</v>
      </c>
      <c r="M2610" s="2">
        <v>15.03</v>
      </c>
      <c r="N2610" s="2">
        <v>0.26059397299999998</v>
      </c>
      <c r="O2610" s="2">
        <v>0.30710574699999998</v>
      </c>
      <c r="P2610" s="2">
        <v>3.2437916019999999</v>
      </c>
      <c r="Q2610" s="2">
        <v>3.2806093719999998</v>
      </c>
      <c r="R2610" s="2">
        <v>0.84057683999999999</v>
      </c>
      <c r="S2610" s="2">
        <v>0.87057684000000002</v>
      </c>
      <c r="T2610" s="2">
        <v>3.1329881149999999</v>
      </c>
      <c r="U2610" s="2">
        <v>3.1629881150000001</v>
      </c>
      <c r="V2610" s="2">
        <v>0.55228094699999997</v>
      </c>
      <c r="W2610" s="2">
        <v>0.60383484300000001</v>
      </c>
      <c r="X2610">
        <f t="shared" si="120"/>
        <v>1</v>
      </c>
      <c r="Y2610">
        <f t="shared" si="121"/>
        <v>0</v>
      </c>
      <c r="Z2610">
        <f t="shared" si="122"/>
        <v>0</v>
      </c>
    </row>
    <row r="2611" spans="1:26" ht="15.75" customHeight="1" x14ac:dyDescent="0.2">
      <c r="A2611" s="2" t="s">
        <v>36</v>
      </c>
      <c r="B2611" s="2" t="s">
        <v>24</v>
      </c>
      <c r="C2611" s="2" t="s">
        <v>25</v>
      </c>
      <c r="D2611" s="2" t="s">
        <v>25</v>
      </c>
      <c r="E2611" s="2">
        <v>195</v>
      </c>
      <c r="F2611" s="2">
        <v>208</v>
      </c>
      <c r="G2611" s="2">
        <v>722</v>
      </c>
      <c r="H2611" s="2">
        <v>1819</v>
      </c>
      <c r="I2611" s="2">
        <v>2851</v>
      </c>
      <c r="J2611" s="2">
        <v>2.0499999999999998</v>
      </c>
      <c r="K2611" s="2">
        <v>6.68</v>
      </c>
      <c r="L2611" s="2">
        <v>12.38</v>
      </c>
      <c r="M2611" s="2">
        <v>15.36</v>
      </c>
      <c r="N2611" s="2">
        <v>0.77993752999999999</v>
      </c>
      <c r="O2611" s="2">
        <v>0.85286596400000003</v>
      </c>
      <c r="P2611" s="2">
        <v>2.3288218399999998</v>
      </c>
      <c r="Q2611" s="2">
        <v>2.2903612880000002</v>
      </c>
      <c r="R2611" s="2">
        <v>2.1848725920000001</v>
      </c>
      <c r="S2611" s="2">
        <v>2.1548725919999998</v>
      </c>
      <c r="T2611" s="2">
        <v>0.80606632600000006</v>
      </c>
      <c r="U2611" s="2">
        <v>0.77606632600000003</v>
      </c>
      <c r="V2611" s="2">
        <v>3.5777303790000001</v>
      </c>
      <c r="W2611" s="2">
        <v>3.6292842749999998</v>
      </c>
      <c r="X2611">
        <f t="shared" si="120"/>
        <v>1</v>
      </c>
      <c r="Y2611">
        <f t="shared" si="121"/>
        <v>0</v>
      </c>
      <c r="Z2611">
        <f t="shared" si="122"/>
        <v>0</v>
      </c>
    </row>
    <row r="2612" spans="1:26" ht="15.75" customHeight="1" x14ac:dyDescent="0.2">
      <c r="A2612" s="2" t="s">
        <v>36</v>
      </c>
      <c r="B2612" s="2" t="s">
        <v>24</v>
      </c>
      <c r="C2612" s="2" t="s">
        <v>30</v>
      </c>
      <c r="D2612" s="2" t="s">
        <v>31</v>
      </c>
      <c r="E2612" s="2">
        <v>120</v>
      </c>
      <c r="F2612" s="2">
        <v>219</v>
      </c>
      <c r="G2612" s="2">
        <v>462</v>
      </c>
      <c r="H2612" s="2">
        <v>1121</v>
      </c>
      <c r="I2612" s="2">
        <v>2099</v>
      </c>
      <c r="J2612" s="2">
        <v>2.16</v>
      </c>
      <c r="K2612" s="2">
        <v>4.58</v>
      </c>
      <c r="L2612" s="2">
        <v>9.2200000000000006</v>
      </c>
      <c r="M2612" s="2">
        <v>13.33</v>
      </c>
      <c r="N2612" s="2">
        <v>5.0103567399999998</v>
      </c>
      <c r="O2612" s="2">
        <v>4.9936900230000001</v>
      </c>
      <c r="P2612" s="2">
        <v>2.3467719950000001</v>
      </c>
      <c r="Q2612" s="2">
        <v>2.3759203489999998</v>
      </c>
      <c r="R2612" s="2">
        <v>8.1059876000000003E-2</v>
      </c>
      <c r="S2612" s="2">
        <v>5.1059875999999997E-2</v>
      </c>
      <c r="T2612" s="2">
        <v>2.3453716330000001</v>
      </c>
      <c r="U2612" s="2">
        <v>2.3753716329999999</v>
      </c>
      <c r="V2612" s="2">
        <v>1.4739176629999999</v>
      </c>
      <c r="W2612" s="2">
        <v>1.5254715599999999</v>
      </c>
      <c r="X2612">
        <f t="shared" si="120"/>
        <v>1</v>
      </c>
      <c r="Y2612">
        <f t="shared" si="121"/>
        <v>0</v>
      </c>
      <c r="Z2612">
        <f t="shared" si="122"/>
        <v>1</v>
      </c>
    </row>
    <row r="2613" spans="1:26" ht="15.75" customHeight="1" x14ac:dyDescent="0.2">
      <c r="A2613" s="2" t="s">
        <v>36</v>
      </c>
      <c r="B2613" s="2" t="s">
        <v>24</v>
      </c>
      <c r="C2613" s="2" t="s">
        <v>27</v>
      </c>
      <c r="D2613" s="2" t="s">
        <v>27</v>
      </c>
      <c r="E2613" s="2">
        <v>128</v>
      </c>
      <c r="F2613" s="2">
        <v>244</v>
      </c>
      <c r="G2613" s="2">
        <v>388</v>
      </c>
      <c r="H2613" s="2">
        <v>2470</v>
      </c>
      <c r="I2613" s="2">
        <v>3016</v>
      </c>
      <c r="J2613" s="2">
        <v>2.44</v>
      </c>
      <c r="K2613" s="2">
        <v>3.9</v>
      </c>
      <c r="L2613" s="2">
        <v>14.42</v>
      </c>
      <c r="M2613" s="2">
        <v>15.72</v>
      </c>
      <c r="N2613" s="2">
        <v>0.234775241</v>
      </c>
      <c r="O2613" s="2">
        <v>0.271238435</v>
      </c>
      <c r="P2613" s="2">
        <v>2.9100411980000001</v>
      </c>
      <c r="Q2613" s="2">
        <v>2.887046668</v>
      </c>
      <c r="R2613" s="2">
        <v>0.59655074500000005</v>
      </c>
      <c r="S2613" s="2">
        <v>0.62655074499999996</v>
      </c>
      <c r="T2613" s="2">
        <v>2.8482392779999999</v>
      </c>
      <c r="U2613" s="2">
        <v>2.8182392780000001</v>
      </c>
      <c r="V2613" s="2">
        <v>0.79630704200000002</v>
      </c>
      <c r="W2613" s="2">
        <v>0.84786093900000004</v>
      </c>
      <c r="X2613">
        <f t="shared" si="120"/>
        <v>1</v>
      </c>
      <c r="Y2613">
        <f t="shared" si="121"/>
        <v>0</v>
      </c>
      <c r="Z2613">
        <f t="shared" si="122"/>
        <v>0</v>
      </c>
    </row>
    <row r="2614" spans="1:26" ht="15.75" customHeight="1" x14ac:dyDescent="0.2">
      <c r="A2614" s="2" t="s">
        <v>36</v>
      </c>
      <c r="B2614" s="2" t="s">
        <v>24</v>
      </c>
      <c r="C2614" s="2" t="s">
        <v>30</v>
      </c>
      <c r="D2614" s="2" t="s">
        <v>31</v>
      </c>
      <c r="E2614" s="2">
        <v>132</v>
      </c>
      <c r="F2614" s="2">
        <v>217</v>
      </c>
      <c r="G2614" s="2">
        <v>447</v>
      </c>
      <c r="H2614" s="2">
        <v>1094</v>
      </c>
      <c r="I2614" s="2">
        <v>2119</v>
      </c>
      <c r="J2614" s="2">
        <v>2.14</v>
      </c>
      <c r="K2614" s="2">
        <v>4.45</v>
      </c>
      <c r="L2614" s="2">
        <v>9.08</v>
      </c>
      <c r="M2614" s="2">
        <v>13.4</v>
      </c>
      <c r="N2614" s="2">
        <v>5.1447799510000003</v>
      </c>
      <c r="O2614" s="2">
        <v>5.1298064559999998</v>
      </c>
      <c r="P2614" s="2">
        <v>2.4948026720000001</v>
      </c>
      <c r="Q2614" s="2">
        <v>2.5255824279999999</v>
      </c>
      <c r="R2614" s="2">
        <v>5.1159119000000003E-2</v>
      </c>
      <c r="S2614" s="2">
        <v>8.1159119000000002E-2</v>
      </c>
      <c r="T2614" s="2">
        <v>2.494278075</v>
      </c>
      <c r="U2614" s="2">
        <v>2.5242780749999998</v>
      </c>
      <c r="V2614" s="2">
        <v>1.341698668</v>
      </c>
      <c r="W2614" s="2">
        <v>1.393252564</v>
      </c>
      <c r="X2614">
        <f t="shared" si="120"/>
        <v>1</v>
      </c>
      <c r="Y2614">
        <f t="shared" si="121"/>
        <v>0</v>
      </c>
      <c r="Z2614">
        <f t="shared" si="122"/>
        <v>1</v>
      </c>
    </row>
    <row r="2615" spans="1:26" ht="15.75" customHeight="1" x14ac:dyDescent="0.2">
      <c r="A2615" s="2" t="s">
        <v>36</v>
      </c>
      <c r="B2615" s="2" t="s">
        <v>24</v>
      </c>
      <c r="C2615" s="2" t="s">
        <v>27</v>
      </c>
      <c r="D2615" s="2" t="s">
        <v>27</v>
      </c>
      <c r="E2615" s="2">
        <v>138</v>
      </c>
      <c r="F2615" s="2">
        <v>225</v>
      </c>
      <c r="G2615" s="2">
        <v>366</v>
      </c>
      <c r="H2615" s="2">
        <v>2487</v>
      </c>
      <c r="I2615" s="2">
        <v>3170</v>
      </c>
      <c r="J2615" s="2">
        <v>2.23</v>
      </c>
      <c r="K2615" s="2">
        <v>3.69</v>
      </c>
      <c r="L2615" s="2">
        <v>14.46</v>
      </c>
      <c r="M2615" s="2">
        <v>16.04</v>
      </c>
      <c r="N2615" s="2">
        <v>0.399816801</v>
      </c>
      <c r="O2615" s="2">
        <v>0.45274234699999999</v>
      </c>
      <c r="P2615" s="2">
        <v>3.0043431819999999</v>
      </c>
      <c r="Q2615" s="2">
        <v>2.9837895579999998</v>
      </c>
      <c r="R2615" s="2">
        <v>0.81140154799999997</v>
      </c>
      <c r="S2615" s="2">
        <v>0.841401548</v>
      </c>
      <c r="T2615" s="2">
        <v>2.8926986509999999</v>
      </c>
      <c r="U2615" s="2">
        <v>2.8626986510000001</v>
      </c>
      <c r="V2615" s="2">
        <v>0.58145623899999999</v>
      </c>
      <c r="W2615" s="2">
        <v>0.633010136</v>
      </c>
      <c r="X2615">
        <f t="shared" si="120"/>
        <v>1</v>
      </c>
      <c r="Y2615">
        <f t="shared" si="121"/>
        <v>0</v>
      </c>
      <c r="Z2615">
        <f t="shared" si="122"/>
        <v>0</v>
      </c>
    </row>
    <row r="2616" spans="1:26" ht="15.75" customHeight="1" x14ac:dyDescent="0.2">
      <c r="A2616" s="2" t="s">
        <v>36</v>
      </c>
      <c r="B2616" s="2" t="s">
        <v>24</v>
      </c>
      <c r="C2616" s="2" t="s">
        <v>26</v>
      </c>
      <c r="D2616" s="2" t="s">
        <v>26</v>
      </c>
      <c r="E2616" s="2">
        <v>148</v>
      </c>
      <c r="F2616" s="2">
        <v>230</v>
      </c>
      <c r="G2616" s="2">
        <v>382</v>
      </c>
      <c r="H2616" s="2">
        <v>987</v>
      </c>
      <c r="I2616" s="2">
        <v>2778</v>
      </c>
      <c r="J2616" s="2">
        <v>2.29</v>
      </c>
      <c r="K2616" s="2">
        <v>3.84</v>
      </c>
      <c r="L2616" s="2">
        <v>8.4499999999999993</v>
      </c>
      <c r="M2616" s="2">
        <v>15.19</v>
      </c>
      <c r="N2616" s="2">
        <v>8.1025375999999996E-2</v>
      </c>
      <c r="O2616" s="2">
        <v>0.129804005</v>
      </c>
      <c r="P2616" s="2">
        <v>3.1879836899999998</v>
      </c>
      <c r="Q2616" s="2">
        <v>3.223629495</v>
      </c>
      <c r="R2616" s="2">
        <v>0.66025622799999995</v>
      </c>
      <c r="S2616" s="2">
        <v>0.69025622799999997</v>
      </c>
      <c r="T2616" s="2">
        <v>3.1188622480000001</v>
      </c>
      <c r="U2616" s="2">
        <v>3.1488622479999999</v>
      </c>
      <c r="V2616" s="2">
        <v>0.73260155900000001</v>
      </c>
      <c r="W2616" s="2">
        <v>0.78415545600000003</v>
      </c>
      <c r="X2616">
        <f t="shared" si="120"/>
        <v>1</v>
      </c>
      <c r="Y2616">
        <f t="shared" si="121"/>
        <v>0</v>
      </c>
      <c r="Z2616">
        <f t="shared" si="122"/>
        <v>0</v>
      </c>
    </row>
    <row r="2617" spans="1:26" ht="15.75" customHeight="1" x14ac:dyDescent="0.2">
      <c r="A2617" s="2" t="s">
        <v>36</v>
      </c>
      <c r="B2617" s="2" t="s">
        <v>24</v>
      </c>
      <c r="C2617" s="2" t="s">
        <v>27</v>
      </c>
      <c r="D2617" s="2" t="s">
        <v>27</v>
      </c>
      <c r="E2617" s="2">
        <v>162</v>
      </c>
      <c r="F2617" s="2">
        <v>232</v>
      </c>
      <c r="G2617" s="2">
        <v>370</v>
      </c>
      <c r="H2617" s="2">
        <v>2462</v>
      </c>
      <c r="I2617" s="2">
        <v>3003</v>
      </c>
      <c r="J2617" s="2">
        <v>2.2999999999999998</v>
      </c>
      <c r="K2617" s="2">
        <v>3.72</v>
      </c>
      <c r="L2617" s="2">
        <v>14.4</v>
      </c>
      <c r="M2617" s="2">
        <v>15.69</v>
      </c>
      <c r="N2617" s="2">
        <v>0.33075032199999999</v>
      </c>
      <c r="O2617" s="2">
        <v>0.385918072</v>
      </c>
      <c r="P2617" s="2">
        <v>2.9313169380000001</v>
      </c>
      <c r="Q2617" s="2">
        <v>2.910560582</v>
      </c>
      <c r="R2617" s="2">
        <v>0.77584489899999998</v>
      </c>
      <c r="S2617" s="2">
        <v>0.805844899</v>
      </c>
      <c r="T2617" s="2">
        <v>2.8267797379999999</v>
      </c>
      <c r="U2617" s="2">
        <v>2.7967797380000001</v>
      </c>
      <c r="V2617" s="2">
        <v>0.61701288799999998</v>
      </c>
      <c r="W2617" s="2">
        <v>0.668566785</v>
      </c>
      <c r="X2617">
        <f t="shared" si="120"/>
        <v>1</v>
      </c>
      <c r="Y2617">
        <f t="shared" si="121"/>
        <v>0</v>
      </c>
      <c r="Z2617">
        <f t="shared" si="122"/>
        <v>0</v>
      </c>
    </row>
    <row r="2618" spans="1:26" ht="15.75" customHeight="1" x14ac:dyDescent="0.2">
      <c r="A2618" s="2" t="s">
        <v>36</v>
      </c>
      <c r="B2618" s="2" t="s">
        <v>24</v>
      </c>
      <c r="C2618" s="2" t="s">
        <v>30</v>
      </c>
      <c r="D2618" s="2" t="s">
        <v>31</v>
      </c>
      <c r="E2618" s="2">
        <v>140</v>
      </c>
      <c r="F2618" s="2">
        <v>217</v>
      </c>
      <c r="G2618" s="2">
        <v>432</v>
      </c>
      <c r="H2618" s="2">
        <v>1157</v>
      </c>
      <c r="I2618" s="2">
        <v>2517</v>
      </c>
      <c r="J2618" s="2">
        <v>2.14</v>
      </c>
      <c r="K2618" s="2">
        <v>4.32</v>
      </c>
      <c r="L2618" s="2">
        <v>9.42</v>
      </c>
      <c r="M2618" s="2">
        <v>14.54</v>
      </c>
      <c r="N2618" s="2">
        <v>4.7876306419999999</v>
      </c>
      <c r="O2618" s="2">
        <v>4.7739475640000002</v>
      </c>
      <c r="P2618" s="2">
        <v>2.1545439759999998</v>
      </c>
      <c r="Q2618" s="2">
        <v>2.187179671</v>
      </c>
      <c r="R2618" s="2">
        <v>0.184999303</v>
      </c>
      <c r="S2618" s="2">
        <v>0.214999303</v>
      </c>
      <c r="T2618" s="2">
        <v>2.1465868260000001</v>
      </c>
      <c r="U2618" s="2">
        <v>2.1765868259999999</v>
      </c>
      <c r="V2618" s="2">
        <v>1.207858484</v>
      </c>
      <c r="W2618" s="2">
        <v>1.2594123800000001</v>
      </c>
      <c r="X2618">
        <f t="shared" si="120"/>
        <v>1</v>
      </c>
      <c r="Y2618">
        <f t="shared" si="121"/>
        <v>0</v>
      </c>
      <c r="Z2618">
        <f t="shared" si="122"/>
        <v>1</v>
      </c>
    </row>
    <row r="2619" spans="1:26" ht="15.75" customHeight="1" x14ac:dyDescent="0.2">
      <c r="A2619" s="2" t="s">
        <v>36</v>
      </c>
      <c r="B2619" s="2" t="s">
        <v>24</v>
      </c>
      <c r="C2619" s="2" t="s">
        <v>27</v>
      </c>
      <c r="D2619" s="2" t="s">
        <v>27</v>
      </c>
      <c r="E2619" s="2">
        <v>154</v>
      </c>
      <c r="F2619" s="2">
        <v>227</v>
      </c>
      <c r="G2619" s="2">
        <v>406</v>
      </c>
      <c r="H2619" s="2">
        <v>2441</v>
      </c>
      <c r="I2619" s="2">
        <v>2914</v>
      </c>
      <c r="J2619" s="2">
        <v>2.25</v>
      </c>
      <c r="K2619" s="2">
        <v>4.07</v>
      </c>
      <c r="L2619" s="2">
        <v>14.34</v>
      </c>
      <c r="M2619" s="2">
        <v>15.5</v>
      </c>
      <c r="N2619" s="2">
        <v>0.16315885999999999</v>
      </c>
      <c r="O2619" s="2">
        <v>0.15193100100000001</v>
      </c>
      <c r="P2619" s="2">
        <v>2.8026938600000002</v>
      </c>
      <c r="Q2619" s="2">
        <v>2.7778172319999999</v>
      </c>
      <c r="R2619" s="2">
        <v>0.42633892099999998</v>
      </c>
      <c r="S2619" s="2">
        <v>0.45633892100000001</v>
      </c>
      <c r="T2619" s="2">
        <v>2.7700772549999999</v>
      </c>
      <c r="U2619" s="2">
        <v>2.7400772550000001</v>
      </c>
      <c r="V2619" s="2">
        <v>0.96651886600000003</v>
      </c>
      <c r="W2619" s="2">
        <v>1.0180727629999999</v>
      </c>
      <c r="X2619">
        <f t="shared" si="120"/>
        <v>1</v>
      </c>
      <c r="Y2619">
        <f t="shared" si="121"/>
        <v>0</v>
      </c>
      <c r="Z2619">
        <f t="shared" si="122"/>
        <v>0</v>
      </c>
    </row>
    <row r="2620" spans="1:26" ht="15.75" customHeight="1" x14ac:dyDescent="0.2">
      <c r="A2620" s="2" t="s">
        <v>36</v>
      </c>
      <c r="B2620" s="2" t="s">
        <v>24</v>
      </c>
      <c r="C2620" s="2" t="s">
        <v>26</v>
      </c>
      <c r="D2620" s="2" t="s">
        <v>26</v>
      </c>
      <c r="E2620" s="2">
        <v>121</v>
      </c>
      <c r="F2620" s="2">
        <v>218</v>
      </c>
      <c r="G2620" s="2">
        <v>395</v>
      </c>
      <c r="H2620" s="2">
        <v>1018</v>
      </c>
      <c r="I2620" s="2">
        <v>2749</v>
      </c>
      <c r="J2620" s="2">
        <v>2.15</v>
      </c>
      <c r="K2620" s="2">
        <v>3.97</v>
      </c>
      <c r="L2620" s="2">
        <v>8.6300000000000008</v>
      </c>
      <c r="M2620" s="2">
        <v>15.12</v>
      </c>
      <c r="N2620" s="2">
        <v>0.201039305</v>
      </c>
      <c r="O2620" s="2">
        <v>0.13510175799999999</v>
      </c>
      <c r="P2620" s="2">
        <v>2.9827392220000002</v>
      </c>
      <c r="Q2620" s="2">
        <v>3.0176898560000001</v>
      </c>
      <c r="R2620" s="2">
        <v>0.53004811799999996</v>
      </c>
      <c r="S2620" s="2">
        <v>0.56004811799999998</v>
      </c>
      <c r="T2620" s="2">
        <v>2.9352652789999998</v>
      </c>
      <c r="U2620" s="2">
        <v>2.965265279</v>
      </c>
      <c r="V2620" s="2">
        <v>0.862809669</v>
      </c>
      <c r="W2620" s="2">
        <v>0.91436356600000002</v>
      </c>
      <c r="X2620">
        <f t="shared" si="120"/>
        <v>1</v>
      </c>
      <c r="Y2620">
        <f t="shared" si="121"/>
        <v>0</v>
      </c>
      <c r="Z2620">
        <f t="shared" si="122"/>
        <v>0</v>
      </c>
    </row>
    <row r="2621" spans="1:26" ht="15.75" customHeight="1" x14ac:dyDescent="0.2">
      <c r="A2621" s="2" t="s">
        <v>36</v>
      </c>
      <c r="B2621" s="2" t="s">
        <v>24</v>
      </c>
      <c r="C2621" s="2" t="s">
        <v>30</v>
      </c>
      <c r="D2621" s="2" t="s">
        <v>31</v>
      </c>
      <c r="E2621" s="2">
        <v>127</v>
      </c>
      <c r="F2621" s="2">
        <v>203</v>
      </c>
      <c r="G2621" s="2">
        <v>593</v>
      </c>
      <c r="H2621" s="2">
        <v>1303</v>
      </c>
      <c r="I2621" s="2">
        <v>2530</v>
      </c>
      <c r="J2621" s="2">
        <v>1.98</v>
      </c>
      <c r="K2621" s="2">
        <v>5.69</v>
      </c>
      <c r="L2621" s="2">
        <v>10.17</v>
      </c>
      <c r="M2621" s="2">
        <v>14.58</v>
      </c>
      <c r="N2621" s="2">
        <v>4.3717478300000003</v>
      </c>
      <c r="O2621" s="2">
        <v>4.3394480790000003</v>
      </c>
      <c r="P2621" s="2">
        <v>1.837162856</v>
      </c>
      <c r="Q2621" s="2">
        <v>1.8409326779999999</v>
      </c>
      <c r="R2621" s="2">
        <v>1.1946252289999999</v>
      </c>
      <c r="S2621" s="2">
        <v>1.1646252290000001</v>
      </c>
      <c r="T2621" s="2">
        <v>1.3957212910000001</v>
      </c>
      <c r="U2621" s="2">
        <v>1.4257212909999999</v>
      </c>
      <c r="V2621" s="2">
        <v>2.5874830160000002</v>
      </c>
      <c r="W2621" s="2">
        <v>2.6390369119999999</v>
      </c>
      <c r="X2621">
        <f t="shared" si="120"/>
        <v>1</v>
      </c>
      <c r="Y2621">
        <f t="shared" si="121"/>
        <v>0</v>
      </c>
      <c r="Z2621">
        <f t="shared" si="122"/>
        <v>1</v>
      </c>
    </row>
    <row r="2622" spans="1:26" ht="15.75" customHeight="1" x14ac:dyDescent="0.2">
      <c r="A2622" s="2" t="s">
        <v>36</v>
      </c>
      <c r="B2622" s="2" t="s">
        <v>24</v>
      </c>
      <c r="C2622" s="2" t="s">
        <v>32</v>
      </c>
      <c r="D2622" s="2" t="s">
        <v>33</v>
      </c>
      <c r="E2622" s="2">
        <v>145</v>
      </c>
      <c r="F2622" s="2">
        <v>231</v>
      </c>
      <c r="G2622" s="2">
        <v>371</v>
      </c>
      <c r="H2622" s="2">
        <v>838</v>
      </c>
      <c r="I2622" s="2">
        <v>2650</v>
      </c>
      <c r="J2622" s="2">
        <v>2.29</v>
      </c>
      <c r="K2622" s="2">
        <v>3.74</v>
      </c>
      <c r="L2622" s="2">
        <v>7.5</v>
      </c>
      <c r="M2622" s="2">
        <v>14.88</v>
      </c>
      <c r="N2622" s="2">
        <v>5.4510736240000002</v>
      </c>
      <c r="O2622" s="2">
        <v>5.6332662200000003</v>
      </c>
      <c r="P2622" s="2">
        <v>4.1412989270000002</v>
      </c>
      <c r="Q2622" s="2">
        <v>4.1763810000000001</v>
      </c>
      <c r="R2622" s="2">
        <v>0.76294294299999998</v>
      </c>
      <c r="S2622" s="2">
        <v>0.79294294300000001</v>
      </c>
      <c r="T2622" s="2">
        <v>4.0704145819999997</v>
      </c>
      <c r="U2622" s="2">
        <v>4.100414582</v>
      </c>
      <c r="V2622" s="2">
        <v>0.62991484399999997</v>
      </c>
      <c r="W2622" s="2">
        <v>0.68146874099999999</v>
      </c>
      <c r="X2622">
        <f t="shared" si="120"/>
        <v>1</v>
      </c>
      <c r="Y2622">
        <f t="shared" si="121"/>
        <v>0</v>
      </c>
      <c r="Z2622">
        <f t="shared" si="122"/>
        <v>1</v>
      </c>
    </row>
    <row r="2623" spans="1:26" ht="15.75" customHeight="1" x14ac:dyDescent="0.2">
      <c r="A2623" s="2" t="s">
        <v>36</v>
      </c>
      <c r="B2623" s="2" t="s">
        <v>24</v>
      </c>
      <c r="C2623" s="2" t="s">
        <v>28</v>
      </c>
      <c r="D2623" s="2" t="s">
        <v>29</v>
      </c>
      <c r="E2623" s="2">
        <v>134</v>
      </c>
      <c r="F2623" s="2">
        <v>233</v>
      </c>
      <c r="G2623" s="2">
        <v>353</v>
      </c>
      <c r="H2623" s="2">
        <v>966</v>
      </c>
      <c r="I2623" s="2">
        <v>2748</v>
      </c>
      <c r="J2623" s="2">
        <v>2.3199999999999998</v>
      </c>
      <c r="K2623" s="2">
        <v>3.56</v>
      </c>
      <c r="L2623" s="2">
        <v>8.32</v>
      </c>
      <c r="M2623" s="2">
        <v>15.12</v>
      </c>
      <c r="N2623" s="2">
        <v>0.37692951499999999</v>
      </c>
      <c r="O2623" s="2">
        <v>0.435846915</v>
      </c>
      <c r="P2623" s="2">
        <v>3.379688716</v>
      </c>
      <c r="Q2623" s="2">
        <v>3.4169001510000001</v>
      </c>
      <c r="R2623" s="2">
        <v>0.93837440599999999</v>
      </c>
      <c r="S2623" s="2">
        <v>0.96837440600000002</v>
      </c>
      <c r="T2623" s="2">
        <v>3.2468060140000001</v>
      </c>
      <c r="U2623" s="2">
        <v>3.2768060139999999</v>
      </c>
      <c r="V2623" s="2">
        <v>0.45448338199999999</v>
      </c>
      <c r="W2623" s="2">
        <v>0.50603727799999998</v>
      </c>
      <c r="X2623">
        <f t="shared" si="120"/>
        <v>1</v>
      </c>
      <c r="Y2623">
        <f t="shared" si="121"/>
        <v>0</v>
      </c>
      <c r="Z2623">
        <f t="shared" si="122"/>
        <v>1</v>
      </c>
    </row>
    <row r="2624" spans="1:26" ht="15.75" customHeight="1" x14ac:dyDescent="0.2">
      <c r="A2624" s="2" t="s">
        <v>36</v>
      </c>
      <c r="B2624" s="2" t="s">
        <v>24</v>
      </c>
      <c r="C2624" s="2" t="s">
        <v>28</v>
      </c>
      <c r="D2624" s="2" t="s">
        <v>29</v>
      </c>
      <c r="E2624" s="2">
        <v>125</v>
      </c>
      <c r="F2624" s="2">
        <v>246</v>
      </c>
      <c r="G2624" s="2">
        <v>327</v>
      </c>
      <c r="H2624" s="2">
        <v>921</v>
      </c>
      <c r="I2624" s="2">
        <v>2636</v>
      </c>
      <c r="J2624" s="2">
        <v>2.46</v>
      </c>
      <c r="K2624" s="2">
        <v>3.31</v>
      </c>
      <c r="L2624" s="2">
        <v>8.0399999999999991</v>
      </c>
      <c r="M2624" s="2">
        <v>14.85</v>
      </c>
      <c r="N2624" s="2">
        <v>0.73071760399999997</v>
      </c>
      <c r="O2624" s="2">
        <v>0.79742243999999995</v>
      </c>
      <c r="P2624" s="2">
        <v>3.7236369030000001</v>
      </c>
      <c r="Q2624" s="2">
        <v>3.7617156989999998</v>
      </c>
      <c r="R2624" s="2">
        <v>1.1933022440000001</v>
      </c>
      <c r="S2624" s="2">
        <v>1.2233022440000001</v>
      </c>
      <c r="T2624" s="2">
        <v>3.5272512730000001</v>
      </c>
      <c r="U2624" s="2">
        <v>3.5572512729999999</v>
      </c>
      <c r="V2624" s="2">
        <v>0.199555543</v>
      </c>
      <c r="W2624" s="2">
        <v>0.25110943899999999</v>
      </c>
      <c r="X2624">
        <f t="shared" si="120"/>
        <v>1</v>
      </c>
      <c r="Y2624">
        <f t="shared" si="121"/>
        <v>0</v>
      </c>
      <c r="Z2624">
        <f t="shared" si="122"/>
        <v>1</v>
      </c>
    </row>
    <row r="2625" spans="1:26" ht="15.75" customHeight="1" x14ac:dyDescent="0.2">
      <c r="A2625" s="2" t="s">
        <v>36</v>
      </c>
      <c r="B2625" s="2" t="s">
        <v>24</v>
      </c>
      <c r="C2625" s="2" t="s">
        <v>26</v>
      </c>
      <c r="D2625" s="2" t="s">
        <v>26</v>
      </c>
      <c r="E2625" s="2">
        <v>150</v>
      </c>
      <c r="F2625" s="2">
        <v>235</v>
      </c>
      <c r="G2625" s="2">
        <v>448</v>
      </c>
      <c r="H2625" s="2">
        <v>960</v>
      </c>
      <c r="I2625" s="2">
        <v>2737</v>
      </c>
      <c r="J2625" s="2">
        <v>2.34</v>
      </c>
      <c r="K2625" s="2">
        <v>4.46</v>
      </c>
      <c r="L2625" s="2">
        <v>8.2799999999999994</v>
      </c>
      <c r="M2625" s="2">
        <v>15.09</v>
      </c>
      <c r="N2625" s="2">
        <v>0.56000271899999998</v>
      </c>
      <c r="O2625" s="2">
        <v>0.54264251399999996</v>
      </c>
      <c r="P2625" s="2">
        <v>3.286023036</v>
      </c>
      <c r="Q2625" s="2">
        <v>3.3165370759999999</v>
      </c>
      <c r="R2625" s="2">
        <v>4.2093023E-2</v>
      </c>
      <c r="S2625" s="2">
        <v>7.2093023000000006E-2</v>
      </c>
      <c r="T2625" s="2">
        <v>3.2857534249999998</v>
      </c>
      <c r="U2625" s="2">
        <v>3.315753425</v>
      </c>
      <c r="V2625" s="2">
        <v>1.350764764</v>
      </c>
      <c r="W2625" s="2">
        <v>1.4023186599999999</v>
      </c>
      <c r="X2625">
        <f t="shared" si="120"/>
        <v>1</v>
      </c>
      <c r="Y2625">
        <f t="shared" si="121"/>
        <v>0</v>
      </c>
      <c r="Z2625">
        <f t="shared" si="122"/>
        <v>0</v>
      </c>
    </row>
    <row r="2626" spans="1:26" ht="15.75" customHeight="1" x14ac:dyDescent="0.2">
      <c r="A2626" s="2" t="s">
        <v>36</v>
      </c>
      <c r="B2626" s="2" t="s">
        <v>24</v>
      </c>
      <c r="C2626" s="2" t="s">
        <v>25</v>
      </c>
      <c r="D2626" s="2" t="s">
        <v>25</v>
      </c>
      <c r="E2626" s="2">
        <v>150</v>
      </c>
      <c r="F2626" s="2">
        <v>222</v>
      </c>
      <c r="G2626" s="2">
        <v>843</v>
      </c>
      <c r="H2626" s="2">
        <v>1932</v>
      </c>
      <c r="I2626" s="2">
        <v>3006</v>
      </c>
      <c r="J2626" s="2">
        <v>2.19</v>
      </c>
      <c r="K2626" s="2">
        <v>7.54</v>
      </c>
      <c r="L2626" s="2">
        <v>12.78</v>
      </c>
      <c r="M2626" s="2">
        <v>15.7</v>
      </c>
      <c r="N2626" s="2">
        <v>1.097282173</v>
      </c>
      <c r="O2626" s="2">
        <v>0.96732811100000005</v>
      </c>
      <c r="P2626" s="2">
        <v>3.2666441339999999</v>
      </c>
      <c r="Q2626" s="2">
        <v>3.227723766</v>
      </c>
      <c r="R2626" s="2">
        <v>3.0353151010000001</v>
      </c>
      <c r="S2626" s="2">
        <v>3.0053151009999999</v>
      </c>
      <c r="T2626" s="2">
        <v>1.2074047109999999</v>
      </c>
      <c r="U2626" s="2">
        <v>1.1774047110000001</v>
      </c>
      <c r="V2626" s="2">
        <v>4.4281728879999998</v>
      </c>
      <c r="W2626" s="2">
        <v>4.4797267850000004</v>
      </c>
      <c r="X2626">
        <f t="shared" si="120"/>
        <v>1</v>
      </c>
      <c r="Y2626">
        <f t="shared" si="121"/>
        <v>0</v>
      </c>
      <c r="Z2626">
        <f t="shared" si="122"/>
        <v>0</v>
      </c>
    </row>
    <row r="2627" spans="1:26" ht="15.75" customHeight="1" x14ac:dyDescent="0.2">
      <c r="A2627" s="2" t="s">
        <v>36</v>
      </c>
      <c r="B2627" s="2" t="s">
        <v>24</v>
      </c>
      <c r="C2627" s="2" t="s">
        <v>30</v>
      </c>
      <c r="D2627" s="2" t="s">
        <v>31</v>
      </c>
      <c r="E2627" s="2">
        <v>145</v>
      </c>
      <c r="F2627" s="2">
        <v>219</v>
      </c>
      <c r="G2627" s="2">
        <v>466</v>
      </c>
      <c r="H2627" s="2">
        <v>1292</v>
      </c>
      <c r="I2627" s="2">
        <v>2252</v>
      </c>
      <c r="J2627" s="2">
        <v>2.17</v>
      </c>
      <c r="K2627" s="2">
        <v>4.62</v>
      </c>
      <c r="L2627" s="2">
        <v>10.119999999999999</v>
      </c>
      <c r="M2627" s="2">
        <v>13.81</v>
      </c>
      <c r="N2627" s="2">
        <v>4.12689109</v>
      </c>
      <c r="O2627" s="2">
        <v>4.108257643</v>
      </c>
      <c r="P2627" s="2">
        <v>1.453495617</v>
      </c>
      <c r="Q2627" s="2">
        <v>1.4812742169999999</v>
      </c>
      <c r="R2627" s="2">
        <v>0.11981863099999999</v>
      </c>
      <c r="S2627" s="2">
        <v>8.9818630999999996E-2</v>
      </c>
      <c r="T2627" s="2">
        <v>1.4485485849999999</v>
      </c>
      <c r="U2627" s="2">
        <v>1.478548585</v>
      </c>
      <c r="V2627" s="2">
        <v>1.5126764189999999</v>
      </c>
      <c r="W2627" s="2">
        <v>1.5642303150000001</v>
      </c>
      <c r="X2627">
        <f t="shared" ref="X2627:X2690" si="123">IF(B2627="normal",1,0)</f>
        <v>1</v>
      </c>
      <c r="Y2627">
        <f t="shared" ref="Y2627:Y2690" si="124">IF(A2627="lecture",1,0)</f>
        <v>0</v>
      </c>
      <c r="Z2627">
        <f t="shared" ref="Z2627:Z2690" si="125">IF(ISNUMBER(FIND("~",D2627)),1,0)</f>
        <v>1</v>
      </c>
    </row>
    <row r="2628" spans="1:26" ht="15.75" customHeight="1" x14ac:dyDescent="0.2">
      <c r="A2628" s="2" t="s">
        <v>36</v>
      </c>
      <c r="B2628" s="2" t="s">
        <v>24</v>
      </c>
      <c r="C2628" s="2" t="s">
        <v>28</v>
      </c>
      <c r="D2628" s="2" t="s">
        <v>29</v>
      </c>
      <c r="E2628" s="2">
        <v>145</v>
      </c>
      <c r="F2628" s="2">
        <v>238</v>
      </c>
      <c r="G2628" s="2">
        <v>373</v>
      </c>
      <c r="H2628" s="2">
        <v>941</v>
      </c>
      <c r="I2628" s="2">
        <v>2576</v>
      </c>
      <c r="J2628" s="2">
        <v>2.37</v>
      </c>
      <c r="K2628" s="2">
        <v>3.75</v>
      </c>
      <c r="L2628" s="2">
        <v>8.16</v>
      </c>
      <c r="M2628" s="2">
        <v>14.7</v>
      </c>
      <c r="N2628" s="2">
        <v>0.32224752099999998</v>
      </c>
      <c r="O2628" s="2">
        <v>0.39430200199999998</v>
      </c>
      <c r="P2628" s="2">
        <v>3.4866230229999999</v>
      </c>
      <c r="Q2628" s="2">
        <v>3.5224270230000001</v>
      </c>
      <c r="R2628" s="2">
        <v>0.74683623899999996</v>
      </c>
      <c r="S2628" s="2">
        <v>0.77683623899999998</v>
      </c>
      <c r="T2628" s="2">
        <v>3.4056975409999999</v>
      </c>
      <c r="U2628" s="2">
        <v>3.4356975410000001</v>
      </c>
      <c r="V2628" s="2">
        <v>0.646021548</v>
      </c>
      <c r="W2628" s="2">
        <v>0.69757544500000002</v>
      </c>
      <c r="X2628">
        <f t="shared" si="123"/>
        <v>1</v>
      </c>
      <c r="Y2628">
        <f t="shared" si="124"/>
        <v>0</v>
      </c>
      <c r="Z2628">
        <f t="shared" si="125"/>
        <v>1</v>
      </c>
    </row>
    <row r="2629" spans="1:26" ht="15.75" customHeight="1" x14ac:dyDescent="0.2">
      <c r="A2629" s="2" t="s">
        <v>36</v>
      </c>
      <c r="B2629" s="2" t="s">
        <v>24</v>
      </c>
      <c r="C2629" s="2" t="s">
        <v>28</v>
      </c>
      <c r="D2629" s="2" t="s">
        <v>29</v>
      </c>
      <c r="E2629" s="2">
        <v>140</v>
      </c>
      <c r="F2629" s="2">
        <v>241</v>
      </c>
      <c r="G2629" s="2">
        <v>367</v>
      </c>
      <c r="H2629" s="2">
        <v>1158</v>
      </c>
      <c r="I2629" s="2">
        <v>2657</v>
      </c>
      <c r="J2629" s="2">
        <v>2.41</v>
      </c>
      <c r="K2629" s="2">
        <v>3.7</v>
      </c>
      <c r="L2629" s="2">
        <v>9.43</v>
      </c>
      <c r="M2629" s="2">
        <v>14.9</v>
      </c>
      <c r="N2629" s="2">
        <v>1.009145059</v>
      </c>
      <c r="O2629" s="2">
        <v>0.96063760499999995</v>
      </c>
      <c r="P2629" s="2">
        <v>2.2885885209999999</v>
      </c>
      <c r="Q2629" s="2">
        <v>2.3272369940000002</v>
      </c>
      <c r="R2629" s="2">
        <v>0.79845889400000003</v>
      </c>
      <c r="S2629" s="2">
        <v>0.82845889399999995</v>
      </c>
      <c r="T2629" s="2">
        <v>2.1447845609999998</v>
      </c>
      <c r="U2629" s="2">
        <v>2.1747845610000001</v>
      </c>
      <c r="V2629" s="2">
        <v>0.59439889300000004</v>
      </c>
      <c r="W2629" s="2">
        <v>0.64595278899999997</v>
      </c>
      <c r="X2629">
        <f t="shared" si="123"/>
        <v>1</v>
      </c>
      <c r="Y2629">
        <f t="shared" si="124"/>
        <v>0</v>
      </c>
      <c r="Z2629">
        <f t="shared" si="125"/>
        <v>1</v>
      </c>
    </row>
    <row r="2630" spans="1:26" ht="15.75" customHeight="1" x14ac:dyDescent="0.2">
      <c r="A2630" s="2" t="s">
        <v>36</v>
      </c>
      <c r="B2630" s="2" t="s">
        <v>24</v>
      </c>
      <c r="C2630" s="2" t="s">
        <v>32</v>
      </c>
      <c r="D2630" s="2" t="s">
        <v>33</v>
      </c>
      <c r="E2630" s="2">
        <v>150</v>
      </c>
      <c r="F2630" s="2">
        <v>208</v>
      </c>
      <c r="G2630" s="2">
        <v>535</v>
      </c>
      <c r="H2630" s="2">
        <v>1429</v>
      </c>
      <c r="I2630" s="2">
        <v>2635</v>
      </c>
      <c r="J2630" s="2">
        <v>2.04</v>
      </c>
      <c r="K2630" s="2">
        <v>5.22</v>
      </c>
      <c r="L2630" s="2">
        <v>10.77</v>
      </c>
      <c r="M2630" s="2">
        <v>14.84</v>
      </c>
      <c r="N2630" s="2">
        <v>2.1609764560000002</v>
      </c>
      <c r="O2630" s="2">
        <v>2.3666741139999998</v>
      </c>
      <c r="P2630" s="2">
        <v>1.073940076</v>
      </c>
      <c r="Q2630" s="2">
        <v>1.076832703</v>
      </c>
      <c r="R2630" s="2">
        <v>0.72165108200000005</v>
      </c>
      <c r="S2630" s="2">
        <v>0.69165108200000003</v>
      </c>
      <c r="T2630" s="2">
        <v>0.79534080799999995</v>
      </c>
      <c r="U2630" s="2">
        <v>0.82534080799999998</v>
      </c>
      <c r="V2630" s="2">
        <v>2.1145088689999998</v>
      </c>
      <c r="W2630" s="2">
        <v>2.166062766</v>
      </c>
      <c r="X2630">
        <f t="shared" si="123"/>
        <v>1</v>
      </c>
      <c r="Y2630">
        <f t="shared" si="124"/>
        <v>0</v>
      </c>
      <c r="Z2630">
        <f t="shared" si="125"/>
        <v>1</v>
      </c>
    </row>
    <row r="2631" spans="1:26" ht="15.75" customHeight="1" x14ac:dyDescent="0.2">
      <c r="A2631" s="2" t="s">
        <v>36</v>
      </c>
      <c r="B2631" s="2" t="s">
        <v>24</v>
      </c>
      <c r="C2631" s="2" t="s">
        <v>25</v>
      </c>
      <c r="D2631" s="2" t="s">
        <v>25</v>
      </c>
      <c r="E2631" s="2">
        <v>90</v>
      </c>
      <c r="F2631" s="2">
        <v>206</v>
      </c>
      <c r="G2631" s="2">
        <v>658</v>
      </c>
      <c r="H2631" s="2">
        <v>1599</v>
      </c>
      <c r="I2631" s="2">
        <v>2620</v>
      </c>
      <c r="J2631" s="2">
        <v>2.02</v>
      </c>
      <c r="K2631" s="2">
        <v>6.21</v>
      </c>
      <c r="L2631" s="2">
        <v>11.52</v>
      </c>
      <c r="M2631" s="2">
        <v>14.81</v>
      </c>
      <c r="N2631" s="2">
        <v>0.97046778899999997</v>
      </c>
      <c r="O2631" s="2">
        <v>1.174602548</v>
      </c>
      <c r="P2631" s="2">
        <v>1.7092180450000001</v>
      </c>
      <c r="Q2631" s="2">
        <v>1.680478605</v>
      </c>
      <c r="R2631" s="2">
        <v>1.708342246</v>
      </c>
      <c r="S2631" s="2">
        <v>1.6783422459999999</v>
      </c>
      <c r="T2631" s="2">
        <v>5.4709187999999999E-2</v>
      </c>
      <c r="U2631" s="2">
        <v>8.4709188000000005E-2</v>
      </c>
      <c r="V2631" s="2">
        <v>3.101200033</v>
      </c>
      <c r="W2631" s="2">
        <v>3.1527539299999998</v>
      </c>
      <c r="X2631">
        <f t="shared" si="123"/>
        <v>1</v>
      </c>
      <c r="Y2631">
        <f t="shared" si="124"/>
        <v>0</v>
      </c>
      <c r="Z2631">
        <f t="shared" si="125"/>
        <v>0</v>
      </c>
    </row>
    <row r="2632" spans="1:26" ht="15.75" customHeight="1" x14ac:dyDescent="0.2">
      <c r="A2632" s="2" t="s">
        <v>36</v>
      </c>
      <c r="B2632" s="2" t="s">
        <v>24</v>
      </c>
      <c r="C2632" s="2" t="s">
        <v>27</v>
      </c>
      <c r="D2632" s="2" t="s">
        <v>27</v>
      </c>
      <c r="E2632" s="2">
        <v>146</v>
      </c>
      <c r="F2632" s="2">
        <v>221</v>
      </c>
      <c r="G2632" s="2">
        <v>385</v>
      </c>
      <c r="H2632" s="2">
        <v>2469</v>
      </c>
      <c r="I2632" s="2">
        <v>2989</v>
      </c>
      <c r="J2632" s="2">
        <v>2.19</v>
      </c>
      <c r="K2632" s="2">
        <v>3.87</v>
      </c>
      <c r="L2632" s="2">
        <v>14.42</v>
      </c>
      <c r="M2632" s="2">
        <v>15.66</v>
      </c>
      <c r="N2632" s="2">
        <v>0.245188132</v>
      </c>
      <c r="O2632" s="2">
        <v>0.28629898100000001</v>
      </c>
      <c r="P2632" s="2">
        <v>2.9142995429999998</v>
      </c>
      <c r="Q2632" s="2">
        <v>2.8916543689999998</v>
      </c>
      <c r="R2632" s="2">
        <v>0.62517339400000005</v>
      </c>
      <c r="S2632" s="2">
        <v>0.65517339399999996</v>
      </c>
      <c r="T2632" s="2">
        <v>2.8464539430000002</v>
      </c>
      <c r="U2632" s="2">
        <v>2.816453943</v>
      </c>
      <c r="V2632" s="2">
        <v>0.76768439300000002</v>
      </c>
      <c r="W2632" s="2">
        <v>0.81923829000000004</v>
      </c>
      <c r="X2632">
        <f t="shared" si="123"/>
        <v>1</v>
      </c>
      <c r="Y2632">
        <f t="shared" si="124"/>
        <v>0</v>
      </c>
      <c r="Z2632">
        <f t="shared" si="125"/>
        <v>0</v>
      </c>
    </row>
    <row r="2633" spans="1:26" ht="15.75" customHeight="1" x14ac:dyDescent="0.2">
      <c r="A2633" s="2" t="s">
        <v>36</v>
      </c>
      <c r="B2633" s="2" t="s">
        <v>24</v>
      </c>
      <c r="C2633" s="2" t="s">
        <v>32</v>
      </c>
      <c r="D2633" s="2" t="s">
        <v>33</v>
      </c>
      <c r="E2633" s="2">
        <v>156</v>
      </c>
      <c r="F2633" s="2">
        <v>227</v>
      </c>
      <c r="G2633" s="2">
        <v>396</v>
      </c>
      <c r="H2633" s="2">
        <v>875</v>
      </c>
      <c r="I2633" s="2">
        <v>2541</v>
      </c>
      <c r="J2633" s="2">
        <v>2.25</v>
      </c>
      <c r="K2633" s="2">
        <v>3.98</v>
      </c>
      <c r="L2633" s="2">
        <v>7.74</v>
      </c>
      <c r="M2633" s="2">
        <v>14.61</v>
      </c>
      <c r="N2633" s="2">
        <v>5.1120012490000004</v>
      </c>
      <c r="O2633" s="2">
        <v>5.2936069220000004</v>
      </c>
      <c r="P2633" s="2">
        <v>3.863154765</v>
      </c>
      <c r="Q2633" s="2">
        <v>3.897029399</v>
      </c>
      <c r="R2633" s="2">
        <v>0.52373514399999999</v>
      </c>
      <c r="S2633" s="2">
        <v>0.55373514400000001</v>
      </c>
      <c r="T2633" s="2">
        <v>3.8274882410000002</v>
      </c>
      <c r="U2633" s="2">
        <v>3.857488241</v>
      </c>
      <c r="V2633" s="2">
        <v>0.86912264299999997</v>
      </c>
      <c r="W2633" s="2">
        <v>0.92067653900000002</v>
      </c>
      <c r="X2633">
        <f t="shared" si="123"/>
        <v>1</v>
      </c>
      <c r="Y2633">
        <f t="shared" si="124"/>
        <v>0</v>
      </c>
      <c r="Z2633">
        <f t="shared" si="125"/>
        <v>1</v>
      </c>
    </row>
    <row r="2634" spans="1:26" ht="15.75" customHeight="1" x14ac:dyDescent="0.2">
      <c r="A2634" s="2" t="s">
        <v>36</v>
      </c>
      <c r="B2634" s="2" t="s">
        <v>24</v>
      </c>
      <c r="C2634" s="2" t="s">
        <v>28</v>
      </c>
      <c r="D2634" s="2" t="s">
        <v>29</v>
      </c>
      <c r="E2634" s="2">
        <v>160</v>
      </c>
      <c r="F2634" s="2">
        <v>224</v>
      </c>
      <c r="G2634" s="2">
        <v>324</v>
      </c>
      <c r="H2634" s="2">
        <v>942</v>
      </c>
      <c r="I2634" s="2">
        <v>2663</v>
      </c>
      <c r="J2634" s="2">
        <v>2.2200000000000002</v>
      </c>
      <c r="K2634" s="2">
        <v>3.27</v>
      </c>
      <c r="L2634" s="2">
        <v>8.17</v>
      </c>
      <c r="M2634" s="2">
        <v>14.91</v>
      </c>
      <c r="N2634" s="2">
        <v>0.70301763399999995</v>
      </c>
      <c r="O2634" s="2">
        <v>0.76389381700000003</v>
      </c>
      <c r="P2634" s="2">
        <v>3.6132415999999998</v>
      </c>
      <c r="Q2634" s="2">
        <v>3.6517076300000002</v>
      </c>
      <c r="R2634" s="2">
        <v>1.230188294</v>
      </c>
      <c r="S2634" s="2">
        <v>1.260188294</v>
      </c>
      <c r="T2634" s="2">
        <v>3.3973742250000001</v>
      </c>
      <c r="U2634" s="2">
        <v>3.4273742249999999</v>
      </c>
      <c r="V2634" s="2">
        <v>0.162669494</v>
      </c>
      <c r="W2634" s="2">
        <v>0.21422339000000001</v>
      </c>
      <c r="X2634">
        <f t="shared" si="123"/>
        <v>1</v>
      </c>
      <c r="Y2634">
        <f t="shared" si="124"/>
        <v>0</v>
      </c>
      <c r="Z2634">
        <f t="shared" si="125"/>
        <v>1</v>
      </c>
    </row>
    <row r="2635" spans="1:26" ht="15.75" customHeight="1" x14ac:dyDescent="0.2">
      <c r="A2635" s="2" t="s">
        <v>36</v>
      </c>
      <c r="B2635" s="2" t="s">
        <v>24</v>
      </c>
      <c r="C2635" s="2" t="s">
        <v>27</v>
      </c>
      <c r="D2635" s="2" t="s">
        <v>27</v>
      </c>
      <c r="E2635" s="2">
        <v>196</v>
      </c>
      <c r="F2635" s="2">
        <v>230</v>
      </c>
      <c r="G2635" s="2">
        <v>415</v>
      </c>
      <c r="H2635" s="2">
        <v>2451</v>
      </c>
      <c r="I2635" s="2">
        <v>3086</v>
      </c>
      <c r="J2635" s="2">
        <v>2.2799999999999998</v>
      </c>
      <c r="K2635" s="2">
        <v>4.1500000000000004</v>
      </c>
      <c r="L2635" s="2">
        <v>14.37</v>
      </c>
      <c r="M2635" s="2">
        <v>15.87</v>
      </c>
      <c r="N2635" s="2">
        <v>0.23529512299999999</v>
      </c>
      <c r="O2635" s="2">
        <v>0.206546231</v>
      </c>
      <c r="P2635" s="2">
        <v>2.8192723919999998</v>
      </c>
      <c r="Q2635" s="2">
        <v>2.7933729390000002</v>
      </c>
      <c r="R2635" s="2">
        <v>0.34530526299999997</v>
      </c>
      <c r="S2635" s="2">
        <v>0.375305263</v>
      </c>
      <c r="T2635" s="2">
        <v>2.7980459419999999</v>
      </c>
      <c r="U2635" s="2">
        <v>2.7680459420000001</v>
      </c>
      <c r="V2635" s="2">
        <v>1.0475525240000001</v>
      </c>
      <c r="W2635" s="2">
        <v>1.0991064209999999</v>
      </c>
      <c r="X2635">
        <f t="shared" si="123"/>
        <v>1</v>
      </c>
      <c r="Y2635">
        <f t="shared" si="124"/>
        <v>0</v>
      </c>
      <c r="Z2635">
        <f t="shared" si="125"/>
        <v>0</v>
      </c>
    </row>
    <row r="2636" spans="1:26" ht="15.75" customHeight="1" x14ac:dyDescent="0.2">
      <c r="A2636" s="2" t="s">
        <v>36</v>
      </c>
      <c r="B2636" s="2" t="s">
        <v>24</v>
      </c>
      <c r="C2636" s="2" t="s">
        <v>26</v>
      </c>
      <c r="D2636" s="2" t="s">
        <v>26</v>
      </c>
      <c r="E2636" s="2">
        <v>194</v>
      </c>
      <c r="F2636" s="2">
        <v>237</v>
      </c>
      <c r="G2636" s="2">
        <v>375</v>
      </c>
      <c r="H2636" s="2">
        <v>942</v>
      </c>
      <c r="I2636" s="2">
        <v>2764</v>
      </c>
      <c r="J2636" s="2">
        <v>2.36</v>
      </c>
      <c r="K2636" s="2">
        <v>3.78</v>
      </c>
      <c r="L2636" s="2">
        <v>8.17</v>
      </c>
      <c r="M2636" s="2">
        <v>15.16</v>
      </c>
      <c r="N2636" s="2">
        <v>0.30232755100000003</v>
      </c>
      <c r="O2636" s="2">
        <v>0.374133561</v>
      </c>
      <c r="P2636" s="2">
        <v>3.4730614819999999</v>
      </c>
      <c r="Q2636" s="2">
        <v>3.5087127709999999</v>
      </c>
      <c r="R2636" s="2">
        <v>0.72111333099999997</v>
      </c>
      <c r="S2636" s="2">
        <v>0.751113331</v>
      </c>
      <c r="T2636" s="2">
        <v>3.3973742250000001</v>
      </c>
      <c r="U2636" s="2">
        <v>3.4273742249999999</v>
      </c>
      <c r="V2636" s="2">
        <v>0.67174445599999999</v>
      </c>
      <c r="W2636" s="2">
        <v>0.72329835200000003</v>
      </c>
      <c r="X2636">
        <f t="shared" si="123"/>
        <v>1</v>
      </c>
      <c r="Y2636">
        <f t="shared" si="124"/>
        <v>0</v>
      </c>
      <c r="Z2636">
        <f t="shared" si="125"/>
        <v>0</v>
      </c>
    </row>
    <row r="2637" spans="1:26" ht="15.75" customHeight="1" x14ac:dyDescent="0.2">
      <c r="A2637" s="2" t="s">
        <v>36</v>
      </c>
      <c r="B2637" s="2" t="s">
        <v>24</v>
      </c>
      <c r="C2637" s="2" t="s">
        <v>27</v>
      </c>
      <c r="D2637" s="2" t="s">
        <v>27</v>
      </c>
      <c r="E2637" s="2">
        <v>99</v>
      </c>
      <c r="F2637" s="2">
        <v>201</v>
      </c>
      <c r="G2637" s="2">
        <v>386</v>
      </c>
      <c r="H2637" s="2">
        <v>2361</v>
      </c>
      <c r="I2637" s="2">
        <v>2972</v>
      </c>
      <c r="J2637" s="2">
        <v>1.96</v>
      </c>
      <c r="K2637" s="2">
        <v>3.88</v>
      </c>
      <c r="L2637" s="2">
        <v>14.12</v>
      </c>
      <c r="M2637" s="2">
        <v>15.63</v>
      </c>
      <c r="N2637" s="2">
        <v>0.133095728</v>
      </c>
      <c r="O2637" s="2">
        <v>0.18019371000000001</v>
      </c>
      <c r="P2637" s="2">
        <v>2.6223062260000001</v>
      </c>
      <c r="Q2637" s="2">
        <v>2.6004396320000001</v>
      </c>
      <c r="R2637" s="2">
        <v>0.61562437800000003</v>
      </c>
      <c r="S2637" s="2">
        <v>0.64562437800000005</v>
      </c>
      <c r="T2637" s="2">
        <v>2.5490187459999998</v>
      </c>
      <c r="U2637" s="2">
        <v>2.519018746</v>
      </c>
      <c r="V2637" s="2">
        <v>0.77723340900000004</v>
      </c>
      <c r="W2637" s="2">
        <v>0.82878730499999997</v>
      </c>
      <c r="X2637">
        <f t="shared" si="123"/>
        <v>1</v>
      </c>
      <c r="Y2637">
        <f t="shared" si="124"/>
        <v>0</v>
      </c>
      <c r="Z2637">
        <f t="shared" si="125"/>
        <v>0</v>
      </c>
    </row>
    <row r="2638" spans="1:26" ht="15.75" customHeight="1" x14ac:dyDescent="0.2">
      <c r="A2638" s="2" t="s">
        <v>36</v>
      </c>
      <c r="B2638" s="2" t="s">
        <v>24</v>
      </c>
      <c r="C2638" s="2" t="s">
        <v>27</v>
      </c>
      <c r="D2638" s="2" t="s">
        <v>27</v>
      </c>
      <c r="E2638" s="2">
        <v>111</v>
      </c>
      <c r="F2638" s="2">
        <v>246</v>
      </c>
      <c r="G2638" s="2">
        <v>445</v>
      </c>
      <c r="H2638" s="2">
        <v>2080</v>
      </c>
      <c r="I2638" s="2">
        <v>2747</v>
      </c>
      <c r="J2638" s="2">
        <v>2.46</v>
      </c>
      <c r="K2638" s="2">
        <v>4.43</v>
      </c>
      <c r="L2638" s="2">
        <v>13.27</v>
      </c>
      <c r="M2638" s="2">
        <v>15.12</v>
      </c>
      <c r="N2638" s="2">
        <v>1.0272350240000001</v>
      </c>
      <c r="O2638" s="2">
        <v>0.99371593899999999</v>
      </c>
      <c r="P2638" s="2">
        <v>1.7035057979999999</v>
      </c>
      <c r="Q2638" s="2">
        <v>1.675041832</v>
      </c>
      <c r="R2638" s="2">
        <v>6.9313928999999996E-2</v>
      </c>
      <c r="S2638" s="2">
        <v>9.9313928999999995E-2</v>
      </c>
      <c r="T2638" s="2">
        <v>1.702095057</v>
      </c>
      <c r="U2638" s="2">
        <v>1.6720950569999999</v>
      </c>
      <c r="V2638" s="2">
        <v>1.3235438580000001</v>
      </c>
      <c r="W2638" s="2">
        <v>1.375097754</v>
      </c>
      <c r="X2638">
        <f t="shared" si="123"/>
        <v>1</v>
      </c>
      <c r="Y2638">
        <f t="shared" si="124"/>
        <v>0</v>
      </c>
      <c r="Z2638">
        <f t="shared" si="125"/>
        <v>0</v>
      </c>
    </row>
    <row r="2639" spans="1:26" ht="15.75" customHeight="1" x14ac:dyDescent="0.2">
      <c r="A2639" s="2" t="s">
        <v>36</v>
      </c>
      <c r="B2639" s="2" t="s">
        <v>24</v>
      </c>
      <c r="C2639" s="2" t="s">
        <v>32</v>
      </c>
      <c r="D2639" s="2" t="s">
        <v>33</v>
      </c>
      <c r="E2639" s="2">
        <v>97</v>
      </c>
      <c r="F2639" s="2">
        <v>194</v>
      </c>
      <c r="G2639" s="2">
        <v>473</v>
      </c>
      <c r="H2639" s="2">
        <v>879</v>
      </c>
      <c r="I2639" s="2">
        <v>2437</v>
      </c>
      <c r="J2639" s="2">
        <v>1.88</v>
      </c>
      <c r="K2639" s="2">
        <v>4.68</v>
      </c>
      <c r="L2639" s="2">
        <v>7.77</v>
      </c>
      <c r="M2639" s="2">
        <v>14.33</v>
      </c>
      <c r="N2639" s="2">
        <v>4.6839024330000001</v>
      </c>
      <c r="O2639" s="2">
        <v>4.8535580100000004</v>
      </c>
      <c r="P2639" s="2">
        <v>3.8034162309999999</v>
      </c>
      <c r="Q2639" s="2">
        <v>3.8320981139999999</v>
      </c>
      <c r="R2639" s="2">
        <v>0.179177857</v>
      </c>
      <c r="S2639" s="2">
        <v>0.149177857</v>
      </c>
      <c r="T2639" s="2">
        <v>3.799193378</v>
      </c>
      <c r="U2639" s="2">
        <v>3.8291933779999998</v>
      </c>
      <c r="V2639" s="2">
        <v>1.5720356440000001</v>
      </c>
      <c r="W2639" s="2">
        <v>1.6235895410000001</v>
      </c>
      <c r="X2639">
        <f t="shared" si="123"/>
        <v>1</v>
      </c>
      <c r="Y2639">
        <f t="shared" si="124"/>
        <v>0</v>
      </c>
      <c r="Z2639">
        <f t="shared" si="125"/>
        <v>1</v>
      </c>
    </row>
    <row r="2640" spans="1:26" ht="15.75" customHeight="1" x14ac:dyDescent="0.2">
      <c r="A2640" s="2" t="s">
        <v>36</v>
      </c>
      <c r="B2640" s="2" t="s">
        <v>24</v>
      </c>
      <c r="C2640" s="2" t="s">
        <v>28</v>
      </c>
      <c r="D2640" s="2" t="s">
        <v>29</v>
      </c>
      <c r="E2640" s="2">
        <v>129</v>
      </c>
      <c r="F2640" s="2">
        <v>228</v>
      </c>
      <c r="G2640" s="2">
        <v>414</v>
      </c>
      <c r="H2640" s="2">
        <v>1479</v>
      </c>
      <c r="I2640" s="2">
        <v>2586</v>
      </c>
      <c r="J2640" s="2">
        <v>2.2599999999999998</v>
      </c>
      <c r="K2640" s="2">
        <v>4.1500000000000004</v>
      </c>
      <c r="L2640" s="2">
        <v>11</v>
      </c>
      <c r="M2640" s="2">
        <v>14.72</v>
      </c>
      <c r="N2640" s="2">
        <v>2.569994216</v>
      </c>
      <c r="O2640" s="2">
        <v>2.5069561450000002</v>
      </c>
      <c r="P2640" s="2">
        <v>0.67123237199999997</v>
      </c>
      <c r="Q2640" s="2">
        <v>0.71261828500000002</v>
      </c>
      <c r="R2640" s="2">
        <v>0.354625105</v>
      </c>
      <c r="S2640" s="2">
        <v>0.38462510500000002</v>
      </c>
      <c r="T2640" s="2">
        <v>0.56990695000000002</v>
      </c>
      <c r="U2640" s="2">
        <v>0.59990695000000005</v>
      </c>
      <c r="V2640" s="2">
        <v>1.0382326820000001</v>
      </c>
      <c r="W2640" s="2">
        <v>1.089786578</v>
      </c>
      <c r="X2640">
        <f t="shared" si="123"/>
        <v>1</v>
      </c>
      <c r="Y2640">
        <f t="shared" si="124"/>
        <v>0</v>
      </c>
      <c r="Z2640">
        <f t="shared" si="125"/>
        <v>1</v>
      </c>
    </row>
    <row r="2641" spans="1:26" ht="15.75" customHeight="1" x14ac:dyDescent="0.2">
      <c r="A2641" s="2" t="s">
        <v>36</v>
      </c>
      <c r="B2641" s="2" t="s">
        <v>24</v>
      </c>
      <c r="C2641" s="2" t="s">
        <v>26</v>
      </c>
      <c r="D2641" s="2" t="s">
        <v>26</v>
      </c>
      <c r="E2641" s="2">
        <v>95</v>
      </c>
      <c r="F2641" s="2">
        <v>204</v>
      </c>
      <c r="G2641" s="2">
        <v>358</v>
      </c>
      <c r="H2641" s="2">
        <v>1124</v>
      </c>
      <c r="I2641" s="2">
        <v>2809</v>
      </c>
      <c r="J2641" s="2">
        <v>2</v>
      </c>
      <c r="K2641" s="2">
        <v>3.61</v>
      </c>
      <c r="L2641" s="2">
        <v>9.24</v>
      </c>
      <c r="M2641" s="2">
        <v>15.26</v>
      </c>
      <c r="N2641" s="2">
        <v>0.858872568</v>
      </c>
      <c r="O2641" s="2">
        <v>0.81942992100000001</v>
      </c>
      <c r="P2641" s="2">
        <v>2.492829575</v>
      </c>
      <c r="Q2641" s="2">
        <v>2.5316177340000001</v>
      </c>
      <c r="R2641" s="2">
        <v>0.88937014700000006</v>
      </c>
      <c r="S2641" s="2">
        <v>0.91937014699999997</v>
      </c>
      <c r="T2641" s="2">
        <v>2.328780804</v>
      </c>
      <c r="U2641" s="2">
        <v>2.3587808039999998</v>
      </c>
      <c r="V2641" s="2">
        <v>0.50348764099999999</v>
      </c>
      <c r="W2641" s="2">
        <v>0.55504153700000003</v>
      </c>
      <c r="X2641">
        <f t="shared" si="123"/>
        <v>1</v>
      </c>
      <c r="Y2641">
        <f t="shared" si="124"/>
        <v>0</v>
      </c>
      <c r="Z2641">
        <f t="shared" si="125"/>
        <v>0</v>
      </c>
    </row>
    <row r="2642" spans="1:26" ht="15.75" customHeight="1" x14ac:dyDescent="0.2">
      <c r="A2642" s="2" t="s">
        <v>36</v>
      </c>
      <c r="B2642" s="2" t="s">
        <v>24</v>
      </c>
      <c r="C2642" s="2" t="s">
        <v>30</v>
      </c>
      <c r="D2642" s="2" t="s">
        <v>31</v>
      </c>
      <c r="E2642" s="2">
        <v>101</v>
      </c>
      <c r="F2642" s="2">
        <v>206</v>
      </c>
      <c r="G2642" s="2">
        <v>574</v>
      </c>
      <c r="H2642" s="2">
        <v>1169</v>
      </c>
      <c r="I2642" s="2">
        <v>2357</v>
      </c>
      <c r="J2642" s="2">
        <v>2.02</v>
      </c>
      <c r="K2642" s="2">
        <v>5.54</v>
      </c>
      <c r="L2642" s="2">
        <v>9.48</v>
      </c>
      <c r="M2642" s="2">
        <v>14.11</v>
      </c>
      <c r="N2642" s="2">
        <v>4.9646687610000004</v>
      </c>
      <c r="O2642" s="2">
        <v>4.9366959990000003</v>
      </c>
      <c r="P2642" s="2">
        <v>2.331786868</v>
      </c>
      <c r="Q2642" s="2">
        <v>2.345545247</v>
      </c>
      <c r="R2642" s="2">
        <v>1.0429834250000001</v>
      </c>
      <c r="S2642" s="2">
        <v>1.012983425</v>
      </c>
      <c r="T2642" s="2">
        <v>2.0855252499999999</v>
      </c>
      <c r="U2642" s="2">
        <v>2.1155252500000001</v>
      </c>
      <c r="V2642" s="2">
        <v>2.4358412129999998</v>
      </c>
      <c r="W2642" s="2">
        <v>2.4873951089999999</v>
      </c>
      <c r="X2642">
        <f t="shared" si="123"/>
        <v>1</v>
      </c>
      <c r="Y2642">
        <f t="shared" si="124"/>
        <v>0</v>
      </c>
      <c r="Z2642">
        <f t="shared" si="125"/>
        <v>1</v>
      </c>
    </row>
    <row r="2643" spans="1:26" ht="15.75" customHeight="1" x14ac:dyDescent="0.2">
      <c r="A2643" s="2" t="s">
        <v>36</v>
      </c>
      <c r="B2643" s="2" t="s">
        <v>24</v>
      </c>
      <c r="C2643" s="2" t="s">
        <v>27</v>
      </c>
      <c r="D2643" s="2" t="s">
        <v>27</v>
      </c>
      <c r="E2643" s="2">
        <v>119</v>
      </c>
      <c r="F2643" s="2">
        <v>235</v>
      </c>
      <c r="G2643" s="2">
        <v>412</v>
      </c>
      <c r="H2643" s="2">
        <v>2401</v>
      </c>
      <c r="I2643" s="2">
        <v>2996</v>
      </c>
      <c r="J2643" s="2">
        <v>2.34</v>
      </c>
      <c r="K2643" s="2">
        <v>4.13</v>
      </c>
      <c r="L2643" s="2">
        <v>14.23</v>
      </c>
      <c r="M2643" s="2">
        <v>15.68</v>
      </c>
      <c r="N2643" s="2">
        <v>0.14028981900000001</v>
      </c>
      <c r="O2643" s="2">
        <v>8.7209469999999997E-2</v>
      </c>
      <c r="P2643" s="2">
        <v>2.687533164</v>
      </c>
      <c r="Q2643" s="2">
        <v>2.6622063869999999</v>
      </c>
      <c r="R2643" s="2">
        <v>0.37328836399999998</v>
      </c>
      <c r="S2643" s="2">
        <v>0.40328836400000001</v>
      </c>
      <c r="T2643" s="2">
        <v>2.6614827270000001</v>
      </c>
      <c r="U2643" s="2">
        <v>2.6314827269999999</v>
      </c>
      <c r="V2643" s="2">
        <v>1.0195694230000001</v>
      </c>
      <c r="W2643" s="2">
        <v>1.071123319</v>
      </c>
      <c r="X2643">
        <f t="shared" si="123"/>
        <v>1</v>
      </c>
      <c r="Y2643">
        <f t="shared" si="124"/>
        <v>0</v>
      </c>
      <c r="Z2643">
        <f t="shared" si="125"/>
        <v>0</v>
      </c>
    </row>
    <row r="2644" spans="1:26" ht="15.75" customHeight="1" x14ac:dyDescent="0.2">
      <c r="A2644" s="2" t="s">
        <v>36</v>
      </c>
      <c r="B2644" s="2" t="s">
        <v>24</v>
      </c>
      <c r="C2644" s="2" t="s">
        <v>30</v>
      </c>
      <c r="D2644" s="2" t="s">
        <v>31</v>
      </c>
      <c r="E2644" s="2">
        <v>118</v>
      </c>
      <c r="F2644" s="2">
        <v>218</v>
      </c>
      <c r="G2644" s="2">
        <v>523</v>
      </c>
      <c r="H2644" s="2">
        <v>1137</v>
      </c>
      <c r="I2644" s="2">
        <v>2249</v>
      </c>
      <c r="J2644" s="2">
        <v>2.16</v>
      </c>
      <c r="K2644" s="2">
        <v>5.12</v>
      </c>
      <c r="L2644" s="2">
        <v>9.31</v>
      </c>
      <c r="M2644" s="2">
        <v>13.8</v>
      </c>
      <c r="N2644" s="2">
        <v>5.0173098979999997</v>
      </c>
      <c r="O2644" s="2">
        <v>4.9944039360000003</v>
      </c>
      <c r="P2644" s="2">
        <v>2.3418407970000001</v>
      </c>
      <c r="Q2644" s="2">
        <v>2.3631631990000002</v>
      </c>
      <c r="R2644" s="2">
        <v>0.61705195300000004</v>
      </c>
      <c r="S2644" s="2">
        <v>0.58705195300000002</v>
      </c>
      <c r="T2644" s="2">
        <v>2.2590850379999998</v>
      </c>
      <c r="U2644" s="2">
        <v>2.2890850380000001</v>
      </c>
      <c r="V2644" s="2">
        <v>2.0099097399999999</v>
      </c>
      <c r="W2644" s="2">
        <v>2.0614636370000001</v>
      </c>
      <c r="X2644">
        <f t="shared" si="123"/>
        <v>1</v>
      </c>
      <c r="Y2644">
        <f t="shared" si="124"/>
        <v>0</v>
      </c>
      <c r="Z2644">
        <f t="shared" si="125"/>
        <v>1</v>
      </c>
    </row>
    <row r="2645" spans="1:26" ht="15.75" customHeight="1" x14ac:dyDescent="0.2">
      <c r="A2645" s="2" t="s">
        <v>36</v>
      </c>
      <c r="B2645" s="2" t="s">
        <v>24</v>
      </c>
      <c r="C2645" s="2" t="s">
        <v>26</v>
      </c>
      <c r="D2645" s="2" t="s">
        <v>26</v>
      </c>
      <c r="E2645" s="2">
        <v>162</v>
      </c>
      <c r="F2645" s="2">
        <v>198</v>
      </c>
      <c r="G2645" s="2">
        <v>389</v>
      </c>
      <c r="H2645" s="2">
        <v>988</v>
      </c>
      <c r="I2645" s="2">
        <v>2814</v>
      </c>
      <c r="J2645" s="2">
        <v>1.93</v>
      </c>
      <c r="K2645" s="2">
        <v>3.91</v>
      </c>
      <c r="L2645" s="2">
        <v>8.4600000000000009</v>
      </c>
      <c r="M2645" s="2">
        <v>15.27</v>
      </c>
      <c r="N2645" s="2">
        <v>1.8280008E-2</v>
      </c>
      <c r="O2645" s="2">
        <v>6.7303882999999995E-2</v>
      </c>
      <c r="P2645" s="2">
        <v>3.1702530690000001</v>
      </c>
      <c r="Q2645" s="2">
        <v>3.2054026809999998</v>
      </c>
      <c r="R2645" s="2">
        <v>0.59020008499999999</v>
      </c>
      <c r="S2645" s="2">
        <v>0.62020008500000001</v>
      </c>
      <c r="T2645" s="2">
        <v>3.1148303930000001</v>
      </c>
      <c r="U2645" s="2">
        <v>3.1448303929999999</v>
      </c>
      <c r="V2645" s="2">
        <v>0.80265770199999997</v>
      </c>
      <c r="W2645" s="2">
        <v>0.85421159899999999</v>
      </c>
      <c r="X2645">
        <f t="shared" si="123"/>
        <v>1</v>
      </c>
      <c r="Y2645">
        <f t="shared" si="124"/>
        <v>0</v>
      </c>
      <c r="Z2645">
        <f t="shared" si="125"/>
        <v>0</v>
      </c>
    </row>
    <row r="2646" spans="1:26" ht="15.75" customHeight="1" x14ac:dyDescent="0.2">
      <c r="A2646" s="2" t="s">
        <v>36</v>
      </c>
      <c r="B2646" s="2" t="s">
        <v>24</v>
      </c>
      <c r="C2646" s="2" t="s">
        <v>26</v>
      </c>
      <c r="D2646" s="2" t="s">
        <v>26</v>
      </c>
      <c r="E2646" s="2">
        <v>92</v>
      </c>
      <c r="F2646" s="2">
        <v>223</v>
      </c>
      <c r="G2646" s="2">
        <v>393</v>
      </c>
      <c r="H2646" s="2">
        <v>1042</v>
      </c>
      <c r="I2646" s="2">
        <v>2860</v>
      </c>
      <c r="J2646" s="2">
        <v>2.21</v>
      </c>
      <c r="K2646" s="2">
        <v>3.95</v>
      </c>
      <c r="L2646" s="2">
        <v>8.77</v>
      </c>
      <c r="M2646" s="2">
        <v>15.38</v>
      </c>
      <c r="N2646" s="2">
        <v>0.335016753</v>
      </c>
      <c r="O2646" s="2">
        <v>0.27412932000000001</v>
      </c>
      <c r="P2646" s="2">
        <v>2.850140042</v>
      </c>
      <c r="Q2646" s="2">
        <v>2.8854803790000001</v>
      </c>
      <c r="R2646" s="2">
        <v>0.55217169600000005</v>
      </c>
      <c r="S2646" s="2">
        <v>0.58217169599999996</v>
      </c>
      <c r="T2646" s="2">
        <v>2.7961410330000001</v>
      </c>
      <c r="U2646" s="2">
        <v>2.8261410329999999</v>
      </c>
      <c r="V2646" s="2">
        <v>0.84068609100000002</v>
      </c>
      <c r="W2646" s="2">
        <v>0.89223998800000004</v>
      </c>
      <c r="X2646">
        <f t="shared" si="123"/>
        <v>1</v>
      </c>
      <c r="Y2646">
        <f t="shared" si="124"/>
        <v>0</v>
      </c>
      <c r="Z2646">
        <f t="shared" si="125"/>
        <v>0</v>
      </c>
    </row>
    <row r="2647" spans="1:26" ht="15.75" customHeight="1" x14ac:dyDescent="0.2">
      <c r="A2647" s="2" t="s">
        <v>36</v>
      </c>
      <c r="B2647" s="2" t="s">
        <v>24</v>
      </c>
      <c r="C2647" s="2" t="s">
        <v>26</v>
      </c>
      <c r="D2647" s="2" t="s">
        <v>26</v>
      </c>
      <c r="E2647" s="2">
        <v>82</v>
      </c>
      <c r="F2647" s="2">
        <v>243</v>
      </c>
      <c r="G2647" s="2">
        <v>428</v>
      </c>
      <c r="H2647" s="2">
        <v>769</v>
      </c>
      <c r="I2647" s="2">
        <v>2977</v>
      </c>
      <c r="J2647" s="2">
        <v>2.4300000000000002</v>
      </c>
      <c r="K2647" s="2">
        <v>4.28</v>
      </c>
      <c r="L2647" s="2">
        <v>7.02</v>
      </c>
      <c r="M2647" s="2">
        <v>15.64</v>
      </c>
      <c r="N2647" s="2">
        <v>1.4614191030000001</v>
      </c>
      <c r="O2647" s="2">
        <v>1.5108433640000001</v>
      </c>
      <c r="P2647" s="2">
        <v>4.5531662290000003</v>
      </c>
      <c r="Q2647" s="2">
        <v>4.5846996410000003</v>
      </c>
      <c r="R2647" s="2">
        <v>0.22485762100000001</v>
      </c>
      <c r="S2647" s="2">
        <v>0.25485762099999998</v>
      </c>
      <c r="T2647" s="2">
        <v>4.5476105550000003</v>
      </c>
      <c r="U2647" s="2">
        <v>4.5776105549999997</v>
      </c>
      <c r="V2647" s="2">
        <v>1.1680001659999999</v>
      </c>
      <c r="W2647" s="2">
        <v>1.219554062</v>
      </c>
      <c r="X2647">
        <f t="shared" si="123"/>
        <v>1</v>
      </c>
      <c r="Y2647">
        <f t="shared" si="124"/>
        <v>0</v>
      </c>
      <c r="Z2647">
        <f t="shared" si="125"/>
        <v>0</v>
      </c>
    </row>
    <row r="2648" spans="1:26" ht="15.75" customHeight="1" x14ac:dyDescent="0.2">
      <c r="A2648" s="2" t="s">
        <v>36</v>
      </c>
      <c r="B2648" s="2" t="s">
        <v>24</v>
      </c>
      <c r="C2648" s="2" t="s">
        <v>25</v>
      </c>
      <c r="D2648" s="2" t="s">
        <v>25</v>
      </c>
      <c r="E2648" s="2">
        <v>168</v>
      </c>
      <c r="F2648" s="2">
        <v>212</v>
      </c>
      <c r="G2648" s="2">
        <v>779</v>
      </c>
      <c r="H2648" s="2">
        <v>1632</v>
      </c>
      <c r="I2648" s="2">
        <v>3054</v>
      </c>
      <c r="J2648" s="2">
        <v>2.08</v>
      </c>
      <c r="K2648" s="2">
        <v>7.1</v>
      </c>
      <c r="L2648" s="2">
        <v>11.65</v>
      </c>
      <c r="M2648" s="2">
        <v>15.8</v>
      </c>
      <c r="N2648" s="2">
        <v>0.110977122</v>
      </c>
      <c r="O2648" s="2">
        <v>0.30074241499999999</v>
      </c>
      <c r="P2648" s="2">
        <v>2.598679808</v>
      </c>
      <c r="Q2648" s="2">
        <v>2.5679089909999999</v>
      </c>
      <c r="R2648" s="2">
        <v>2.5973764909999999</v>
      </c>
      <c r="S2648" s="2">
        <v>2.5673764910000001</v>
      </c>
      <c r="T2648" s="2">
        <v>8.2292846000000003E-2</v>
      </c>
      <c r="U2648" s="2">
        <v>5.2292845999999997E-2</v>
      </c>
      <c r="V2648" s="2">
        <v>3.990234278</v>
      </c>
      <c r="W2648" s="2">
        <v>4.0417881739999997</v>
      </c>
      <c r="X2648">
        <f t="shared" si="123"/>
        <v>1</v>
      </c>
      <c r="Y2648">
        <f t="shared" si="124"/>
        <v>0</v>
      </c>
      <c r="Z2648">
        <f t="shared" si="125"/>
        <v>0</v>
      </c>
    </row>
    <row r="2649" spans="1:26" ht="15.75" customHeight="1" x14ac:dyDescent="0.2">
      <c r="A2649" s="2" t="s">
        <v>36</v>
      </c>
      <c r="B2649" s="2" t="s">
        <v>24</v>
      </c>
      <c r="C2649" s="2" t="s">
        <v>25</v>
      </c>
      <c r="D2649" s="2" t="s">
        <v>25</v>
      </c>
      <c r="E2649" s="2">
        <v>153</v>
      </c>
      <c r="F2649" s="2">
        <v>230</v>
      </c>
      <c r="G2649" s="2">
        <v>791</v>
      </c>
      <c r="H2649" s="2">
        <v>1382</v>
      </c>
      <c r="I2649" s="2">
        <v>2264</v>
      </c>
      <c r="J2649" s="2">
        <v>2.29</v>
      </c>
      <c r="K2649" s="2">
        <v>7.18</v>
      </c>
      <c r="L2649" s="2">
        <v>10.56</v>
      </c>
      <c r="M2649" s="2">
        <v>13.84</v>
      </c>
      <c r="N2649" s="2">
        <v>1.1937448820000001</v>
      </c>
      <c r="O2649" s="2">
        <v>1.2835708669999999</v>
      </c>
      <c r="P2649" s="2">
        <v>2.864011198</v>
      </c>
      <c r="Q2649" s="2">
        <v>2.8468298910000001</v>
      </c>
      <c r="R2649" s="2">
        <v>2.6787277349999998</v>
      </c>
      <c r="S2649" s="2">
        <v>2.648727735</v>
      </c>
      <c r="T2649" s="2">
        <v>1.013399162</v>
      </c>
      <c r="U2649" s="2">
        <v>1.043399162</v>
      </c>
      <c r="V2649" s="2">
        <v>4.0715855230000004</v>
      </c>
      <c r="W2649" s="2">
        <v>4.1231394190000001</v>
      </c>
      <c r="X2649">
        <f t="shared" si="123"/>
        <v>1</v>
      </c>
      <c r="Y2649">
        <f t="shared" si="124"/>
        <v>0</v>
      </c>
      <c r="Z2649">
        <f t="shared" si="125"/>
        <v>0</v>
      </c>
    </row>
    <row r="2650" spans="1:26" ht="15.75" customHeight="1" x14ac:dyDescent="0.2">
      <c r="A2650" s="2" t="s">
        <v>36</v>
      </c>
      <c r="B2650" s="2" t="s">
        <v>24</v>
      </c>
      <c r="C2650" s="2" t="s">
        <v>25</v>
      </c>
      <c r="D2650" s="2" t="s">
        <v>25</v>
      </c>
      <c r="E2650" s="2">
        <v>197</v>
      </c>
      <c r="F2650" s="2">
        <v>206</v>
      </c>
      <c r="G2650" s="2">
        <v>794</v>
      </c>
      <c r="H2650" s="2">
        <v>1529</v>
      </c>
      <c r="I2650" s="2">
        <v>2909</v>
      </c>
      <c r="J2650" s="2">
        <v>2.02</v>
      </c>
      <c r="K2650" s="2">
        <v>7.2</v>
      </c>
      <c r="L2650" s="2">
        <v>11.22</v>
      </c>
      <c r="M2650" s="2">
        <v>15.49</v>
      </c>
      <c r="N2650" s="2">
        <v>0.53324013199999998</v>
      </c>
      <c r="O2650" s="2">
        <v>0.62687411199999998</v>
      </c>
      <c r="P2650" s="2">
        <v>2.7222500510000001</v>
      </c>
      <c r="Q2650" s="2">
        <v>2.6965773290000001</v>
      </c>
      <c r="R2650" s="2">
        <v>2.6995352210000001</v>
      </c>
      <c r="S2650" s="2">
        <v>2.6695352209999998</v>
      </c>
      <c r="T2650" s="2">
        <v>0.35093436500000003</v>
      </c>
      <c r="U2650" s="2">
        <v>0.380934365</v>
      </c>
      <c r="V2650" s="2">
        <v>4.0923930090000002</v>
      </c>
      <c r="W2650" s="2">
        <v>4.143946905</v>
      </c>
      <c r="X2650">
        <f t="shared" si="123"/>
        <v>1</v>
      </c>
      <c r="Y2650">
        <f t="shared" si="124"/>
        <v>0</v>
      </c>
      <c r="Z2650">
        <f t="shared" si="125"/>
        <v>0</v>
      </c>
    </row>
    <row r="2651" spans="1:26" ht="15.75" customHeight="1" x14ac:dyDescent="0.2">
      <c r="A2651" s="2" t="s">
        <v>36</v>
      </c>
      <c r="B2651" s="2" t="s">
        <v>24</v>
      </c>
      <c r="C2651" s="2" t="s">
        <v>28</v>
      </c>
      <c r="D2651" s="2" t="s">
        <v>29</v>
      </c>
      <c r="E2651" s="2">
        <v>160</v>
      </c>
      <c r="F2651" s="2">
        <v>238</v>
      </c>
      <c r="G2651" s="2">
        <v>308</v>
      </c>
      <c r="H2651" s="2">
        <v>1008</v>
      </c>
      <c r="I2651" s="2">
        <v>2693</v>
      </c>
      <c r="J2651" s="2">
        <v>2.37</v>
      </c>
      <c r="K2651" s="2">
        <v>3.11</v>
      </c>
      <c r="L2651" s="2">
        <v>8.58</v>
      </c>
      <c r="M2651" s="2">
        <v>14.99</v>
      </c>
      <c r="N2651" s="2">
        <v>0.82036713900000002</v>
      </c>
      <c r="O2651" s="2">
        <v>0.85246650599999996</v>
      </c>
      <c r="P2651" s="2">
        <v>3.3012161510000002</v>
      </c>
      <c r="Q2651" s="2">
        <v>3.3410865360000002</v>
      </c>
      <c r="R2651" s="2">
        <v>1.389135802</v>
      </c>
      <c r="S2651" s="2">
        <v>1.419135802</v>
      </c>
      <c r="T2651" s="2">
        <v>2.9947169809999998</v>
      </c>
      <c r="U2651" s="2">
        <v>3.0247169810000001</v>
      </c>
      <c r="V2651" s="2">
        <v>3.7219850000000001E-3</v>
      </c>
      <c r="W2651" s="2">
        <v>5.5275880999999999E-2</v>
      </c>
      <c r="X2651">
        <f t="shared" si="123"/>
        <v>1</v>
      </c>
      <c r="Y2651">
        <f t="shared" si="124"/>
        <v>0</v>
      </c>
      <c r="Z2651">
        <f t="shared" si="125"/>
        <v>1</v>
      </c>
    </row>
    <row r="2652" spans="1:26" ht="15.75" customHeight="1" x14ac:dyDescent="0.2">
      <c r="A2652" s="2" t="s">
        <v>36</v>
      </c>
      <c r="B2652" s="2" t="s">
        <v>24</v>
      </c>
      <c r="C2652" s="2" t="s">
        <v>30</v>
      </c>
      <c r="D2652" s="2" t="s">
        <v>31</v>
      </c>
      <c r="E2652" s="2">
        <v>104</v>
      </c>
      <c r="F2652" s="2">
        <v>216</v>
      </c>
      <c r="G2652" s="2">
        <v>695</v>
      </c>
      <c r="H2652" s="2">
        <v>1153</v>
      </c>
      <c r="I2652" s="2">
        <v>2734</v>
      </c>
      <c r="J2652" s="2">
        <v>2.13</v>
      </c>
      <c r="K2652" s="2">
        <v>6.49</v>
      </c>
      <c r="L2652" s="2">
        <v>9.4</v>
      </c>
      <c r="M2652" s="2">
        <v>15.09</v>
      </c>
      <c r="N2652" s="2">
        <v>5.4139241690000004</v>
      </c>
      <c r="O2652" s="2">
        <v>5.377561933</v>
      </c>
      <c r="P2652" s="2">
        <v>2.9460550720000001</v>
      </c>
      <c r="Q2652" s="2">
        <v>2.9482061220000002</v>
      </c>
      <c r="R2652" s="2">
        <v>1.990544815</v>
      </c>
      <c r="S2652" s="2">
        <v>1.960544815</v>
      </c>
      <c r="T2652" s="2">
        <v>2.17185907</v>
      </c>
      <c r="U2652" s="2">
        <v>2.2018590699999998</v>
      </c>
      <c r="V2652" s="2">
        <v>3.383402603</v>
      </c>
      <c r="W2652" s="2">
        <v>3.4349564990000001</v>
      </c>
      <c r="X2652">
        <f t="shared" si="123"/>
        <v>1</v>
      </c>
      <c r="Y2652">
        <f t="shared" si="124"/>
        <v>0</v>
      </c>
      <c r="Z2652">
        <f t="shared" si="125"/>
        <v>1</v>
      </c>
    </row>
    <row r="2653" spans="1:26" ht="15.75" customHeight="1" x14ac:dyDescent="0.2">
      <c r="A2653" s="2" t="s">
        <v>36</v>
      </c>
      <c r="B2653" s="2" t="s">
        <v>24</v>
      </c>
      <c r="C2653" s="2" t="s">
        <v>32</v>
      </c>
      <c r="D2653" s="2" t="s">
        <v>33</v>
      </c>
      <c r="E2653" s="2">
        <v>125</v>
      </c>
      <c r="F2653" s="2">
        <v>207</v>
      </c>
      <c r="G2653" s="2">
        <v>602</v>
      </c>
      <c r="H2653" s="2">
        <v>1259</v>
      </c>
      <c r="I2653" s="2">
        <v>2679</v>
      </c>
      <c r="J2653" s="2">
        <v>2.0299999999999998</v>
      </c>
      <c r="K2653" s="2">
        <v>5.77</v>
      </c>
      <c r="L2653" s="2">
        <v>9.9499999999999993</v>
      </c>
      <c r="M2653" s="2">
        <v>14.95</v>
      </c>
      <c r="N2653" s="2">
        <v>2.2651002330000001</v>
      </c>
      <c r="O2653" s="2">
        <v>2.4464396430000002</v>
      </c>
      <c r="P2653" s="2">
        <v>2.0550014879999998</v>
      </c>
      <c r="Q2653" s="2">
        <v>2.0604872009999999</v>
      </c>
      <c r="R2653" s="2">
        <v>1.269617486</v>
      </c>
      <c r="S2653" s="2">
        <v>1.239617486</v>
      </c>
      <c r="T2653" s="2">
        <v>1.615890638</v>
      </c>
      <c r="U2653" s="2">
        <v>1.645890638</v>
      </c>
      <c r="V2653" s="2">
        <v>2.6624752740000002</v>
      </c>
      <c r="W2653" s="2">
        <v>2.7140291699999999</v>
      </c>
      <c r="X2653">
        <f t="shared" si="123"/>
        <v>1</v>
      </c>
      <c r="Y2653">
        <f t="shared" si="124"/>
        <v>0</v>
      </c>
      <c r="Z2653">
        <f t="shared" si="125"/>
        <v>1</v>
      </c>
    </row>
    <row r="2654" spans="1:26" ht="15.75" customHeight="1" x14ac:dyDescent="0.2">
      <c r="A2654" s="2" t="s">
        <v>36</v>
      </c>
      <c r="B2654" s="2" t="s">
        <v>24</v>
      </c>
      <c r="C2654" s="2" t="s">
        <v>26</v>
      </c>
      <c r="D2654" s="2" t="s">
        <v>26</v>
      </c>
      <c r="E2654" s="2">
        <v>136</v>
      </c>
      <c r="F2654" s="2">
        <v>243</v>
      </c>
      <c r="G2654" s="2">
        <v>401</v>
      </c>
      <c r="H2654" s="2">
        <v>1057</v>
      </c>
      <c r="I2654" s="2">
        <v>2816</v>
      </c>
      <c r="J2654" s="2">
        <v>2.4300000000000002</v>
      </c>
      <c r="K2654" s="2">
        <v>4.0199999999999996</v>
      </c>
      <c r="L2654" s="2">
        <v>8.86</v>
      </c>
      <c r="M2654" s="2">
        <v>15.28</v>
      </c>
      <c r="N2654" s="2">
        <v>0.437182503</v>
      </c>
      <c r="O2654" s="2">
        <v>0.37024058300000001</v>
      </c>
      <c r="P2654" s="2">
        <v>2.746890155</v>
      </c>
      <c r="Q2654" s="2">
        <v>2.781745914</v>
      </c>
      <c r="R2654" s="2">
        <v>0.47650148199999998</v>
      </c>
      <c r="S2654" s="2">
        <v>0.506501482</v>
      </c>
      <c r="T2654" s="2">
        <v>2.7052452499999999</v>
      </c>
      <c r="U2654" s="2">
        <v>2.7352452500000002</v>
      </c>
      <c r="V2654" s="2">
        <v>0.91635630499999998</v>
      </c>
      <c r="W2654" s="2">
        <v>0.96791020100000003</v>
      </c>
      <c r="X2654">
        <f t="shared" si="123"/>
        <v>1</v>
      </c>
      <c r="Y2654">
        <f t="shared" si="124"/>
        <v>0</v>
      </c>
      <c r="Z2654">
        <f t="shared" si="125"/>
        <v>0</v>
      </c>
    </row>
    <row r="2655" spans="1:26" ht="15.75" customHeight="1" x14ac:dyDescent="0.2">
      <c r="A2655" s="2" t="s">
        <v>36</v>
      </c>
      <c r="B2655" s="2" t="s">
        <v>24</v>
      </c>
      <c r="C2655" s="2" t="s">
        <v>32</v>
      </c>
      <c r="D2655" s="2" t="s">
        <v>33</v>
      </c>
      <c r="E2655" s="2">
        <v>150</v>
      </c>
      <c r="F2655" s="2">
        <v>213</v>
      </c>
      <c r="G2655" s="2">
        <v>373</v>
      </c>
      <c r="H2655" s="2">
        <v>862</v>
      </c>
      <c r="I2655" s="2">
        <v>2421</v>
      </c>
      <c r="J2655" s="2">
        <v>2.1</v>
      </c>
      <c r="K2655" s="2">
        <v>3.76</v>
      </c>
      <c r="L2655" s="2">
        <v>7.66</v>
      </c>
      <c r="M2655" s="2">
        <v>14.29</v>
      </c>
      <c r="N2655" s="2">
        <v>5.3113657620000003</v>
      </c>
      <c r="O2655" s="2">
        <v>5.4950539139999997</v>
      </c>
      <c r="P2655" s="2">
        <v>3.9780055230000002</v>
      </c>
      <c r="Q2655" s="2">
        <v>4.0131361380000001</v>
      </c>
      <c r="R2655" s="2">
        <v>0.74039999999999995</v>
      </c>
      <c r="S2655" s="2">
        <v>0.77039999999999997</v>
      </c>
      <c r="T2655" s="2">
        <v>3.908495335</v>
      </c>
      <c r="U2655" s="2">
        <v>3.9384953349999998</v>
      </c>
      <c r="V2655" s="2">
        <v>0.65245778700000001</v>
      </c>
      <c r="W2655" s="2">
        <v>0.70401168400000003</v>
      </c>
      <c r="X2655">
        <f t="shared" si="123"/>
        <v>1</v>
      </c>
      <c r="Y2655">
        <f t="shared" si="124"/>
        <v>0</v>
      </c>
      <c r="Z2655">
        <f t="shared" si="125"/>
        <v>1</v>
      </c>
    </row>
    <row r="2656" spans="1:26" ht="15.75" customHeight="1" x14ac:dyDescent="0.2">
      <c r="A2656" s="2" t="s">
        <v>36</v>
      </c>
      <c r="B2656" s="2" t="s">
        <v>24</v>
      </c>
      <c r="C2656" s="2" t="s">
        <v>28</v>
      </c>
      <c r="D2656" s="2" t="s">
        <v>29</v>
      </c>
      <c r="E2656" s="2">
        <v>93</v>
      </c>
      <c r="F2656" s="2">
        <v>233</v>
      </c>
      <c r="G2656" s="2">
        <v>503</v>
      </c>
      <c r="H2656" s="2">
        <v>1500</v>
      </c>
      <c r="I2656" s="2">
        <v>3087</v>
      </c>
      <c r="J2656" s="2">
        <v>2.3199999999999998</v>
      </c>
      <c r="K2656" s="2">
        <v>4.95</v>
      </c>
      <c r="L2656" s="2">
        <v>11.09</v>
      </c>
      <c r="M2656" s="2">
        <v>15.87</v>
      </c>
      <c r="N2656" s="2">
        <v>2.8437178749999998</v>
      </c>
      <c r="O2656" s="2">
        <v>2.7733589200000002</v>
      </c>
      <c r="P2656" s="2">
        <v>0.65564775799999997</v>
      </c>
      <c r="Q2656" s="2">
        <v>0.65841196499999999</v>
      </c>
      <c r="R2656" s="2">
        <v>0.44809201599999998</v>
      </c>
      <c r="S2656" s="2">
        <v>0.41809201600000001</v>
      </c>
      <c r="T2656" s="2">
        <v>0.478630889</v>
      </c>
      <c r="U2656" s="2">
        <v>0.50863088899999997</v>
      </c>
      <c r="V2656" s="2">
        <v>1.840949803</v>
      </c>
      <c r="W2656" s="2">
        <v>1.8925037</v>
      </c>
      <c r="X2656">
        <f t="shared" si="123"/>
        <v>1</v>
      </c>
      <c r="Y2656">
        <f t="shared" si="124"/>
        <v>0</v>
      </c>
      <c r="Z2656">
        <f t="shared" si="125"/>
        <v>1</v>
      </c>
    </row>
    <row r="2657" spans="1:26" ht="15.75" customHeight="1" x14ac:dyDescent="0.2">
      <c r="A2657" s="2" t="s">
        <v>36</v>
      </c>
      <c r="B2657" s="2" t="s">
        <v>24</v>
      </c>
      <c r="C2657" s="2" t="s">
        <v>32</v>
      </c>
      <c r="D2657" s="2" t="s">
        <v>33</v>
      </c>
      <c r="E2657" s="2">
        <v>90</v>
      </c>
      <c r="F2657" s="2">
        <v>230</v>
      </c>
      <c r="G2657" s="2">
        <v>463</v>
      </c>
      <c r="H2657" s="2">
        <v>1190</v>
      </c>
      <c r="I2657" s="2">
        <v>2675</v>
      </c>
      <c r="J2657" s="2">
        <v>2.29</v>
      </c>
      <c r="K2657" s="2">
        <v>4.5999999999999996</v>
      </c>
      <c r="L2657" s="2">
        <v>9.6</v>
      </c>
      <c r="M2657" s="2">
        <v>14.94</v>
      </c>
      <c r="N2657" s="2">
        <v>3.3407706840000002</v>
      </c>
      <c r="O2657" s="2">
        <v>3.5381268989999999</v>
      </c>
      <c r="P2657" s="2">
        <v>1.9758759370000001</v>
      </c>
      <c r="Q2657" s="2">
        <v>2.0046294680000001</v>
      </c>
      <c r="R2657" s="2">
        <v>9.5983494000000003E-2</v>
      </c>
      <c r="S2657" s="2">
        <v>6.5983494000000004E-2</v>
      </c>
      <c r="T2657" s="2">
        <v>1.9735432319999999</v>
      </c>
      <c r="U2657" s="2">
        <v>2.0035432320000002</v>
      </c>
      <c r="V2657" s="2">
        <v>1.488841281</v>
      </c>
      <c r="W2657" s="2">
        <v>1.540395178</v>
      </c>
      <c r="X2657">
        <f t="shared" si="123"/>
        <v>1</v>
      </c>
      <c r="Y2657">
        <f t="shared" si="124"/>
        <v>0</v>
      </c>
      <c r="Z2657">
        <f t="shared" si="125"/>
        <v>1</v>
      </c>
    </row>
    <row r="2658" spans="1:26" ht="15.75" customHeight="1" x14ac:dyDescent="0.2">
      <c r="A2658" s="2" t="s">
        <v>36</v>
      </c>
      <c r="B2658" s="2" t="s">
        <v>24</v>
      </c>
      <c r="C2658" s="2" t="s">
        <v>25</v>
      </c>
      <c r="D2658" s="2" t="s">
        <v>25</v>
      </c>
      <c r="E2658" s="2">
        <v>150</v>
      </c>
      <c r="F2658" s="2">
        <v>207</v>
      </c>
      <c r="G2658" s="2">
        <v>720</v>
      </c>
      <c r="H2658" s="2">
        <v>1937</v>
      </c>
      <c r="I2658" s="2">
        <v>2900</v>
      </c>
      <c r="J2658" s="2">
        <v>2.0299999999999998</v>
      </c>
      <c r="K2658" s="2">
        <v>6.67</v>
      </c>
      <c r="L2658" s="2">
        <v>12.8</v>
      </c>
      <c r="M2658" s="2">
        <v>15.47</v>
      </c>
      <c r="N2658" s="2">
        <v>1.1517158970000001</v>
      </c>
      <c r="O2658" s="2">
        <v>1.176320311</v>
      </c>
      <c r="P2658" s="2">
        <v>2.4931094859999998</v>
      </c>
      <c r="Q2658" s="2">
        <v>2.4522556600000001</v>
      </c>
      <c r="R2658" s="2">
        <v>2.1702475429999999</v>
      </c>
      <c r="S2658" s="2">
        <v>2.1402475430000001</v>
      </c>
      <c r="T2658" s="2">
        <v>1.2270372899999999</v>
      </c>
      <c r="U2658" s="2">
        <v>1.1970372899999999</v>
      </c>
      <c r="V2658" s="2">
        <v>3.56310533</v>
      </c>
      <c r="W2658" s="2">
        <v>3.6146592270000002</v>
      </c>
      <c r="X2658">
        <f t="shared" si="123"/>
        <v>1</v>
      </c>
      <c r="Y2658">
        <f t="shared" si="124"/>
        <v>0</v>
      </c>
      <c r="Z2658">
        <f t="shared" si="125"/>
        <v>0</v>
      </c>
    </row>
    <row r="2659" spans="1:26" ht="15.75" customHeight="1" x14ac:dyDescent="0.2">
      <c r="A2659" s="2" t="s">
        <v>36</v>
      </c>
      <c r="B2659" s="2" t="s">
        <v>24</v>
      </c>
      <c r="C2659" s="2" t="s">
        <v>27</v>
      </c>
      <c r="D2659" s="2" t="s">
        <v>27</v>
      </c>
      <c r="E2659" s="2">
        <v>143</v>
      </c>
      <c r="F2659" s="2">
        <v>242</v>
      </c>
      <c r="G2659" s="2">
        <v>417</v>
      </c>
      <c r="H2659" s="2">
        <v>2407</v>
      </c>
      <c r="I2659" s="2">
        <v>2799</v>
      </c>
      <c r="J2659" s="2">
        <v>2.42</v>
      </c>
      <c r="K2659" s="2">
        <v>4.17</v>
      </c>
      <c r="L2659" s="2">
        <v>14.25</v>
      </c>
      <c r="M2659" s="2">
        <v>15.24</v>
      </c>
      <c r="N2659" s="2">
        <v>0.18950009400000001</v>
      </c>
      <c r="O2659" s="2">
        <v>0.13628531299999999</v>
      </c>
      <c r="P2659" s="2">
        <v>2.6978879610000002</v>
      </c>
      <c r="Q2659" s="2">
        <v>2.6719503499999999</v>
      </c>
      <c r="R2659" s="2">
        <v>0.32668910400000001</v>
      </c>
      <c r="S2659" s="2">
        <v>0.35668910399999998</v>
      </c>
      <c r="T2659" s="2">
        <v>2.678035414</v>
      </c>
      <c r="U2659" s="2">
        <v>2.6480354140000002</v>
      </c>
      <c r="V2659" s="2">
        <v>1.0661686829999999</v>
      </c>
      <c r="W2659" s="2">
        <v>1.1177225799999999</v>
      </c>
      <c r="X2659">
        <f t="shared" si="123"/>
        <v>1</v>
      </c>
      <c r="Y2659">
        <f t="shared" si="124"/>
        <v>0</v>
      </c>
      <c r="Z2659">
        <f t="shared" si="125"/>
        <v>0</v>
      </c>
    </row>
    <row r="2660" spans="1:26" ht="15.75" customHeight="1" x14ac:dyDescent="0.2">
      <c r="A2660" s="2" t="s">
        <v>36</v>
      </c>
      <c r="B2660" s="2" t="s">
        <v>24</v>
      </c>
      <c r="C2660" s="2" t="s">
        <v>30</v>
      </c>
      <c r="D2660" s="2" t="s">
        <v>31</v>
      </c>
      <c r="E2660" s="2">
        <v>181</v>
      </c>
      <c r="F2660" s="2">
        <v>224</v>
      </c>
      <c r="G2660" s="2">
        <v>421</v>
      </c>
      <c r="H2660" s="2">
        <v>1194</v>
      </c>
      <c r="I2660" s="2">
        <v>2526</v>
      </c>
      <c r="J2660" s="2">
        <v>2.2200000000000002</v>
      </c>
      <c r="K2660" s="2">
        <v>4.21</v>
      </c>
      <c r="L2660" s="2">
        <v>9.6199999999999992</v>
      </c>
      <c r="M2660" s="2">
        <v>14.57</v>
      </c>
      <c r="N2660" s="2">
        <v>4.5859230970000002</v>
      </c>
      <c r="O2660" s="2">
        <v>4.5734368139999999</v>
      </c>
      <c r="P2660" s="2">
        <v>1.97199481</v>
      </c>
      <c r="Q2660" s="2">
        <v>2.0062337480000001</v>
      </c>
      <c r="R2660" s="2">
        <v>0.28955060900000001</v>
      </c>
      <c r="S2660" s="2">
        <v>0.31955060899999999</v>
      </c>
      <c r="T2660" s="2">
        <v>1.950621433</v>
      </c>
      <c r="U2660" s="2">
        <v>1.980621433</v>
      </c>
      <c r="V2660" s="2">
        <v>1.1033071780000001</v>
      </c>
      <c r="W2660" s="2">
        <v>1.1548610749999999</v>
      </c>
      <c r="X2660">
        <f t="shared" si="123"/>
        <v>1</v>
      </c>
      <c r="Y2660">
        <f t="shared" si="124"/>
        <v>0</v>
      </c>
      <c r="Z2660">
        <f t="shared" si="125"/>
        <v>1</v>
      </c>
    </row>
    <row r="2661" spans="1:26" ht="15.75" customHeight="1" x14ac:dyDescent="0.2">
      <c r="A2661" s="2" t="s">
        <v>36</v>
      </c>
      <c r="B2661" s="2" t="s">
        <v>24</v>
      </c>
      <c r="C2661" s="2" t="s">
        <v>25</v>
      </c>
      <c r="D2661" s="2" t="s">
        <v>25</v>
      </c>
      <c r="E2661" s="2">
        <v>159</v>
      </c>
      <c r="F2661" s="2">
        <v>234</v>
      </c>
      <c r="G2661" s="2">
        <v>857</v>
      </c>
      <c r="H2661" s="2">
        <v>1699</v>
      </c>
      <c r="I2661" s="2">
        <v>3075</v>
      </c>
      <c r="J2661" s="2">
        <v>2.33</v>
      </c>
      <c r="K2661" s="2">
        <v>7.63</v>
      </c>
      <c r="L2661" s="2">
        <v>11.92</v>
      </c>
      <c r="M2661" s="2">
        <v>15.84</v>
      </c>
      <c r="N2661" s="2">
        <v>0.50693396199999996</v>
      </c>
      <c r="O2661" s="2">
        <v>0.30144073900000001</v>
      </c>
      <c r="P2661" s="2">
        <v>3.147702357</v>
      </c>
      <c r="Q2661" s="2">
        <v>3.1146865670000001</v>
      </c>
      <c r="R2661" s="2">
        <v>3.1284619029999998</v>
      </c>
      <c r="S2661" s="2">
        <v>3.098461903</v>
      </c>
      <c r="T2661" s="2">
        <v>0.34749999999999998</v>
      </c>
      <c r="U2661" s="2">
        <v>0.3175</v>
      </c>
      <c r="V2661" s="2">
        <v>4.5213196900000003</v>
      </c>
      <c r="W2661" s="2">
        <v>4.572873586</v>
      </c>
      <c r="X2661">
        <f t="shared" si="123"/>
        <v>1</v>
      </c>
      <c r="Y2661">
        <f t="shared" si="124"/>
        <v>0</v>
      </c>
      <c r="Z2661">
        <f t="shared" si="125"/>
        <v>0</v>
      </c>
    </row>
    <row r="2662" spans="1:26" ht="15.75" customHeight="1" x14ac:dyDescent="0.2">
      <c r="A2662" s="2" t="s">
        <v>36</v>
      </c>
      <c r="B2662" s="2" t="s">
        <v>24</v>
      </c>
      <c r="C2662" s="2" t="s">
        <v>30</v>
      </c>
      <c r="D2662" s="2" t="s">
        <v>31</v>
      </c>
      <c r="E2662" s="2">
        <v>120</v>
      </c>
      <c r="F2662" s="2">
        <v>186</v>
      </c>
      <c r="G2662" s="2">
        <v>530</v>
      </c>
      <c r="H2662" s="2">
        <v>1270</v>
      </c>
      <c r="I2662" s="2">
        <v>2324</v>
      </c>
      <c r="J2662" s="2">
        <v>1.79</v>
      </c>
      <c r="K2662" s="2">
        <v>5.17</v>
      </c>
      <c r="L2662" s="2">
        <v>10.01</v>
      </c>
      <c r="M2662" s="2">
        <v>14.01</v>
      </c>
      <c r="N2662" s="2">
        <v>4.3542726800000002</v>
      </c>
      <c r="O2662" s="2">
        <v>4.3286878350000002</v>
      </c>
      <c r="P2662" s="2">
        <v>1.699526893</v>
      </c>
      <c r="Q2662" s="2">
        <v>1.7156297890000001</v>
      </c>
      <c r="R2662" s="2">
        <v>0.67372071200000005</v>
      </c>
      <c r="S2662" s="2">
        <v>0.64372071200000003</v>
      </c>
      <c r="T2662" s="2">
        <v>1.5602858909999999</v>
      </c>
      <c r="U2662" s="2">
        <v>1.590285891</v>
      </c>
      <c r="V2662" s="2">
        <v>2.0665784989999998</v>
      </c>
      <c r="W2662" s="2">
        <v>2.118132396</v>
      </c>
      <c r="X2662">
        <f t="shared" si="123"/>
        <v>1</v>
      </c>
      <c r="Y2662">
        <f t="shared" si="124"/>
        <v>0</v>
      </c>
      <c r="Z2662">
        <f t="shared" si="125"/>
        <v>1</v>
      </c>
    </row>
    <row r="2663" spans="1:26" ht="15.75" customHeight="1" x14ac:dyDescent="0.2">
      <c r="A2663" s="2" t="s">
        <v>36</v>
      </c>
      <c r="B2663" s="2" t="s">
        <v>24</v>
      </c>
      <c r="C2663" s="2" t="s">
        <v>25</v>
      </c>
      <c r="D2663" s="2" t="s">
        <v>25</v>
      </c>
      <c r="E2663" s="2">
        <v>160</v>
      </c>
      <c r="F2663" s="2">
        <v>240</v>
      </c>
      <c r="G2663" s="2">
        <v>669</v>
      </c>
      <c r="H2663" s="2">
        <v>1068</v>
      </c>
      <c r="I2663" s="2">
        <v>1793</v>
      </c>
      <c r="J2663" s="2">
        <v>2.4</v>
      </c>
      <c r="K2663" s="2">
        <v>6.29</v>
      </c>
      <c r="L2663" s="2">
        <v>8.92</v>
      </c>
      <c r="M2663" s="2">
        <v>12.28</v>
      </c>
      <c r="N2663" s="2">
        <v>2.2886938090000002</v>
      </c>
      <c r="O2663" s="2">
        <v>2.5812471549999998</v>
      </c>
      <c r="P2663" s="2">
        <v>2.4011171010000001</v>
      </c>
      <c r="Q2663" s="2">
        <v>2.6071902159999998</v>
      </c>
      <c r="R2663" s="2">
        <v>1.3497895</v>
      </c>
      <c r="S2663" s="2">
        <v>1.2897894999999999</v>
      </c>
      <c r="T2663" s="2">
        <v>1.9858075529999999</v>
      </c>
      <c r="U2663" s="2">
        <v>2.2658075530000001</v>
      </c>
      <c r="V2663" s="2">
        <v>2.9830841000000001</v>
      </c>
      <c r="W2663" s="2">
        <v>2.9141920940000001</v>
      </c>
      <c r="X2663">
        <f t="shared" si="123"/>
        <v>1</v>
      </c>
      <c r="Y2663">
        <f t="shared" si="124"/>
        <v>0</v>
      </c>
      <c r="Z2663">
        <f t="shared" si="125"/>
        <v>0</v>
      </c>
    </row>
    <row r="2664" spans="1:26" ht="15.75" customHeight="1" x14ac:dyDescent="0.2">
      <c r="A2664" s="2" t="s">
        <v>36</v>
      </c>
      <c r="B2664" s="2" t="s">
        <v>24</v>
      </c>
      <c r="C2664" s="2" t="s">
        <v>26</v>
      </c>
      <c r="D2664" s="2" t="s">
        <v>26</v>
      </c>
      <c r="E2664" s="2">
        <v>162</v>
      </c>
      <c r="F2664" s="2">
        <v>286</v>
      </c>
      <c r="G2664" s="2">
        <v>488</v>
      </c>
      <c r="H2664" s="2">
        <v>988</v>
      </c>
      <c r="I2664" s="2">
        <v>2900</v>
      </c>
      <c r="J2664" s="2">
        <v>2.88</v>
      </c>
      <c r="K2664" s="2">
        <v>4.8099999999999996</v>
      </c>
      <c r="L2664" s="2">
        <v>8.4499999999999993</v>
      </c>
      <c r="M2664" s="2">
        <v>15.47</v>
      </c>
      <c r="N2664" s="2">
        <v>0.12661223399999999</v>
      </c>
      <c r="O2664" s="2">
        <v>0.270381767</v>
      </c>
      <c r="P2664" s="2">
        <v>2.4600505519999998</v>
      </c>
      <c r="Q2664" s="2">
        <v>2.7431269149999999</v>
      </c>
      <c r="R2664" s="2">
        <v>0.12552287600000001</v>
      </c>
      <c r="S2664" s="2">
        <v>0.185522876</v>
      </c>
      <c r="T2664" s="2">
        <v>2.4568460929999998</v>
      </c>
      <c r="U2664" s="2">
        <v>2.736846093</v>
      </c>
      <c r="V2664" s="2">
        <v>1.5077717239999999</v>
      </c>
      <c r="W2664" s="2">
        <v>1.4388797170000001</v>
      </c>
      <c r="X2664">
        <f t="shared" si="123"/>
        <v>1</v>
      </c>
      <c r="Y2664">
        <f t="shared" si="124"/>
        <v>0</v>
      </c>
      <c r="Z2664">
        <f t="shared" si="125"/>
        <v>0</v>
      </c>
    </row>
    <row r="2665" spans="1:26" ht="15.75" customHeight="1" x14ac:dyDescent="0.2">
      <c r="A2665" s="2" t="s">
        <v>36</v>
      </c>
      <c r="B2665" s="2" t="s">
        <v>24</v>
      </c>
      <c r="C2665" s="2" t="s">
        <v>27</v>
      </c>
      <c r="D2665" s="2" t="s">
        <v>27</v>
      </c>
      <c r="E2665" s="2">
        <v>161</v>
      </c>
      <c r="F2665" s="2">
        <v>272</v>
      </c>
      <c r="G2665" s="2">
        <v>479</v>
      </c>
      <c r="H2665" s="2">
        <v>2119</v>
      </c>
      <c r="I2665" s="2">
        <v>2708</v>
      </c>
      <c r="J2665" s="2">
        <v>2.74</v>
      </c>
      <c r="K2665" s="2">
        <v>4.74</v>
      </c>
      <c r="L2665" s="2">
        <v>13.4</v>
      </c>
      <c r="M2665" s="2">
        <v>15.02</v>
      </c>
      <c r="N2665" s="2">
        <v>0.14045255200000001</v>
      </c>
      <c r="O2665" s="2">
        <v>0.15149243700000001</v>
      </c>
      <c r="P2665" s="2">
        <v>2.4969887239999999</v>
      </c>
      <c r="Q2665" s="2">
        <v>2.2243908910000001</v>
      </c>
      <c r="R2665" s="2">
        <v>0.20473144700000001</v>
      </c>
      <c r="S2665" s="2">
        <v>0.26473144700000001</v>
      </c>
      <c r="T2665" s="2">
        <v>2.488581468</v>
      </c>
      <c r="U2665" s="2">
        <v>2.2085814680000002</v>
      </c>
      <c r="V2665" s="2">
        <v>1.4285631519999999</v>
      </c>
      <c r="W2665" s="2">
        <v>1.3596711459999999</v>
      </c>
      <c r="X2665">
        <f t="shared" si="123"/>
        <v>1</v>
      </c>
      <c r="Y2665">
        <f t="shared" si="124"/>
        <v>0</v>
      </c>
      <c r="Z2665">
        <f t="shared" si="125"/>
        <v>0</v>
      </c>
    </row>
    <row r="2666" spans="1:26" ht="15.75" customHeight="1" x14ac:dyDescent="0.2">
      <c r="A2666" s="2" t="s">
        <v>36</v>
      </c>
      <c r="B2666" s="2" t="s">
        <v>24</v>
      </c>
      <c r="C2666" s="2" t="s">
        <v>28</v>
      </c>
      <c r="D2666" s="2" t="s">
        <v>29</v>
      </c>
      <c r="E2666" s="2">
        <v>112</v>
      </c>
      <c r="F2666" s="2">
        <v>262</v>
      </c>
      <c r="G2666" s="2">
        <v>471</v>
      </c>
      <c r="H2666" s="2">
        <v>872</v>
      </c>
      <c r="I2666" s="2">
        <v>2386</v>
      </c>
      <c r="J2666" s="2">
        <v>2.63</v>
      </c>
      <c r="K2666" s="2">
        <v>4.66</v>
      </c>
      <c r="L2666" s="2">
        <v>7.73</v>
      </c>
      <c r="M2666" s="2">
        <v>14.19</v>
      </c>
      <c r="N2666" s="2">
        <v>0.70322706400000001</v>
      </c>
      <c r="O2666" s="2">
        <v>0.98494888400000002</v>
      </c>
      <c r="P2666" s="2">
        <v>3.1946725360000001</v>
      </c>
      <c r="Q2666" s="2">
        <v>3.4789874780000001</v>
      </c>
      <c r="R2666" s="2">
        <v>0.27563142699999998</v>
      </c>
      <c r="S2666" s="2">
        <v>0.33563142699999998</v>
      </c>
      <c r="T2666" s="2">
        <v>3.1827597980000002</v>
      </c>
      <c r="U2666" s="2">
        <v>3.462759798</v>
      </c>
      <c r="V2666" s="2">
        <v>1.3576631720000001</v>
      </c>
      <c r="W2666" s="2">
        <v>1.2887711660000001</v>
      </c>
      <c r="X2666">
        <f t="shared" si="123"/>
        <v>1</v>
      </c>
      <c r="Y2666">
        <f t="shared" si="124"/>
        <v>0</v>
      </c>
      <c r="Z2666">
        <f t="shared" si="125"/>
        <v>1</v>
      </c>
    </row>
    <row r="2667" spans="1:26" ht="15.75" customHeight="1" x14ac:dyDescent="0.2">
      <c r="A2667" s="2" t="s">
        <v>36</v>
      </c>
      <c r="B2667" s="2" t="s">
        <v>24</v>
      </c>
      <c r="C2667" s="2" t="s">
        <v>30</v>
      </c>
      <c r="D2667" s="2" t="s">
        <v>31</v>
      </c>
      <c r="E2667" s="2">
        <v>138</v>
      </c>
      <c r="F2667" s="2">
        <v>274</v>
      </c>
      <c r="G2667" s="2">
        <v>815</v>
      </c>
      <c r="H2667" s="2">
        <v>1522</v>
      </c>
      <c r="I2667" s="2">
        <v>3231</v>
      </c>
      <c r="J2667" s="2">
        <v>2.76</v>
      </c>
      <c r="K2667" s="2">
        <v>7.34</v>
      </c>
      <c r="L2667" s="2">
        <v>11.19</v>
      </c>
      <c r="M2667" s="2">
        <v>16.16</v>
      </c>
      <c r="N2667" s="2">
        <v>3.3997633540000001</v>
      </c>
      <c r="O2667" s="2">
        <v>3.512420927</v>
      </c>
      <c r="P2667" s="2">
        <v>2.4179469990000002</v>
      </c>
      <c r="Q2667" s="2">
        <v>2.3416530629999999</v>
      </c>
      <c r="R2667" s="2">
        <v>2.4016530509999998</v>
      </c>
      <c r="S2667" s="2">
        <v>2.3416530510000002</v>
      </c>
      <c r="T2667" s="2">
        <v>0.28023260300000002</v>
      </c>
      <c r="U2667" s="2">
        <v>2.3260300000000001E-4</v>
      </c>
      <c r="V2667" s="2">
        <v>4.0349476510000004</v>
      </c>
      <c r="W2667" s="2">
        <v>3.966055645</v>
      </c>
      <c r="X2667">
        <f t="shared" si="123"/>
        <v>1</v>
      </c>
      <c r="Y2667">
        <f t="shared" si="124"/>
        <v>0</v>
      </c>
      <c r="Z2667">
        <f t="shared" si="125"/>
        <v>1</v>
      </c>
    </row>
    <row r="2668" spans="1:26" ht="15.75" customHeight="1" x14ac:dyDescent="0.2">
      <c r="A2668" s="2" t="s">
        <v>36</v>
      </c>
      <c r="B2668" s="2" t="s">
        <v>24</v>
      </c>
      <c r="C2668" s="2" t="s">
        <v>26</v>
      </c>
      <c r="D2668" s="2" t="s">
        <v>26</v>
      </c>
      <c r="E2668" s="2">
        <v>145</v>
      </c>
      <c r="F2668" s="2">
        <v>274</v>
      </c>
      <c r="G2668" s="2">
        <v>517</v>
      </c>
      <c r="H2668" s="2">
        <v>853</v>
      </c>
      <c r="I2668" s="2">
        <v>2919</v>
      </c>
      <c r="J2668" s="2">
        <v>2.76</v>
      </c>
      <c r="K2668" s="2">
        <v>5.07</v>
      </c>
      <c r="L2668" s="2">
        <v>7.6</v>
      </c>
      <c r="M2668" s="2">
        <v>15.51</v>
      </c>
      <c r="N2668" s="2">
        <v>0.910521409</v>
      </c>
      <c r="O2668" s="2">
        <v>1.158649899</v>
      </c>
      <c r="P2668" s="2">
        <v>3.3105572749999999</v>
      </c>
      <c r="Q2668" s="2">
        <v>3.5887134289999998</v>
      </c>
      <c r="R2668" s="2">
        <v>0.128643703</v>
      </c>
      <c r="S2668" s="2">
        <v>6.8643703E-2</v>
      </c>
      <c r="T2668" s="2">
        <v>3.3080568719999999</v>
      </c>
      <c r="U2668" s="2">
        <v>3.5880568720000001</v>
      </c>
      <c r="V2668" s="2">
        <v>1.761938303</v>
      </c>
      <c r="W2668" s="2">
        <v>1.6930462959999999</v>
      </c>
      <c r="X2668">
        <f t="shared" si="123"/>
        <v>1</v>
      </c>
      <c r="Y2668">
        <f t="shared" si="124"/>
        <v>0</v>
      </c>
      <c r="Z2668">
        <f t="shared" si="125"/>
        <v>0</v>
      </c>
    </row>
    <row r="2669" spans="1:26" ht="15.75" customHeight="1" x14ac:dyDescent="0.2">
      <c r="A2669" s="2" t="s">
        <v>36</v>
      </c>
      <c r="B2669" s="2" t="s">
        <v>24</v>
      </c>
      <c r="C2669" s="2" t="s">
        <v>28</v>
      </c>
      <c r="D2669" s="2" t="s">
        <v>29</v>
      </c>
      <c r="E2669" s="2">
        <v>158</v>
      </c>
      <c r="F2669" s="2">
        <v>233</v>
      </c>
      <c r="G2669" s="2">
        <v>385</v>
      </c>
      <c r="H2669" s="2">
        <v>1272</v>
      </c>
      <c r="I2669" s="2">
        <v>2992</v>
      </c>
      <c r="J2669" s="2">
        <v>2.3199999999999998</v>
      </c>
      <c r="K2669" s="2">
        <v>3.87</v>
      </c>
      <c r="L2669" s="2">
        <v>10.02</v>
      </c>
      <c r="M2669" s="2">
        <v>15.67</v>
      </c>
      <c r="N2669" s="2">
        <v>1.788049607</v>
      </c>
      <c r="O2669" s="2">
        <v>1.5659857450000001</v>
      </c>
      <c r="P2669" s="2">
        <v>1.3906382960000001</v>
      </c>
      <c r="Q2669" s="2">
        <v>1.6256073179999999</v>
      </c>
      <c r="R2669" s="2">
        <v>1.0683582089999999</v>
      </c>
      <c r="S2669" s="2">
        <v>1.1283582089999999</v>
      </c>
      <c r="T2669" s="2">
        <v>0.89021660599999997</v>
      </c>
      <c r="U2669" s="2">
        <v>1.1702166060000001</v>
      </c>
      <c r="V2669" s="2">
        <v>0.56493639100000004</v>
      </c>
      <c r="W2669" s="2">
        <v>0.496044384</v>
      </c>
      <c r="X2669">
        <f t="shared" si="123"/>
        <v>1</v>
      </c>
      <c r="Y2669">
        <f t="shared" si="124"/>
        <v>0</v>
      </c>
      <c r="Z2669">
        <f t="shared" si="125"/>
        <v>1</v>
      </c>
    </row>
    <row r="2670" spans="1:26" ht="15.75" customHeight="1" x14ac:dyDescent="0.2">
      <c r="A2670" s="2" t="s">
        <v>36</v>
      </c>
      <c r="B2670" s="2" t="s">
        <v>24</v>
      </c>
      <c r="C2670" s="2" t="s">
        <v>32</v>
      </c>
      <c r="D2670" s="2" t="s">
        <v>33</v>
      </c>
      <c r="E2670" s="2">
        <v>152</v>
      </c>
      <c r="F2670" s="2">
        <v>235</v>
      </c>
      <c r="G2670" s="2">
        <v>604</v>
      </c>
      <c r="H2670" s="2">
        <v>962</v>
      </c>
      <c r="I2670" s="2">
        <v>2673</v>
      </c>
      <c r="J2670" s="2">
        <v>2.34</v>
      </c>
      <c r="K2670" s="2">
        <v>5.78</v>
      </c>
      <c r="L2670" s="2">
        <v>8.3000000000000007</v>
      </c>
      <c r="M2670" s="2">
        <v>14.94</v>
      </c>
      <c r="N2670" s="2">
        <v>3.085278717</v>
      </c>
      <c r="O2670" s="2">
        <v>3.3722495719999999</v>
      </c>
      <c r="P2670" s="2">
        <v>2.7440658679999999</v>
      </c>
      <c r="Q2670" s="2">
        <v>2.9955164430000001</v>
      </c>
      <c r="R2670" s="2">
        <v>0.84295150200000002</v>
      </c>
      <c r="S2670" s="2">
        <v>0.78295150199999997</v>
      </c>
      <c r="T2670" s="2">
        <v>2.6113847379999999</v>
      </c>
      <c r="U2670" s="2">
        <v>2.8913847380000002</v>
      </c>
      <c r="V2670" s="2">
        <v>2.4762461010000001</v>
      </c>
      <c r="W2670" s="2">
        <v>2.4073540950000001</v>
      </c>
      <c r="X2670">
        <f t="shared" si="123"/>
        <v>1</v>
      </c>
      <c r="Y2670">
        <f t="shared" si="124"/>
        <v>0</v>
      </c>
      <c r="Z2670">
        <f t="shared" si="125"/>
        <v>1</v>
      </c>
    </row>
    <row r="2671" spans="1:26" ht="15.75" customHeight="1" x14ac:dyDescent="0.2">
      <c r="A2671" s="2" t="s">
        <v>36</v>
      </c>
      <c r="B2671" s="2" t="s">
        <v>24</v>
      </c>
      <c r="C2671" s="2" t="s">
        <v>32</v>
      </c>
      <c r="D2671" s="2" t="s">
        <v>33</v>
      </c>
      <c r="E2671" s="2">
        <v>168</v>
      </c>
      <c r="F2671" s="2">
        <v>250</v>
      </c>
      <c r="G2671" s="2">
        <v>486</v>
      </c>
      <c r="H2671" s="2">
        <v>1187</v>
      </c>
      <c r="I2671" s="2">
        <v>2633</v>
      </c>
      <c r="J2671" s="2">
        <v>2.5</v>
      </c>
      <c r="K2671" s="2">
        <v>4.79</v>
      </c>
      <c r="L2671" s="2">
        <v>9.58</v>
      </c>
      <c r="M2671" s="2">
        <v>14.84</v>
      </c>
      <c r="N2671" s="2">
        <v>2.9389782009999998</v>
      </c>
      <c r="O2671" s="2">
        <v>3.1265046839999999</v>
      </c>
      <c r="P2671" s="2">
        <v>1.3374422479999999</v>
      </c>
      <c r="Q2671" s="2">
        <v>1.6225792999999999</v>
      </c>
      <c r="R2671" s="2">
        <v>0.146002453</v>
      </c>
      <c r="S2671" s="2">
        <v>0.206002453</v>
      </c>
      <c r="T2671" s="2">
        <v>1.3294491530000001</v>
      </c>
      <c r="U2671" s="2">
        <v>1.6094491529999999</v>
      </c>
      <c r="V2671" s="2">
        <v>1.4872921459999999</v>
      </c>
      <c r="W2671" s="2">
        <v>1.4184001399999999</v>
      </c>
      <c r="X2671">
        <f t="shared" si="123"/>
        <v>1</v>
      </c>
      <c r="Y2671">
        <f t="shared" si="124"/>
        <v>0</v>
      </c>
      <c r="Z2671">
        <f t="shared" si="125"/>
        <v>1</v>
      </c>
    </row>
    <row r="2672" spans="1:26" ht="15.75" customHeight="1" x14ac:dyDescent="0.2">
      <c r="A2672" s="2" t="s">
        <v>36</v>
      </c>
      <c r="B2672" s="2" t="s">
        <v>24</v>
      </c>
      <c r="C2672" s="2" t="s">
        <v>25</v>
      </c>
      <c r="D2672" s="2" t="s">
        <v>25</v>
      </c>
      <c r="E2672" s="2">
        <v>200</v>
      </c>
      <c r="F2672" s="2">
        <v>215</v>
      </c>
      <c r="G2672" s="2">
        <v>915</v>
      </c>
      <c r="H2672" s="2">
        <v>1530</v>
      </c>
      <c r="I2672" s="2">
        <v>2475</v>
      </c>
      <c r="J2672" s="2">
        <v>2.12</v>
      </c>
      <c r="K2672" s="2">
        <v>8</v>
      </c>
      <c r="L2672" s="2">
        <v>11.22</v>
      </c>
      <c r="M2672" s="2">
        <v>14.43</v>
      </c>
      <c r="N2672" s="2">
        <v>0.66826203799999995</v>
      </c>
      <c r="O2672" s="2">
        <v>0.554716985</v>
      </c>
      <c r="P2672" s="2">
        <v>3.0808201679999998</v>
      </c>
      <c r="Q2672" s="2">
        <v>3.0048945279999999</v>
      </c>
      <c r="R2672" s="2">
        <v>3.064692789</v>
      </c>
      <c r="S2672" s="2">
        <v>3.0046927889999999</v>
      </c>
      <c r="T2672" s="2">
        <v>0.314819024</v>
      </c>
      <c r="U2672" s="2">
        <v>3.4819023999999997E-2</v>
      </c>
      <c r="V2672" s="2">
        <v>4.6979873889999997</v>
      </c>
      <c r="W2672" s="2">
        <v>4.629095382</v>
      </c>
      <c r="X2672">
        <f t="shared" si="123"/>
        <v>1</v>
      </c>
      <c r="Y2672">
        <f t="shared" si="124"/>
        <v>0</v>
      </c>
      <c r="Z2672">
        <f t="shared" si="125"/>
        <v>0</v>
      </c>
    </row>
    <row r="2673" spans="1:26" ht="15.75" customHeight="1" x14ac:dyDescent="0.2">
      <c r="A2673" s="2" t="s">
        <v>36</v>
      </c>
      <c r="B2673" s="2" t="s">
        <v>24</v>
      </c>
      <c r="C2673" s="2" t="s">
        <v>32</v>
      </c>
      <c r="D2673" s="2" t="s">
        <v>33</v>
      </c>
      <c r="E2673" s="2">
        <v>160</v>
      </c>
      <c r="F2673" s="2">
        <v>242</v>
      </c>
      <c r="G2673" s="2">
        <v>695</v>
      </c>
      <c r="H2673" s="2">
        <v>1146</v>
      </c>
      <c r="I2673" s="2">
        <v>3348</v>
      </c>
      <c r="J2673" s="2">
        <v>2.42</v>
      </c>
      <c r="K2673" s="2">
        <v>6.49</v>
      </c>
      <c r="L2673" s="2">
        <v>9.36</v>
      </c>
      <c r="M2673" s="2">
        <v>16.38</v>
      </c>
      <c r="N2673" s="2">
        <v>1.8107226599999999</v>
      </c>
      <c r="O2673" s="2">
        <v>2.1016938569999999</v>
      </c>
      <c r="P2673" s="2">
        <v>2.1923525590000001</v>
      </c>
      <c r="Q2673" s="2">
        <v>2.3601470029999998</v>
      </c>
      <c r="R2673" s="2">
        <v>1.5505448150000001</v>
      </c>
      <c r="S2673" s="2">
        <v>1.490544815</v>
      </c>
      <c r="T2673" s="2">
        <v>1.5499098419999999</v>
      </c>
      <c r="U2673" s="2">
        <v>1.829909842</v>
      </c>
      <c r="V2673" s="2">
        <v>3.183839415</v>
      </c>
      <c r="W2673" s="2">
        <v>3.114947409</v>
      </c>
      <c r="X2673">
        <f t="shared" si="123"/>
        <v>1</v>
      </c>
      <c r="Y2673">
        <f t="shared" si="124"/>
        <v>0</v>
      </c>
      <c r="Z2673">
        <f t="shared" si="125"/>
        <v>1</v>
      </c>
    </row>
    <row r="2674" spans="1:26" ht="15.75" customHeight="1" x14ac:dyDescent="0.2">
      <c r="A2674" s="2" t="s">
        <v>36</v>
      </c>
      <c r="B2674" s="2" t="s">
        <v>24</v>
      </c>
      <c r="C2674" s="2" t="s">
        <v>32</v>
      </c>
      <c r="D2674" s="2" t="s">
        <v>33</v>
      </c>
      <c r="E2674" s="2">
        <v>176</v>
      </c>
      <c r="F2674" s="2">
        <v>243</v>
      </c>
      <c r="G2674" s="2">
        <v>681</v>
      </c>
      <c r="H2674" s="2">
        <v>1595</v>
      </c>
      <c r="I2674" s="2">
        <v>3299</v>
      </c>
      <c r="J2674" s="2">
        <v>2.4300000000000002</v>
      </c>
      <c r="K2674" s="2">
        <v>6.39</v>
      </c>
      <c r="L2674" s="2">
        <v>11.5</v>
      </c>
      <c r="M2674" s="2">
        <v>16.29</v>
      </c>
      <c r="N2674" s="2">
        <v>1.1765005120000001</v>
      </c>
      <c r="O2674" s="2">
        <v>1.097734416</v>
      </c>
      <c r="P2674" s="2">
        <v>1.5609152260000001</v>
      </c>
      <c r="Q2674" s="2">
        <v>1.4196190550000001</v>
      </c>
      <c r="R2674" s="2">
        <v>1.44565371</v>
      </c>
      <c r="S2674" s="2">
        <v>1.3856537099999999</v>
      </c>
      <c r="T2674" s="2">
        <v>0.58867791800000002</v>
      </c>
      <c r="U2674" s="2">
        <v>0.308677918</v>
      </c>
      <c r="V2674" s="2">
        <v>3.0789483099999999</v>
      </c>
      <c r="W2674" s="2">
        <v>3.0100563029999998</v>
      </c>
      <c r="X2674">
        <f t="shared" si="123"/>
        <v>1</v>
      </c>
      <c r="Y2674">
        <f t="shared" si="124"/>
        <v>0</v>
      </c>
      <c r="Z2674">
        <f t="shared" si="125"/>
        <v>1</v>
      </c>
    </row>
    <row r="2675" spans="1:26" ht="15.75" customHeight="1" x14ac:dyDescent="0.2">
      <c r="A2675" s="2" t="s">
        <v>36</v>
      </c>
      <c r="B2675" s="2" t="s">
        <v>24</v>
      </c>
      <c r="C2675" s="2" t="s">
        <v>25</v>
      </c>
      <c r="D2675" s="2" t="s">
        <v>25</v>
      </c>
      <c r="E2675" s="2">
        <v>138</v>
      </c>
      <c r="F2675" s="2">
        <v>216</v>
      </c>
      <c r="G2675" s="2">
        <v>870</v>
      </c>
      <c r="H2675" s="2">
        <v>1370</v>
      </c>
      <c r="I2675" s="2">
        <v>2107</v>
      </c>
      <c r="J2675" s="2">
        <v>2.13</v>
      </c>
      <c r="K2675" s="2">
        <v>7.71</v>
      </c>
      <c r="L2675" s="2">
        <v>10.5</v>
      </c>
      <c r="M2675" s="2">
        <v>13.36</v>
      </c>
      <c r="N2675" s="2">
        <v>0.51604671000000002</v>
      </c>
      <c r="O2675" s="2">
        <v>0.77489415500000003</v>
      </c>
      <c r="P2675" s="2">
        <v>2.7999461440000002</v>
      </c>
      <c r="Q2675" s="2">
        <v>2.7962405669999999</v>
      </c>
      <c r="R2675" s="2">
        <v>2.7697561550000001</v>
      </c>
      <c r="S2675" s="2">
        <v>2.709756155</v>
      </c>
      <c r="T2675" s="2">
        <v>0.41006006</v>
      </c>
      <c r="U2675" s="2">
        <v>0.69006005999999998</v>
      </c>
      <c r="V2675" s="2">
        <v>4.4030507549999998</v>
      </c>
      <c r="W2675" s="2">
        <v>4.3341587480000001</v>
      </c>
      <c r="X2675">
        <f t="shared" si="123"/>
        <v>1</v>
      </c>
      <c r="Y2675">
        <f t="shared" si="124"/>
        <v>0</v>
      </c>
      <c r="Z2675">
        <f t="shared" si="125"/>
        <v>0</v>
      </c>
    </row>
    <row r="2676" spans="1:26" ht="15.75" customHeight="1" x14ac:dyDescent="0.2">
      <c r="A2676" s="2" t="s">
        <v>36</v>
      </c>
      <c r="B2676" s="2" t="s">
        <v>24</v>
      </c>
      <c r="C2676" s="2" t="s">
        <v>25</v>
      </c>
      <c r="D2676" s="2" t="s">
        <v>25</v>
      </c>
      <c r="E2676" s="2">
        <v>175</v>
      </c>
      <c r="F2676" s="2">
        <v>263</v>
      </c>
      <c r="G2676" s="2">
        <v>873</v>
      </c>
      <c r="H2676" s="2">
        <v>1251</v>
      </c>
      <c r="I2676" s="2">
        <v>1677</v>
      </c>
      <c r="J2676" s="2">
        <v>2.65</v>
      </c>
      <c r="K2676" s="2">
        <v>7.73</v>
      </c>
      <c r="L2676" s="2">
        <v>9.92</v>
      </c>
      <c r="M2676" s="2">
        <v>11.83</v>
      </c>
      <c r="N2676" s="2">
        <v>1.0541314340000001</v>
      </c>
      <c r="O2676" s="2">
        <v>1.3434867779999999</v>
      </c>
      <c r="P2676" s="2">
        <v>2.965070576</v>
      </c>
      <c r="Q2676" s="2">
        <v>3.0157197</v>
      </c>
      <c r="R2676" s="2">
        <v>2.7937882350000001</v>
      </c>
      <c r="S2676" s="2">
        <v>2.733788235</v>
      </c>
      <c r="T2676" s="2">
        <v>0.99317209900000003</v>
      </c>
      <c r="U2676" s="2">
        <v>1.2731720989999999</v>
      </c>
      <c r="V2676" s="2">
        <v>4.4270828350000002</v>
      </c>
      <c r="W2676" s="2">
        <v>4.3581908279999997</v>
      </c>
      <c r="X2676">
        <f t="shared" si="123"/>
        <v>1</v>
      </c>
      <c r="Y2676">
        <f t="shared" si="124"/>
        <v>0</v>
      </c>
      <c r="Z2676">
        <f t="shared" si="125"/>
        <v>0</v>
      </c>
    </row>
    <row r="2677" spans="1:26" ht="15.75" customHeight="1" x14ac:dyDescent="0.2">
      <c r="A2677" s="2" t="s">
        <v>36</v>
      </c>
      <c r="B2677" s="2" t="s">
        <v>24</v>
      </c>
      <c r="C2677" s="2" t="s">
        <v>27</v>
      </c>
      <c r="D2677" s="2" t="s">
        <v>27</v>
      </c>
      <c r="E2677" s="2">
        <v>160</v>
      </c>
      <c r="F2677" s="2">
        <v>286</v>
      </c>
      <c r="G2677" s="2">
        <v>523</v>
      </c>
      <c r="H2677" s="2">
        <v>1656</v>
      </c>
      <c r="I2677" s="2">
        <v>2676</v>
      </c>
      <c r="J2677" s="2">
        <v>2.88</v>
      </c>
      <c r="K2677" s="2">
        <v>5.12</v>
      </c>
      <c r="L2677" s="2">
        <v>11.75</v>
      </c>
      <c r="M2677" s="2">
        <v>14.95</v>
      </c>
      <c r="N2677" s="2">
        <v>1.5999788150000001</v>
      </c>
      <c r="O2677" s="2">
        <v>1.8423057890000001</v>
      </c>
      <c r="P2677" s="2">
        <v>0.85521906199999997</v>
      </c>
      <c r="Q2677" s="2">
        <v>0.56886405100000004</v>
      </c>
      <c r="R2677" s="2">
        <v>0.17705195300000001</v>
      </c>
      <c r="S2677" s="2">
        <v>0.117051953</v>
      </c>
      <c r="T2677" s="2">
        <v>0.83669125099999997</v>
      </c>
      <c r="U2677" s="2">
        <v>0.55669125100000005</v>
      </c>
      <c r="V2677" s="2">
        <v>1.810346553</v>
      </c>
      <c r="W2677" s="2">
        <v>1.7414545459999999</v>
      </c>
      <c r="X2677">
        <f t="shared" si="123"/>
        <v>1</v>
      </c>
      <c r="Y2677">
        <f t="shared" si="124"/>
        <v>0</v>
      </c>
      <c r="Z2677">
        <f t="shared" si="125"/>
        <v>0</v>
      </c>
    </row>
    <row r="2678" spans="1:26" ht="15.75" customHeight="1" x14ac:dyDescent="0.2">
      <c r="A2678" s="2" t="s">
        <v>36</v>
      </c>
      <c r="B2678" s="2" t="s">
        <v>24</v>
      </c>
      <c r="C2678" s="2" t="s">
        <v>30</v>
      </c>
      <c r="D2678" s="2" t="s">
        <v>31</v>
      </c>
      <c r="E2678" s="2">
        <v>210</v>
      </c>
      <c r="F2678" s="2">
        <v>267</v>
      </c>
      <c r="G2678" s="2">
        <v>803</v>
      </c>
      <c r="H2678" s="2">
        <v>1246</v>
      </c>
      <c r="I2678" s="2">
        <v>2710</v>
      </c>
      <c r="J2678" s="2">
        <v>2.68</v>
      </c>
      <c r="K2678" s="2">
        <v>7.26</v>
      </c>
      <c r="L2678" s="2">
        <v>9.89</v>
      </c>
      <c r="M2678" s="2">
        <v>15.03</v>
      </c>
      <c r="N2678" s="2">
        <v>4.2763348519999997</v>
      </c>
      <c r="O2678" s="2">
        <v>4.4476325619999999</v>
      </c>
      <c r="P2678" s="2">
        <v>2.5388125650000002</v>
      </c>
      <c r="Q2678" s="2">
        <v>2.6117170710000002</v>
      </c>
      <c r="R2678" s="2">
        <v>2.3239806999999999</v>
      </c>
      <c r="S2678" s="2">
        <v>2.2639806999999998</v>
      </c>
      <c r="T2678" s="2">
        <v>1.0220973280000001</v>
      </c>
      <c r="U2678" s="2">
        <v>1.3020973280000001</v>
      </c>
      <c r="V2678" s="2">
        <v>3.957275299</v>
      </c>
      <c r="W2678" s="2">
        <v>3.888383293</v>
      </c>
      <c r="X2678">
        <f t="shared" si="123"/>
        <v>1</v>
      </c>
      <c r="Y2678">
        <f t="shared" si="124"/>
        <v>0</v>
      </c>
      <c r="Z2678">
        <f t="shared" si="125"/>
        <v>1</v>
      </c>
    </row>
    <row r="2679" spans="1:26" ht="15.75" customHeight="1" x14ac:dyDescent="0.2">
      <c r="A2679" s="2" t="s">
        <v>36</v>
      </c>
      <c r="B2679" s="2" t="s">
        <v>24</v>
      </c>
      <c r="C2679" s="2" t="s">
        <v>28</v>
      </c>
      <c r="D2679" s="2" t="s">
        <v>29</v>
      </c>
      <c r="E2679" s="2">
        <v>134</v>
      </c>
      <c r="F2679" s="2">
        <v>284</v>
      </c>
      <c r="G2679" s="2">
        <v>333</v>
      </c>
      <c r="H2679" s="2">
        <v>1068</v>
      </c>
      <c r="I2679" s="2">
        <v>2170</v>
      </c>
      <c r="J2679" s="2">
        <v>2.86</v>
      </c>
      <c r="K2679" s="2">
        <v>3.36</v>
      </c>
      <c r="L2679" s="2">
        <v>8.93</v>
      </c>
      <c r="M2679" s="2">
        <v>13.56</v>
      </c>
      <c r="N2679" s="2">
        <v>1.4162613669999999</v>
      </c>
      <c r="O2679" s="2">
        <v>1.383510333</v>
      </c>
      <c r="P2679" s="2">
        <v>2.5340263360000002</v>
      </c>
      <c r="Q2679" s="2">
        <v>2.79346652</v>
      </c>
      <c r="R2679" s="2">
        <v>1.576528565</v>
      </c>
      <c r="S2679" s="2">
        <v>1.6365285650000001</v>
      </c>
      <c r="T2679" s="2">
        <v>1.983896962</v>
      </c>
      <c r="U2679" s="2">
        <v>2.263896962</v>
      </c>
      <c r="V2679" s="2">
        <v>5.6766034E-2</v>
      </c>
      <c r="W2679" s="2">
        <v>-1.2125972E-2</v>
      </c>
      <c r="X2679">
        <f t="shared" si="123"/>
        <v>1</v>
      </c>
      <c r="Y2679">
        <f t="shared" si="124"/>
        <v>0</v>
      </c>
      <c r="Z2679">
        <f t="shared" si="125"/>
        <v>1</v>
      </c>
    </row>
    <row r="2680" spans="1:26" ht="15.75" customHeight="1" x14ac:dyDescent="0.2">
      <c r="A2680" s="2" t="s">
        <v>36</v>
      </c>
      <c r="B2680" s="2" t="s">
        <v>24</v>
      </c>
      <c r="C2680" s="2" t="s">
        <v>28</v>
      </c>
      <c r="D2680" s="2" t="s">
        <v>29</v>
      </c>
      <c r="E2680" s="2">
        <v>161</v>
      </c>
      <c r="F2680" s="2">
        <v>252</v>
      </c>
      <c r="G2680" s="2">
        <v>399</v>
      </c>
      <c r="H2680" s="2">
        <v>1473</v>
      </c>
      <c r="I2680" s="2">
        <v>2666</v>
      </c>
      <c r="J2680" s="2">
        <v>2.5299999999999998</v>
      </c>
      <c r="K2680" s="2">
        <v>4</v>
      </c>
      <c r="L2680" s="2">
        <v>10.97</v>
      </c>
      <c r="M2680" s="2">
        <v>14.92</v>
      </c>
      <c r="N2680" s="2">
        <v>2.6363688879999998</v>
      </c>
      <c r="O2680" s="2">
        <v>2.3791580680000002</v>
      </c>
      <c r="P2680" s="2">
        <v>0.94075841900000001</v>
      </c>
      <c r="Q2680" s="2">
        <v>1.0214300540000001</v>
      </c>
      <c r="R2680" s="2">
        <v>0.938518937</v>
      </c>
      <c r="S2680" s="2">
        <v>0.99851893700000005</v>
      </c>
      <c r="T2680" s="2">
        <v>6.4873786000000003E-2</v>
      </c>
      <c r="U2680" s="2">
        <v>0.21512621400000001</v>
      </c>
      <c r="V2680" s="2">
        <v>0.69477566199999996</v>
      </c>
      <c r="W2680" s="2">
        <v>0.62588365599999995</v>
      </c>
      <c r="X2680">
        <f t="shared" si="123"/>
        <v>1</v>
      </c>
      <c r="Y2680">
        <f t="shared" si="124"/>
        <v>0</v>
      </c>
      <c r="Z2680">
        <f t="shared" si="125"/>
        <v>1</v>
      </c>
    </row>
    <row r="2681" spans="1:26" ht="15.75" customHeight="1" x14ac:dyDescent="0.2">
      <c r="A2681" s="2" t="s">
        <v>36</v>
      </c>
      <c r="B2681" s="2" t="s">
        <v>24</v>
      </c>
      <c r="C2681" s="2" t="s">
        <v>32</v>
      </c>
      <c r="D2681" s="2" t="s">
        <v>33</v>
      </c>
      <c r="E2681" s="2">
        <v>165</v>
      </c>
      <c r="F2681" s="2">
        <v>255</v>
      </c>
      <c r="G2681" s="2">
        <v>772</v>
      </c>
      <c r="H2681" s="2">
        <v>1563</v>
      </c>
      <c r="I2681" s="2">
        <v>3519</v>
      </c>
      <c r="J2681" s="2">
        <v>2.56</v>
      </c>
      <c r="K2681" s="2">
        <v>7.05</v>
      </c>
      <c r="L2681" s="2">
        <v>11.36</v>
      </c>
      <c r="M2681" s="2">
        <v>16.690000000000001</v>
      </c>
      <c r="N2681" s="2">
        <v>0.57304631399999995</v>
      </c>
      <c r="O2681" s="2">
        <v>0.42365687499999999</v>
      </c>
      <c r="P2681" s="2">
        <v>2.1566496879999999</v>
      </c>
      <c r="Q2681" s="2">
        <v>2.0556450700000002</v>
      </c>
      <c r="R2681" s="2">
        <v>2.1082322800000002</v>
      </c>
      <c r="S2681" s="2">
        <v>2.0482322800000001</v>
      </c>
      <c r="T2681" s="2">
        <v>0.45441669000000001</v>
      </c>
      <c r="U2681" s="2">
        <v>0.17441669000000001</v>
      </c>
      <c r="V2681" s="2">
        <v>3.7415268799999999</v>
      </c>
      <c r="W2681" s="2">
        <v>3.6726348729999998</v>
      </c>
      <c r="X2681">
        <f t="shared" si="123"/>
        <v>1</v>
      </c>
      <c r="Y2681">
        <f t="shared" si="124"/>
        <v>0</v>
      </c>
      <c r="Z2681">
        <f t="shared" si="125"/>
        <v>1</v>
      </c>
    </row>
    <row r="2682" spans="1:26" ht="15.75" customHeight="1" x14ac:dyDescent="0.2">
      <c r="A2682" s="2" t="s">
        <v>36</v>
      </c>
      <c r="B2682" s="2" t="s">
        <v>24</v>
      </c>
      <c r="C2682" s="2" t="s">
        <v>26</v>
      </c>
      <c r="D2682" s="2" t="s">
        <v>26</v>
      </c>
      <c r="E2682" s="2">
        <v>146</v>
      </c>
      <c r="F2682" s="2">
        <v>209</v>
      </c>
      <c r="G2682" s="2">
        <v>474</v>
      </c>
      <c r="H2682" s="2">
        <v>987</v>
      </c>
      <c r="I2682" s="2">
        <v>2751</v>
      </c>
      <c r="J2682" s="2">
        <v>2.0499999999999998</v>
      </c>
      <c r="K2682" s="2">
        <v>4.6900000000000004</v>
      </c>
      <c r="L2682" s="2">
        <v>8.4499999999999993</v>
      </c>
      <c r="M2682" s="2">
        <v>15.13</v>
      </c>
      <c r="N2682" s="2">
        <v>2.1227168000000001E-2</v>
      </c>
      <c r="O2682" s="2">
        <v>0.262238739</v>
      </c>
      <c r="P2682" s="2">
        <v>2.471736333</v>
      </c>
      <c r="Q2682" s="2">
        <v>2.7565697729999998</v>
      </c>
      <c r="R2682" s="2">
        <v>0.25194630899999998</v>
      </c>
      <c r="S2682" s="2">
        <v>0.31194630899999998</v>
      </c>
      <c r="T2682" s="2">
        <v>2.458862248</v>
      </c>
      <c r="U2682" s="2">
        <v>2.7388622480000002</v>
      </c>
      <c r="V2682" s="2">
        <v>1.3813482909999999</v>
      </c>
      <c r="W2682" s="2">
        <v>1.312456284</v>
      </c>
      <c r="X2682">
        <f t="shared" si="123"/>
        <v>1</v>
      </c>
      <c r="Y2682">
        <f t="shared" si="124"/>
        <v>0</v>
      </c>
      <c r="Z2682">
        <f t="shared" si="125"/>
        <v>0</v>
      </c>
    </row>
    <row r="2683" spans="1:26" ht="15.75" customHeight="1" x14ac:dyDescent="0.2">
      <c r="A2683" s="2" t="s">
        <v>36</v>
      </c>
      <c r="B2683" s="2" t="s">
        <v>24</v>
      </c>
      <c r="C2683" s="2" t="s">
        <v>25</v>
      </c>
      <c r="D2683" s="2" t="s">
        <v>25</v>
      </c>
      <c r="E2683" s="2">
        <v>168</v>
      </c>
      <c r="F2683" s="2">
        <v>273</v>
      </c>
      <c r="G2683" s="2">
        <v>812</v>
      </c>
      <c r="H2683" s="2">
        <v>1680</v>
      </c>
      <c r="I2683" s="2">
        <v>2080</v>
      </c>
      <c r="J2683" s="2">
        <v>2.74</v>
      </c>
      <c r="K2683" s="2">
        <v>7.32</v>
      </c>
      <c r="L2683" s="2">
        <v>11.84</v>
      </c>
      <c r="M2683" s="2">
        <v>13.27</v>
      </c>
      <c r="N2683" s="2">
        <v>0.92657661199999997</v>
      </c>
      <c r="O2683" s="2">
        <v>0.62546348100000004</v>
      </c>
      <c r="P2683" s="2">
        <v>2.5593671790000001</v>
      </c>
      <c r="Q2683" s="2">
        <v>2.4133244230000002</v>
      </c>
      <c r="R2683" s="2">
        <v>2.3834343429999998</v>
      </c>
      <c r="S2683" s="2">
        <v>2.3234343430000002</v>
      </c>
      <c r="T2683" s="2">
        <v>0.93252404099999997</v>
      </c>
      <c r="U2683" s="2">
        <v>0.65252404100000005</v>
      </c>
      <c r="V2683" s="2">
        <v>4.0167289430000004</v>
      </c>
      <c r="W2683" s="2">
        <v>3.9478369369999999</v>
      </c>
      <c r="X2683">
        <f t="shared" si="123"/>
        <v>1</v>
      </c>
      <c r="Y2683">
        <f t="shared" si="124"/>
        <v>0</v>
      </c>
      <c r="Z2683">
        <f t="shared" si="125"/>
        <v>0</v>
      </c>
    </row>
    <row r="2684" spans="1:26" ht="15.75" customHeight="1" x14ac:dyDescent="0.2">
      <c r="A2684" s="2" t="s">
        <v>36</v>
      </c>
      <c r="B2684" s="2" t="s">
        <v>24</v>
      </c>
      <c r="C2684" s="2" t="s">
        <v>30</v>
      </c>
      <c r="D2684" s="2" t="s">
        <v>31</v>
      </c>
      <c r="E2684" s="2">
        <v>210</v>
      </c>
      <c r="F2684" s="2">
        <v>209</v>
      </c>
      <c r="G2684" s="2">
        <v>626</v>
      </c>
      <c r="H2684" s="2">
        <v>1042</v>
      </c>
      <c r="I2684" s="2">
        <v>2297</v>
      </c>
      <c r="J2684" s="2">
        <v>2.06</v>
      </c>
      <c r="K2684" s="2">
        <v>5.96</v>
      </c>
      <c r="L2684" s="2">
        <v>8.7799999999999994</v>
      </c>
      <c r="M2684" s="2">
        <v>13.94</v>
      </c>
      <c r="N2684" s="2">
        <v>4.6868992629999999</v>
      </c>
      <c r="O2684" s="2">
        <v>4.92637064</v>
      </c>
      <c r="P2684" s="2">
        <v>2.3647816850000001</v>
      </c>
      <c r="Q2684" s="2">
        <v>2.5972185109999999</v>
      </c>
      <c r="R2684" s="2">
        <v>1.022587962</v>
      </c>
      <c r="S2684" s="2">
        <v>0.96258796199999996</v>
      </c>
      <c r="T2684" s="2">
        <v>2.1322538029999998</v>
      </c>
      <c r="U2684" s="2">
        <v>2.412253803</v>
      </c>
      <c r="V2684" s="2">
        <v>2.6558825619999999</v>
      </c>
      <c r="W2684" s="2">
        <v>2.5869905559999999</v>
      </c>
      <c r="X2684">
        <f t="shared" si="123"/>
        <v>1</v>
      </c>
      <c r="Y2684">
        <f t="shared" si="124"/>
        <v>0</v>
      </c>
      <c r="Z2684">
        <f t="shared" si="125"/>
        <v>1</v>
      </c>
    </row>
    <row r="2685" spans="1:26" ht="15.75" customHeight="1" x14ac:dyDescent="0.2">
      <c r="A2685" s="2" t="s">
        <v>36</v>
      </c>
      <c r="B2685" s="2" t="s">
        <v>24</v>
      </c>
      <c r="C2685" s="2" t="s">
        <v>27</v>
      </c>
      <c r="D2685" s="2" t="s">
        <v>27</v>
      </c>
      <c r="E2685" s="2">
        <v>181</v>
      </c>
      <c r="F2685" s="2">
        <v>261</v>
      </c>
      <c r="G2685" s="2">
        <v>467</v>
      </c>
      <c r="H2685" s="2">
        <v>2460</v>
      </c>
      <c r="I2685" s="2">
        <v>3401</v>
      </c>
      <c r="J2685" s="2">
        <v>2.62</v>
      </c>
      <c r="K2685" s="2">
        <v>4.63</v>
      </c>
      <c r="L2685" s="2">
        <v>14.39</v>
      </c>
      <c r="M2685" s="2">
        <v>16.48</v>
      </c>
      <c r="N2685" s="2">
        <v>1.111033519</v>
      </c>
      <c r="O2685" s="2">
        <v>0.84823294199999999</v>
      </c>
      <c r="P2685" s="2">
        <v>3.4946621420000001</v>
      </c>
      <c r="Q2685" s="2">
        <v>3.2223109380000001</v>
      </c>
      <c r="R2685" s="2">
        <v>0.31423076900000002</v>
      </c>
      <c r="S2685" s="2">
        <v>0.37423076900000002</v>
      </c>
      <c r="T2685" s="2">
        <v>3.4805060710000002</v>
      </c>
      <c r="U2685" s="2">
        <v>3.200506071</v>
      </c>
      <c r="V2685" s="2">
        <v>1.3190638299999999</v>
      </c>
      <c r="W2685" s="2">
        <v>1.2501718239999999</v>
      </c>
      <c r="X2685">
        <f t="shared" si="123"/>
        <v>1</v>
      </c>
      <c r="Y2685">
        <f t="shared" si="124"/>
        <v>0</v>
      </c>
      <c r="Z2685">
        <f t="shared" si="125"/>
        <v>0</v>
      </c>
    </row>
    <row r="2686" spans="1:26" ht="15.75" customHeight="1" x14ac:dyDescent="0.2">
      <c r="A2686" s="2" t="s">
        <v>36</v>
      </c>
      <c r="B2686" s="2" t="s">
        <v>24</v>
      </c>
      <c r="C2686" s="2" t="s">
        <v>30</v>
      </c>
      <c r="D2686" s="2" t="s">
        <v>31</v>
      </c>
      <c r="E2686" s="2">
        <v>166</v>
      </c>
      <c r="F2686" s="2">
        <v>267</v>
      </c>
      <c r="G2686" s="2">
        <v>807</v>
      </c>
      <c r="H2686" s="2">
        <v>1182</v>
      </c>
      <c r="I2686" s="2">
        <v>2655</v>
      </c>
      <c r="J2686" s="2">
        <v>2.68</v>
      </c>
      <c r="K2686" s="2">
        <v>7.29</v>
      </c>
      <c r="L2686" s="2">
        <v>9.56</v>
      </c>
      <c r="M2686" s="2">
        <v>14.89</v>
      </c>
      <c r="N2686" s="2">
        <v>4.5560291570000002</v>
      </c>
      <c r="O2686" s="2">
        <v>4.7356664940000002</v>
      </c>
      <c r="P2686" s="2">
        <v>2.7087075760000001</v>
      </c>
      <c r="Q2686" s="2">
        <v>2.8097788920000002</v>
      </c>
      <c r="R2686" s="2">
        <v>2.346891566</v>
      </c>
      <c r="S2686" s="2">
        <v>2.286891566</v>
      </c>
      <c r="T2686" s="2">
        <v>1.352477989</v>
      </c>
      <c r="U2686" s="2">
        <v>1.6324779890000001</v>
      </c>
      <c r="V2686" s="2">
        <v>3.9801861660000002</v>
      </c>
      <c r="W2686" s="2">
        <v>3.9112941590000001</v>
      </c>
      <c r="X2686">
        <f t="shared" si="123"/>
        <v>1</v>
      </c>
      <c r="Y2686">
        <f t="shared" si="124"/>
        <v>0</v>
      </c>
      <c r="Z2686">
        <f t="shared" si="125"/>
        <v>1</v>
      </c>
    </row>
    <row r="2687" spans="1:26" ht="15.75" customHeight="1" x14ac:dyDescent="0.2">
      <c r="A2687" s="2" t="s">
        <v>36</v>
      </c>
      <c r="B2687" s="2" t="s">
        <v>24</v>
      </c>
      <c r="C2687" s="2" t="s">
        <v>27</v>
      </c>
      <c r="D2687" s="2" t="s">
        <v>27</v>
      </c>
      <c r="E2687" s="2">
        <v>130</v>
      </c>
      <c r="F2687" s="2">
        <v>233</v>
      </c>
      <c r="G2687" s="2">
        <v>411</v>
      </c>
      <c r="H2687" s="2">
        <v>2089</v>
      </c>
      <c r="I2687" s="2">
        <v>2775</v>
      </c>
      <c r="J2687" s="2">
        <v>2.3199999999999998</v>
      </c>
      <c r="K2687" s="2">
        <v>4.12</v>
      </c>
      <c r="L2687" s="2">
        <v>13.3</v>
      </c>
      <c r="M2687" s="2">
        <v>15.18</v>
      </c>
      <c r="N2687" s="2">
        <v>0.54001279499999999</v>
      </c>
      <c r="O2687" s="2">
        <v>0.66688575800000005</v>
      </c>
      <c r="P2687" s="2">
        <v>2.529577792</v>
      </c>
      <c r="Q2687" s="2">
        <v>2.2888737379999999</v>
      </c>
      <c r="R2687" s="2">
        <v>0.81951644599999995</v>
      </c>
      <c r="S2687" s="2">
        <v>0.87951644600000001</v>
      </c>
      <c r="T2687" s="2">
        <v>2.3931478429999999</v>
      </c>
      <c r="U2687" s="2">
        <v>2.1131478430000001</v>
      </c>
      <c r="V2687" s="2">
        <v>0.813778153</v>
      </c>
      <c r="W2687" s="2">
        <v>0.744886147</v>
      </c>
      <c r="X2687">
        <f t="shared" si="123"/>
        <v>1</v>
      </c>
      <c r="Y2687">
        <f t="shared" si="124"/>
        <v>0</v>
      </c>
      <c r="Z2687">
        <f t="shared" si="125"/>
        <v>0</v>
      </c>
    </row>
    <row r="2688" spans="1:26" ht="15.75" customHeight="1" x14ac:dyDescent="0.2">
      <c r="A2688" s="2" t="s">
        <v>36</v>
      </c>
      <c r="B2688" s="2" t="s">
        <v>24</v>
      </c>
      <c r="C2688" s="2" t="s">
        <v>26</v>
      </c>
      <c r="D2688" s="2" t="s">
        <v>26</v>
      </c>
      <c r="E2688" s="2">
        <v>163</v>
      </c>
      <c r="F2688" s="2">
        <v>240</v>
      </c>
      <c r="G2688" s="2">
        <v>486</v>
      </c>
      <c r="H2688" s="2">
        <v>1046</v>
      </c>
      <c r="I2688" s="2">
        <v>2812</v>
      </c>
      <c r="J2688" s="2">
        <v>2.39</v>
      </c>
      <c r="K2688" s="2">
        <v>4.8</v>
      </c>
      <c r="L2688" s="2">
        <v>8.8000000000000007</v>
      </c>
      <c r="M2688" s="2">
        <v>15.27</v>
      </c>
      <c r="N2688" s="2">
        <v>0.38427113699999998</v>
      </c>
      <c r="O2688" s="2">
        <v>0.111431501</v>
      </c>
      <c r="P2688" s="2">
        <v>2.115748</v>
      </c>
      <c r="Q2688" s="2">
        <v>2.3995135439999999</v>
      </c>
      <c r="R2688" s="2">
        <v>0.14307440699999999</v>
      </c>
      <c r="S2688" s="2">
        <v>0.20307440700000001</v>
      </c>
      <c r="T2688" s="2">
        <v>2.110904857</v>
      </c>
      <c r="U2688" s="2">
        <v>2.3909048570000002</v>
      </c>
      <c r="V2688" s="2">
        <v>1.490220192</v>
      </c>
      <c r="W2688" s="2">
        <v>1.421328186</v>
      </c>
      <c r="X2688">
        <f t="shared" si="123"/>
        <v>1</v>
      </c>
      <c r="Y2688">
        <f t="shared" si="124"/>
        <v>0</v>
      </c>
      <c r="Z2688">
        <f t="shared" si="125"/>
        <v>0</v>
      </c>
    </row>
    <row r="2689" spans="1:26" ht="15.75" customHeight="1" x14ac:dyDescent="0.2">
      <c r="A2689" s="2" t="s">
        <v>36</v>
      </c>
      <c r="B2689" s="2" t="s">
        <v>24</v>
      </c>
      <c r="C2689" s="2" t="s">
        <v>27</v>
      </c>
      <c r="D2689" s="2" t="s">
        <v>27</v>
      </c>
      <c r="E2689" s="2">
        <v>188</v>
      </c>
      <c r="F2689" s="2">
        <v>277</v>
      </c>
      <c r="G2689" s="2">
        <v>468</v>
      </c>
      <c r="H2689" s="2">
        <v>2306</v>
      </c>
      <c r="I2689" s="2">
        <v>3115</v>
      </c>
      <c r="J2689" s="2">
        <v>2.79</v>
      </c>
      <c r="K2689" s="2">
        <v>4.63</v>
      </c>
      <c r="L2689" s="2">
        <v>13.96</v>
      </c>
      <c r="M2689" s="2">
        <v>15.93</v>
      </c>
      <c r="N2689" s="2">
        <v>0.68173907199999995</v>
      </c>
      <c r="O2689" s="2">
        <v>0.42453814400000001</v>
      </c>
      <c r="P2689" s="2">
        <v>3.066505765</v>
      </c>
      <c r="Q2689" s="2">
        <v>2.795243148</v>
      </c>
      <c r="R2689" s="2">
        <v>0.305310998</v>
      </c>
      <c r="S2689" s="2">
        <v>0.365310998</v>
      </c>
      <c r="T2689" s="2">
        <v>3.0512690469999999</v>
      </c>
      <c r="U2689" s="2">
        <v>2.7712690470000001</v>
      </c>
      <c r="V2689" s="2">
        <v>1.3279836009999999</v>
      </c>
      <c r="W2689" s="2">
        <v>1.2590915949999999</v>
      </c>
      <c r="X2689">
        <f t="shared" si="123"/>
        <v>1</v>
      </c>
      <c r="Y2689">
        <f t="shared" si="124"/>
        <v>0</v>
      </c>
      <c r="Z2689">
        <f t="shared" si="125"/>
        <v>0</v>
      </c>
    </row>
    <row r="2690" spans="1:26" ht="15.75" customHeight="1" x14ac:dyDescent="0.2">
      <c r="A2690" s="2" t="s">
        <v>36</v>
      </c>
      <c r="B2690" s="2" t="s">
        <v>24</v>
      </c>
      <c r="C2690" s="2" t="s">
        <v>30</v>
      </c>
      <c r="D2690" s="2" t="s">
        <v>31</v>
      </c>
      <c r="E2690" s="2">
        <v>190</v>
      </c>
      <c r="F2690" s="2">
        <v>237</v>
      </c>
      <c r="G2690" s="2">
        <v>819</v>
      </c>
      <c r="H2690" s="2">
        <v>1354</v>
      </c>
      <c r="I2690" s="2">
        <v>3494</v>
      </c>
      <c r="J2690" s="2">
        <v>2.36</v>
      </c>
      <c r="K2690" s="2">
        <v>7.37</v>
      </c>
      <c r="L2690" s="2">
        <v>10.43</v>
      </c>
      <c r="M2690" s="2">
        <v>16.649999999999999</v>
      </c>
      <c r="N2690" s="2">
        <v>3.9353854579999998</v>
      </c>
      <c r="O2690" s="2">
        <v>4.0834598120000001</v>
      </c>
      <c r="P2690" s="2">
        <v>2.476795879</v>
      </c>
      <c r="Q2690" s="2">
        <v>2.4892675240000002</v>
      </c>
      <c r="R2690" s="2">
        <v>2.4289155469999999</v>
      </c>
      <c r="S2690" s="2">
        <v>2.3689155469999998</v>
      </c>
      <c r="T2690" s="2">
        <v>0.48465151400000001</v>
      </c>
      <c r="U2690" s="2">
        <v>0.76465151399999998</v>
      </c>
      <c r="V2690" s="2">
        <v>4.062210147</v>
      </c>
      <c r="W2690" s="2">
        <v>3.99331814</v>
      </c>
      <c r="X2690">
        <f t="shared" si="123"/>
        <v>1</v>
      </c>
      <c r="Y2690">
        <f t="shared" si="124"/>
        <v>0</v>
      </c>
      <c r="Z2690">
        <f t="shared" si="125"/>
        <v>1</v>
      </c>
    </row>
    <row r="2691" spans="1:26" ht="15.75" customHeight="1" x14ac:dyDescent="0.2">
      <c r="A2691" s="2" t="s">
        <v>36</v>
      </c>
      <c r="B2691" s="2" t="s">
        <v>24</v>
      </c>
      <c r="C2691" s="2" t="s">
        <v>27</v>
      </c>
      <c r="D2691" s="2" t="s">
        <v>27</v>
      </c>
      <c r="E2691" s="2">
        <v>161</v>
      </c>
      <c r="F2691" s="2">
        <v>231</v>
      </c>
      <c r="G2691" s="2">
        <v>452</v>
      </c>
      <c r="H2691" s="2">
        <v>2279</v>
      </c>
      <c r="I2691" s="2">
        <v>3066</v>
      </c>
      <c r="J2691" s="2">
        <v>2.2999999999999998</v>
      </c>
      <c r="K2691" s="2">
        <v>4.49</v>
      </c>
      <c r="L2691" s="2">
        <v>13.88</v>
      </c>
      <c r="M2691" s="2">
        <v>15.82</v>
      </c>
      <c r="N2691" s="2">
        <v>0.62615308999999997</v>
      </c>
      <c r="O2691" s="2">
        <v>0.414576997</v>
      </c>
      <c r="P2691" s="2">
        <v>3.007019262</v>
      </c>
      <c r="Q2691" s="2">
        <v>2.7408684010000002</v>
      </c>
      <c r="R2691" s="2">
        <v>0.44590381400000001</v>
      </c>
      <c r="S2691" s="2">
        <v>0.50590381399999995</v>
      </c>
      <c r="T2691" s="2">
        <v>2.9737744749999999</v>
      </c>
      <c r="U2691" s="2">
        <v>2.6937744750000001</v>
      </c>
      <c r="V2691" s="2">
        <v>1.1873907850000001</v>
      </c>
      <c r="W2691" s="2">
        <v>1.1184987790000001</v>
      </c>
      <c r="X2691">
        <f t="shared" ref="X2691:X2754" si="126">IF(B2691="normal",1,0)</f>
        <v>1</v>
      </c>
      <c r="Y2691">
        <f t="shared" ref="Y2691:Y2754" si="127">IF(A2691="lecture",1,0)</f>
        <v>0</v>
      </c>
      <c r="Z2691">
        <f t="shared" ref="Z2691:Z2754" si="128">IF(ISNUMBER(FIND("~",D2691)),1,0)</f>
        <v>0</v>
      </c>
    </row>
    <row r="2692" spans="1:26" ht="15.75" customHeight="1" x14ac:dyDescent="0.2">
      <c r="A2692" s="2" t="s">
        <v>36</v>
      </c>
      <c r="B2692" s="2" t="s">
        <v>24</v>
      </c>
      <c r="C2692" s="2" t="s">
        <v>26</v>
      </c>
      <c r="D2692" s="2" t="s">
        <v>26</v>
      </c>
      <c r="E2692" s="2">
        <v>214</v>
      </c>
      <c r="F2692" s="2">
        <v>234</v>
      </c>
      <c r="G2692" s="2">
        <v>448</v>
      </c>
      <c r="H2692" s="2">
        <v>1034</v>
      </c>
      <c r="I2692" s="2">
        <v>2900</v>
      </c>
      <c r="J2692" s="2">
        <v>2.33</v>
      </c>
      <c r="K2692" s="2">
        <v>4.46</v>
      </c>
      <c r="L2692" s="2">
        <v>8.73</v>
      </c>
      <c r="M2692" s="2">
        <v>15.47</v>
      </c>
      <c r="N2692" s="2">
        <v>0.37824115699999999</v>
      </c>
      <c r="O2692" s="2">
        <v>0.26988974999999998</v>
      </c>
      <c r="P2692" s="2">
        <v>2.2310571800000001</v>
      </c>
      <c r="Q2692" s="2">
        <v>2.5174100089999998</v>
      </c>
      <c r="R2692" s="2">
        <v>0.47907266399999998</v>
      </c>
      <c r="S2692" s="2">
        <v>0.53907266399999998</v>
      </c>
      <c r="T2692" s="2">
        <v>2.1790148060000001</v>
      </c>
      <c r="U2692" s="2">
        <v>2.4590148059999999</v>
      </c>
      <c r="V2692" s="2">
        <v>1.154221935</v>
      </c>
      <c r="W2692" s="2">
        <v>1.085329929</v>
      </c>
      <c r="X2692">
        <f t="shared" si="126"/>
        <v>1</v>
      </c>
      <c r="Y2692">
        <f t="shared" si="127"/>
        <v>0</v>
      </c>
      <c r="Z2692">
        <f t="shared" si="128"/>
        <v>0</v>
      </c>
    </row>
    <row r="2693" spans="1:26" ht="15.75" customHeight="1" x14ac:dyDescent="0.2">
      <c r="A2693" s="2" t="s">
        <v>36</v>
      </c>
      <c r="B2693" s="2" t="s">
        <v>24</v>
      </c>
      <c r="C2693" s="2" t="s">
        <v>30</v>
      </c>
      <c r="D2693" s="2" t="s">
        <v>31</v>
      </c>
      <c r="E2693" s="2">
        <v>136</v>
      </c>
      <c r="F2693" s="2">
        <v>244</v>
      </c>
      <c r="G2693" s="2">
        <v>865</v>
      </c>
      <c r="H2693" s="2">
        <v>1389</v>
      </c>
      <c r="I2693" s="2">
        <v>3580</v>
      </c>
      <c r="J2693" s="2">
        <v>2.4300000000000002</v>
      </c>
      <c r="K2693" s="2">
        <v>7.68</v>
      </c>
      <c r="L2693" s="2">
        <v>10.59</v>
      </c>
      <c r="M2693" s="2">
        <v>16.8</v>
      </c>
      <c r="N2693" s="2">
        <v>4.042346899</v>
      </c>
      <c r="O2693" s="2">
        <v>4.170138551</v>
      </c>
      <c r="P2693" s="2">
        <v>2.755590609</v>
      </c>
      <c r="Q2693" s="2">
        <v>2.743419904</v>
      </c>
      <c r="R2693" s="2">
        <v>2.7368845880000001</v>
      </c>
      <c r="S2693" s="2">
        <v>2.6768845880000001</v>
      </c>
      <c r="T2693" s="2">
        <v>0.32053448800000001</v>
      </c>
      <c r="U2693" s="2">
        <v>0.60053448799999998</v>
      </c>
      <c r="V2693" s="2">
        <v>4.3701791879999998</v>
      </c>
      <c r="W2693" s="2">
        <v>4.3012871810000002</v>
      </c>
      <c r="X2693">
        <f t="shared" si="126"/>
        <v>1</v>
      </c>
      <c r="Y2693">
        <f t="shared" si="127"/>
        <v>0</v>
      </c>
      <c r="Z2693">
        <f t="shared" si="128"/>
        <v>1</v>
      </c>
    </row>
    <row r="2694" spans="1:26" ht="15.75" customHeight="1" x14ac:dyDescent="0.2">
      <c r="A2694" s="2" t="s">
        <v>36</v>
      </c>
      <c r="B2694" s="2" t="s">
        <v>24</v>
      </c>
      <c r="C2694" s="2" t="s">
        <v>32</v>
      </c>
      <c r="D2694" s="2" t="s">
        <v>33</v>
      </c>
      <c r="E2694" s="2">
        <v>101</v>
      </c>
      <c r="F2694" s="2">
        <v>270</v>
      </c>
      <c r="G2694" s="2">
        <v>515</v>
      </c>
      <c r="H2694" s="2">
        <v>850</v>
      </c>
      <c r="I2694" s="2">
        <v>1544</v>
      </c>
      <c r="J2694" s="2">
        <v>2.71</v>
      </c>
      <c r="K2694" s="2">
        <v>5.05</v>
      </c>
      <c r="L2694" s="2">
        <v>7.58</v>
      </c>
      <c r="M2694" s="2">
        <v>11.28</v>
      </c>
      <c r="N2694" s="2">
        <v>4.0906010439999996</v>
      </c>
      <c r="O2694" s="2">
        <v>4.3692742610000002</v>
      </c>
      <c r="P2694" s="2">
        <v>3.3319853190000002</v>
      </c>
      <c r="Q2694" s="2">
        <v>3.6105412559999999</v>
      </c>
      <c r="R2694" s="2">
        <v>0.108646465</v>
      </c>
      <c r="S2694" s="2">
        <v>4.8646465E-2</v>
      </c>
      <c r="T2694" s="2">
        <v>3.3302135229999998</v>
      </c>
      <c r="U2694" s="2">
        <v>3.6102135230000001</v>
      </c>
      <c r="V2694" s="2">
        <v>1.7419410639999999</v>
      </c>
      <c r="W2694" s="2">
        <v>1.6730490579999999</v>
      </c>
      <c r="X2694">
        <f t="shared" si="126"/>
        <v>1</v>
      </c>
      <c r="Y2694">
        <f t="shared" si="127"/>
        <v>0</v>
      </c>
      <c r="Z2694">
        <f t="shared" si="128"/>
        <v>1</v>
      </c>
    </row>
    <row r="2695" spans="1:26" ht="15.75" customHeight="1" x14ac:dyDescent="0.2">
      <c r="A2695" s="2" t="s">
        <v>36</v>
      </c>
      <c r="B2695" s="2" t="s">
        <v>24</v>
      </c>
      <c r="C2695" s="2" t="s">
        <v>28</v>
      </c>
      <c r="D2695" s="2" t="s">
        <v>29</v>
      </c>
      <c r="E2695" s="2">
        <v>180</v>
      </c>
      <c r="F2695" s="2">
        <v>261</v>
      </c>
      <c r="G2695" s="2">
        <v>334</v>
      </c>
      <c r="H2695" s="2">
        <v>1346</v>
      </c>
      <c r="I2695" s="2">
        <v>2139</v>
      </c>
      <c r="J2695" s="2">
        <v>2.62</v>
      </c>
      <c r="K2695" s="2">
        <v>3.38</v>
      </c>
      <c r="L2695" s="2">
        <v>10.39</v>
      </c>
      <c r="M2695" s="2">
        <v>13.46</v>
      </c>
      <c r="N2695" s="2">
        <v>2.3554298550000001</v>
      </c>
      <c r="O2695" s="2">
        <v>2.1536228880000001</v>
      </c>
      <c r="P2695" s="2">
        <v>1.6488935149999999</v>
      </c>
      <c r="Q2695" s="2">
        <v>1.8116898180000001</v>
      </c>
      <c r="R2695" s="2">
        <v>1.5632108090000001</v>
      </c>
      <c r="S2695" s="2">
        <v>1.6232108089999999</v>
      </c>
      <c r="T2695" s="2">
        <v>0.52461584999999999</v>
      </c>
      <c r="U2695" s="2">
        <v>0.80461585000000002</v>
      </c>
      <c r="V2695" s="2">
        <v>7.0083790000000007E-2</v>
      </c>
      <c r="W2695" s="2">
        <v>1.191784E-3</v>
      </c>
      <c r="X2695">
        <f t="shared" si="126"/>
        <v>1</v>
      </c>
      <c r="Y2695">
        <f t="shared" si="127"/>
        <v>0</v>
      </c>
      <c r="Z2695">
        <f t="shared" si="128"/>
        <v>1</v>
      </c>
    </row>
    <row r="2696" spans="1:26" ht="15.75" customHeight="1" x14ac:dyDescent="0.2">
      <c r="A2696" s="2" t="s">
        <v>36</v>
      </c>
      <c r="B2696" s="2" t="s">
        <v>24</v>
      </c>
      <c r="C2696" s="2" t="s">
        <v>28</v>
      </c>
      <c r="D2696" s="2" t="s">
        <v>29</v>
      </c>
      <c r="E2696" s="2">
        <v>155</v>
      </c>
      <c r="F2696" s="2">
        <v>264</v>
      </c>
      <c r="G2696" s="2">
        <v>304</v>
      </c>
      <c r="H2696" s="2">
        <v>1226</v>
      </c>
      <c r="I2696" s="2">
        <v>2385</v>
      </c>
      <c r="J2696" s="2">
        <v>2.65</v>
      </c>
      <c r="K2696" s="2">
        <v>3.07</v>
      </c>
      <c r="L2696" s="2">
        <v>9.7799999999999994</v>
      </c>
      <c r="M2696" s="2">
        <v>14.19</v>
      </c>
      <c r="N2696" s="2">
        <v>2.1146431410000002</v>
      </c>
      <c r="O2696" s="2">
        <v>1.9806058849999999</v>
      </c>
      <c r="P2696" s="2">
        <v>2.1853155260000001</v>
      </c>
      <c r="Q2696" s="2">
        <v>2.390068522</v>
      </c>
      <c r="R2696" s="2">
        <v>1.8734884409999999</v>
      </c>
      <c r="S2696" s="2">
        <v>1.9334884409999999</v>
      </c>
      <c r="T2696" s="2">
        <v>1.125008894</v>
      </c>
      <c r="U2696" s="2">
        <v>1.4050088940000001</v>
      </c>
      <c r="V2696" s="2">
        <v>-0.24019384099999999</v>
      </c>
      <c r="W2696" s="2">
        <v>-0.30908584700000002</v>
      </c>
      <c r="X2696">
        <f t="shared" si="126"/>
        <v>1</v>
      </c>
      <c r="Y2696">
        <f t="shared" si="127"/>
        <v>0</v>
      </c>
      <c r="Z2696">
        <f t="shared" si="128"/>
        <v>1</v>
      </c>
    </row>
    <row r="2697" spans="1:26" ht="15.75" customHeight="1" x14ac:dyDescent="0.2">
      <c r="A2697" s="2" t="s">
        <v>36</v>
      </c>
      <c r="B2697" s="2" t="s">
        <v>24</v>
      </c>
      <c r="C2697" s="2" t="s">
        <v>26</v>
      </c>
      <c r="D2697" s="2" t="s">
        <v>26</v>
      </c>
      <c r="E2697" s="2">
        <v>178</v>
      </c>
      <c r="F2697" s="2">
        <v>270</v>
      </c>
      <c r="G2697" s="2">
        <v>449</v>
      </c>
      <c r="H2697" s="2">
        <v>844</v>
      </c>
      <c r="I2697" s="2">
        <v>2847</v>
      </c>
      <c r="J2697" s="2">
        <v>2.72</v>
      </c>
      <c r="K2697" s="2">
        <v>4.47</v>
      </c>
      <c r="L2697" s="2">
        <v>7.54</v>
      </c>
      <c r="M2697" s="2">
        <v>15.35</v>
      </c>
      <c r="N2697" s="2">
        <v>0.91485112000000002</v>
      </c>
      <c r="O2697" s="2">
        <v>1.196592788</v>
      </c>
      <c r="P2697" s="2">
        <v>3.4006388240000001</v>
      </c>
      <c r="Q2697" s="2">
        <v>3.6863025920000001</v>
      </c>
      <c r="R2697" s="2">
        <v>0.47001660200000001</v>
      </c>
      <c r="S2697" s="2">
        <v>0.530016602</v>
      </c>
      <c r="T2697" s="2">
        <v>3.3680007129999998</v>
      </c>
      <c r="U2697" s="2">
        <v>3.6480007130000001</v>
      </c>
      <c r="V2697" s="2">
        <v>1.1632779980000001</v>
      </c>
      <c r="W2697" s="2">
        <v>1.094385991</v>
      </c>
      <c r="X2697">
        <f t="shared" si="126"/>
        <v>1</v>
      </c>
      <c r="Y2697">
        <f t="shared" si="127"/>
        <v>0</v>
      </c>
      <c r="Z2697">
        <f t="shared" si="128"/>
        <v>0</v>
      </c>
    </row>
    <row r="2698" spans="1:26" ht="15.75" customHeight="1" x14ac:dyDescent="0.2">
      <c r="A2698" s="2" t="s">
        <v>36</v>
      </c>
      <c r="B2698" s="2" t="s">
        <v>24</v>
      </c>
      <c r="C2698" s="2" t="s">
        <v>25</v>
      </c>
      <c r="D2698" s="2" t="s">
        <v>25</v>
      </c>
      <c r="E2698" s="2">
        <v>146</v>
      </c>
      <c r="F2698" s="2">
        <v>227</v>
      </c>
      <c r="G2698" s="2">
        <v>805</v>
      </c>
      <c r="H2698" s="2">
        <v>1459</v>
      </c>
      <c r="I2698" s="2">
        <v>2590</v>
      </c>
      <c r="J2698" s="2">
        <v>2.2599999999999998</v>
      </c>
      <c r="K2698" s="2">
        <v>7.28</v>
      </c>
      <c r="L2698" s="2">
        <v>10.91</v>
      </c>
      <c r="M2698" s="2">
        <v>14.73</v>
      </c>
      <c r="N2698" s="2">
        <v>0.13478232700000001</v>
      </c>
      <c r="O2698" s="2">
        <v>0.362575851</v>
      </c>
      <c r="P2698" s="2">
        <v>2.3354440830000001</v>
      </c>
      <c r="Q2698" s="2">
        <v>2.2923369849999999</v>
      </c>
      <c r="R2698" s="2">
        <v>2.3354430380000002</v>
      </c>
      <c r="S2698" s="2">
        <v>2.2754430380000001</v>
      </c>
      <c r="T2698" s="2">
        <v>2.2090080000000002E-3</v>
      </c>
      <c r="U2698" s="2">
        <v>0.27779099200000001</v>
      </c>
      <c r="V2698" s="2">
        <v>3.9687376379999999</v>
      </c>
      <c r="W2698" s="2">
        <v>3.8998456309999998</v>
      </c>
      <c r="X2698">
        <f t="shared" si="126"/>
        <v>1</v>
      </c>
      <c r="Y2698">
        <f t="shared" si="127"/>
        <v>0</v>
      </c>
      <c r="Z2698">
        <f t="shared" si="128"/>
        <v>0</v>
      </c>
    </row>
    <row r="2699" spans="1:26" ht="15.75" customHeight="1" x14ac:dyDescent="0.2">
      <c r="A2699" s="2" t="s">
        <v>36</v>
      </c>
      <c r="B2699" s="2" t="s">
        <v>24</v>
      </c>
      <c r="C2699" s="2" t="s">
        <v>30</v>
      </c>
      <c r="D2699" s="2" t="s">
        <v>31</v>
      </c>
      <c r="E2699" s="2">
        <v>169</v>
      </c>
      <c r="F2699" s="2">
        <v>231</v>
      </c>
      <c r="G2699" s="2">
        <v>679</v>
      </c>
      <c r="H2699" s="2">
        <v>1166</v>
      </c>
      <c r="I2699" s="2">
        <v>2748</v>
      </c>
      <c r="J2699" s="2">
        <v>2.2999999999999998</v>
      </c>
      <c r="K2699" s="2">
        <v>6.37</v>
      </c>
      <c r="L2699" s="2">
        <v>9.4700000000000006</v>
      </c>
      <c r="M2699" s="2">
        <v>15.12</v>
      </c>
      <c r="N2699" s="2">
        <v>4.1778846439999997</v>
      </c>
      <c r="O2699" s="2">
        <v>4.3952947709999997</v>
      </c>
      <c r="P2699" s="2">
        <v>2.0309841049999999</v>
      </c>
      <c r="Q2699" s="2">
        <v>2.200579131</v>
      </c>
      <c r="R2699" s="2">
        <v>1.4305784290000001</v>
      </c>
      <c r="S2699" s="2">
        <v>1.370578429</v>
      </c>
      <c r="T2699" s="2">
        <v>1.4416455159999999</v>
      </c>
      <c r="U2699" s="2">
        <v>1.7216455159999999</v>
      </c>
      <c r="V2699" s="2">
        <v>3.0638730289999998</v>
      </c>
      <c r="W2699" s="2">
        <v>2.9949810220000002</v>
      </c>
      <c r="X2699">
        <f t="shared" si="126"/>
        <v>1</v>
      </c>
      <c r="Y2699">
        <f t="shared" si="127"/>
        <v>0</v>
      </c>
      <c r="Z2699">
        <f t="shared" si="128"/>
        <v>1</v>
      </c>
    </row>
    <row r="2700" spans="1:26" ht="15.75" customHeight="1" x14ac:dyDescent="0.2">
      <c r="A2700" s="2" t="s">
        <v>36</v>
      </c>
      <c r="B2700" s="2" t="s">
        <v>24</v>
      </c>
      <c r="C2700" s="2" t="s">
        <v>28</v>
      </c>
      <c r="D2700" s="2" t="s">
        <v>29</v>
      </c>
      <c r="E2700" s="2">
        <v>147</v>
      </c>
      <c r="F2700" s="2">
        <v>253</v>
      </c>
      <c r="G2700" s="2">
        <v>409</v>
      </c>
      <c r="H2700" s="2">
        <v>1249</v>
      </c>
      <c r="I2700" s="2">
        <v>2682</v>
      </c>
      <c r="J2700" s="2">
        <v>2.5299999999999998</v>
      </c>
      <c r="K2700" s="2">
        <v>4.0999999999999996</v>
      </c>
      <c r="L2700" s="2">
        <v>9.91</v>
      </c>
      <c r="M2700" s="2">
        <v>14.96</v>
      </c>
      <c r="N2700" s="2">
        <v>1.590636309</v>
      </c>
      <c r="O2700" s="2">
        <v>1.3529664020000001</v>
      </c>
      <c r="P2700" s="2">
        <v>1.3094300139999999</v>
      </c>
      <c r="Q2700" s="2">
        <v>1.5682649239999999</v>
      </c>
      <c r="R2700" s="2">
        <v>0.84134233899999999</v>
      </c>
      <c r="S2700" s="2">
        <v>0.90134233900000005</v>
      </c>
      <c r="T2700" s="2">
        <v>1.003369339</v>
      </c>
      <c r="U2700" s="2">
        <v>1.2833693390000001</v>
      </c>
      <c r="V2700" s="2">
        <v>0.79195226100000005</v>
      </c>
      <c r="W2700" s="2">
        <v>0.72306025500000004</v>
      </c>
      <c r="X2700">
        <f t="shared" si="126"/>
        <v>1</v>
      </c>
      <c r="Y2700">
        <f t="shared" si="127"/>
        <v>0</v>
      </c>
      <c r="Z2700">
        <f t="shared" si="128"/>
        <v>1</v>
      </c>
    </row>
    <row r="2701" spans="1:26" ht="15.75" customHeight="1" x14ac:dyDescent="0.2">
      <c r="A2701" s="2" t="s">
        <v>36</v>
      </c>
      <c r="B2701" s="2" t="s">
        <v>24</v>
      </c>
      <c r="C2701" s="2" t="s">
        <v>28</v>
      </c>
      <c r="D2701" s="2" t="s">
        <v>29</v>
      </c>
      <c r="E2701" s="2">
        <v>200</v>
      </c>
      <c r="F2701" s="2">
        <v>244</v>
      </c>
      <c r="G2701" s="2">
        <v>327</v>
      </c>
      <c r="H2701" s="2">
        <v>1184</v>
      </c>
      <c r="I2701" s="2">
        <v>2739</v>
      </c>
      <c r="J2701" s="2">
        <v>2.44</v>
      </c>
      <c r="K2701" s="2">
        <v>3.3</v>
      </c>
      <c r="L2701" s="2">
        <v>9.57</v>
      </c>
      <c r="M2701" s="2">
        <v>15.1</v>
      </c>
      <c r="N2701" s="2">
        <v>1.796525809</v>
      </c>
      <c r="O2701" s="2">
        <v>1.6677338420000001</v>
      </c>
      <c r="P2701" s="2">
        <v>2.1189946590000002</v>
      </c>
      <c r="Q2701" s="2">
        <v>2.349546669</v>
      </c>
      <c r="R2701" s="2">
        <v>1.64</v>
      </c>
      <c r="S2701" s="2">
        <v>1.7</v>
      </c>
      <c r="T2701" s="2">
        <v>1.3418414080000001</v>
      </c>
      <c r="U2701" s="2">
        <v>1.6218414080000001</v>
      </c>
      <c r="V2701" s="2">
        <v>-6.7054000000000002E-3</v>
      </c>
      <c r="W2701" s="2">
        <v>-7.5597407000000005E-2</v>
      </c>
      <c r="X2701">
        <f t="shared" si="126"/>
        <v>1</v>
      </c>
      <c r="Y2701">
        <f t="shared" si="127"/>
        <v>0</v>
      </c>
      <c r="Z2701">
        <f t="shared" si="128"/>
        <v>1</v>
      </c>
    </row>
    <row r="2702" spans="1:26" ht="15.75" customHeight="1" x14ac:dyDescent="0.2">
      <c r="A2702" s="2" t="s">
        <v>36</v>
      </c>
      <c r="B2702" s="2" t="s">
        <v>24</v>
      </c>
      <c r="C2702" s="2" t="s">
        <v>32</v>
      </c>
      <c r="D2702" s="2" t="s">
        <v>33</v>
      </c>
      <c r="E2702" s="2">
        <v>178</v>
      </c>
      <c r="F2702" s="2">
        <v>253</v>
      </c>
      <c r="G2702" s="2">
        <v>662</v>
      </c>
      <c r="H2702" s="2">
        <v>1271</v>
      </c>
      <c r="I2702" s="2">
        <v>3216</v>
      </c>
      <c r="J2702" s="2">
        <v>2.54</v>
      </c>
      <c r="K2702" s="2">
        <v>6.24</v>
      </c>
      <c r="L2702" s="2">
        <v>10.01</v>
      </c>
      <c r="M2702" s="2">
        <v>16.13</v>
      </c>
      <c r="N2702" s="2">
        <v>1.480137</v>
      </c>
      <c r="O2702" s="2">
        <v>1.715646623</v>
      </c>
      <c r="P2702" s="2">
        <v>1.577585467</v>
      </c>
      <c r="Q2702" s="2">
        <v>1.7077002720000001</v>
      </c>
      <c r="R2702" s="2">
        <v>1.2989626240000001</v>
      </c>
      <c r="S2702" s="2">
        <v>1.238962624</v>
      </c>
      <c r="T2702" s="2">
        <v>0.89524968999999999</v>
      </c>
      <c r="U2702" s="2">
        <v>1.17524969</v>
      </c>
      <c r="V2702" s="2">
        <v>2.9322572240000002</v>
      </c>
      <c r="W2702" s="2">
        <v>2.8633652170000001</v>
      </c>
      <c r="X2702">
        <f t="shared" si="126"/>
        <v>1</v>
      </c>
      <c r="Y2702">
        <f t="shared" si="127"/>
        <v>0</v>
      </c>
      <c r="Z2702">
        <f t="shared" si="128"/>
        <v>1</v>
      </c>
    </row>
    <row r="2703" spans="1:26" ht="15.75" customHeight="1" x14ac:dyDescent="0.2">
      <c r="A2703" s="2" t="s">
        <v>36</v>
      </c>
      <c r="B2703" s="2" t="s">
        <v>24</v>
      </c>
      <c r="C2703" s="2" t="s">
        <v>25</v>
      </c>
      <c r="D2703" s="2" t="s">
        <v>25</v>
      </c>
      <c r="E2703" s="2">
        <v>160</v>
      </c>
      <c r="F2703" s="2">
        <v>220</v>
      </c>
      <c r="G2703" s="2">
        <v>801</v>
      </c>
      <c r="H2703" s="2">
        <v>1686</v>
      </c>
      <c r="I2703" s="2">
        <v>2631</v>
      </c>
      <c r="J2703" s="2">
        <v>2.1800000000000002</v>
      </c>
      <c r="K2703" s="2">
        <v>7.25</v>
      </c>
      <c r="L2703" s="2">
        <v>11.87</v>
      </c>
      <c r="M2703" s="2">
        <v>14.83</v>
      </c>
      <c r="N2703" s="2">
        <v>0.96228035599999995</v>
      </c>
      <c r="O2703" s="2">
        <v>0.669429787</v>
      </c>
      <c r="P2703" s="2">
        <v>2.501317169</v>
      </c>
      <c r="Q2703" s="2">
        <v>2.3503972540000002</v>
      </c>
      <c r="R2703" s="2">
        <v>2.3102076290000002</v>
      </c>
      <c r="S2703" s="2">
        <v>2.2502076290000002</v>
      </c>
      <c r="T2703" s="2">
        <v>0.95892037699999999</v>
      </c>
      <c r="U2703" s="2">
        <v>0.67892037699999996</v>
      </c>
      <c r="V2703" s="2">
        <v>3.9435022289999999</v>
      </c>
      <c r="W2703" s="2">
        <v>3.8746102219999998</v>
      </c>
      <c r="X2703">
        <f t="shared" si="126"/>
        <v>1</v>
      </c>
      <c r="Y2703">
        <f t="shared" si="127"/>
        <v>0</v>
      </c>
      <c r="Z2703">
        <f t="shared" si="128"/>
        <v>0</v>
      </c>
    </row>
    <row r="2704" spans="1:26" ht="15.75" customHeight="1" x14ac:dyDescent="0.2">
      <c r="A2704" s="2" t="s">
        <v>36</v>
      </c>
      <c r="B2704" s="2" t="s">
        <v>24</v>
      </c>
      <c r="C2704" s="2" t="s">
        <v>27</v>
      </c>
      <c r="D2704" s="2" t="s">
        <v>27</v>
      </c>
      <c r="E2704" s="2">
        <v>166</v>
      </c>
      <c r="F2704" s="2">
        <v>266</v>
      </c>
      <c r="G2704" s="2">
        <v>438</v>
      </c>
      <c r="H2704" s="2">
        <v>1299</v>
      </c>
      <c r="I2704" s="2">
        <v>2595</v>
      </c>
      <c r="J2704" s="2">
        <v>2.67</v>
      </c>
      <c r="K2704" s="2">
        <v>4.3600000000000003</v>
      </c>
      <c r="L2704" s="2">
        <v>10.16</v>
      </c>
      <c r="M2704" s="2">
        <v>14.74</v>
      </c>
      <c r="N2704" s="2">
        <v>3.136205737</v>
      </c>
      <c r="O2704" s="2">
        <v>3.4129830029999999</v>
      </c>
      <c r="P2704" s="2">
        <v>0.94748716200000005</v>
      </c>
      <c r="Q2704" s="2">
        <v>1.2124754449999999</v>
      </c>
      <c r="R2704" s="2">
        <v>0.57614069199999995</v>
      </c>
      <c r="S2704" s="2">
        <v>0.63614069200000001</v>
      </c>
      <c r="T2704" s="2">
        <v>0.75219267700000003</v>
      </c>
      <c r="U2704" s="2">
        <v>1.0321926770000001</v>
      </c>
      <c r="V2704" s="2">
        <v>1.057153907</v>
      </c>
      <c r="W2704" s="2">
        <v>0.988261901</v>
      </c>
      <c r="X2704">
        <f t="shared" si="126"/>
        <v>1</v>
      </c>
      <c r="Y2704">
        <f t="shared" si="127"/>
        <v>0</v>
      </c>
      <c r="Z2704">
        <f t="shared" si="128"/>
        <v>0</v>
      </c>
    </row>
    <row r="2705" spans="1:26" ht="15.75" customHeight="1" x14ac:dyDescent="0.2">
      <c r="A2705" s="2" t="s">
        <v>36</v>
      </c>
      <c r="B2705" s="2" t="s">
        <v>24</v>
      </c>
      <c r="C2705" s="2" t="s">
        <v>32</v>
      </c>
      <c r="D2705" s="2" t="s">
        <v>33</v>
      </c>
      <c r="E2705" s="2">
        <v>189</v>
      </c>
      <c r="F2705" s="2">
        <v>254</v>
      </c>
      <c r="G2705" s="2">
        <v>568</v>
      </c>
      <c r="H2705" s="2">
        <v>977</v>
      </c>
      <c r="I2705" s="2">
        <v>2554</v>
      </c>
      <c r="J2705" s="2">
        <v>2.5499999999999998</v>
      </c>
      <c r="K2705" s="2">
        <v>5.49</v>
      </c>
      <c r="L2705" s="2">
        <v>8.39</v>
      </c>
      <c r="M2705" s="2">
        <v>14.64</v>
      </c>
      <c r="N2705" s="2">
        <v>3.1766630619999998</v>
      </c>
      <c r="O2705" s="2">
        <v>3.4515260240000001</v>
      </c>
      <c r="P2705" s="2">
        <v>2.5836638629999999</v>
      </c>
      <c r="Q2705" s="2">
        <v>2.8467691789999998</v>
      </c>
      <c r="R2705" s="2">
        <v>0.55376582299999999</v>
      </c>
      <c r="S2705" s="2">
        <v>0.49376582299999999</v>
      </c>
      <c r="T2705" s="2">
        <v>2.5236208850000001</v>
      </c>
      <c r="U2705" s="2">
        <v>2.803620885</v>
      </c>
      <c r="V2705" s="2">
        <v>2.1870604220000001</v>
      </c>
      <c r="W2705" s="2">
        <v>2.1181684160000001</v>
      </c>
      <c r="X2705">
        <f t="shared" si="126"/>
        <v>1</v>
      </c>
      <c r="Y2705">
        <f t="shared" si="127"/>
        <v>0</v>
      </c>
      <c r="Z2705">
        <f t="shared" si="128"/>
        <v>1</v>
      </c>
    </row>
    <row r="2706" spans="1:26" ht="15.75" customHeight="1" x14ac:dyDescent="0.2">
      <c r="A2706" s="2" t="s">
        <v>36</v>
      </c>
      <c r="B2706" s="2" t="s">
        <v>24</v>
      </c>
      <c r="C2706" s="2" t="s">
        <v>28</v>
      </c>
      <c r="D2706" s="2" t="s">
        <v>29</v>
      </c>
      <c r="E2706" s="2">
        <v>131</v>
      </c>
      <c r="F2706" s="2">
        <v>210</v>
      </c>
      <c r="G2706" s="2">
        <v>300</v>
      </c>
      <c r="H2706" s="2">
        <v>1322</v>
      </c>
      <c r="I2706" s="2">
        <v>3067</v>
      </c>
      <c r="J2706" s="2">
        <v>2.06</v>
      </c>
      <c r="K2706" s="2">
        <v>3.03</v>
      </c>
      <c r="L2706" s="2">
        <v>10.27</v>
      </c>
      <c r="M2706" s="2">
        <v>15.83</v>
      </c>
      <c r="N2706" s="2">
        <v>2.4805868740000001</v>
      </c>
      <c r="O2706" s="2">
        <v>2.3100978360000002</v>
      </c>
      <c r="P2706" s="2">
        <v>2.0189855730000001</v>
      </c>
      <c r="Q2706" s="2">
        <v>2.1787443</v>
      </c>
      <c r="R2706" s="2">
        <v>1.9145803219999999</v>
      </c>
      <c r="S2706" s="2">
        <v>1.974580322</v>
      </c>
      <c r="T2706" s="2">
        <v>0.64084704400000003</v>
      </c>
      <c r="U2706" s="2">
        <v>0.92084704399999995</v>
      </c>
      <c r="V2706" s="2">
        <v>-0.28128572200000002</v>
      </c>
      <c r="W2706" s="2">
        <v>-0.35017772800000002</v>
      </c>
      <c r="X2706">
        <f t="shared" si="126"/>
        <v>1</v>
      </c>
      <c r="Y2706">
        <f t="shared" si="127"/>
        <v>0</v>
      </c>
      <c r="Z2706">
        <f t="shared" si="128"/>
        <v>1</v>
      </c>
    </row>
    <row r="2707" spans="1:26" ht="15.75" customHeight="1" x14ac:dyDescent="0.2">
      <c r="A2707" s="2" t="s">
        <v>36</v>
      </c>
      <c r="B2707" s="2" t="s">
        <v>24</v>
      </c>
      <c r="C2707" s="2" t="s">
        <v>27</v>
      </c>
      <c r="D2707" s="2" t="s">
        <v>27</v>
      </c>
      <c r="E2707" s="2">
        <v>182</v>
      </c>
      <c r="F2707" s="2">
        <v>256</v>
      </c>
      <c r="G2707" s="2">
        <v>466</v>
      </c>
      <c r="H2707" s="2">
        <v>2529</v>
      </c>
      <c r="I2707" s="2">
        <v>3277</v>
      </c>
      <c r="J2707" s="2">
        <v>2.56</v>
      </c>
      <c r="K2707" s="2">
        <v>4.62</v>
      </c>
      <c r="L2707" s="2">
        <v>14.58</v>
      </c>
      <c r="M2707" s="2">
        <v>16.25</v>
      </c>
      <c r="N2707" s="2">
        <v>1.2955447440000001</v>
      </c>
      <c r="O2707" s="2">
        <v>1.031689622</v>
      </c>
      <c r="P2707" s="2">
        <v>3.6787118159999999</v>
      </c>
      <c r="Q2707" s="2">
        <v>3.4059623430000001</v>
      </c>
      <c r="R2707" s="2">
        <v>0.31720566</v>
      </c>
      <c r="S2707" s="2">
        <v>0.37720566</v>
      </c>
      <c r="T2707" s="2">
        <v>3.6650103949999999</v>
      </c>
      <c r="U2707" s="2">
        <v>3.3850103950000001</v>
      </c>
      <c r="V2707" s="2">
        <v>1.31608894</v>
      </c>
      <c r="W2707" s="2">
        <v>1.2471969329999999</v>
      </c>
      <c r="X2707">
        <f t="shared" si="126"/>
        <v>1</v>
      </c>
      <c r="Y2707">
        <f t="shared" si="127"/>
        <v>0</v>
      </c>
      <c r="Z2707">
        <f t="shared" si="128"/>
        <v>0</v>
      </c>
    </row>
    <row r="2708" spans="1:26" ht="15.75" customHeight="1" x14ac:dyDescent="0.2">
      <c r="A2708" s="2" t="s">
        <v>36</v>
      </c>
      <c r="B2708" s="2" t="s">
        <v>24</v>
      </c>
      <c r="C2708" s="2" t="s">
        <v>26</v>
      </c>
      <c r="D2708" s="2" t="s">
        <v>26</v>
      </c>
      <c r="E2708" s="2">
        <v>151</v>
      </c>
      <c r="F2708" s="2">
        <v>250</v>
      </c>
      <c r="G2708" s="2">
        <v>472</v>
      </c>
      <c r="H2708" s="2">
        <v>945</v>
      </c>
      <c r="I2708" s="2">
        <v>2837</v>
      </c>
      <c r="J2708" s="2">
        <v>2.5</v>
      </c>
      <c r="K2708" s="2">
        <v>4.67</v>
      </c>
      <c r="L2708" s="2">
        <v>8.19</v>
      </c>
      <c r="M2708" s="2">
        <v>15.32</v>
      </c>
      <c r="N2708" s="2">
        <v>0.239261267</v>
      </c>
      <c r="O2708" s="2">
        <v>0.52176935400000002</v>
      </c>
      <c r="P2708" s="2">
        <v>2.7317291539999999</v>
      </c>
      <c r="Q2708" s="2">
        <v>3.0164235800000001</v>
      </c>
      <c r="R2708" s="2">
        <v>0.26674342099999998</v>
      </c>
      <c r="S2708" s="2">
        <v>0.32674342099999998</v>
      </c>
      <c r="T2708" s="2">
        <v>2.7186746990000001</v>
      </c>
      <c r="U2708" s="2">
        <v>2.9986746989999999</v>
      </c>
      <c r="V2708" s="2">
        <v>1.366551179</v>
      </c>
      <c r="W2708" s="2">
        <v>1.2976591719999999</v>
      </c>
      <c r="X2708">
        <f t="shared" si="126"/>
        <v>1</v>
      </c>
      <c r="Y2708">
        <f t="shared" si="127"/>
        <v>0</v>
      </c>
      <c r="Z2708">
        <f t="shared" si="128"/>
        <v>0</v>
      </c>
    </row>
    <row r="2709" spans="1:26" ht="15.75" customHeight="1" x14ac:dyDescent="0.2">
      <c r="A2709" s="2" t="s">
        <v>36</v>
      </c>
      <c r="B2709" s="2" t="s">
        <v>24</v>
      </c>
      <c r="C2709" s="2" t="s">
        <v>27</v>
      </c>
      <c r="D2709" s="2" t="s">
        <v>27</v>
      </c>
      <c r="E2709" s="2">
        <v>175</v>
      </c>
      <c r="F2709" s="2">
        <v>263</v>
      </c>
      <c r="G2709" s="2">
        <v>459</v>
      </c>
      <c r="H2709" s="2">
        <v>2196</v>
      </c>
      <c r="I2709" s="2">
        <v>2977</v>
      </c>
      <c r="J2709" s="2">
        <v>2.65</v>
      </c>
      <c r="K2709" s="2">
        <v>4.55</v>
      </c>
      <c r="L2709" s="2">
        <v>13.64</v>
      </c>
      <c r="M2709" s="2">
        <v>15.64</v>
      </c>
      <c r="N2709" s="2">
        <v>0.37063154300000001</v>
      </c>
      <c r="O2709" s="2">
        <v>0.20445011799999999</v>
      </c>
      <c r="P2709" s="2">
        <v>2.752374326</v>
      </c>
      <c r="Q2709" s="2">
        <v>2.485509704</v>
      </c>
      <c r="R2709" s="2">
        <v>0.38585446499999998</v>
      </c>
      <c r="S2709" s="2">
        <v>0.44585446499999998</v>
      </c>
      <c r="T2709" s="2">
        <v>2.7251937110000002</v>
      </c>
      <c r="U2709" s="2">
        <v>2.4451937109999999</v>
      </c>
      <c r="V2709" s="2">
        <v>1.2474401340000001</v>
      </c>
      <c r="W2709" s="2">
        <v>1.1785481280000001</v>
      </c>
      <c r="X2709">
        <f t="shared" si="126"/>
        <v>1</v>
      </c>
      <c r="Y2709">
        <f t="shared" si="127"/>
        <v>0</v>
      </c>
      <c r="Z2709">
        <f t="shared" si="128"/>
        <v>0</v>
      </c>
    </row>
    <row r="2710" spans="1:26" ht="15.75" customHeight="1" x14ac:dyDescent="0.2">
      <c r="A2710" s="2" t="s">
        <v>36</v>
      </c>
      <c r="B2710" s="2" t="s">
        <v>24</v>
      </c>
      <c r="C2710" s="2" t="s">
        <v>27</v>
      </c>
      <c r="D2710" s="2" t="s">
        <v>27</v>
      </c>
      <c r="E2710" s="2">
        <v>177</v>
      </c>
      <c r="F2710" s="2">
        <v>219</v>
      </c>
      <c r="G2710" s="2">
        <v>515</v>
      </c>
      <c r="H2710" s="2">
        <v>1956</v>
      </c>
      <c r="I2710" s="2">
        <v>2580</v>
      </c>
      <c r="J2710" s="2">
        <v>2.16</v>
      </c>
      <c r="K2710" s="2">
        <v>5.05</v>
      </c>
      <c r="L2710" s="2">
        <v>12.86</v>
      </c>
      <c r="M2710" s="2">
        <v>14.71</v>
      </c>
      <c r="N2710" s="2">
        <v>0.57016895099999998</v>
      </c>
      <c r="O2710" s="2">
        <v>0.75457112999999998</v>
      </c>
      <c r="P2710" s="2">
        <v>1.9530322369999999</v>
      </c>
      <c r="Q2710" s="2">
        <v>1.670792638</v>
      </c>
      <c r="R2710" s="2">
        <v>0.105786638</v>
      </c>
      <c r="S2710" s="2">
        <v>4.5786637999999998E-2</v>
      </c>
      <c r="T2710" s="2">
        <v>1.950165149</v>
      </c>
      <c r="U2710" s="2">
        <v>1.670165149</v>
      </c>
      <c r="V2710" s="2">
        <v>1.739081238</v>
      </c>
      <c r="W2710" s="2">
        <v>1.6701892309999999</v>
      </c>
      <c r="X2710">
        <f t="shared" si="126"/>
        <v>1</v>
      </c>
      <c r="Y2710">
        <f t="shared" si="127"/>
        <v>0</v>
      </c>
      <c r="Z2710">
        <f t="shared" si="128"/>
        <v>0</v>
      </c>
    </row>
    <row r="2711" spans="1:26" ht="15.75" customHeight="1" x14ac:dyDescent="0.2">
      <c r="A2711" s="2" t="s">
        <v>36</v>
      </c>
      <c r="B2711" s="2" t="s">
        <v>24</v>
      </c>
      <c r="C2711" s="2" t="s">
        <v>32</v>
      </c>
      <c r="D2711" s="2" t="s">
        <v>33</v>
      </c>
      <c r="E2711" s="2">
        <v>111</v>
      </c>
      <c r="F2711" s="2">
        <v>287</v>
      </c>
      <c r="G2711" s="2">
        <v>654</v>
      </c>
      <c r="H2711" s="2">
        <v>1308</v>
      </c>
      <c r="I2711" s="2">
        <v>2636</v>
      </c>
      <c r="J2711" s="2">
        <v>2.9</v>
      </c>
      <c r="K2711" s="2">
        <v>6.18</v>
      </c>
      <c r="L2711" s="2">
        <v>10.199999999999999</v>
      </c>
      <c r="M2711" s="2">
        <v>14.85</v>
      </c>
      <c r="N2711" s="2">
        <v>1.4292149839999999</v>
      </c>
      <c r="O2711" s="2">
        <v>1.6386583640000001</v>
      </c>
      <c r="P2711" s="2">
        <v>1.4243190969999999</v>
      </c>
      <c r="Q2711" s="2">
        <v>1.536151641</v>
      </c>
      <c r="R2711" s="2">
        <v>1.2350644049999999</v>
      </c>
      <c r="S2711" s="2">
        <v>1.1750644050000001</v>
      </c>
      <c r="T2711" s="2">
        <v>0.70943696499999997</v>
      </c>
      <c r="U2711" s="2">
        <v>0.989436965</v>
      </c>
      <c r="V2711" s="2">
        <v>2.8683590049999999</v>
      </c>
      <c r="W2711" s="2">
        <v>2.7994669980000002</v>
      </c>
      <c r="X2711">
        <f t="shared" si="126"/>
        <v>1</v>
      </c>
      <c r="Y2711">
        <f t="shared" si="127"/>
        <v>0</v>
      </c>
      <c r="Z2711">
        <f t="shared" si="128"/>
        <v>1</v>
      </c>
    </row>
    <row r="2712" spans="1:26" ht="15.75" customHeight="1" x14ac:dyDescent="0.2">
      <c r="A2712" s="2" t="s">
        <v>36</v>
      </c>
      <c r="B2712" s="2" t="s">
        <v>24</v>
      </c>
      <c r="C2712" s="2" t="s">
        <v>28</v>
      </c>
      <c r="D2712" s="2" t="s">
        <v>29</v>
      </c>
      <c r="E2712" s="2">
        <v>177</v>
      </c>
      <c r="F2712" s="2">
        <v>239</v>
      </c>
      <c r="G2712" s="2">
        <v>312</v>
      </c>
      <c r="H2712" s="2">
        <v>1103</v>
      </c>
      <c r="I2712" s="2">
        <v>2407</v>
      </c>
      <c r="J2712" s="2">
        <v>2.38</v>
      </c>
      <c r="K2712" s="2">
        <v>3.16</v>
      </c>
      <c r="L2712" s="2">
        <v>9.1199999999999992</v>
      </c>
      <c r="M2712" s="2">
        <v>14.25</v>
      </c>
      <c r="N2712" s="2">
        <v>1.6839482240000001</v>
      </c>
      <c r="O2712" s="2">
        <v>1.6280844299999999</v>
      </c>
      <c r="P2712" s="2">
        <v>2.5260820320000001</v>
      </c>
      <c r="Q2712" s="2">
        <v>2.7709683900000002</v>
      </c>
      <c r="R2712" s="2">
        <v>1.7849523249999999</v>
      </c>
      <c r="S2712" s="2">
        <v>1.8449523249999999</v>
      </c>
      <c r="T2712" s="2">
        <v>1.78746626</v>
      </c>
      <c r="U2712" s="2">
        <v>2.0674662599999998</v>
      </c>
      <c r="V2712" s="2">
        <v>-0.15165772499999999</v>
      </c>
      <c r="W2712" s="2">
        <v>-0.220549732</v>
      </c>
      <c r="X2712">
        <f t="shared" si="126"/>
        <v>1</v>
      </c>
      <c r="Y2712">
        <f t="shared" si="127"/>
        <v>0</v>
      </c>
      <c r="Z2712">
        <f t="shared" si="128"/>
        <v>1</v>
      </c>
    </row>
    <row r="2713" spans="1:26" ht="15.75" customHeight="1" x14ac:dyDescent="0.2">
      <c r="A2713" s="2" t="s">
        <v>36</v>
      </c>
      <c r="B2713" s="2" t="s">
        <v>24</v>
      </c>
      <c r="C2713" s="2" t="s">
        <v>26</v>
      </c>
      <c r="D2713" s="2" t="s">
        <v>26</v>
      </c>
      <c r="E2713" s="2">
        <v>138</v>
      </c>
      <c r="F2713" s="2">
        <v>271</v>
      </c>
      <c r="G2713" s="2">
        <v>450</v>
      </c>
      <c r="H2713" s="2">
        <v>994</v>
      </c>
      <c r="I2713" s="2">
        <v>2862</v>
      </c>
      <c r="J2713" s="2">
        <v>2.73</v>
      </c>
      <c r="K2713" s="2">
        <v>4.4800000000000004</v>
      </c>
      <c r="L2713" s="2">
        <v>8.49</v>
      </c>
      <c r="M2713" s="2">
        <v>15.38</v>
      </c>
      <c r="N2713" s="2">
        <v>0.21916192000000001</v>
      </c>
      <c r="O2713" s="2">
        <v>0.33416153900000001</v>
      </c>
      <c r="P2713" s="2">
        <v>2.464133967</v>
      </c>
      <c r="Q2713" s="2">
        <v>2.7504230430000001</v>
      </c>
      <c r="R2713" s="2">
        <v>0.46096805400000002</v>
      </c>
      <c r="S2713" s="2">
        <v>0.52096805400000001</v>
      </c>
      <c r="T2713" s="2">
        <v>2.4206331109999999</v>
      </c>
      <c r="U2713" s="2">
        <v>2.7006331110000001</v>
      </c>
      <c r="V2713" s="2">
        <v>1.172326545</v>
      </c>
      <c r="W2713" s="2">
        <v>1.103434539</v>
      </c>
      <c r="X2713">
        <f t="shared" si="126"/>
        <v>1</v>
      </c>
      <c r="Y2713">
        <f t="shared" si="127"/>
        <v>0</v>
      </c>
      <c r="Z2713">
        <f t="shared" si="128"/>
        <v>0</v>
      </c>
    </row>
    <row r="2714" spans="1:26" ht="15.75" customHeight="1" x14ac:dyDescent="0.2">
      <c r="A2714" s="2" t="s">
        <v>36</v>
      </c>
      <c r="B2714" s="2" t="s">
        <v>24</v>
      </c>
      <c r="C2714" s="2" t="s">
        <v>30</v>
      </c>
      <c r="D2714" s="2" t="s">
        <v>31</v>
      </c>
      <c r="E2714" s="2">
        <v>180</v>
      </c>
      <c r="F2714" s="2">
        <v>250</v>
      </c>
      <c r="G2714" s="2">
        <v>801</v>
      </c>
      <c r="H2714" s="2">
        <v>1198</v>
      </c>
      <c r="I2714" s="2">
        <v>2161</v>
      </c>
      <c r="J2714" s="2">
        <v>2.5</v>
      </c>
      <c r="K2714" s="2">
        <v>7.25</v>
      </c>
      <c r="L2714" s="2">
        <v>9.64</v>
      </c>
      <c r="M2714" s="2">
        <v>13.53</v>
      </c>
      <c r="N2714" s="2">
        <v>4.4657017149999998</v>
      </c>
      <c r="O2714" s="2">
        <v>4.6445398429999996</v>
      </c>
      <c r="P2714" s="2">
        <v>2.6352003970000002</v>
      </c>
      <c r="Q2714" s="2">
        <v>2.7311175790000002</v>
      </c>
      <c r="R2714" s="2">
        <v>2.3102076290000002</v>
      </c>
      <c r="S2714" s="2">
        <v>2.2502076290000002</v>
      </c>
      <c r="T2714" s="2">
        <v>1.267762533</v>
      </c>
      <c r="U2714" s="2">
        <v>1.547762533</v>
      </c>
      <c r="V2714" s="2">
        <v>3.9435022289999999</v>
      </c>
      <c r="W2714" s="2">
        <v>3.8746102219999998</v>
      </c>
      <c r="X2714">
        <f t="shared" si="126"/>
        <v>1</v>
      </c>
      <c r="Y2714">
        <f t="shared" si="127"/>
        <v>0</v>
      </c>
      <c r="Z2714">
        <f t="shared" si="128"/>
        <v>1</v>
      </c>
    </row>
    <row r="2715" spans="1:26" ht="15.75" customHeight="1" x14ac:dyDescent="0.2">
      <c r="A2715" s="2" t="s">
        <v>36</v>
      </c>
      <c r="B2715" s="2" t="s">
        <v>24</v>
      </c>
      <c r="C2715" s="2" t="s">
        <v>27</v>
      </c>
      <c r="D2715" s="2" t="s">
        <v>27</v>
      </c>
      <c r="E2715" s="2">
        <v>136</v>
      </c>
      <c r="F2715" s="2">
        <v>250</v>
      </c>
      <c r="G2715" s="2">
        <v>477</v>
      </c>
      <c r="H2715" s="2">
        <v>2124</v>
      </c>
      <c r="I2715" s="2">
        <v>3016</v>
      </c>
      <c r="J2715" s="2">
        <v>2.5</v>
      </c>
      <c r="K2715" s="2">
        <v>4.72</v>
      </c>
      <c r="L2715" s="2">
        <v>13.41</v>
      </c>
      <c r="M2715" s="2">
        <v>15.72</v>
      </c>
      <c r="N2715" s="2">
        <v>0.144244449</v>
      </c>
      <c r="O2715" s="2">
        <v>0.13956101900000001</v>
      </c>
      <c r="P2715" s="2">
        <v>2.5121155750000002</v>
      </c>
      <c r="Q2715" s="2">
        <v>2.240123648</v>
      </c>
      <c r="R2715" s="2">
        <v>0.22241280299999999</v>
      </c>
      <c r="S2715" s="2">
        <v>0.28241280299999999</v>
      </c>
      <c r="T2715" s="2">
        <v>2.5022504290000001</v>
      </c>
      <c r="U2715" s="2">
        <v>2.2222504289999998</v>
      </c>
      <c r="V2715" s="2">
        <v>1.410881797</v>
      </c>
      <c r="W2715" s="2">
        <v>1.341989791</v>
      </c>
      <c r="X2715">
        <f t="shared" si="126"/>
        <v>1</v>
      </c>
      <c r="Y2715">
        <f t="shared" si="127"/>
        <v>0</v>
      </c>
      <c r="Z2715">
        <f t="shared" si="128"/>
        <v>0</v>
      </c>
    </row>
    <row r="2716" spans="1:26" ht="15.75" customHeight="1" x14ac:dyDescent="0.2">
      <c r="A2716" s="2" t="s">
        <v>36</v>
      </c>
      <c r="B2716" s="2" t="s">
        <v>24</v>
      </c>
      <c r="C2716" s="2" t="s">
        <v>30</v>
      </c>
      <c r="D2716" s="2" t="s">
        <v>31</v>
      </c>
      <c r="E2716" s="2">
        <v>236</v>
      </c>
      <c r="F2716" s="2">
        <v>212</v>
      </c>
      <c r="G2716" s="2">
        <v>662</v>
      </c>
      <c r="H2716" s="2">
        <v>1254</v>
      </c>
      <c r="I2716" s="2">
        <v>2319</v>
      </c>
      <c r="J2716" s="2">
        <v>2.09</v>
      </c>
      <c r="K2716" s="2">
        <v>6.24</v>
      </c>
      <c r="L2716" s="2">
        <v>9.93</v>
      </c>
      <c r="M2716" s="2">
        <v>14</v>
      </c>
      <c r="N2716" s="2">
        <v>3.7026488940000002</v>
      </c>
      <c r="O2716" s="2">
        <v>3.9171077639999998</v>
      </c>
      <c r="P2716" s="2">
        <v>1.627948717</v>
      </c>
      <c r="Q2716" s="2">
        <v>1.767387855</v>
      </c>
      <c r="R2716" s="2">
        <v>1.3015101060000001</v>
      </c>
      <c r="S2716" s="2">
        <v>1.241510106</v>
      </c>
      <c r="T2716" s="2">
        <v>0.977900031</v>
      </c>
      <c r="U2716" s="2">
        <v>1.2579000309999999</v>
      </c>
      <c r="V2716" s="2">
        <v>2.9348047049999999</v>
      </c>
      <c r="W2716" s="2">
        <v>2.8659126989999999</v>
      </c>
      <c r="X2716">
        <f t="shared" si="126"/>
        <v>1</v>
      </c>
      <c r="Y2716">
        <f t="shared" si="127"/>
        <v>0</v>
      </c>
      <c r="Z2716">
        <f t="shared" si="128"/>
        <v>1</v>
      </c>
    </row>
    <row r="2717" spans="1:26" ht="15.75" customHeight="1" x14ac:dyDescent="0.2">
      <c r="A2717" s="2" t="s">
        <v>36</v>
      </c>
      <c r="B2717" s="2" t="s">
        <v>24</v>
      </c>
      <c r="C2717" s="2" t="s">
        <v>26</v>
      </c>
      <c r="D2717" s="2" t="s">
        <v>26</v>
      </c>
      <c r="E2717" s="2">
        <v>149</v>
      </c>
      <c r="F2717" s="2">
        <v>260</v>
      </c>
      <c r="G2717" s="2">
        <v>443</v>
      </c>
      <c r="H2717" s="2">
        <v>1083</v>
      </c>
      <c r="I2717" s="2">
        <v>2714</v>
      </c>
      <c r="J2717" s="2">
        <v>2.61</v>
      </c>
      <c r="K2717" s="2">
        <v>4.42</v>
      </c>
      <c r="L2717" s="2">
        <v>9.01</v>
      </c>
      <c r="M2717" s="2">
        <v>15.04</v>
      </c>
      <c r="N2717" s="2">
        <v>0.64486273400000005</v>
      </c>
      <c r="O2717" s="2">
        <v>0.43706299999999998</v>
      </c>
      <c r="P2717" s="2">
        <v>1.967646698</v>
      </c>
      <c r="Q2717" s="2">
        <v>2.2535723399999998</v>
      </c>
      <c r="R2717" s="2">
        <v>0.52446601900000001</v>
      </c>
      <c r="S2717" s="2">
        <v>0.58446601899999995</v>
      </c>
      <c r="T2717" s="2">
        <v>1.8964622120000001</v>
      </c>
      <c r="U2717" s="2">
        <v>2.1764622120000001</v>
      </c>
      <c r="V2717" s="2">
        <v>1.10882858</v>
      </c>
      <c r="W2717" s="2">
        <v>1.0399365739999999</v>
      </c>
      <c r="X2717">
        <f t="shared" si="126"/>
        <v>1</v>
      </c>
      <c r="Y2717">
        <f t="shared" si="127"/>
        <v>0</v>
      </c>
      <c r="Z2717">
        <f t="shared" si="128"/>
        <v>0</v>
      </c>
    </row>
    <row r="2718" spans="1:26" ht="15.75" customHeight="1" x14ac:dyDescent="0.2">
      <c r="A2718" s="2" t="s">
        <v>36</v>
      </c>
      <c r="B2718" s="2" t="s">
        <v>24</v>
      </c>
      <c r="C2718" s="2" t="s">
        <v>26</v>
      </c>
      <c r="D2718" s="2" t="s">
        <v>26</v>
      </c>
      <c r="E2718" s="2">
        <v>159</v>
      </c>
      <c r="F2718" s="2">
        <v>285</v>
      </c>
      <c r="G2718" s="2">
        <v>477</v>
      </c>
      <c r="H2718" s="2">
        <v>1104</v>
      </c>
      <c r="I2718" s="2">
        <v>2787</v>
      </c>
      <c r="J2718" s="2">
        <v>2.88</v>
      </c>
      <c r="K2718" s="2">
        <v>4.72</v>
      </c>
      <c r="L2718" s="2">
        <v>9.1300000000000008</v>
      </c>
      <c r="M2718" s="2">
        <v>15.21</v>
      </c>
      <c r="N2718" s="2">
        <v>0.69880154400000005</v>
      </c>
      <c r="O2718" s="2">
        <v>0.41824113200000002</v>
      </c>
      <c r="P2718" s="2">
        <v>1.7953302440000001</v>
      </c>
      <c r="Q2718" s="2">
        <v>2.0807189350000002</v>
      </c>
      <c r="R2718" s="2">
        <v>0.21946389499999999</v>
      </c>
      <c r="S2718" s="2">
        <v>0.27946389500000002</v>
      </c>
      <c r="T2718" s="2">
        <v>1.7818659560000001</v>
      </c>
      <c r="U2718" s="2">
        <v>2.0618659560000001</v>
      </c>
      <c r="V2718" s="2">
        <v>1.4138307050000001</v>
      </c>
      <c r="W2718" s="2">
        <v>1.344938698</v>
      </c>
      <c r="X2718">
        <f t="shared" si="126"/>
        <v>1</v>
      </c>
      <c r="Y2718">
        <f t="shared" si="127"/>
        <v>0</v>
      </c>
      <c r="Z2718">
        <f t="shared" si="128"/>
        <v>0</v>
      </c>
    </row>
    <row r="2719" spans="1:26" ht="15.75" customHeight="1" x14ac:dyDescent="0.2">
      <c r="A2719" s="2" t="s">
        <v>36</v>
      </c>
      <c r="B2719" s="2" t="s">
        <v>24</v>
      </c>
      <c r="C2719" s="2" t="s">
        <v>26</v>
      </c>
      <c r="D2719" s="2" t="s">
        <v>26</v>
      </c>
      <c r="E2719" s="2">
        <v>132</v>
      </c>
      <c r="F2719" s="2">
        <v>284</v>
      </c>
      <c r="G2719" s="2">
        <v>484</v>
      </c>
      <c r="H2719" s="2">
        <v>872</v>
      </c>
      <c r="I2719" s="2">
        <v>2899</v>
      </c>
      <c r="J2719" s="2">
        <v>2.87</v>
      </c>
      <c r="K2719" s="2">
        <v>4.78</v>
      </c>
      <c r="L2719" s="2">
        <v>7.72</v>
      </c>
      <c r="M2719" s="2">
        <v>15.47</v>
      </c>
      <c r="N2719" s="2">
        <v>0.71274974899999999</v>
      </c>
      <c r="O2719" s="2">
        <v>0.98836031000000002</v>
      </c>
      <c r="P2719" s="2">
        <v>3.1911742410000001</v>
      </c>
      <c r="Q2719" s="2">
        <v>3.4741420700000001</v>
      </c>
      <c r="R2719" s="2">
        <v>0.160654664</v>
      </c>
      <c r="S2719" s="2">
        <v>0.220654664</v>
      </c>
      <c r="T2719" s="2">
        <v>3.1871277220000001</v>
      </c>
      <c r="U2719" s="2">
        <v>3.4671277219999999</v>
      </c>
      <c r="V2719" s="2">
        <v>1.4726399349999999</v>
      </c>
      <c r="W2719" s="2">
        <v>1.4037479289999999</v>
      </c>
      <c r="X2719">
        <f t="shared" si="126"/>
        <v>1</v>
      </c>
      <c r="Y2719">
        <f t="shared" si="127"/>
        <v>0</v>
      </c>
      <c r="Z2719">
        <f t="shared" si="128"/>
        <v>0</v>
      </c>
    </row>
    <row r="2720" spans="1:26" ht="15.75" customHeight="1" x14ac:dyDescent="0.2">
      <c r="A2720" s="2" t="s">
        <v>36</v>
      </c>
      <c r="B2720" s="2" t="s">
        <v>24</v>
      </c>
      <c r="C2720" s="2" t="s">
        <v>25</v>
      </c>
      <c r="D2720" s="2" t="s">
        <v>25</v>
      </c>
      <c r="E2720" s="2">
        <v>232</v>
      </c>
      <c r="F2720" s="2">
        <v>248</v>
      </c>
      <c r="G2720" s="2">
        <v>754</v>
      </c>
      <c r="H2720" s="2">
        <v>1600</v>
      </c>
      <c r="I2720" s="2">
        <v>2451</v>
      </c>
      <c r="J2720" s="2">
        <v>2.48</v>
      </c>
      <c r="K2720" s="2">
        <v>6.92</v>
      </c>
      <c r="L2720" s="2">
        <v>11.52</v>
      </c>
      <c r="M2720" s="2">
        <v>14.37</v>
      </c>
      <c r="N2720" s="2">
        <v>0.77271461900000005</v>
      </c>
      <c r="O2720" s="2">
        <v>0.60260879599999995</v>
      </c>
      <c r="P2720" s="2">
        <v>2.0719302129999999</v>
      </c>
      <c r="Q2720" s="2">
        <v>1.948512188</v>
      </c>
      <c r="R2720" s="2">
        <v>1.980697532</v>
      </c>
      <c r="S2720" s="2">
        <v>1.9206975319999999</v>
      </c>
      <c r="T2720" s="2">
        <v>0.60805599799999999</v>
      </c>
      <c r="U2720" s="2">
        <v>0.32805599800000002</v>
      </c>
      <c r="V2720" s="2">
        <v>3.6139921309999998</v>
      </c>
      <c r="W2720" s="2">
        <v>3.5451001249999998</v>
      </c>
      <c r="X2720">
        <f t="shared" si="126"/>
        <v>1</v>
      </c>
      <c r="Y2720">
        <f t="shared" si="127"/>
        <v>0</v>
      </c>
      <c r="Z2720">
        <f t="shared" si="128"/>
        <v>0</v>
      </c>
    </row>
    <row r="2721" spans="1:26" ht="15.75" customHeight="1" x14ac:dyDescent="0.2">
      <c r="A2721" s="2" t="s">
        <v>36</v>
      </c>
      <c r="B2721" s="2" t="s">
        <v>24</v>
      </c>
      <c r="C2721" s="2" t="s">
        <v>25</v>
      </c>
      <c r="D2721" s="2" t="s">
        <v>25</v>
      </c>
      <c r="E2721" s="2">
        <v>171</v>
      </c>
      <c r="F2721" s="2">
        <v>245</v>
      </c>
      <c r="G2721" s="2">
        <v>841</v>
      </c>
      <c r="H2721" s="2">
        <v>1545</v>
      </c>
      <c r="I2721" s="2">
        <v>2511</v>
      </c>
      <c r="J2721" s="2">
        <v>2.4500000000000002</v>
      </c>
      <c r="K2721" s="2">
        <v>7.52</v>
      </c>
      <c r="L2721" s="2">
        <v>11.29</v>
      </c>
      <c r="M2721" s="2">
        <v>14.53</v>
      </c>
      <c r="N2721" s="2">
        <v>0.38182709300000001</v>
      </c>
      <c r="O2721" s="2">
        <v>8.7930832E-2</v>
      </c>
      <c r="P2721" s="2">
        <v>2.6048048050000001</v>
      </c>
      <c r="Q2721" s="2">
        <v>2.5193119639999999</v>
      </c>
      <c r="R2721" s="2">
        <v>2.5774672700000001</v>
      </c>
      <c r="S2721" s="2">
        <v>2.51746727</v>
      </c>
      <c r="T2721" s="2">
        <v>0.376391478</v>
      </c>
      <c r="U2721" s="2">
        <v>9.6391478000000003E-2</v>
      </c>
      <c r="V2721" s="2">
        <v>4.2107618689999997</v>
      </c>
      <c r="W2721" s="2">
        <v>4.1418698630000002</v>
      </c>
      <c r="X2721">
        <f t="shared" si="126"/>
        <v>1</v>
      </c>
      <c r="Y2721">
        <f t="shared" si="127"/>
        <v>0</v>
      </c>
      <c r="Z2721">
        <f t="shared" si="128"/>
        <v>0</v>
      </c>
    </row>
    <row r="2722" spans="1:26" ht="15.75" customHeight="1" x14ac:dyDescent="0.2">
      <c r="A2722" s="2" t="s">
        <v>36</v>
      </c>
      <c r="B2722" s="2" t="s">
        <v>24</v>
      </c>
      <c r="C2722" s="2" t="s">
        <v>25</v>
      </c>
      <c r="D2722" s="2" t="s">
        <v>25</v>
      </c>
      <c r="E2722" s="2">
        <v>185</v>
      </c>
      <c r="F2722" s="2">
        <v>258</v>
      </c>
      <c r="G2722" s="2">
        <v>868</v>
      </c>
      <c r="H2722" s="2">
        <v>1594</v>
      </c>
      <c r="I2722" s="2">
        <v>2160</v>
      </c>
      <c r="J2722" s="2">
        <v>2.59</v>
      </c>
      <c r="K2722" s="2">
        <v>7.7</v>
      </c>
      <c r="L2722" s="2">
        <v>11.5</v>
      </c>
      <c r="M2722" s="2">
        <v>13.53</v>
      </c>
      <c r="N2722" s="2">
        <v>0.64426656800000004</v>
      </c>
      <c r="O2722" s="2">
        <v>0.36416077499999999</v>
      </c>
      <c r="P2722" s="2">
        <v>2.8203418610000002</v>
      </c>
      <c r="Q2722" s="2">
        <v>2.716093468</v>
      </c>
      <c r="R2722" s="2">
        <v>2.7588118810000002</v>
      </c>
      <c r="S2722" s="2">
        <v>2.6988118810000001</v>
      </c>
      <c r="T2722" s="2">
        <v>0.58590546799999998</v>
      </c>
      <c r="U2722" s="2">
        <v>0.30590546800000001</v>
      </c>
      <c r="V2722" s="2">
        <v>4.3921064809999999</v>
      </c>
      <c r="W2722" s="2">
        <v>4.3232144740000003</v>
      </c>
      <c r="X2722">
        <f t="shared" si="126"/>
        <v>1</v>
      </c>
      <c r="Y2722">
        <f t="shared" si="127"/>
        <v>0</v>
      </c>
      <c r="Z2722">
        <f t="shared" si="128"/>
        <v>0</v>
      </c>
    </row>
    <row r="2723" spans="1:26" ht="15.75" customHeight="1" x14ac:dyDescent="0.2">
      <c r="A2723" s="2" t="s">
        <v>36</v>
      </c>
      <c r="B2723" s="2" t="s">
        <v>24</v>
      </c>
      <c r="C2723" s="2" t="s">
        <v>28</v>
      </c>
      <c r="D2723" s="2" t="s">
        <v>29</v>
      </c>
      <c r="E2723" s="2">
        <v>121</v>
      </c>
      <c r="F2723" s="2">
        <v>275</v>
      </c>
      <c r="G2723" s="2">
        <v>355</v>
      </c>
      <c r="H2723" s="2">
        <v>1127</v>
      </c>
      <c r="I2723" s="2">
        <v>2485</v>
      </c>
      <c r="J2723" s="2">
        <v>2.77</v>
      </c>
      <c r="K2723" s="2">
        <v>3.58</v>
      </c>
      <c r="L2723" s="2">
        <v>9.26</v>
      </c>
      <c r="M2723" s="2">
        <v>14.46</v>
      </c>
      <c r="N2723" s="2">
        <v>1.3821529699999999</v>
      </c>
      <c r="O2723" s="2">
        <v>1.2705118769999999</v>
      </c>
      <c r="P2723" s="2">
        <v>2.1356715560000001</v>
      </c>
      <c r="Q2723" s="2">
        <v>2.3937346910000001</v>
      </c>
      <c r="R2723" s="2">
        <v>1.3554794130000001</v>
      </c>
      <c r="S2723" s="2">
        <v>1.4154794129999999</v>
      </c>
      <c r="T2723" s="2">
        <v>1.6503843659999999</v>
      </c>
      <c r="U2723" s="2">
        <v>1.930384366</v>
      </c>
      <c r="V2723" s="2">
        <v>0.27781518700000002</v>
      </c>
      <c r="W2723" s="2">
        <v>0.20892318100000001</v>
      </c>
      <c r="X2723">
        <f t="shared" si="126"/>
        <v>1</v>
      </c>
      <c r="Y2723">
        <f t="shared" si="127"/>
        <v>0</v>
      </c>
      <c r="Z2723">
        <f t="shared" si="128"/>
        <v>1</v>
      </c>
    </row>
    <row r="2724" spans="1:26" ht="15.75" customHeight="1" x14ac:dyDescent="0.2">
      <c r="A2724" s="2" t="s">
        <v>36</v>
      </c>
      <c r="B2724" s="2" t="s">
        <v>24</v>
      </c>
      <c r="C2724" s="2" t="s">
        <v>30</v>
      </c>
      <c r="D2724" s="2" t="s">
        <v>31</v>
      </c>
      <c r="E2724" s="2">
        <v>153</v>
      </c>
      <c r="F2724" s="2">
        <v>236</v>
      </c>
      <c r="G2724" s="2">
        <v>536</v>
      </c>
      <c r="H2724" s="2">
        <v>1134</v>
      </c>
      <c r="I2724" s="2">
        <v>1845</v>
      </c>
      <c r="J2724" s="2">
        <v>2.35</v>
      </c>
      <c r="K2724" s="2">
        <v>5.23</v>
      </c>
      <c r="L2724" s="2">
        <v>9.3000000000000007</v>
      </c>
      <c r="M2724" s="2">
        <v>12.47</v>
      </c>
      <c r="N2724" s="2">
        <v>4.0238973969999998</v>
      </c>
      <c r="O2724" s="2">
        <v>4.2815289070000002</v>
      </c>
      <c r="P2724" s="2">
        <v>1.639081625</v>
      </c>
      <c r="Q2724" s="2">
        <v>1.9073000090000001</v>
      </c>
      <c r="R2724" s="2">
        <v>0.28727564100000003</v>
      </c>
      <c r="S2724" s="2">
        <v>0.227275641</v>
      </c>
      <c r="T2724" s="2">
        <v>1.6137104069999999</v>
      </c>
      <c r="U2724" s="2">
        <v>1.8937104069999999</v>
      </c>
      <c r="V2724" s="2">
        <v>1.9205702410000001</v>
      </c>
      <c r="W2724" s="2">
        <v>1.851678234</v>
      </c>
      <c r="X2724">
        <f t="shared" si="126"/>
        <v>1</v>
      </c>
      <c r="Y2724">
        <f t="shared" si="127"/>
        <v>0</v>
      </c>
      <c r="Z2724">
        <f t="shared" si="128"/>
        <v>1</v>
      </c>
    </row>
    <row r="2725" spans="1:26" ht="15.75" customHeight="1" x14ac:dyDescent="0.2">
      <c r="A2725" s="2" t="s">
        <v>36</v>
      </c>
      <c r="B2725" s="2" t="s">
        <v>24</v>
      </c>
      <c r="C2725" s="2" t="s">
        <v>32</v>
      </c>
      <c r="D2725" s="2" t="s">
        <v>33</v>
      </c>
      <c r="E2725" s="2">
        <v>158</v>
      </c>
      <c r="F2725" s="2">
        <v>261</v>
      </c>
      <c r="G2725" s="2">
        <v>663</v>
      </c>
      <c r="H2725" s="2">
        <v>984</v>
      </c>
      <c r="I2725" s="2">
        <v>2449</v>
      </c>
      <c r="J2725" s="2">
        <v>2.62</v>
      </c>
      <c r="K2725" s="2">
        <v>6.25</v>
      </c>
      <c r="L2725" s="2">
        <v>8.43</v>
      </c>
      <c r="M2725" s="2">
        <v>14.36</v>
      </c>
      <c r="N2725" s="2">
        <v>2.7446101789999999</v>
      </c>
      <c r="O2725" s="2">
        <v>3.0439137010000001</v>
      </c>
      <c r="P2725" s="2">
        <v>2.8017028540000002</v>
      </c>
      <c r="Q2725" s="2">
        <v>3.0268096779999998</v>
      </c>
      <c r="R2725" s="2">
        <v>1.309148666</v>
      </c>
      <c r="S2725" s="2">
        <v>1.249148666</v>
      </c>
      <c r="T2725" s="2">
        <v>2.47702819</v>
      </c>
      <c r="U2725" s="2">
        <v>2.7570281900000002</v>
      </c>
      <c r="V2725" s="2">
        <v>2.9424432650000001</v>
      </c>
      <c r="W2725" s="2">
        <v>2.8735512590000001</v>
      </c>
      <c r="X2725">
        <f t="shared" si="126"/>
        <v>1</v>
      </c>
      <c r="Y2725">
        <f t="shared" si="127"/>
        <v>0</v>
      </c>
      <c r="Z2725">
        <f t="shared" si="128"/>
        <v>1</v>
      </c>
    </row>
    <row r="2726" spans="1:26" ht="15.75" customHeight="1" x14ac:dyDescent="0.2">
      <c r="A2726" s="2" t="s">
        <v>36</v>
      </c>
      <c r="B2726" s="2" t="s">
        <v>24</v>
      </c>
      <c r="C2726" s="2" t="s">
        <v>26</v>
      </c>
      <c r="D2726" s="2" t="s">
        <v>26</v>
      </c>
      <c r="E2726" s="2">
        <v>177</v>
      </c>
      <c r="F2726" s="2">
        <v>273</v>
      </c>
      <c r="G2726" s="2">
        <v>497</v>
      </c>
      <c r="H2726" s="2">
        <v>1083</v>
      </c>
      <c r="I2726" s="2">
        <v>2765</v>
      </c>
      <c r="J2726" s="2">
        <v>2.75</v>
      </c>
      <c r="K2726" s="2">
        <v>4.8899999999999997</v>
      </c>
      <c r="L2726" s="2">
        <v>9.01</v>
      </c>
      <c r="M2726" s="2">
        <v>15.16</v>
      </c>
      <c r="N2726" s="2">
        <v>0.61513737400000001</v>
      </c>
      <c r="O2726" s="2">
        <v>0.34154900399999999</v>
      </c>
      <c r="P2726" s="2">
        <v>1.899006602</v>
      </c>
      <c r="Q2726" s="2">
        <v>2.1811189020000001</v>
      </c>
      <c r="R2726" s="2">
        <v>4.9796472000000001E-2</v>
      </c>
      <c r="S2726" s="2">
        <v>0.10979647200000001</v>
      </c>
      <c r="T2726" s="2">
        <v>1.8983535979999999</v>
      </c>
      <c r="U2726" s="2">
        <v>2.1783535980000002</v>
      </c>
      <c r="V2726" s="2">
        <v>1.5834981269999999</v>
      </c>
      <c r="W2726" s="2">
        <v>1.5146061209999999</v>
      </c>
      <c r="X2726">
        <f t="shared" si="126"/>
        <v>1</v>
      </c>
      <c r="Y2726">
        <f t="shared" si="127"/>
        <v>0</v>
      </c>
      <c r="Z2726">
        <f t="shared" si="128"/>
        <v>0</v>
      </c>
    </row>
    <row r="2727" spans="1:26" ht="15.75" customHeight="1" x14ac:dyDescent="0.2">
      <c r="A2727" s="2" t="s">
        <v>36</v>
      </c>
      <c r="B2727" s="2" t="s">
        <v>24</v>
      </c>
      <c r="C2727" s="2" t="s">
        <v>32</v>
      </c>
      <c r="D2727" s="2" t="s">
        <v>33</v>
      </c>
      <c r="E2727" s="2">
        <v>140</v>
      </c>
      <c r="F2727" s="2">
        <v>248</v>
      </c>
      <c r="G2727" s="2">
        <v>598</v>
      </c>
      <c r="H2727" s="2">
        <v>1191</v>
      </c>
      <c r="I2727" s="2">
        <v>2793</v>
      </c>
      <c r="J2727" s="2">
        <v>2.48</v>
      </c>
      <c r="K2727" s="2">
        <v>5.73</v>
      </c>
      <c r="L2727" s="2">
        <v>9.61</v>
      </c>
      <c r="M2727" s="2">
        <v>15.23</v>
      </c>
      <c r="N2727" s="2">
        <v>2.1294497030000001</v>
      </c>
      <c r="O2727" s="2">
        <v>2.3624971600000002</v>
      </c>
      <c r="P2727" s="2">
        <v>1.527778836</v>
      </c>
      <c r="Q2727" s="2">
        <v>1.7468162679999999</v>
      </c>
      <c r="R2727" s="2">
        <v>0.794867718</v>
      </c>
      <c r="S2727" s="2">
        <v>0.73486771799999995</v>
      </c>
      <c r="T2727" s="2">
        <v>1.304719695</v>
      </c>
      <c r="U2727" s="2">
        <v>1.584719695</v>
      </c>
      <c r="V2727" s="2">
        <v>2.428162318</v>
      </c>
      <c r="W2727" s="2">
        <v>2.359270311</v>
      </c>
      <c r="X2727">
        <f t="shared" si="126"/>
        <v>1</v>
      </c>
      <c r="Y2727">
        <f t="shared" si="127"/>
        <v>0</v>
      </c>
      <c r="Z2727">
        <f t="shared" si="128"/>
        <v>1</v>
      </c>
    </row>
    <row r="2728" spans="1:26" ht="15.75" customHeight="1" x14ac:dyDescent="0.2">
      <c r="A2728" s="2" t="s">
        <v>36</v>
      </c>
      <c r="B2728" s="2" t="s">
        <v>24</v>
      </c>
      <c r="C2728" s="2" t="s">
        <v>28</v>
      </c>
      <c r="D2728" s="2" t="s">
        <v>29</v>
      </c>
      <c r="E2728" s="2">
        <v>142</v>
      </c>
      <c r="F2728" s="2">
        <v>230</v>
      </c>
      <c r="G2728" s="2">
        <v>326</v>
      </c>
      <c r="H2728" s="2">
        <v>1081</v>
      </c>
      <c r="I2728" s="2">
        <v>2409</v>
      </c>
      <c r="J2728" s="2">
        <v>2.29</v>
      </c>
      <c r="K2728" s="2">
        <v>3.29</v>
      </c>
      <c r="L2728" s="2">
        <v>9</v>
      </c>
      <c r="M2728" s="2">
        <v>14.25</v>
      </c>
      <c r="N2728" s="2">
        <v>1.5117476860000001</v>
      </c>
      <c r="O2728" s="2">
        <v>1.4690212149999999</v>
      </c>
      <c r="P2728" s="2">
        <v>2.5238210570000001</v>
      </c>
      <c r="Q2728" s="2">
        <v>2.7783299210000001</v>
      </c>
      <c r="R2728" s="2">
        <v>1.6500539590000001</v>
      </c>
      <c r="S2728" s="2">
        <v>1.7100539589999999</v>
      </c>
      <c r="T2728" s="2">
        <v>1.909710622</v>
      </c>
      <c r="U2728" s="2">
        <v>2.1897106220000002</v>
      </c>
      <c r="V2728" s="2">
        <v>-1.6759360000000001E-2</v>
      </c>
      <c r="W2728" s="2">
        <v>-8.5651366000000007E-2</v>
      </c>
      <c r="X2728">
        <f t="shared" si="126"/>
        <v>1</v>
      </c>
      <c r="Y2728">
        <f t="shared" si="127"/>
        <v>0</v>
      </c>
      <c r="Z2728">
        <f t="shared" si="128"/>
        <v>1</v>
      </c>
    </row>
    <row r="2729" spans="1:26" ht="15.75" customHeight="1" x14ac:dyDescent="0.2">
      <c r="A2729" s="2" t="s">
        <v>36</v>
      </c>
      <c r="B2729" s="2" t="s">
        <v>24</v>
      </c>
      <c r="C2729" s="2" t="s">
        <v>32</v>
      </c>
      <c r="D2729" s="2" t="s">
        <v>33</v>
      </c>
      <c r="E2729" s="2">
        <v>169</v>
      </c>
      <c r="F2729" s="2">
        <v>257</v>
      </c>
      <c r="G2729" s="2">
        <v>721</v>
      </c>
      <c r="H2729" s="2">
        <v>1559</v>
      </c>
      <c r="I2729" s="2">
        <v>3285</v>
      </c>
      <c r="J2729" s="2">
        <v>2.58</v>
      </c>
      <c r="K2729" s="2">
        <v>6.68</v>
      </c>
      <c r="L2729" s="2">
        <v>11.35</v>
      </c>
      <c r="M2729" s="2">
        <v>16.260000000000002</v>
      </c>
      <c r="N2729" s="2">
        <v>0.846661212</v>
      </c>
      <c r="O2729" s="2">
        <v>0.77912236899999998</v>
      </c>
      <c r="P2729" s="2">
        <v>1.7944951220000001</v>
      </c>
      <c r="Q2729" s="2">
        <v>1.6874957180000001</v>
      </c>
      <c r="R2729" s="2">
        <v>1.74</v>
      </c>
      <c r="S2729" s="2">
        <v>1.68</v>
      </c>
      <c r="T2729" s="2">
        <v>0.43887668099999999</v>
      </c>
      <c r="U2729" s="2">
        <v>0.15887668099999999</v>
      </c>
      <c r="V2729" s="2">
        <v>3.3732945999999999</v>
      </c>
      <c r="W2729" s="2">
        <v>3.3044025929999998</v>
      </c>
      <c r="X2729">
        <f t="shared" si="126"/>
        <v>1</v>
      </c>
      <c r="Y2729">
        <f t="shared" si="127"/>
        <v>0</v>
      </c>
      <c r="Z2729">
        <f t="shared" si="128"/>
        <v>1</v>
      </c>
    </row>
    <row r="2730" spans="1:26" ht="15.75" customHeight="1" x14ac:dyDescent="0.2">
      <c r="A2730" s="2" t="s">
        <v>36</v>
      </c>
      <c r="B2730" s="2" t="s">
        <v>24</v>
      </c>
      <c r="C2730" s="2" t="s">
        <v>25</v>
      </c>
      <c r="D2730" s="2" t="s">
        <v>25</v>
      </c>
      <c r="E2730" s="2">
        <v>307</v>
      </c>
      <c r="F2730" s="2">
        <v>221</v>
      </c>
      <c r="G2730" s="2">
        <v>803</v>
      </c>
      <c r="H2730" s="2">
        <v>1295</v>
      </c>
      <c r="I2730" s="2">
        <v>1843</v>
      </c>
      <c r="J2730" s="2">
        <v>2.1800000000000002</v>
      </c>
      <c r="K2730" s="2">
        <v>7.26</v>
      </c>
      <c r="L2730" s="2">
        <v>10.130000000000001</v>
      </c>
      <c r="M2730" s="2">
        <v>12.46</v>
      </c>
      <c r="N2730" s="2">
        <v>0.79876926100000001</v>
      </c>
      <c r="O2730" s="2">
        <v>1.1109930880000001</v>
      </c>
      <c r="P2730" s="2">
        <v>2.4498960799999998</v>
      </c>
      <c r="Q2730" s="2">
        <v>2.4978563459999998</v>
      </c>
      <c r="R2730" s="2">
        <v>2.3239806999999999</v>
      </c>
      <c r="S2730" s="2">
        <v>2.2639806999999998</v>
      </c>
      <c r="T2730" s="2">
        <v>0.77530929900000001</v>
      </c>
      <c r="U2730" s="2">
        <v>1.0553092989999999</v>
      </c>
      <c r="V2730" s="2">
        <v>3.957275299</v>
      </c>
      <c r="W2730" s="2">
        <v>3.888383293</v>
      </c>
      <c r="X2730">
        <f t="shared" si="126"/>
        <v>1</v>
      </c>
      <c r="Y2730">
        <f t="shared" si="127"/>
        <v>0</v>
      </c>
      <c r="Z2730">
        <f t="shared" si="128"/>
        <v>0</v>
      </c>
    </row>
    <row r="2731" spans="1:26" ht="15.75" customHeight="1" x14ac:dyDescent="0.2">
      <c r="A2731" s="2" t="s">
        <v>36</v>
      </c>
      <c r="B2731" s="2" t="s">
        <v>24</v>
      </c>
      <c r="C2731" s="2" t="s">
        <v>27</v>
      </c>
      <c r="D2731" s="2" t="s">
        <v>27</v>
      </c>
      <c r="E2731" s="2">
        <v>141</v>
      </c>
      <c r="F2731" s="2">
        <v>252</v>
      </c>
      <c r="G2731" s="2">
        <v>491</v>
      </c>
      <c r="H2731" s="2">
        <v>2341</v>
      </c>
      <c r="I2731" s="2">
        <v>2895</v>
      </c>
      <c r="J2731" s="2">
        <v>2.52</v>
      </c>
      <c r="K2731" s="2">
        <v>4.84</v>
      </c>
      <c r="L2731" s="2">
        <v>14.06</v>
      </c>
      <c r="M2731" s="2">
        <v>15.46</v>
      </c>
      <c r="N2731" s="2">
        <v>0.803735808</v>
      </c>
      <c r="O2731" s="2">
        <v>0.52284923299999997</v>
      </c>
      <c r="P2731" s="2">
        <v>3.1539407490000002</v>
      </c>
      <c r="Q2731" s="2">
        <v>2.8767202809999999</v>
      </c>
      <c r="R2731" s="2">
        <v>9.6333968000000006E-2</v>
      </c>
      <c r="S2731" s="2">
        <v>0.15633396799999999</v>
      </c>
      <c r="T2731" s="2">
        <v>3.1524691929999999</v>
      </c>
      <c r="U2731" s="2">
        <v>2.8724691930000001</v>
      </c>
      <c r="V2731" s="2">
        <v>1.536960632</v>
      </c>
      <c r="W2731" s="2">
        <v>1.4680686249999999</v>
      </c>
      <c r="X2731">
        <f t="shared" si="126"/>
        <v>1</v>
      </c>
      <c r="Y2731">
        <f t="shared" si="127"/>
        <v>0</v>
      </c>
      <c r="Z2731">
        <f t="shared" si="128"/>
        <v>0</v>
      </c>
    </row>
    <row r="2732" spans="1:26" ht="15.75" customHeight="1" x14ac:dyDescent="0.2">
      <c r="A2732" s="2" t="s">
        <v>36</v>
      </c>
      <c r="B2732" s="2" t="s">
        <v>24</v>
      </c>
      <c r="C2732" s="2" t="s">
        <v>30</v>
      </c>
      <c r="D2732" s="2" t="s">
        <v>31</v>
      </c>
      <c r="E2732" s="2">
        <v>193</v>
      </c>
      <c r="F2732" s="2">
        <v>252</v>
      </c>
      <c r="G2732" s="2">
        <v>690</v>
      </c>
      <c r="H2732" s="2">
        <v>1260</v>
      </c>
      <c r="I2732" s="2">
        <v>3041</v>
      </c>
      <c r="J2732" s="2">
        <v>2.5299999999999998</v>
      </c>
      <c r="K2732" s="2">
        <v>6.45</v>
      </c>
      <c r="L2732" s="2">
        <v>9.9600000000000009</v>
      </c>
      <c r="M2732" s="2">
        <v>15.77</v>
      </c>
      <c r="N2732" s="2">
        <v>3.7728652930000002</v>
      </c>
      <c r="O2732" s="2">
        <v>3.977504315</v>
      </c>
      <c r="P2732" s="2">
        <v>1.785027841</v>
      </c>
      <c r="Q2732" s="2">
        <v>1.90249771</v>
      </c>
      <c r="R2732" s="2">
        <v>1.5107169810000001</v>
      </c>
      <c r="S2732" s="2">
        <v>1.450716981</v>
      </c>
      <c r="T2732" s="2">
        <v>0.95081996099999999</v>
      </c>
      <c r="U2732" s="2">
        <v>1.2308199609999999</v>
      </c>
      <c r="V2732" s="2">
        <v>3.144011581</v>
      </c>
      <c r="W2732" s="2">
        <v>3.0751195739999999</v>
      </c>
      <c r="X2732">
        <f t="shared" si="126"/>
        <v>1</v>
      </c>
      <c r="Y2732">
        <f t="shared" si="127"/>
        <v>0</v>
      </c>
      <c r="Z2732">
        <f t="shared" si="128"/>
        <v>1</v>
      </c>
    </row>
    <row r="2733" spans="1:26" ht="15.75" customHeight="1" x14ac:dyDescent="0.2">
      <c r="A2733" s="2" t="s">
        <v>36</v>
      </c>
      <c r="B2733" s="2" t="s">
        <v>24</v>
      </c>
      <c r="C2733" s="2" t="s">
        <v>25</v>
      </c>
      <c r="D2733" s="2" t="s">
        <v>25</v>
      </c>
      <c r="E2733" s="2">
        <v>185</v>
      </c>
      <c r="F2733" s="2">
        <v>254</v>
      </c>
      <c r="G2733" s="2">
        <v>906</v>
      </c>
      <c r="H2733" s="2">
        <v>1570</v>
      </c>
      <c r="I2733" s="2">
        <v>2959</v>
      </c>
      <c r="J2733" s="2">
        <v>2.54</v>
      </c>
      <c r="K2733" s="2">
        <v>7.95</v>
      </c>
      <c r="L2733" s="2">
        <v>11.39</v>
      </c>
      <c r="M2733" s="2">
        <v>15.6</v>
      </c>
      <c r="N2733" s="2">
        <v>0.71490283600000004</v>
      </c>
      <c r="O2733" s="2">
        <v>0.52162759000000003</v>
      </c>
      <c r="P2733" s="2">
        <v>3.0439029249999998</v>
      </c>
      <c r="Q2733" s="2">
        <v>2.9522342109999999</v>
      </c>
      <c r="R2733" s="2">
        <v>3.005177948</v>
      </c>
      <c r="S2733" s="2">
        <v>2.945177948</v>
      </c>
      <c r="T2733" s="2">
        <v>0.48399433400000003</v>
      </c>
      <c r="U2733" s="2">
        <v>0.203994334</v>
      </c>
      <c r="V2733" s="2">
        <v>4.6384725480000002</v>
      </c>
      <c r="W2733" s="2">
        <v>4.5695805419999997</v>
      </c>
      <c r="X2733">
        <f t="shared" si="126"/>
        <v>1</v>
      </c>
      <c r="Y2733">
        <f t="shared" si="127"/>
        <v>0</v>
      </c>
      <c r="Z2733">
        <f t="shared" si="128"/>
        <v>0</v>
      </c>
    </row>
    <row r="2734" spans="1:26" ht="15.75" customHeight="1" x14ac:dyDescent="0.2">
      <c r="A2734" s="2" t="s">
        <v>36</v>
      </c>
      <c r="B2734" s="2" t="s">
        <v>24</v>
      </c>
      <c r="C2734" s="2" t="s">
        <v>30</v>
      </c>
      <c r="D2734" s="2" t="s">
        <v>31</v>
      </c>
      <c r="E2734" s="2">
        <v>140</v>
      </c>
      <c r="F2734" s="2">
        <v>240</v>
      </c>
      <c r="G2734" s="2">
        <v>555</v>
      </c>
      <c r="H2734" s="2">
        <v>1316</v>
      </c>
      <c r="I2734" s="2">
        <v>1605</v>
      </c>
      <c r="J2734" s="2">
        <v>2.39</v>
      </c>
      <c r="K2734" s="2">
        <v>5.39</v>
      </c>
      <c r="L2734" s="2">
        <v>10.24</v>
      </c>
      <c r="M2734" s="2">
        <v>11.54</v>
      </c>
      <c r="N2734" s="2">
        <v>3.1247868589999999</v>
      </c>
      <c r="O2734" s="2">
        <v>3.371609324</v>
      </c>
      <c r="P2734" s="2">
        <v>0.80537386499999997</v>
      </c>
      <c r="Q2734" s="2">
        <v>1.0252404610000001</v>
      </c>
      <c r="R2734" s="2">
        <v>0.44909090899999998</v>
      </c>
      <c r="S2734" s="2">
        <v>0.38909090899999998</v>
      </c>
      <c r="T2734" s="2">
        <v>0.66853901699999996</v>
      </c>
      <c r="U2734" s="2">
        <v>0.94853901699999998</v>
      </c>
      <c r="V2734" s="2">
        <v>2.0823855089999999</v>
      </c>
      <c r="W2734" s="2">
        <v>2.0134935020000002</v>
      </c>
      <c r="X2734">
        <f t="shared" si="126"/>
        <v>1</v>
      </c>
      <c r="Y2734">
        <f t="shared" si="127"/>
        <v>0</v>
      </c>
      <c r="Z2734">
        <f t="shared" si="128"/>
        <v>1</v>
      </c>
    </row>
    <row r="2735" spans="1:26" ht="15.75" customHeight="1" x14ac:dyDescent="0.2">
      <c r="A2735" s="2" t="s">
        <v>36</v>
      </c>
      <c r="B2735" s="2" t="s">
        <v>24</v>
      </c>
      <c r="C2735" s="2" t="s">
        <v>25</v>
      </c>
      <c r="D2735" s="2" t="s">
        <v>25</v>
      </c>
      <c r="E2735" s="2">
        <v>113</v>
      </c>
      <c r="F2735" s="2">
        <v>211</v>
      </c>
      <c r="G2735" s="2">
        <v>839</v>
      </c>
      <c r="H2735" s="2">
        <v>1568</v>
      </c>
      <c r="I2735" s="2">
        <v>2661</v>
      </c>
      <c r="J2735" s="2">
        <v>2.0699999999999998</v>
      </c>
      <c r="K2735" s="2">
        <v>7.5</v>
      </c>
      <c r="L2735" s="2">
        <v>11.38</v>
      </c>
      <c r="M2735" s="2">
        <v>14.91</v>
      </c>
      <c r="N2735" s="2">
        <v>0.62940555499999995</v>
      </c>
      <c r="O2735" s="2">
        <v>0.46392621299999998</v>
      </c>
      <c r="P2735" s="2">
        <v>2.7816863110000001</v>
      </c>
      <c r="Q2735" s="2">
        <v>2.6727893250000001</v>
      </c>
      <c r="R2735" s="2">
        <v>2.7740590759999999</v>
      </c>
      <c r="S2735" s="2">
        <v>2.664059076</v>
      </c>
      <c r="T2735" s="2">
        <v>0.20585183800000001</v>
      </c>
      <c r="U2735" s="2">
        <v>0.21585183799999999</v>
      </c>
      <c r="V2735" s="2">
        <v>4.1275615410000004</v>
      </c>
      <c r="W2735" s="2">
        <v>4.1646068310000004</v>
      </c>
      <c r="X2735">
        <f t="shared" si="126"/>
        <v>1</v>
      </c>
      <c r="Y2735">
        <f t="shared" si="127"/>
        <v>0</v>
      </c>
      <c r="Z2735">
        <f t="shared" si="128"/>
        <v>0</v>
      </c>
    </row>
    <row r="2736" spans="1:26" ht="15.75" customHeight="1" x14ac:dyDescent="0.2">
      <c r="A2736" s="2" t="s">
        <v>36</v>
      </c>
      <c r="B2736" s="2" t="s">
        <v>24</v>
      </c>
      <c r="C2736" s="2" t="s">
        <v>26</v>
      </c>
      <c r="D2736" s="2" t="s">
        <v>26</v>
      </c>
      <c r="E2736" s="2">
        <v>101</v>
      </c>
      <c r="F2736" s="2">
        <v>225</v>
      </c>
      <c r="G2736" s="2">
        <v>423</v>
      </c>
      <c r="H2736" s="2">
        <v>1219</v>
      </c>
      <c r="I2736" s="2">
        <v>2561</v>
      </c>
      <c r="J2736" s="2">
        <v>2.23</v>
      </c>
      <c r="K2736" s="2">
        <v>4.2300000000000004</v>
      </c>
      <c r="L2736" s="2">
        <v>9.75</v>
      </c>
      <c r="M2736" s="2">
        <v>14.66</v>
      </c>
      <c r="N2736" s="2">
        <v>1.131576071</v>
      </c>
      <c r="O2736" s="2">
        <v>1.2832739479999999</v>
      </c>
      <c r="P2736" s="2">
        <v>1.9057509859999999</v>
      </c>
      <c r="Q2736" s="2">
        <v>1.947241392</v>
      </c>
      <c r="R2736" s="2">
        <v>0.50411303900000004</v>
      </c>
      <c r="S2736" s="2">
        <v>0.61411303900000003</v>
      </c>
      <c r="T2736" s="2">
        <v>1.8378674770000001</v>
      </c>
      <c r="U2736" s="2">
        <v>1.8478674770000001</v>
      </c>
      <c r="V2736" s="2">
        <v>0.84938942699999997</v>
      </c>
      <c r="W2736" s="2">
        <v>0.88643471600000001</v>
      </c>
      <c r="X2736">
        <f t="shared" si="126"/>
        <v>1</v>
      </c>
      <c r="Y2736">
        <f t="shared" si="127"/>
        <v>0</v>
      </c>
      <c r="Z2736">
        <f t="shared" si="128"/>
        <v>0</v>
      </c>
    </row>
    <row r="2737" spans="1:26" ht="15.75" customHeight="1" x14ac:dyDescent="0.2">
      <c r="A2737" s="2" t="s">
        <v>36</v>
      </c>
      <c r="B2737" s="2" t="s">
        <v>24</v>
      </c>
      <c r="C2737" s="2" t="s">
        <v>27</v>
      </c>
      <c r="D2737" s="2" t="s">
        <v>27</v>
      </c>
      <c r="E2737" s="2">
        <v>88</v>
      </c>
      <c r="F2737" s="2">
        <v>216</v>
      </c>
      <c r="G2737" s="2">
        <v>441</v>
      </c>
      <c r="H2737" s="2">
        <v>2081</v>
      </c>
      <c r="I2737" s="2">
        <v>3018</v>
      </c>
      <c r="J2737" s="2">
        <v>2.13</v>
      </c>
      <c r="K2737" s="2">
        <v>4.3899999999999997</v>
      </c>
      <c r="L2737" s="2">
        <v>13.28</v>
      </c>
      <c r="M2737" s="2">
        <v>15.72</v>
      </c>
      <c r="N2737" s="2">
        <v>0.50450894099999999</v>
      </c>
      <c r="O2737" s="2">
        <v>0.62220314099999996</v>
      </c>
      <c r="P2737" s="2">
        <v>1.719478208</v>
      </c>
      <c r="Q2737" s="2">
        <v>1.7346281180000001</v>
      </c>
      <c r="R2737" s="2">
        <v>0.33571428599999997</v>
      </c>
      <c r="S2737" s="2">
        <v>0.44571428600000002</v>
      </c>
      <c r="T2737" s="2">
        <v>1.6863870329999999</v>
      </c>
      <c r="U2737" s="2">
        <v>1.6763870329999999</v>
      </c>
      <c r="V2737" s="2">
        <v>1.0177881799999999</v>
      </c>
      <c r="W2737" s="2">
        <v>1.0548334690000001</v>
      </c>
      <c r="X2737">
        <f t="shared" si="126"/>
        <v>1</v>
      </c>
      <c r="Y2737">
        <f t="shared" si="127"/>
        <v>0</v>
      </c>
      <c r="Z2737">
        <f t="shared" si="128"/>
        <v>0</v>
      </c>
    </row>
    <row r="2738" spans="1:26" ht="15.75" customHeight="1" x14ac:dyDescent="0.2">
      <c r="A2738" s="2" t="s">
        <v>36</v>
      </c>
      <c r="B2738" s="2" t="s">
        <v>24</v>
      </c>
      <c r="C2738" s="2" t="s">
        <v>28</v>
      </c>
      <c r="D2738" s="2" t="s">
        <v>29</v>
      </c>
      <c r="E2738" s="2">
        <v>83</v>
      </c>
      <c r="F2738" s="2">
        <v>215</v>
      </c>
      <c r="G2738" s="2">
        <v>343</v>
      </c>
      <c r="H2738" s="2">
        <v>882</v>
      </c>
      <c r="I2738" s="2">
        <v>2433</v>
      </c>
      <c r="J2738" s="2">
        <v>2.12</v>
      </c>
      <c r="K2738" s="2">
        <v>3.46</v>
      </c>
      <c r="L2738" s="2">
        <v>7.79</v>
      </c>
      <c r="M2738" s="2">
        <v>14.32</v>
      </c>
      <c r="N2738" s="2">
        <v>1.0422026390000001</v>
      </c>
      <c r="O2738" s="2">
        <v>1.063917416</v>
      </c>
      <c r="P2738" s="2">
        <v>4.0043263820000004</v>
      </c>
      <c r="Q2738" s="2">
        <v>4.0499692410000003</v>
      </c>
      <c r="R2738" s="2">
        <v>1.2703242619999999</v>
      </c>
      <c r="S2738" s="2">
        <v>1.380324262</v>
      </c>
      <c r="T2738" s="2">
        <v>3.7974868069999999</v>
      </c>
      <c r="U2738" s="2">
        <v>3.8074868070000001</v>
      </c>
      <c r="V2738" s="2">
        <v>8.3178204000000006E-2</v>
      </c>
      <c r="W2738" s="2">
        <v>0.120223493</v>
      </c>
      <c r="X2738">
        <f t="shared" si="126"/>
        <v>1</v>
      </c>
      <c r="Y2738">
        <f t="shared" si="127"/>
        <v>0</v>
      </c>
      <c r="Z2738">
        <f t="shared" si="128"/>
        <v>1</v>
      </c>
    </row>
    <row r="2739" spans="1:26" ht="15.75" customHeight="1" x14ac:dyDescent="0.2">
      <c r="A2739" s="2" t="s">
        <v>36</v>
      </c>
      <c r="B2739" s="2" t="s">
        <v>24</v>
      </c>
      <c r="C2739" s="2" t="s">
        <v>30</v>
      </c>
      <c r="D2739" s="2" t="s">
        <v>31</v>
      </c>
      <c r="E2739" s="2">
        <v>109</v>
      </c>
      <c r="F2739" s="2">
        <v>212</v>
      </c>
      <c r="G2739" s="2">
        <v>668</v>
      </c>
      <c r="H2739" s="2">
        <v>1699</v>
      </c>
      <c r="I2739" s="2">
        <v>2632</v>
      </c>
      <c r="J2739" s="2">
        <v>2.09</v>
      </c>
      <c r="K2739" s="2">
        <v>6.28</v>
      </c>
      <c r="L2739" s="2">
        <v>11.92</v>
      </c>
      <c r="M2739" s="2">
        <v>14.84</v>
      </c>
      <c r="N2739" s="2">
        <v>2.7204724159999998</v>
      </c>
      <c r="O2739" s="2">
        <v>2.5627776720000002</v>
      </c>
      <c r="P2739" s="2">
        <v>1.5893792259999999</v>
      </c>
      <c r="Q2739" s="2">
        <v>1.479758744</v>
      </c>
      <c r="R2739" s="2">
        <v>1.5547184169999999</v>
      </c>
      <c r="S2739" s="2">
        <v>1.444718417</v>
      </c>
      <c r="T2739" s="2">
        <v>0.33011659700000001</v>
      </c>
      <c r="U2739" s="2">
        <v>0.320116597</v>
      </c>
      <c r="V2739" s="2">
        <v>2.9082208820000002</v>
      </c>
      <c r="W2739" s="2">
        <v>2.9452661720000002</v>
      </c>
      <c r="X2739">
        <f t="shared" si="126"/>
        <v>1</v>
      </c>
      <c r="Y2739">
        <f t="shared" si="127"/>
        <v>0</v>
      </c>
      <c r="Z2739">
        <f t="shared" si="128"/>
        <v>1</v>
      </c>
    </row>
    <row r="2740" spans="1:26" ht="15.75" customHeight="1" x14ac:dyDescent="0.2">
      <c r="A2740" s="2" t="s">
        <v>36</v>
      </c>
      <c r="B2740" s="2" t="s">
        <v>24</v>
      </c>
      <c r="C2740" s="2" t="s">
        <v>26</v>
      </c>
      <c r="D2740" s="2" t="s">
        <v>26</v>
      </c>
      <c r="E2740" s="2">
        <v>120</v>
      </c>
      <c r="F2740" s="2">
        <v>220</v>
      </c>
      <c r="G2740" s="2">
        <v>383</v>
      </c>
      <c r="H2740" s="2">
        <v>856</v>
      </c>
      <c r="I2740" s="2">
        <v>2603</v>
      </c>
      <c r="J2740" s="2">
        <v>2.1800000000000002</v>
      </c>
      <c r="K2740" s="2">
        <v>3.86</v>
      </c>
      <c r="L2740" s="2">
        <v>7.62</v>
      </c>
      <c r="M2740" s="2">
        <v>14.76</v>
      </c>
      <c r="N2740" s="2">
        <v>1.0349660860000001</v>
      </c>
      <c r="O2740" s="2">
        <v>0.95034465700000004</v>
      </c>
      <c r="P2740" s="2">
        <v>4.0654920729999997</v>
      </c>
      <c r="Q2740" s="2">
        <v>4.1002656350000004</v>
      </c>
      <c r="R2740" s="2">
        <v>0.87429587499999994</v>
      </c>
      <c r="S2740" s="2">
        <v>0.98429587500000004</v>
      </c>
      <c r="T2740" s="2">
        <v>3.9703693179999999</v>
      </c>
      <c r="U2740" s="2">
        <v>3.9803693180000002</v>
      </c>
      <c r="V2740" s="2">
        <v>0.47920658999999999</v>
      </c>
      <c r="W2740" s="2">
        <v>0.51625188</v>
      </c>
      <c r="X2740">
        <f t="shared" si="126"/>
        <v>1</v>
      </c>
      <c r="Y2740">
        <f t="shared" si="127"/>
        <v>0</v>
      </c>
      <c r="Z2740">
        <f t="shared" si="128"/>
        <v>0</v>
      </c>
    </row>
    <row r="2741" spans="1:26" ht="15.75" customHeight="1" x14ac:dyDescent="0.2">
      <c r="A2741" s="2" t="s">
        <v>36</v>
      </c>
      <c r="B2741" s="2" t="s">
        <v>24</v>
      </c>
      <c r="C2741" s="2" t="s">
        <v>28</v>
      </c>
      <c r="D2741" s="2" t="s">
        <v>29</v>
      </c>
      <c r="E2741" s="2">
        <v>121</v>
      </c>
      <c r="F2741" s="2">
        <v>208</v>
      </c>
      <c r="G2741" s="2">
        <v>439</v>
      </c>
      <c r="H2741" s="2">
        <v>1202</v>
      </c>
      <c r="I2741" s="2">
        <v>2627</v>
      </c>
      <c r="J2741" s="2">
        <v>2.04</v>
      </c>
      <c r="K2741" s="2">
        <v>4.38</v>
      </c>
      <c r="L2741" s="2">
        <v>9.66</v>
      </c>
      <c r="M2741" s="2">
        <v>14.82</v>
      </c>
      <c r="N2741" s="2">
        <v>1.075696601</v>
      </c>
      <c r="O2741" s="2">
        <v>1.1973889550000001</v>
      </c>
      <c r="P2741" s="2">
        <v>1.9584135030000001</v>
      </c>
      <c r="Q2741" s="2">
        <v>1.990808761</v>
      </c>
      <c r="R2741" s="2">
        <v>0.35091692099999999</v>
      </c>
      <c r="S2741" s="2">
        <v>0.46091692099999998</v>
      </c>
      <c r="T2741" s="2">
        <v>1.926717614</v>
      </c>
      <c r="U2741" s="2">
        <v>1.936717614</v>
      </c>
      <c r="V2741" s="2">
        <v>1.002585544</v>
      </c>
      <c r="W2741" s="2">
        <v>1.039630834</v>
      </c>
      <c r="X2741">
        <f t="shared" si="126"/>
        <v>1</v>
      </c>
      <c r="Y2741">
        <f t="shared" si="127"/>
        <v>0</v>
      </c>
      <c r="Z2741">
        <f t="shared" si="128"/>
        <v>1</v>
      </c>
    </row>
    <row r="2742" spans="1:26" ht="15.75" customHeight="1" x14ac:dyDescent="0.2">
      <c r="A2742" s="2" t="s">
        <v>36</v>
      </c>
      <c r="B2742" s="2" t="s">
        <v>24</v>
      </c>
      <c r="C2742" s="2" t="s">
        <v>32</v>
      </c>
      <c r="D2742" s="2" t="s">
        <v>33</v>
      </c>
      <c r="E2742" s="2">
        <v>130</v>
      </c>
      <c r="F2742" s="2">
        <v>217</v>
      </c>
      <c r="G2742" s="2">
        <v>499</v>
      </c>
      <c r="H2742" s="2">
        <v>1009</v>
      </c>
      <c r="I2742" s="2">
        <v>2387</v>
      </c>
      <c r="J2742" s="2">
        <v>2.15</v>
      </c>
      <c r="K2742" s="2">
        <v>4.91</v>
      </c>
      <c r="L2742" s="2">
        <v>8.58</v>
      </c>
      <c r="M2742" s="2">
        <v>14.19</v>
      </c>
      <c r="N2742" s="2">
        <v>4.1096689130000001</v>
      </c>
      <c r="O2742" s="2">
        <v>4.0288564210000004</v>
      </c>
      <c r="P2742" s="2">
        <v>3.0120076920000001</v>
      </c>
      <c r="Q2742" s="2">
        <v>3.017524318</v>
      </c>
      <c r="R2742" s="2">
        <v>0.17760303699999999</v>
      </c>
      <c r="S2742" s="2">
        <v>6.7603037000000005E-2</v>
      </c>
      <c r="T2742" s="2">
        <v>3.0067669509999999</v>
      </c>
      <c r="U2742" s="2">
        <v>3.0167669510000001</v>
      </c>
      <c r="V2742" s="2">
        <v>1.531105502</v>
      </c>
      <c r="W2742" s="2">
        <v>1.568150792</v>
      </c>
      <c r="X2742">
        <f t="shared" si="126"/>
        <v>1</v>
      </c>
      <c r="Y2742">
        <f t="shared" si="127"/>
        <v>0</v>
      </c>
      <c r="Z2742">
        <f t="shared" si="128"/>
        <v>1</v>
      </c>
    </row>
    <row r="2743" spans="1:26" ht="15.75" customHeight="1" x14ac:dyDescent="0.2">
      <c r="A2743" s="2" t="s">
        <v>36</v>
      </c>
      <c r="B2743" s="2" t="s">
        <v>24</v>
      </c>
      <c r="C2743" s="2" t="s">
        <v>32</v>
      </c>
      <c r="D2743" s="2" t="s">
        <v>33</v>
      </c>
      <c r="E2743" s="2">
        <v>112</v>
      </c>
      <c r="F2743" s="2">
        <v>211</v>
      </c>
      <c r="G2743" s="2">
        <v>559</v>
      </c>
      <c r="H2743" s="2">
        <v>1016</v>
      </c>
      <c r="I2743" s="2">
        <v>2460</v>
      </c>
      <c r="J2743" s="2">
        <v>2.0699999999999998</v>
      </c>
      <c r="K2743" s="2">
        <v>5.42</v>
      </c>
      <c r="L2743" s="2">
        <v>8.6199999999999992</v>
      </c>
      <c r="M2743" s="2">
        <v>14.39</v>
      </c>
      <c r="N2743" s="2">
        <v>3.8061956430000001</v>
      </c>
      <c r="O2743" s="2">
        <v>3.7107490080000001</v>
      </c>
      <c r="P2743" s="2">
        <v>3.0461833110000001</v>
      </c>
      <c r="Q2743" s="2">
        <v>3.0329993869999998</v>
      </c>
      <c r="R2743" s="2">
        <v>0.68949980200000005</v>
      </c>
      <c r="S2743" s="2">
        <v>0.57949980199999995</v>
      </c>
      <c r="T2743" s="2">
        <v>2.9671236560000001</v>
      </c>
      <c r="U2743" s="2">
        <v>2.9771236559999998</v>
      </c>
      <c r="V2743" s="2">
        <v>2.0430022669999999</v>
      </c>
      <c r="W2743" s="2">
        <v>2.0800475569999999</v>
      </c>
      <c r="X2743">
        <f t="shared" si="126"/>
        <v>1</v>
      </c>
      <c r="Y2743">
        <f t="shared" si="127"/>
        <v>0</v>
      </c>
      <c r="Z2743">
        <f t="shared" si="128"/>
        <v>1</v>
      </c>
    </row>
    <row r="2744" spans="1:26" ht="15.75" customHeight="1" x14ac:dyDescent="0.2">
      <c r="A2744" s="2" t="s">
        <v>36</v>
      </c>
      <c r="B2744" s="2" t="s">
        <v>24</v>
      </c>
      <c r="C2744" s="2" t="s">
        <v>25</v>
      </c>
      <c r="D2744" s="2" t="s">
        <v>25</v>
      </c>
      <c r="E2744" s="2">
        <v>158</v>
      </c>
      <c r="F2744" s="2">
        <v>225</v>
      </c>
      <c r="G2744" s="2">
        <v>918</v>
      </c>
      <c r="H2744" s="2">
        <v>1734</v>
      </c>
      <c r="I2744" s="2">
        <v>2687</v>
      </c>
      <c r="J2744" s="2">
        <v>2.23</v>
      </c>
      <c r="K2744" s="2">
        <v>8.02</v>
      </c>
      <c r="L2744" s="2">
        <v>12.05</v>
      </c>
      <c r="M2744" s="2">
        <v>14.97</v>
      </c>
      <c r="N2744" s="2">
        <v>0.77743729800000005</v>
      </c>
      <c r="O2744" s="2">
        <v>0.74313158199999996</v>
      </c>
      <c r="P2744" s="2">
        <v>3.3242915480000002</v>
      </c>
      <c r="Q2744" s="2">
        <v>3.2139786849999998</v>
      </c>
      <c r="R2744" s="2">
        <v>3.291626129</v>
      </c>
      <c r="S2744" s="2">
        <v>3.1816261290000001</v>
      </c>
      <c r="T2744" s="2">
        <v>0.464878181</v>
      </c>
      <c r="U2744" s="2">
        <v>0.45487818099999999</v>
      </c>
      <c r="V2744" s="2">
        <v>4.645128594</v>
      </c>
      <c r="W2744" s="2">
        <v>4.682173884</v>
      </c>
      <c r="X2744">
        <f t="shared" si="126"/>
        <v>1</v>
      </c>
      <c r="Y2744">
        <f t="shared" si="127"/>
        <v>0</v>
      </c>
      <c r="Z2744">
        <f t="shared" si="128"/>
        <v>0</v>
      </c>
    </row>
    <row r="2745" spans="1:26" ht="15.75" customHeight="1" x14ac:dyDescent="0.2">
      <c r="A2745" s="2" t="s">
        <v>36</v>
      </c>
      <c r="B2745" s="2" t="s">
        <v>24</v>
      </c>
      <c r="C2745" s="2" t="s">
        <v>32</v>
      </c>
      <c r="D2745" s="2" t="s">
        <v>33</v>
      </c>
      <c r="E2745" s="2">
        <v>109</v>
      </c>
      <c r="F2745" s="2">
        <v>218</v>
      </c>
      <c r="G2745" s="2">
        <v>578</v>
      </c>
      <c r="H2745" s="2">
        <v>1121</v>
      </c>
      <c r="I2745" s="2">
        <v>2617</v>
      </c>
      <c r="J2745" s="2">
        <v>2.15</v>
      </c>
      <c r="K2745" s="2">
        <v>5.57</v>
      </c>
      <c r="L2745" s="2">
        <v>9.2200000000000006</v>
      </c>
      <c r="M2745" s="2">
        <v>14.8</v>
      </c>
      <c r="N2745" s="2">
        <v>3.2101193729999999</v>
      </c>
      <c r="O2745" s="2">
        <v>3.12184061</v>
      </c>
      <c r="P2745" s="2">
        <v>2.5128221179999999</v>
      </c>
      <c r="Q2745" s="2">
        <v>2.4876436960000001</v>
      </c>
      <c r="R2745" s="2">
        <v>0.84294627600000005</v>
      </c>
      <c r="S2745" s="2">
        <v>0.73294627599999995</v>
      </c>
      <c r="T2745" s="2">
        <v>2.3672170530000001</v>
      </c>
      <c r="U2745" s="2">
        <v>2.3772170529999999</v>
      </c>
      <c r="V2745" s="2">
        <v>2.1964487410000002</v>
      </c>
      <c r="W2745" s="2">
        <v>2.2334940310000002</v>
      </c>
      <c r="X2745">
        <f t="shared" si="126"/>
        <v>1</v>
      </c>
      <c r="Y2745">
        <f t="shared" si="127"/>
        <v>0</v>
      </c>
      <c r="Z2745">
        <f t="shared" si="128"/>
        <v>1</v>
      </c>
    </row>
    <row r="2746" spans="1:26" ht="15.75" customHeight="1" x14ac:dyDescent="0.2">
      <c r="A2746" s="2" t="s">
        <v>36</v>
      </c>
      <c r="B2746" s="2" t="s">
        <v>24</v>
      </c>
      <c r="C2746" s="2" t="s">
        <v>32</v>
      </c>
      <c r="D2746" s="2" t="s">
        <v>33</v>
      </c>
      <c r="E2746" s="2">
        <v>131</v>
      </c>
      <c r="F2746" s="2">
        <v>222</v>
      </c>
      <c r="G2746" s="2">
        <v>481</v>
      </c>
      <c r="H2746" s="2">
        <v>1056</v>
      </c>
      <c r="I2746" s="2">
        <v>2517</v>
      </c>
      <c r="J2746" s="2">
        <v>2.19</v>
      </c>
      <c r="K2746" s="2">
        <v>4.76</v>
      </c>
      <c r="L2746" s="2">
        <v>8.86</v>
      </c>
      <c r="M2746" s="2">
        <v>14.54</v>
      </c>
      <c r="N2746" s="2">
        <v>3.9825810590000001</v>
      </c>
      <c r="O2746" s="2">
        <v>3.9122973339999998</v>
      </c>
      <c r="P2746" s="2">
        <v>2.7349923829999998</v>
      </c>
      <c r="Q2746" s="2">
        <v>2.7461594090000001</v>
      </c>
      <c r="R2746" s="2">
        <v>2.5860186E-2</v>
      </c>
      <c r="S2746" s="2">
        <v>8.4139813999999993E-2</v>
      </c>
      <c r="T2746" s="2">
        <v>2.7348701229999999</v>
      </c>
      <c r="U2746" s="2">
        <v>2.7448701230000001</v>
      </c>
      <c r="V2746" s="2">
        <v>1.3793626510000001</v>
      </c>
      <c r="W2746" s="2">
        <v>1.4164079409999999</v>
      </c>
      <c r="X2746">
        <f t="shared" si="126"/>
        <v>1</v>
      </c>
      <c r="Y2746">
        <f t="shared" si="127"/>
        <v>0</v>
      </c>
      <c r="Z2746">
        <f t="shared" si="128"/>
        <v>1</v>
      </c>
    </row>
    <row r="2747" spans="1:26" ht="15.75" customHeight="1" x14ac:dyDescent="0.2">
      <c r="A2747" s="2" t="s">
        <v>36</v>
      </c>
      <c r="B2747" s="2" t="s">
        <v>24</v>
      </c>
      <c r="C2747" s="2" t="s">
        <v>25</v>
      </c>
      <c r="D2747" s="2" t="s">
        <v>25</v>
      </c>
      <c r="E2747" s="2">
        <v>90</v>
      </c>
      <c r="F2747" s="2">
        <v>220</v>
      </c>
      <c r="G2747" s="2">
        <v>757</v>
      </c>
      <c r="H2747" s="2">
        <v>1773</v>
      </c>
      <c r="I2747" s="2">
        <v>2676</v>
      </c>
      <c r="J2747" s="2">
        <v>2.1800000000000002</v>
      </c>
      <c r="K2747" s="2">
        <v>6.94</v>
      </c>
      <c r="L2747" s="2">
        <v>12.2</v>
      </c>
      <c r="M2747" s="2">
        <v>14.94</v>
      </c>
      <c r="N2747" s="2">
        <v>0.39256770499999999</v>
      </c>
      <c r="O2747" s="2">
        <v>0.54558909600000005</v>
      </c>
      <c r="P2747" s="2">
        <v>2.2955675690000001</v>
      </c>
      <c r="Q2747" s="2">
        <v>2.1869853799999999</v>
      </c>
      <c r="R2747" s="2">
        <v>2.212070658</v>
      </c>
      <c r="S2747" s="2">
        <v>2.1020706580000001</v>
      </c>
      <c r="T2747" s="2">
        <v>0.61349316899999995</v>
      </c>
      <c r="U2747" s="2">
        <v>0.60349316900000005</v>
      </c>
      <c r="V2747" s="2">
        <v>3.5655731230000001</v>
      </c>
      <c r="W2747" s="2">
        <v>3.6026184130000001</v>
      </c>
      <c r="X2747">
        <f t="shared" si="126"/>
        <v>1</v>
      </c>
      <c r="Y2747">
        <f t="shared" si="127"/>
        <v>0</v>
      </c>
      <c r="Z2747">
        <f t="shared" si="128"/>
        <v>0</v>
      </c>
    </row>
    <row r="2748" spans="1:26" ht="15.75" customHeight="1" x14ac:dyDescent="0.2">
      <c r="A2748" s="2" t="s">
        <v>36</v>
      </c>
      <c r="B2748" s="2" t="s">
        <v>24</v>
      </c>
      <c r="C2748" s="2" t="s">
        <v>25</v>
      </c>
      <c r="D2748" s="2" t="s">
        <v>25</v>
      </c>
      <c r="E2748" s="2">
        <v>108</v>
      </c>
      <c r="F2748" s="2">
        <v>209</v>
      </c>
      <c r="G2748" s="2">
        <v>804</v>
      </c>
      <c r="H2748" s="2">
        <v>1642</v>
      </c>
      <c r="I2748" s="2">
        <v>2612</v>
      </c>
      <c r="J2748" s="2">
        <v>2.0499999999999998</v>
      </c>
      <c r="K2748" s="2">
        <v>7.27</v>
      </c>
      <c r="L2748" s="2">
        <v>11.69</v>
      </c>
      <c r="M2748" s="2">
        <v>14.79</v>
      </c>
      <c r="N2748" s="2">
        <v>0.26791425600000002</v>
      </c>
      <c r="O2748" s="2">
        <v>0.12699368599999999</v>
      </c>
      <c r="P2748" s="2">
        <v>2.5429424960000002</v>
      </c>
      <c r="Q2748" s="2">
        <v>2.4326342539999999</v>
      </c>
      <c r="R2748" s="2">
        <v>2.5408597610000001</v>
      </c>
      <c r="S2748" s="2">
        <v>2.4308597609999998</v>
      </c>
      <c r="T2748" s="2">
        <v>0.10289904699999999</v>
      </c>
      <c r="U2748" s="2">
        <v>9.2899046999999998E-2</v>
      </c>
      <c r="V2748" s="2">
        <v>3.8943622260000001</v>
      </c>
      <c r="W2748" s="2">
        <v>3.9314075160000002</v>
      </c>
      <c r="X2748">
        <f t="shared" si="126"/>
        <v>1</v>
      </c>
      <c r="Y2748">
        <f t="shared" si="127"/>
        <v>0</v>
      </c>
      <c r="Z2748">
        <f t="shared" si="128"/>
        <v>0</v>
      </c>
    </row>
    <row r="2749" spans="1:26" ht="15.75" customHeight="1" x14ac:dyDescent="0.2">
      <c r="A2749" s="2" t="s">
        <v>36</v>
      </c>
      <c r="B2749" s="2" t="s">
        <v>24</v>
      </c>
      <c r="C2749" s="2" t="s">
        <v>27</v>
      </c>
      <c r="D2749" s="2" t="s">
        <v>27</v>
      </c>
      <c r="E2749" s="2">
        <v>80</v>
      </c>
      <c r="F2749" s="2">
        <v>217</v>
      </c>
      <c r="G2749" s="2">
        <v>415</v>
      </c>
      <c r="H2749" s="2">
        <v>2230</v>
      </c>
      <c r="I2749" s="2">
        <v>2924</v>
      </c>
      <c r="J2749" s="2">
        <v>2.14</v>
      </c>
      <c r="K2749" s="2">
        <v>4.1500000000000004</v>
      </c>
      <c r="L2749" s="2">
        <v>13.74</v>
      </c>
      <c r="M2749" s="2">
        <v>15.52</v>
      </c>
      <c r="N2749" s="2">
        <v>0.14188244899999999</v>
      </c>
      <c r="O2749" s="2">
        <v>0.47416080599999999</v>
      </c>
      <c r="P2749" s="2">
        <v>2.2252931149999999</v>
      </c>
      <c r="Q2749" s="2">
        <v>2.2468653139999999</v>
      </c>
      <c r="R2749" s="2">
        <v>0.57841100499999998</v>
      </c>
      <c r="S2749" s="2">
        <v>0.68841100499999996</v>
      </c>
      <c r="T2749" s="2">
        <v>2.1488066830000001</v>
      </c>
      <c r="U2749" s="2">
        <v>2.1388066829999999</v>
      </c>
      <c r="V2749" s="2">
        <v>0.77509145999999995</v>
      </c>
      <c r="W2749" s="2">
        <v>0.81213674999999996</v>
      </c>
      <c r="X2749">
        <f t="shared" si="126"/>
        <v>1</v>
      </c>
      <c r="Y2749">
        <f t="shared" si="127"/>
        <v>0</v>
      </c>
      <c r="Z2749">
        <f t="shared" si="128"/>
        <v>0</v>
      </c>
    </row>
    <row r="2750" spans="1:26" ht="15.75" customHeight="1" x14ac:dyDescent="0.2">
      <c r="A2750" s="2" t="s">
        <v>36</v>
      </c>
      <c r="B2750" s="2" t="s">
        <v>24</v>
      </c>
      <c r="C2750" s="2" t="s">
        <v>30</v>
      </c>
      <c r="D2750" s="2" t="s">
        <v>31</v>
      </c>
      <c r="E2750" s="2">
        <v>95</v>
      </c>
      <c r="F2750" s="2">
        <v>210</v>
      </c>
      <c r="G2750" s="2">
        <v>691</v>
      </c>
      <c r="H2750" s="2">
        <v>1527</v>
      </c>
      <c r="I2750" s="2">
        <v>2557</v>
      </c>
      <c r="J2750" s="2">
        <v>2.0699999999999998</v>
      </c>
      <c r="K2750" s="2">
        <v>6.46</v>
      </c>
      <c r="L2750" s="2">
        <v>11.21</v>
      </c>
      <c r="M2750" s="2">
        <v>14.65</v>
      </c>
      <c r="N2750" s="2">
        <v>3.352862537</v>
      </c>
      <c r="O2750" s="2">
        <v>3.229064814</v>
      </c>
      <c r="P2750" s="2">
        <v>1.7669551509999999</v>
      </c>
      <c r="Q2750" s="2">
        <v>1.6620069289999999</v>
      </c>
      <c r="R2750" s="2">
        <v>1.7257042250000001</v>
      </c>
      <c r="S2750" s="2">
        <v>1.615704225</v>
      </c>
      <c r="T2750" s="2">
        <v>0.37957269900000001</v>
      </c>
      <c r="U2750" s="2">
        <v>0.38957269900000002</v>
      </c>
      <c r="V2750" s="2">
        <v>3.079206691</v>
      </c>
      <c r="W2750" s="2">
        <v>3.1162519799999999</v>
      </c>
      <c r="X2750">
        <f t="shared" si="126"/>
        <v>1</v>
      </c>
      <c r="Y2750">
        <f t="shared" si="127"/>
        <v>0</v>
      </c>
      <c r="Z2750">
        <f t="shared" si="128"/>
        <v>1</v>
      </c>
    </row>
    <row r="2751" spans="1:26" ht="15.75" customHeight="1" x14ac:dyDescent="0.2">
      <c r="A2751" s="2" t="s">
        <v>36</v>
      </c>
      <c r="B2751" s="2" t="s">
        <v>24</v>
      </c>
      <c r="C2751" s="2" t="s">
        <v>28</v>
      </c>
      <c r="D2751" s="2" t="s">
        <v>29</v>
      </c>
      <c r="E2751" s="2">
        <v>87</v>
      </c>
      <c r="F2751" s="2">
        <v>215</v>
      </c>
      <c r="G2751" s="2">
        <v>336</v>
      </c>
      <c r="H2751" s="2">
        <v>979</v>
      </c>
      <c r="I2751" s="2">
        <v>2330</v>
      </c>
      <c r="J2751" s="2">
        <v>2.12</v>
      </c>
      <c r="K2751" s="2">
        <v>3.4</v>
      </c>
      <c r="L2751" s="2">
        <v>8.4</v>
      </c>
      <c r="M2751" s="2">
        <v>14.03</v>
      </c>
      <c r="N2751" s="2">
        <v>0.72074940099999996</v>
      </c>
      <c r="O2751" s="2">
        <v>0.88598659300000004</v>
      </c>
      <c r="P2751" s="2">
        <v>3.4568710189999998</v>
      </c>
      <c r="Q2751" s="2">
        <v>3.5098808300000002</v>
      </c>
      <c r="R2751" s="2">
        <v>1.333263173</v>
      </c>
      <c r="S2751" s="2">
        <v>1.4432631730000001</v>
      </c>
      <c r="T2751" s="2">
        <v>3.1894147670000002</v>
      </c>
      <c r="U2751" s="2">
        <v>3.1994147669999999</v>
      </c>
      <c r="V2751" s="2">
        <v>2.0239291999999999E-2</v>
      </c>
      <c r="W2751" s="2">
        <v>5.7284582000000001E-2</v>
      </c>
      <c r="X2751">
        <f t="shared" si="126"/>
        <v>1</v>
      </c>
      <c r="Y2751">
        <f t="shared" si="127"/>
        <v>0</v>
      </c>
      <c r="Z2751">
        <f t="shared" si="128"/>
        <v>1</v>
      </c>
    </row>
    <row r="2752" spans="1:26" ht="15.75" customHeight="1" x14ac:dyDescent="0.2">
      <c r="A2752" s="2" t="s">
        <v>36</v>
      </c>
      <c r="B2752" s="2" t="s">
        <v>24</v>
      </c>
      <c r="C2752" s="2" t="s">
        <v>28</v>
      </c>
      <c r="D2752" s="2" t="s">
        <v>29</v>
      </c>
      <c r="E2752" s="2">
        <v>129</v>
      </c>
      <c r="F2752" s="2">
        <v>217</v>
      </c>
      <c r="G2752" s="2">
        <v>332</v>
      </c>
      <c r="H2752" s="2">
        <v>1029</v>
      </c>
      <c r="I2752" s="2">
        <v>2322</v>
      </c>
      <c r="J2752" s="2">
        <v>2.14</v>
      </c>
      <c r="K2752" s="2">
        <v>3.36</v>
      </c>
      <c r="L2752" s="2">
        <v>8.6999999999999993</v>
      </c>
      <c r="M2752" s="2">
        <v>14.01</v>
      </c>
      <c r="N2752" s="2">
        <v>0.72654159299999999</v>
      </c>
      <c r="O2752" s="2">
        <v>0.95133331200000004</v>
      </c>
      <c r="P2752" s="2">
        <v>3.199946078</v>
      </c>
      <c r="Q2752" s="2">
        <v>3.2575702560000002</v>
      </c>
      <c r="R2752" s="2">
        <v>1.3731932529999999</v>
      </c>
      <c r="S2752" s="2">
        <v>1.483193253</v>
      </c>
      <c r="T2752" s="2">
        <v>2.890327869</v>
      </c>
      <c r="U2752" s="2">
        <v>2.9003278689999998</v>
      </c>
      <c r="V2752" s="2">
        <v>-1.9690788000000001E-2</v>
      </c>
      <c r="W2752" s="2">
        <v>1.7354502000000001E-2</v>
      </c>
      <c r="X2752">
        <f t="shared" si="126"/>
        <v>1</v>
      </c>
      <c r="Y2752">
        <f t="shared" si="127"/>
        <v>0</v>
      </c>
      <c r="Z2752">
        <f t="shared" si="128"/>
        <v>1</v>
      </c>
    </row>
    <row r="2753" spans="1:26" ht="15.75" customHeight="1" x14ac:dyDescent="0.2">
      <c r="A2753" s="2" t="s">
        <v>36</v>
      </c>
      <c r="B2753" s="2" t="s">
        <v>24</v>
      </c>
      <c r="C2753" s="2" t="s">
        <v>32</v>
      </c>
      <c r="D2753" s="2" t="s">
        <v>33</v>
      </c>
      <c r="E2753" s="2">
        <v>129</v>
      </c>
      <c r="F2753" s="2">
        <v>216</v>
      </c>
      <c r="G2753" s="2">
        <v>521</v>
      </c>
      <c r="H2753" s="2">
        <v>1042</v>
      </c>
      <c r="I2753" s="2">
        <v>2460</v>
      </c>
      <c r="J2753" s="2">
        <v>2.13</v>
      </c>
      <c r="K2753" s="2">
        <v>5.0999999999999996</v>
      </c>
      <c r="L2753" s="2">
        <v>8.77</v>
      </c>
      <c r="M2753" s="2">
        <v>14.39</v>
      </c>
      <c r="N2753" s="2">
        <v>3.8436999549999999</v>
      </c>
      <c r="O2753" s="2">
        <v>3.761195045</v>
      </c>
      <c r="P2753" s="2">
        <v>2.8403422950000001</v>
      </c>
      <c r="Q2753" s="2">
        <v>2.8380748659999999</v>
      </c>
      <c r="R2753" s="2">
        <v>0.36999193899999999</v>
      </c>
      <c r="S2753" s="2">
        <v>0.25999193900000001</v>
      </c>
      <c r="T2753" s="2">
        <v>2.8161410330000001</v>
      </c>
      <c r="U2753" s="2">
        <v>2.8261410329999999</v>
      </c>
      <c r="V2753" s="2">
        <v>1.723494404</v>
      </c>
      <c r="W2753" s="2">
        <v>1.760539694</v>
      </c>
      <c r="X2753">
        <f t="shared" si="126"/>
        <v>1</v>
      </c>
      <c r="Y2753">
        <f t="shared" si="127"/>
        <v>0</v>
      </c>
      <c r="Z2753">
        <f t="shared" si="128"/>
        <v>1</v>
      </c>
    </row>
    <row r="2754" spans="1:26" ht="15.75" customHeight="1" x14ac:dyDescent="0.2">
      <c r="A2754" s="2" t="s">
        <v>36</v>
      </c>
      <c r="B2754" s="2" t="s">
        <v>24</v>
      </c>
      <c r="C2754" s="2" t="s">
        <v>26</v>
      </c>
      <c r="D2754" s="2" t="s">
        <v>26</v>
      </c>
      <c r="E2754" s="2">
        <v>130</v>
      </c>
      <c r="F2754" s="2">
        <v>233</v>
      </c>
      <c r="G2754" s="2">
        <v>409</v>
      </c>
      <c r="H2754" s="2">
        <v>949</v>
      </c>
      <c r="I2754" s="2">
        <v>2595</v>
      </c>
      <c r="J2754" s="2">
        <v>2.31</v>
      </c>
      <c r="K2754" s="2">
        <v>4.0999999999999996</v>
      </c>
      <c r="L2754" s="2">
        <v>8.2200000000000006</v>
      </c>
      <c r="M2754" s="2">
        <v>14.74</v>
      </c>
      <c r="N2754" s="2">
        <v>0.41422240199999999</v>
      </c>
      <c r="O2754" s="2">
        <v>0.31193027400000001</v>
      </c>
      <c r="P2754" s="2">
        <v>3.432365517</v>
      </c>
      <c r="Q2754" s="2">
        <v>3.4640589479999999</v>
      </c>
      <c r="R2754" s="2">
        <v>0.63134233900000003</v>
      </c>
      <c r="S2754" s="2">
        <v>0.74134233900000002</v>
      </c>
      <c r="T2754" s="2">
        <v>3.3738019939999999</v>
      </c>
      <c r="U2754" s="2">
        <v>3.3838019940000001</v>
      </c>
      <c r="V2754" s="2">
        <v>0.72216012699999999</v>
      </c>
      <c r="W2754" s="2">
        <v>0.75920541699999999</v>
      </c>
      <c r="X2754">
        <f t="shared" si="126"/>
        <v>1</v>
      </c>
      <c r="Y2754">
        <f t="shared" si="127"/>
        <v>0</v>
      </c>
      <c r="Z2754">
        <f t="shared" si="128"/>
        <v>0</v>
      </c>
    </row>
    <row r="2755" spans="1:26" ht="15.75" customHeight="1" x14ac:dyDescent="0.2">
      <c r="A2755" s="2" t="s">
        <v>36</v>
      </c>
      <c r="B2755" s="2" t="s">
        <v>24</v>
      </c>
      <c r="C2755" s="2" t="s">
        <v>25</v>
      </c>
      <c r="D2755" s="2" t="s">
        <v>25</v>
      </c>
      <c r="E2755" s="2">
        <v>135</v>
      </c>
      <c r="F2755" s="2">
        <v>209</v>
      </c>
      <c r="G2755" s="2">
        <v>897</v>
      </c>
      <c r="H2755" s="2">
        <v>1661</v>
      </c>
      <c r="I2755" s="2">
        <v>2646</v>
      </c>
      <c r="J2755" s="2">
        <v>2.0499999999999998</v>
      </c>
      <c r="K2755" s="2">
        <v>7.89</v>
      </c>
      <c r="L2755" s="2">
        <v>11.77</v>
      </c>
      <c r="M2755" s="2">
        <v>14.87</v>
      </c>
      <c r="N2755" s="2">
        <v>0.66773601500000002</v>
      </c>
      <c r="O2755" s="2">
        <v>0.57110533600000002</v>
      </c>
      <c r="P2755" s="2">
        <v>3.1645815060000002</v>
      </c>
      <c r="Q2755" s="2">
        <v>3.0541954160000002</v>
      </c>
      <c r="R2755" s="2">
        <v>3.1595660290000001</v>
      </c>
      <c r="S2755" s="2">
        <v>3.0495660290000002</v>
      </c>
      <c r="T2755" s="2">
        <v>0.17809721100000001</v>
      </c>
      <c r="U2755" s="2">
        <v>0.168097211</v>
      </c>
      <c r="V2755" s="2">
        <v>4.5130684939999997</v>
      </c>
      <c r="W2755" s="2">
        <v>4.5501137839999997</v>
      </c>
      <c r="X2755">
        <f t="shared" ref="X2755:X2818" si="129">IF(B2755="normal",1,0)</f>
        <v>1</v>
      </c>
      <c r="Y2755">
        <f t="shared" ref="Y2755:Y2818" si="130">IF(A2755="lecture",1,0)</f>
        <v>0</v>
      </c>
      <c r="Z2755">
        <f t="shared" ref="Z2755:Z2818" si="131">IF(ISNUMBER(FIND("~",D2755)),1,0)</f>
        <v>0</v>
      </c>
    </row>
    <row r="2756" spans="1:26" ht="15.75" customHeight="1" x14ac:dyDescent="0.2">
      <c r="A2756" s="2" t="s">
        <v>36</v>
      </c>
      <c r="B2756" s="2" t="s">
        <v>24</v>
      </c>
      <c r="C2756" s="2" t="s">
        <v>30</v>
      </c>
      <c r="D2756" s="2" t="s">
        <v>31</v>
      </c>
      <c r="E2756" s="2">
        <v>132</v>
      </c>
      <c r="F2756" s="2">
        <v>206</v>
      </c>
      <c r="G2756" s="2">
        <v>652</v>
      </c>
      <c r="H2756" s="2">
        <v>1266</v>
      </c>
      <c r="I2756" s="2">
        <v>2851</v>
      </c>
      <c r="J2756" s="2">
        <v>2.02</v>
      </c>
      <c r="K2756" s="2">
        <v>6.16</v>
      </c>
      <c r="L2756" s="2">
        <v>9.99</v>
      </c>
      <c r="M2756" s="2">
        <v>15.36</v>
      </c>
      <c r="N2756" s="2">
        <v>4.2171596229999997</v>
      </c>
      <c r="O2756" s="2">
        <v>4.1685590450000003</v>
      </c>
      <c r="P2756" s="2">
        <v>2.1464838070000001</v>
      </c>
      <c r="Q2756" s="2">
        <v>2.0824208080000002</v>
      </c>
      <c r="R2756" s="2">
        <v>1.432235835</v>
      </c>
      <c r="S2756" s="2">
        <v>1.3222358350000001</v>
      </c>
      <c r="T2756" s="2">
        <v>1.598778673</v>
      </c>
      <c r="U2756" s="2">
        <v>1.608778673</v>
      </c>
      <c r="V2756" s="2">
        <v>2.7857382999999998</v>
      </c>
      <c r="W2756" s="2">
        <v>2.8227835899999998</v>
      </c>
      <c r="X2756">
        <f t="shared" si="129"/>
        <v>1</v>
      </c>
      <c r="Y2756">
        <f t="shared" si="130"/>
        <v>0</v>
      </c>
      <c r="Z2756">
        <f t="shared" si="131"/>
        <v>1</v>
      </c>
    </row>
    <row r="2757" spans="1:26" ht="15.75" customHeight="1" x14ac:dyDescent="0.2">
      <c r="A2757" s="2" t="s">
        <v>36</v>
      </c>
      <c r="B2757" s="2" t="s">
        <v>24</v>
      </c>
      <c r="C2757" s="2" t="s">
        <v>27</v>
      </c>
      <c r="D2757" s="2" t="s">
        <v>27</v>
      </c>
      <c r="E2757" s="2">
        <v>117</v>
      </c>
      <c r="F2757" s="2">
        <v>226</v>
      </c>
      <c r="G2757" s="2">
        <v>442</v>
      </c>
      <c r="H2757" s="2">
        <v>2232</v>
      </c>
      <c r="I2757" s="2">
        <v>2949</v>
      </c>
      <c r="J2757" s="2">
        <v>2.2400000000000002</v>
      </c>
      <c r="K2757" s="2">
        <v>4.4000000000000004</v>
      </c>
      <c r="L2757" s="2">
        <v>13.74</v>
      </c>
      <c r="M2757" s="2">
        <v>15.58</v>
      </c>
      <c r="N2757" s="2">
        <v>0.113429775</v>
      </c>
      <c r="O2757" s="2">
        <v>0.23969267799999999</v>
      </c>
      <c r="P2757" s="2">
        <v>2.1788729390000001</v>
      </c>
      <c r="Q2757" s="2">
        <v>2.1884085610000001</v>
      </c>
      <c r="R2757" s="2">
        <v>0.32963913900000003</v>
      </c>
      <c r="S2757" s="2">
        <v>0.43963913900000001</v>
      </c>
      <c r="T2757" s="2">
        <v>2.1537932409999998</v>
      </c>
      <c r="U2757" s="2">
        <v>2.143793241</v>
      </c>
      <c r="V2757" s="2">
        <v>1.0238633260000001</v>
      </c>
      <c r="W2757" s="2">
        <v>1.0609086160000001</v>
      </c>
      <c r="X2757">
        <f t="shared" si="129"/>
        <v>1</v>
      </c>
      <c r="Y2757">
        <f t="shared" si="130"/>
        <v>0</v>
      </c>
      <c r="Z2757">
        <f t="shared" si="131"/>
        <v>0</v>
      </c>
    </row>
    <row r="2758" spans="1:26" ht="15.75" customHeight="1" x14ac:dyDescent="0.2">
      <c r="A2758" s="2" t="s">
        <v>36</v>
      </c>
      <c r="B2758" s="2" t="s">
        <v>24</v>
      </c>
      <c r="C2758" s="2" t="s">
        <v>30</v>
      </c>
      <c r="D2758" s="2" t="s">
        <v>31</v>
      </c>
      <c r="E2758" s="2">
        <v>103</v>
      </c>
      <c r="F2758" s="2">
        <v>212</v>
      </c>
      <c r="G2758" s="2">
        <v>806</v>
      </c>
      <c r="H2758" s="2">
        <v>1567</v>
      </c>
      <c r="I2758" s="2">
        <v>2740</v>
      </c>
      <c r="J2758" s="2">
        <v>2.09</v>
      </c>
      <c r="K2758" s="2">
        <v>7.28</v>
      </c>
      <c r="L2758" s="2">
        <v>11.38</v>
      </c>
      <c r="M2758" s="2">
        <v>15.1</v>
      </c>
      <c r="N2758" s="2">
        <v>3.8279171679999999</v>
      </c>
      <c r="O2758" s="2">
        <v>3.6439094000000001</v>
      </c>
      <c r="P2758" s="2">
        <v>2.5607151899999998</v>
      </c>
      <c r="Q2758" s="2">
        <v>2.4519580830000001</v>
      </c>
      <c r="R2758" s="2">
        <v>2.5523138109999999</v>
      </c>
      <c r="S2758" s="2">
        <v>2.442313811</v>
      </c>
      <c r="T2758" s="2">
        <v>0.20725949699999999</v>
      </c>
      <c r="U2758" s="2">
        <v>0.217259497</v>
      </c>
      <c r="V2758" s="2">
        <v>3.9058162759999999</v>
      </c>
      <c r="W2758" s="2">
        <v>3.9428615659999999</v>
      </c>
      <c r="X2758">
        <f t="shared" si="129"/>
        <v>1</v>
      </c>
      <c r="Y2758">
        <f t="shared" si="130"/>
        <v>0</v>
      </c>
      <c r="Z2758">
        <f t="shared" si="131"/>
        <v>1</v>
      </c>
    </row>
    <row r="2759" spans="1:26" ht="15.75" customHeight="1" x14ac:dyDescent="0.2">
      <c r="A2759" s="2" t="s">
        <v>36</v>
      </c>
      <c r="B2759" s="2" t="s">
        <v>24</v>
      </c>
      <c r="C2759" s="2" t="s">
        <v>27</v>
      </c>
      <c r="D2759" s="2" t="s">
        <v>27</v>
      </c>
      <c r="E2759" s="2">
        <v>106</v>
      </c>
      <c r="F2759" s="2">
        <v>223</v>
      </c>
      <c r="G2759" s="2">
        <v>418</v>
      </c>
      <c r="H2759" s="2">
        <v>2234</v>
      </c>
      <c r="I2759" s="2">
        <v>2846</v>
      </c>
      <c r="J2759" s="2">
        <v>2.21</v>
      </c>
      <c r="K2759" s="2">
        <v>4.18</v>
      </c>
      <c r="L2759" s="2">
        <v>13.75</v>
      </c>
      <c r="M2759" s="2">
        <v>15.35</v>
      </c>
      <c r="N2759" s="2">
        <v>0.11215198899999999</v>
      </c>
      <c r="O2759" s="2">
        <v>0.44413275600000002</v>
      </c>
      <c r="P2759" s="2">
        <v>2.2297886249999999</v>
      </c>
      <c r="Q2759" s="2">
        <v>2.2498999770000001</v>
      </c>
      <c r="R2759" s="2">
        <v>0.55049067699999998</v>
      </c>
      <c r="S2759" s="2">
        <v>0.66049067699999997</v>
      </c>
      <c r="T2759" s="2">
        <v>2.160767763</v>
      </c>
      <c r="U2759" s="2">
        <v>2.1507677630000002</v>
      </c>
      <c r="V2759" s="2">
        <v>0.80301178799999995</v>
      </c>
      <c r="W2759" s="2">
        <v>0.84005707799999996</v>
      </c>
      <c r="X2759">
        <f t="shared" si="129"/>
        <v>1</v>
      </c>
      <c r="Y2759">
        <f t="shared" si="130"/>
        <v>0</v>
      </c>
      <c r="Z2759">
        <f t="shared" si="131"/>
        <v>0</v>
      </c>
    </row>
    <row r="2760" spans="1:26" ht="15.75" customHeight="1" x14ac:dyDescent="0.2">
      <c r="A2760" s="2" t="s">
        <v>36</v>
      </c>
      <c r="B2760" s="2" t="s">
        <v>24</v>
      </c>
      <c r="C2760" s="2" t="s">
        <v>26</v>
      </c>
      <c r="D2760" s="2" t="s">
        <v>26</v>
      </c>
      <c r="E2760" s="2">
        <v>125</v>
      </c>
      <c r="F2760" s="2">
        <v>212</v>
      </c>
      <c r="G2760" s="2">
        <v>419</v>
      </c>
      <c r="H2760" s="2">
        <v>1090</v>
      </c>
      <c r="I2760" s="2">
        <v>2570</v>
      </c>
      <c r="J2760" s="2">
        <v>2.09</v>
      </c>
      <c r="K2760" s="2">
        <v>4.1900000000000004</v>
      </c>
      <c r="L2760" s="2">
        <v>9.0500000000000007</v>
      </c>
      <c r="M2760" s="2">
        <v>14.68</v>
      </c>
      <c r="N2760" s="2">
        <v>0.437705646</v>
      </c>
      <c r="O2760" s="2">
        <v>0.58977926400000003</v>
      </c>
      <c r="P2760" s="2">
        <v>2.5932809809999999</v>
      </c>
      <c r="Q2760" s="2">
        <v>2.6280079820000002</v>
      </c>
      <c r="R2760" s="2">
        <v>0.53810424499999998</v>
      </c>
      <c r="S2760" s="2">
        <v>0.64810424499999997</v>
      </c>
      <c r="T2760" s="2">
        <v>2.536838597</v>
      </c>
      <c r="U2760" s="2">
        <v>2.5468385969999998</v>
      </c>
      <c r="V2760" s="2">
        <v>0.81539821999999995</v>
      </c>
      <c r="W2760" s="2">
        <v>0.85244350999999996</v>
      </c>
      <c r="X2760">
        <f t="shared" si="129"/>
        <v>1</v>
      </c>
      <c r="Y2760">
        <f t="shared" si="130"/>
        <v>0</v>
      </c>
      <c r="Z2760">
        <f t="shared" si="131"/>
        <v>0</v>
      </c>
    </row>
    <row r="2761" spans="1:26" ht="15.75" customHeight="1" x14ac:dyDescent="0.2">
      <c r="A2761" s="2" t="s">
        <v>36</v>
      </c>
      <c r="B2761" s="2" t="s">
        <v>24</v>
      </c>
      <c r="C2761" s="2" t="s">
        <v>27</v>
      </c>
      <c r="D2761" s="2" t="s">
        <v>27</v>
      </c>
      <c r="E2761" s="2">
        <v>91</v>
      </c>
      <c r="F2761" s="2">
        <v>219</v>
      </c>
      <c r="G2761" s="2">
        <v>419</v>
      </c>
      <c r="H2761" s="2">
        <v>2204</v>
      </c>
      <c r="I2761" s="2">
        <v>2880</v>
      </c>
      <c r="J2761" s="2">
        <v>2.17</v>
      </c>
      <c r="K2761" s="2">
        <v>4.1900000000000004</v>
      </c>
      <c r="L2761" s="2">
        <v>13.66</v>
      </c>
      <c r="M2761" s="2">
        <v>15.42</v>
      </c>
      <c r="N2761" s="2">
        <v>0.14421172099999999</v>
      </c>
      <c r="O2761" s="2">
        <v>0.460034304</v>
      </c>
      <c r="P2761" s="2">
        <v>2.1394830460000001</v>
      </c>
      <c r="Q2761" s="2">
        <v>2.1600601080000001</v>
      </c>
      <c r="R2761" s="2">
        <v>0.535009807</v>
      </c>
      <c r="S2761" s="2">
        <v>0.64500980699999999</v>
      </c>
      <c r="T2761" s="2">
        <v>2.0715096449999999</v>
      </c>
      <c r="U2761" s="2">
        <v>2.0615096450000001</v>
      </c>
      <c r="V2761" s="2">
        <v>0.81849265900000001</v>
      </c>
      <c r="W2761" s="2">
        <v>0.85553794800000005</v>
      </c>
      <c r="X2761">
        <f t="shared" si="129"/>
        <v>1</v>
      </c>
      <c r="Y2761">
        <f t="shared" si="130"/>
        <v>0</v>
      </c>
      <c r="Z2761">
        <f t="shared" si="131"/>
        <v>0</v>
      </c>
    </row>
    <row r="2762" spans="1:26" ht="15.75" customHeight="1" x14ac:dyDescent="0.2">
      <c r="A2762" s="2" t="s">
        <v>36</v>
      </c>
      <c r="B2762" s="2" t="s">
        <v>24</v>
      </c>
      <c r="C2762" s="2" t="s">
        <v>30</v>
      </c>
      <c r="D2762" s="2" t="s">
        <v>31</v>
      </c>
      <c r="E2762" s="2">
        <v>99</v>
      </c>
      <c r="F2762" s="2">
        <v>217</v>
      </c>
      <c r="G2762" s="2">
        <v>661</v>
      </c>
      <c r="H2762" s="2">
        <v>1426</v>
      </c>
      <c r="I2762" s="2">
        <v>2599</v>
      </c>
      <c r="J2762" s="2">
        <v>2.14</v>
      </c>
      <c r="K2762" s="2">
        <v>6.23</v>
      </c>
      <c r="L2762" s="2">
        <v>10.76</v>
      </c>
      <c r="M2762" s="2">
        <v>14.75</v>
      </c>
      <c r="N2762" s="2">
        <v>3.5795765419999999</v>
      </c>
      <c r="O2762" s="2">
        <v>3.4963826990000002</v>
      </c>
      <c r="P2762" s="2">
        <v>1.7127963770000001</v>
      </c>
      <c r="Q2762" s="2">
        <v>1.6225672360000001</v>
      </c>
      <c r="R2762" s="2">
        <v>1.498766217</v>
      </c>
      <c r="S2762" s="2">
        <v>1.3887662169999999</v>
      </c>
      <c r="T2762" s="2">
        <v>0.82907855900000005</v>
      </c>
      <c r="U2762" s="2">
        <v>0.83907855899999995</v>
      </c>
      <c r="V2762" s="2">
        <v>2.8522686820000001</v>
      </c>
      <c r="W2762" s="2">
        <v>2.8893139720000001</v>
      </c>
      <c r="X2762">
        <f t="shared" si="129"/>
        <v>1</v>
      </c>
      <c r="Y2762">
        <f t="shared" si="130"/>
        <v>0</v>
      </c>
      <c r="Z2762">
        <f t="shared" si="131"/>
        <v>1</v>
      </c>
    </row>
    <row r="2763" spans="1:26" ht="15.75" customHeight="1" x14ac:dyDescent="0.2">
      <c r="A2763" s="2" t="s">
        <v>36</v>
      </c>
      <c r="B2763" s="2" t="s">
        <v>24</v>
      </c>
      <c r="C2763" s="2" t="s">
        <v>27</v>
      </c>
      <c r="D2763" s="2" t="s">
        <v>27</v>
      </c>
      <c r="E2763" s="2">
        <v>112</v>
      </c>
      <c r="F2763" s="2">
        <v>214</v>
      </c>
      <c r="G2763" s="2">
        <v>462</v>
      </c>
      <c r="H2763" s="2">
        <v>2192</v>
      </c>
      <c r="I2763" s="2">
        <v>2927</v>
      </c>
      <c r="J2763" s="2">
        <v>2.11</v>
      </c>
      <c r="K2763" s="2">
        <v>4.59</v>
      </c>
      <c r="L2763" s="2">
        <v>13.63</v>
      </c>
      <c r="M2763" s="2">
        <v>15.53</v>
      </c>
      <c r="N2763" s="2">
        <v>0.33051540000000001</v>
      </c>
      <c r="O2763" s="2">
        <v>0.236077011</v>
      </c>
      <c r="P2763" s="2">
        <v>2.0400587510000001</v>
      </c>
      <c r="Q2763" s="2">
        <v>2.0407821679999998</v>
      </c>
      <c r="R2763" s="2">
        <v>0.14296821200000001</v>
      </c>
      <c r="S2763" s="2">
        <v>0.25296821200000003</v>
      </c>
      <c r="T2763" s="2">
        <v>2.0350429480000001</v>
      </c>
      <c r="U2763" s="2">
        <v>2.0250429479999998</v>
      </c>
      <c r="V2763" s="2">
        <v>1.2105342530000001</v>
      </c>
      <c r="W2763" s="2">
        <v>1.2475795430000001</v>
      </c>
      <c r="X2763">
        <f t="shared" si="129"/>
        <v>1</v>
      </c>
      <c r="Y2763">
        <f t="shared" si="130"/>
        <v>0</v>
      </c>
      <c r="Z2763">
        <f t="shared" si="131"/>
        <v>0</v>
      </c>
    </row>
    <row r="2764" spans="1:26" ht="15.75" customHeight="1" x14ac:dyDescent="0.2">
      <c r="A2764" s="2" t="s">
        <v>36</v>
      </c>
      <c r="B2764" s="2" t="s">
        <v>24</v>
      </c>
      <c r="C2764" s="2" t="s">
        <v>26</v>
      </c>
      <c r="D2764" s="2" t="s">
        <v>26</v>
      </c>
      <c r="E2764" s="2">
        <v>121</v>
      </c>
      <c r="F2764" s="2">
        <v>219</v>
      </c>
      <c r="G2764" s="2">
        <v>394</v>
      </c>
      <c r="H2764" s="2">
        <v>1144</v>
      </c>
      <c r="I2764" s="2">
        <v>2559</v>
      </c>
      <c r="J2764" s="2">
        <v>2.17</v>
      </c>
      <c r="K2764" s="2">
        <v>3.96</v>
      </c>
      <c r="L2764" s="2">
        <v>9.35</v>
      </c>
      <c r="M2764" s="2">
        <v>14.65</v>
      </c>
      <c r="N2764" s="2">
        <v>0.73136857399999999</v>
      </c>
      <c r="O2764" s="2">
        <v>0.93824067099999997</v>
      </c>
      <c r="P2764" s="2">
        <v>2.368573348</v>
      </c>
      <c r="Q2764" s="2">
        <v>2.4160112279999999</v>
      </c>
      <c r="R2764" s="2">
        <v>0.77268479199999995</v>
      </c>
      <c r="S2764" s="2">
        <v>0.88268479200000005</v>
      </c>
      <c r="T2764" s="2">
        <v>2.2389948450000001</v>
      </c>
      <c r="U2764" s="2">
        <v>2.2489948449999999</v>
      </c>
      <c r="V2764" s="2">
        <v>0.58081767299999998</v>
      </c>
      <c r="W2764" s="2">
        <v>0.61786296299999999</v>
      </c>
      <c r="X2764">
        <f t="shared" si="129"/>
        <v>1</v>
      </c>
      <c r="Y2764">
        <f t="shared" si="130"/>
        <v>0</v>
      </c>
      <c r="Z2764">
        <f t="shared" si="131"/>
        <v>0</v>
      </c>
    </row>
    <row r="2765" spans="1:26" ht="15.75" customHeight="1" x14ac:dyDescent="0.2">
      <c r="A2765" s="2" t="s">
        <v>36</v>
      </c>
      <c r="B2765" s="2" t="s">
        <v>24</v>
      </c>
      <c r="C2765" s="2" t="s">
        <v>30</v>
      </c>
      <c r="D2765" s="2" t="s">
        <v>31</v>
      </c>
      <c r="E2765" s="2">
        <v>114</v>
      </c>
      <c r="F2765" s="2">
        <v>225</v>
      </c>
      <c r="G2765" s="2">
        <v>656</v>
      </c>
      <c r="H2765" s="2">
        <v>1468</v>
      </c>
      <c r="I2765" s="2">
        <v>2686</v>
      </c>
      <c r="J2765" s="2">
        <v>2.23</v>
      </c>
      <c r="K2765" s="2">
        <v>6.19</v>
      </c>
      <c r="L2765" s="2">
        <v>10.95</v>
      </c>
      <c r="M2765" s="2">
        <v>14.97</v>
      </c>
      <c r="N2765" s="2">
        <v>3.39848098</v>
      </c>
      <c r="O2765" s="2">
        <v>3.3092346269999999</v>
      </c>
      <c r="P2765" s="2">
        <v>1.5934918170000001</v>
      </c>
      <c r="Q2765" s="2">
        <v>1.497621101</v>
      </c>
      <c r="R2765" s="2">
        <v>1.46043711</v>
      </c>
      <c r="S2765" s="2">
        <v>1.3504371100000001</v>
      </c>
      <c r="T2765" s="2">
        <v>0.63744773899999996</v>
      </c>
      <c r="U2765" s="2">
        <v>0.64744773899999997</v>
      </c>
      <c r="V2765" s="2">
        <v>2.813939575</v>
      </c>
      <c r="W2765" s="2">
        <v>2.850984865</v>
      </c>
      <c r="X2765">
        <f t="shared" si="129"/>
        <v>1</v>
      </c>
      <c r="Y2765">
        <f t="shared" si="130"/>
        <v>0</v>
      </c>
      <c r="Z2765">
        <f t="shared" si="131"/>
        <v>1</v>
      </c>
    </row>
    <row r="2766" spans="1:26" ht="15.75" customHeight="1" x14ac:dyDescent="0.2">
      <c r="A2766" s="2" t="s">
        <v>36</v>
      </c>
      <c r="B2766" s="2" t="s">
        <v>24</v>
      </c>
      <c r="C2766" s="2" t="s">
        <v>32</v>
      </c>
      <c r="D2766" s="2" t="s">
        <v>33</v>
      </c>
      <c r="E2766" s="2">
        <v>112</v>
      </c>
      <c r="F2766" s="2">
        <v>209</v>
      </c>
      <c r="G2766" s="2">
        <v>585</v>
      </c>
      <c r="H2766" s="2">
        <v>1002</v>
      </c>
      <c r="I2766" s="2">
        <v>2443</v>
      </c>
      <c r="J2766" s="2">
        <v>2.0499999999999998</v>
      </c>
      <c r="K2766" s="2">
        <v>5.63</v>
      </c>
      <c r="L2766" s="2">
        <v>8.5399999999999991</v>
      </c>
      <c r="M2766" s="2">
        <v>14.34</v>
      </c>
      <c r="N2766" s="2">
        <v>3.7830433170000002</v>
      </c>
      <c r="O2766" s="2">
        <v>3.679681269</v>
      </c>
      <c r="P2766" s="2">
        <v>3.1786321119999998</v>
      </c>
      <c r="Q2766" s="2">
        <v>3.15893874</v>
      </c>
      <c r="R2766" s="2">
        <v>0.89990830499999996</v>
      </c>
      <c r="S2766" s="2">
        <v>0.78990830499999998</v>
      </c>
      <c r="T2766" s="2">
        <v>3.0485844489999998</v>
      </c>
      <c r="U2766" s="2">
        <v>3.058584449</v>
      </c>
      <c r="V2766" s="2">
        <v>2.2534107699999999</v>
      </c>
      <c r="W2766" s="2">
        <v>2.2904560599999999</v>
      </c>
      <c r="X2766">
        <f t="shared" si="129"/>
        <v>1</v>
      </c>
      <c r="Y2766">
        <f t="shared" si="130"/>
        <v>0</v>
      </c>
      <c r="Z2766">
        <f t="shared" si="131"/>
        <v>1</v>
      </c>
    </row>
    <row r="2767" spans="1:26" ht="15.75" customHeight="1" x14ac:dyDescent="0.2">
      <c r="A2767" s="2" t="s">
        <v>36</v>
      </c>
      <c r="B2767" s="2" t="s">
        <v>24</v>
      </c>
      <c r="C2767" s="2" t="s">
        <v>28</v>
      </c>
      <c r="D2767" s="2" t="s">
        <v>29</v>
      </c>
      <c r="E2767" s="2">
        <v>131</v>
      </c>
      <c r="F2767" s="2">
        <v>210</v>
      </c>
      <c r="G2767" s="2">
        <v>406</v>
      </c>
      <c r="H2767" s="2">
        <v>802</v>
      </c>
      <c r="I2767" s="2">
        <v>2572</v>
      </c>
      <c r="J2767" s="2">
        <v>2.06</v>
      </c>
      <c r="K2767" s="2">
        <v>4.07</v>
      </c>
      <c r="L2767" s="2">
        <v>7.26</v>
      </c>
      <c r="M2767" s="2">
        <v>14.69</v>
      </c>
      <c r="N2767" s="2">
        <v>1.3729179760000001</v>
      </c>
      <c r="O2767" s="2">
        <v>1.230329333</v>
      </c>
      <c r="P2767" s="2">
        <v>4.3823318169999999</v>
      </c>
      <c r="Q2767" s="2">
        <v>4.4099982750000004</v>
      </c>
      <c r="R2767" s="2">
        <v>0.65633892100000002</v>
      </c>
      <c r="S2767" s="2">
        <v>0.76633892100000001</v>
      </c>
      <c r="T2767" s="2">
        <v>4.3329033429999999</v>
      </c>
      <c r="U2767" s="2">
        <v>4.3429033429999997</v>
      </c>
      <c r="V2767" s="2">
        <v>0.69716354400000002</v>
      </c>
      <c r="W2767" s="2">
        <v>0.73420883400000003</v>
      </c>
      <c r="X2767">
        <f t="shared" si="129"/>
        <v>1</v>
      </c>
      <c r="Y2767">
        <f t="shared" si="130"/>
        <v>0</v>
      </c>
      <c r="Z2767">
        <f t="shared" si="131"/>
        <v>1</v>
      </c>
    </row>
    <row r="2768" spans="1:26" ht="15.75" customHeight="1" x14ac:dyDescent="0.2">
      <c r="A2768" s="2" t="s">
        <v>36</v>
      </c>
      <c r="B2768" s="2" t="s">
        <v>24</v>
      </c>
      <c r="C2768" s="2" t="s">
        <v>28</v>
      </c>
      <c r="D2768" s="2" t="s">
        <v>29</v>
      </c>
      <c r="E2768" s="2">
        <v>130</v>
      </c>
      <c r="F2768" s="2">
        <v>210</v>
      </c>
      <c r="G2768" s="2">
        <v>360</v>
      </c>
      <c r="H2768" s="2">
        <v>936</v>
      </c>
      <c r="I2768" s="2">
        <v>2375</v>
      </c>
      <c r="J2768" s="2">
        <v>2.06</v>
      </c>
      <c r="K2768" s="2">
        <v>3.63</v>
      </c>
      <c r="L2768" s="2">
        <v>8.1300000000000008</v>
      </c>
      <c r="M2768" s="2">
        <v>14.16</v>
      </c>
      <c r="N2768" s="2">
        <v>0.66814332700000001</v>
      </c>
      <c r="O2768" s="2">
        <v>0.72911725699999996</v>
      </c>
      <c r="P2768" s="2">
        <v>3.6267302909999999</v>
      </c>
      <c r="Q2768" s="2">
        <v>3.6709342679999999</v>
      </c>
      <c r="R2768" s="2">
        <v>1.0965737680000001</v>
      </c>
      <c r="S2768" s="2">
        <v>1.2065737679999999</v>
      </c>
      <c r="T2768" s="2">
        <v>3.456978243</v>
      </c>
      <c r="U2768" s="2">
        <v>3.4669782429999998</v>
      </c>
      <c r="V2768" s="2">
        <v>0.25692869699999998</v>
      </c>
      <c r="W2768" s="2">
        <v>0.29397398699999999</v>
      </c>
      <c r="X2768">
        <f t="shared" si="129"/>
        <v>1</v>
      </c>
      <c r="Y2768">
        <f t="shared" si="130"/>
        <v>0</v>
      </c>
      <c r="Z2768">
        <f t="shared" si="131"/>
        <v>1</v>
      </c>
    </row>
    <row r="2769" spans="1:26" ht="15.75" customHeight="1" x14ac:dyDescent="0.2">
      <c r="A2769" s="2" t="s">
        <v>36</v>
      </c>
      <c r="B2769" s="2" t="s">
        <v>24</v>
      </c>
      <c r="C2769" s="2" t="s">
        <v>26</v>
      </c>
      <c r="D2769" s="2" t="s">
        <v>26</v>
      </c>
      <c r="E2769" s="2">
        <v>140</v>
      </c>
      <c r="F2769" s="2">
        <v>214</v>
      </c>
      <c r="G2769" s="2">
        <v>402</v>
      </c>
      <c r="H2769" s="2">
        <v>928</v>
      </c>
      <c r="I2769" s="2">
        <v>2592</v>
      </c>
      <c r="J2769" s="2">
        <v>2.11</v>
      </c>
      <c r="K2769" s="2">
        <v>4.03</v>
      </c>
      <c r="L2769" s="2">
        <v>8.08</v>
      </c>
      <c r="M2769" s="2">
        <v>14.74</v>
      </c>
      <c r="N2769" s="2">
        <v>0.54746051399999995</v>
      </c>
      <c r="O2769" s="2">
        <v>0.45929486200000003</v>
      </c>
      <c r="P2769" s="2">
        <v>3.5744089520000002</v>
      </c>
      <c r="Q2769" s="2">
        <v>3.6073190230000001</v>
      </c>
      <c r="R2769" s="2">
        <v>0.70021877200000004</v>
      </c>
      <c r="S2769" s="2">
        <v>0.81021877200000003</v>
      </c>
      <c r="T2769" s="2">
        <v>3.5051523549999999</v>
      </c>
      <c r="U2769" s="2">
        <v>3.5151523550000001</v>
      </c>
      <c r="V2769" s="2">
        <v>0.653283693</v>
      </c>
      <c r="W2769" s="2">
        <v>0.69032898300000001</v>
      </c>
      <c r="X2769">
        <f t="shared" si="129"/>
        <v>1</v>
      </c>
      <c r="Y2769">
        <f t="shared" si="130"/>
        <v>0</v>
      </c>
      <c r="Z2769">
        <f t="shared" si="131"/>
        <v>0</v>
      </c>
    </row>
    <row r="2770" spans="1:26" ht="15.75" customHeight="1" x14ac:dyDescent="0.2">
      <c r="A2770" s="2" t="s">
        <v>36</v>
      </c>
      <c r="B2770" s="2" t="s">
        <v>24</v>
      </c>
      <c r="C2770" s="2" t="s">
        <v>25</v>
      </c>
      <c r="D2770" s="2" t="s">
        <v>25</v>
      </c>
      <c r="E2770" s="2">
        <v>137</v>
      </c>
      <c r="F2770" s="2">
        <v>207</v>
      </c>
      <c r="G2770" s="2">
        <v>753</v>
      </c>
      <c r="H2770" s="2">
        <v>1741</v>
      </c>
      <c r="I2770" s="2">
        <v>2797</v>
      </c>
      <c r="J2770" s="2">
        <v>2.0299999999999998</v>
      </c>
      <c r="K2770" s="2">
        <v>6.91</v>
      </c>
      <c r="L2770" s="2">
        <v>12.08</v>
      </c>
      <c r="M2770" s="2">
        <v>15.23</v>
      </c>
      <c r="N2770" s="2">
        <v>0.360473404</v>
      </c>
      <c r="O2770" s="2">
        <v>0.491623857</v>
      </c>
      <c r="P2770" s="2">
        <v>2.2362178369999999</v>
      </c>
      <c r="Q2770" s="2">
        <v>2.1267695390000001</v>
      </c>
      <c r="R2770" s="2">
        <v>2.1811831920000002</v>
      </c>
      <c r="S2770" s="2">
        <v>2.0711831919999999</v>
      </c>
      <c r="T2770" s="2">
        <v>0.49306196000000002</v>
      </c>
      <c r="U2770" s="2">
        <v>0.48306196000000001</v>
      </c>
      <c r="V2770" s="2">
        <v>3.5346856569999998</v>
      </c>
      <c r="W2770" s="2">
        <v>3.5717309469999998</v>
      </c>
      <c r="X2770">
        <f t="shared" si="129"/>
        <v>1</v>
      </c>
      <c r="Y2770">
        <f t="shared" si="130"/>
        <v>0</v>
      </c>
      <c r="Z2770">
        <f t="shared" si="131"/>
        <v>0</v>
      </c>
    </row>
    <row r="2771" spans="1:26" ht="15.75" customHeight="1" x14ac:dyDescent="0.2">
      <c r="A2771" s="2" t="s">
        <v>36</v>
      </c>
      <c r="B2771" s="2" t="s">
        <v>24</v>
      </c>
      <c r="C2771" s="2" t="s">
        <v>30</v>
      </c>
      <c r="D2771" s="2" t="s">
        <v>31</v>
      </c>
      <c r="E2771" s="2">
        <v>111</v>
      </c>
      <c r="F2771" s="2">
        <v>214</v>
      </c>
      <c r="G2771" s="2">
        <v>710</v>
      </c>
      <c r="H2771" s="2">
        <v>1734</v>
      </c>
      <c r="I2771" s="2">
        <v>2633</v>
      </c>
      <c r="J2771" s="2">
        <v>2.11</v>
      </c>
      <c r="K2771" s="2">
        <v>6.6</v>
      </c>
      <c r="L2771" s="2">
        <v>12.06</v>
      </c>
      <c r="M2771" s="2">
        <v>14.84</v>
      </c>
      <c r="N2771" s="2">
        <v>2.873767301</v>
      </c>
      <c r="O2771" s="2">
        <v>2.6835017219999999</v>
      </c>
      <c r="P2771" s="2">
        <v>1.924116704</v>
      </c>
      <c r="Q2771" s="2">
        <v>1.8150502100000001</v>
      </c>
      <c r="R2771" s="2">
        <v>1.866793607</v>
      </c>
      <c r="S2771" s="2">
        <v>1.7567936070000001</v>
      </c>
      <c r="T2771" s="2">
        <v>0.46616168899999999</v>
      </c>
      <c r="U2771" s="2">
        <v>0.45616168899999998</v>
      </c>
      <c r="V2771" s="2">
        <v>3.220296072</v>
      </c>
      <c r="W2771" s="2">
        <v>3.257341362</v>
      </c>
      <c r="X2771">
        <f t="shared" si="129"/>
        <v>1</v>
      </c>
      <c r="Y2771">
        <f t="shared" si="130"/>
        <v>0</v>
      </c>
      <c r="Z2771">
        <f t="shared" si="131"/>
        <v>1</v>
      </c>
    </row>
    <row r="2772" spans="1:26" ht="15.75" customHeight="1" x14ac:dyDescent="0.2">
      <c r="A2772" s="2" t="s">
        <v>36</v>
      </c>
      <c r="B2772" s="2" t="s">
        <v>24</v>
      </c>
      <c r="C2772" s="2" t="s">
        <v>28</v>
      </c>
      <c r="D2772" s="2" t="s">
        <v>29</v>
      </c>
      <c r="E2772" s="2">
        <v>118</v>
      </c>
      <c r="F2772" s="2">
        <v>229</v>
      </c>
      <c r="G2772" s="2">
        <v>416</v>
      </c>
      <c r="H2772" s="2">
        <v>966</v>
      </c>
      <c r="I2772" s="2">
        <v>2566</v>
      </c>
      <c r="J2772" s="2">
        <v>2.27</v>
      </c>
      <c r="K2772" s="2">
        <v>4.16</v>
      </c>
      <c r="L2772" s="2">
        <v>8.32</v>
      </c>
      <c r="M2772" s="2">
        <v>14.67</v>
      </c>
      <c r="N2772" s="2">
        <v>0.322047472</v>
      </c>
      <c r="O2772" s="2">
        <v>0.190327571</v>
      </c>
      <c r="P2772" s="2">
        <v>3.3195061080000001</v>
      </c>
      <c r="Q2772" s="2">
        <v>3.3498145140000002</v>
      </c>
      <c r="R2772" s="2">
        <v>0.56599326599999999</v>
      </c>
      <c r="S2772" s="2">
        <v>0.67599326599999998</v>
      </c>
      <c r="T2772" s="2">
        <v>3.2708978009999998</v>
      </c>
      <c r="U2772" s="2">
        <v>3.2808978010000001</v>
      </c>
      <c r="V2772" s="2">
        <v>0.78750919900000005</v>
      </c>
      <c r="W2772" s="2">
        <v>0.82455448899999995</v>
      </c>
      <c r="X2772">
        <f t="shared" si="129"/>
        <v>1</v>
      </c>
      <c r="Y2772">
        <f t="shared" si="130"/>
        <v>0</v>
      </c>
      <c r="Z2772">
        <f t="shared" si="131"/>
        <v>1</v>
      </c>
    </row>
    <row r="2773" spans="1:26" ht="15.75" customHeight="1" x14ac:dyDescent="0.2">
      <c r="A2773" s="2" t="s">
        <v>36</v>
      </c>
      <c r="B2773" s="2" t="s">
        <v>24</v>
      </c>
      <c r="C2773" s="2" t="s">
        <v>28</v>
      </c>
      <c r="D2773" s="2" t="s">
        <v>29</v>
      </c>
      <c r="E2773" s="2">
        <v>132</v>
      </c>
      <c r="F2773" s="2">
        <v>222</v>
      </c>
      <c r="G2773" s="2">
        <v>545</v>
      </c>
      <c r="H2773" s="2">
        <v>1489</v>
      </c>
      <c r="I2773" s="2">
        <v>2676</v>
      </c>
      <c r="J2773" s="2">
        <v>2.2000000000000002</v>
      </c>
      <c r="K2773" s="2">
        <v>5.3</v>
      </c>
      <c r="L2773" s="2">
        <v>11.05</v>
      </c>
      <c r="M2773" s="2">
        <v>14.95</v>
      </c>
      <c r="N2773" s="2">
        <v>2.7077548450000002</v>
      </c>
      <c r="O2773" s="2">
        <v>2.7715425900000001</v>
      </c>
      <c r="P2773" s="2">
        <v>0.79013321599999997</v>
      </c>
      <c r="Q2773" s="2">
        <v>0.72204710699999997</v>
      </c>
      <c r="R2773" s="2">
        <v>0.57291417200000005</v>
      </c>
      <c r="S2773" s="2">
        <v>0.46291417200000001</v>
      </c>
      <c r="T2773" s="2">
        <v>0.54413219899999998</v>
      </c>
      <c r="U2773" s="2">
        <v>0.55413219899999999</v>
      </c>
      <c r="V2773" s="2">
        <v>1.926416637</v>
      </c>
      <c r="W2773" s="2">
        <v>1.963461927</v>
      </c>
      <c r="X2773">
        <f t="shared" si="129"/>
        <v>1</v>
      </c>
      <c r="Y2773">
        <f t="shared" si="130"/>
        <v>0</v>
      </c>
      <c r="Z2773">
        <f t="shared" si="131"/>
        <v>1</v>
      </c>
    </row>
    <row r="2774" spans="1:26" ht="15.75" customHeight="1" x14ac:dyDescent="0.2">
      <c r="A2774" s="2" t="s">
        <v>36</v>
      </c>
      <c r="B2774" s="2" t="s">
        <v>24</v>
      </c>
      <c r="C2774" s="2" t="s">
        <v>32</v>
      </c>
      <c r="D2774" s="2" t="s">
        <v>33</v>
      </c>
      <c r="E2774" s="2">
        <v>122</v>
      </c>
      <c r="F2774" s="2">
        <v>216</v>
      </c>
      <c r="G2774" s="2">
        <v>474</v>
      </c>
      <c r="H2774" s="2">
        <v>1148</v>
      </c>
      <c r="I2774" s="2">
        <v>2607</v>
      </c>
      <c r="J2774" s="2">
        <v>2.13</v>
      </c>
      <c r="K2774" s="2">
        <v>4.6900000000000004</v>
      </c>
      <c r="L2774" s="2">
        <v>9.3699999999999992</v>
      </c>
      <c r="M2774" s="2">
        <v>14.77</v>
      </c>
      <c r="N2774" s="2">
        <v>3.6410451830000001</v>
      </c>
      <c r="O2774" s="2">
        <v>3.587076852</v>
      </c>
      <c r="P2774" s="2">
        <v>2.2176039529999998</v>
      </c>
      <c r="Q2774" s="2">
        <v>2.2323842909999998</v>
      </c>
      <c r="R2774" s="2">
        <v>4.1946309000000001E-2</v>
      </c>
      <c r="S2774" s="2">
        <v>0.151946309</v>
      </c>
      <c r="T2774" s="2">
        <v>2.217207207</v>
      </c>
      <c r="U2774" s="2">
        <v>2.2272072070000002</v>
      </c>
      <c r="V2774" s="2">
        <v>1.3115561570000001</v>
      </c>
      <c r="W2774" s="2">
        <v>1.348601446</v>
      </c>
      <c r="X2774">
        <f t="shared" si="129"/>
        <v>1</v>
      </c>
      <c r="Y2774">
        <f t="shared" si="130"/>
        <v>0</v>
      </c>
      <c r="Z2774">
        <f t="shared" si="131"/>
        <v>1</v>
      </c>
    </row>
    <row r="2775" spans="1:26" ht="15.75" customHeight="1" x14ac:dyDescent="0.2">
      <c r="A2775" s="2" t="s">
        <v>36</v>
      </c>
      <c r="B2775" s="2" t="s">
        <v>24</v>
      </c>
      <c r="C2775" s="2" t="s">
        <v>25</v>
      </c>
      <c r="D2775" s="2" t="s">
        <v>25</v>
      </c>
      <c r="E2775" s="2">
        <v>80</v>
      </c>
      <c r="F2775" s="2">
        <v>220</v>
      </c>
      <c r="G2775" s="2">
        <v>739</v>
      </c>
      <c r="H2775" s="2">
        <v>1823</v>
      </c>
      <c r="I2775" s="2">
        <v>2732</v>
      </c>
      <c r="J2775" s="2">
        <v>2.1800000000000002</v>
      </c>
      <c r="K2775" s="2">
        <v>6.81</v>
      </c>
      <c r="L2775" s="2">
        <v>12.39</v>
      </c>
      <c r="M2775" s="2">
        <v>15.08</v>
      </c>
      <c r="N2775" s="2">
        <v>0.61353736999999997</v>
      </c>
      <c r="O2775" s="2">
        <v>0.77059949800000005</v>
      </c>
      <c r="P2775" s="2">
        <v>2.228606718</v>
      </c>
      <c r="Q2775" s="2">
        <v>2.122537211</v>
      </c>
      <c r="R2775" s="2">
        <v>2.0807150800000001</v>
      </c>
      <c r="S2775" s="2">
        <v>1.97071508</v>
      </c>
      <c r="T2775" s="2">
        <v>0.79831864600000002</v>
      </c>
      <c r="U2775" s="2">
        <v>0.78831864600000001</v>
      </c>
      <c r="V2775" s="2">
        <v>3.4342175450000001</v>
      </c>
      <c r="W2775" s="2">
        <v>3.4712628350000001</v>
      </c>
      <c r="X2775">
        <f t="shared" si="129"/>
        <v>1</v>
      </c>
      <c r="Y2775">
        <f t="shared" si="130"/>
        <v>0</v>
      </c>
      <c r="Z2775">
        <f t="shared" si="131"/>
        <v>0</v>
      </c>
    </row>
    <row r="2776" spans="1:26" ht="15.75" customHeight="1" x14ac:dyDescent="0.2">
      <c r="A2776" s="2" t="s">
        <v>36</v>
      </c>
      <c r="B2776" s="2" t="s">
        <v>24</v>
      </c>
      <c r="C2776" s="2" t="s">
        <v>27</v>
      </c>
      <c r="D2776" s="2" t="s">
        <v>27</v>
      </c>
      <c r="E2776" s="2">
        <v>120</v>
      </c>
      <c r="F2776" s="2">
        <v>223</v>
      </c>
      <c r="G2776" s="2">
        <v>423</v>
      </c>
      <c r="H2776" s="2">
        <v>2349</v>
      </c>
      <c r="I2776" s="2">
        <v>3134</v>
      </c>
      <c r="J2776" s="2">
        <v>2.21</v>
      </c>
      <c r="K2776" s="2">
        <v>4.2300000000000004</v>
      </c>
      <c r="L2776" s="2">
        <v>14.09</v>
      </c>
      <c r="M2776" s="2">
        <v>15.97</v>
      </c>
      <c r="N2776" s="2">
        <v>0.32160732199999997</v>
      </c>
      <c r="O2776" s="2">
        <v>0.4452373</v>
      </c>
      <c r="P2776" s="2">
        <v>2.5455674209999999</v>
      </c>
      <c r="Q2776" s="2">
        <v>2.5599053349999998</v>
      </c>
      <c r="R2776" s="2">
        <v>0.50411303900000004</v>
      </c>
      <c r="S2776" s="2">
        <v>0.61411303900000003</v>
      </c>
      <c r="T2776" s="2">
        <v>2.4951520070000002</v>
      </c>
      <c r="U2776" s="2">
        <v>2.4851520069999999</v>
      </c>
      <c r="V2776" s="2">
        <v>0.84938942699999997</v>
      </c>
      <c r="W2776" s="2">
        <v>0.88643471600000001</v>
      </c>
      <c r="X2776">
        <f t="shared" si="129"/>
        <v>1</v>
      </c>
      <c r="Y2776">
        <f t="shared" si="130"/>
        <v>0</v>
      </c>
      <c r="Z2776">
        <f t="shared" si="131"/>
        <v>0</v>
      </c>
    </row>
    <row r="2777" spans="1:26" ht="15.75" customHeight="1" x14ac:dyDescent="0.2">
      <c r="A2777" s="2" t="s">
        <v>36</v>
      </c>
      <c r="B2777" s="2" t="s">
        <v>24</v>
      </c>
      <c r="C2777" s="2" t="s">
        <v>32</v>
      </c>
      <c r="D2777" s="2" t="s">
        <v>33</v>
      </c>
      <c r="E2777" s="2">
        <v>106</v>
      </c>
      <c r="F2777" s="2">
        <v>230</v>
      </c>
      <c r="G2777" s="2">
        <v>604</v>
      </c>
      <c r="H2777" s="2">
        <v>908</v>
      </c>
      <c r="I2777" s="2">
        <v>2545</v>
      </c>
      <c r="J2777" s="2">
        <v>2.29</v>
      </c>
      <c r="K2777" s="2">
        <v>5.79</v>
      </c>
      <c r="L2777" s="2">
        <v>7.96</v>
      </c>
      <c r="M2777" s="2">
        <v>14.62</v>
      </c>
      <c r="N2777" s="2">
        <v>4.263539035</v>
      </c>
      <c r="O2777" s="2">
        <v>4.1483646219999999</v>
      </c>
      <c r="P2777" s="2">
        <v>3.7843741949999998</v>
      </c>
      <c r="Q2777" s="2">
        <v>3.7648553489999999</v>
      </c>
      <c r="R2777" s="2">
        <v>1.0556162250000001</v>
      </c>
      <c r="S2777" s="2">
        <v>0.94561622499999998</v>
      </c>
      <c r="T2777" s="2">
        <v>3.634165989</v>
      </c>
      <c r="U2777" s="2">
        <v>3.6441659890000002</v>
      </c>
      <c r="V2777" s="2">
        <v>2.4091186900000001</v>
      </c>
      <c r="W2777" s="2">
        <v>2.4461639800000001</v>
      </c>
      <c r="X2777">
        <f t="shared" si="129"/>
        <v>1</v>
      </c>
      <c r="Y2777">
        <f t="shared" si="130"/>
        <v>0</v>
      </c>
      <c r="Z2777">
        <f t="shared" si="131"/>
        <v>1</v>
      </c>
    </row>
    <row r="2778" spans="1:26" ht="15.75" customHeight="1" x14ac:dyDescent="0.2">
      <c r="A2778" s="2" t="s">
        <v>36</v>
      </c>
      <c r="B2778" s="2" t="s">
        <v>24</v>
      </c>
      <c r="C2778" s="2" t="s">
        <v>28</v>
      </c>
      <c r="D2778" s="2" t="s">
        <v>29</v>
      </c>
      <c r="E2778" s="2">
        <v>123</v>
      </c>
      <c r="F2778" s="2">
        <v>225</v>
      </c>
      <c r="G2778" s="2">
        <v>449</v>
      </c>
      <c r="H2778" s="2">
        <v>1016</v>
      </c>
      <c r="I2778" s="2">
        <v>2404</v>
      </c>
      <c r="J2778" s="2">
        <v>2.23</v>
      </c>
      <c r="K2778" s="2">
        <v>4.47</v>
      </c>
      <c r="L2778" s="2">
        <v>8.6199999999999992</v>
      </c>
      <c r="M2778" s="2">
        <v>14.24</v>
      </c>
      <c r="N2778" s="2">
        <v>0.386999763</v>
      </c>
      <c r="O2778" s="2">
        <v>0.242767027</v>
      </c>
      <c r="P2778" s="2">
        <v>2.9767900219999999</v>
      </c>
      <c r="Q2778" s="2">
        <v>2.9984411510000002</v>
      </c>
      <c r="R2778" s="2">
        <v>0.26303445399999997</v>
      </c>
      <c r="S2778" s="2">
        <v>0.37303445400000002</v>
      </c>
      <c r="T2778" s="2">
        <v>2.9651461530000001</v>
      </c>
      <c r="U2778" s="2">
        <v>2.9751461529999998</v>
      </c>
      <c r="V2778" s="2">
        <v>1.090468011</v>
      </c>
      <c r="W2778" s="2">
        <v>1.127513301</v>
      </c>
      <c r="X2778">
        <f t="shared" si="129"/>
        <v>1</v>
      </c>
      <c r="Y2778">
        <f t="shared" si="130"/>
        <v>0</v>
      </c>
      <c r="Z2778">
        <f t="shared" si="131"/>
        <v>1</v>
      </c>
    </row>
    <row r="2779" spans="1:26" ht="15.75" customHeight="1" x14ac:dyDescent="0.2">
      <c r="A2779" s="2" t="s">
        <v>36</v>
      </c>
      <c r="B2779" s="2" t="s">
        <v>24</v>
      </c>
      <c r="C2779" s="2" t="s">
        <v>27</v>
      </c>
      <c r="D2779" s="2" t="s">
        <v>27</v>
      </c>
      <c r="E2779" s="2">
        <v>95</v>
      </c>
      <c r="F2779" s="2">
        <v>219</v>
      </c>
      <c r="G2779" s="2">
        <v>446</v>
      </c>
      <c r="H2779" s="2">
        <v>2374</v>
      </c>
      <c r="I2779" s="2">
        <v>3008</v>
      </c>
      <c r="J2779" s="2">
        <v>2.17</v>
      </c>
      <c r="K2779" s="2">
        <v>4.4400000000000004</v>
      </c>
      <c r="L2779" s="2">
        <v>14.16</v>
      </c>
      <c r="M2779" s="2">
        <v>15.7</v>
      </c>
      <c r="N2779" s="2">
        <v>0.41356674700000001</v>
      </c>
      <c r="O2779" s="2">
        <v>0.34102363800000002</v>
      </c>
      <c r="P2779" s="2">
        <v>2.581860797</v>
      </c>
      <c r="Q2779" s="2">
        <v>2.5866477259999998</v>
      </c>
      <c r="R2779" s="2">
        <v>0.29023275100000001</v>
      </c>
      <c r="S2779" s="2">
        <v>0.400232751</v>
      </c>
      <c r="T2779" s="2">
        <v>2.5654960779999998</v>
      </c>
      <c r="U2779" s="2">
        <v>2.555496078</v>
      </c>
      <c r="V2779" s="2">
        <v>1.063269714</v>
      </c>
      <c r="W2779" s="2">
        <v>1.100315004</v>
      </c>
      <c r="X2779">
        <f t="shared" si="129"/>
        <v>1</v>
      </c>
      <c r="Y2779">
        <f t="shared" si="130"/>
        <v>0</v>
      </c>
      <c r="Z2779">
        <f t="shared" si="131"/>
        <v>0</v>
      </c>
    </row>
    <row r="2780" spans="1:26" ht="15.75" customHeight="1" x14ac:dyDescent="0.2">
      <c r="A2780" s="2" t="s">
        <v>36</v>
      </c>
      <c r="B2780" s="2" t="s">
        <v>24</v>
      </c>
      <c r="C2780" s="2" t="s">
        <v>26</v>
      </c>
      <c r="D2780" s="2" t="s">
        <v>26</v>
      </c>
      <c r="E2780" s="2">
        <v>103</v>
      </c>
      <c r="F2780" s="2">
        <v>206</v>
      </c>
      <c r="G2780" s="2">
        <v>379</v>
      </c>
      <c r="H2780" s="2">
        <v>873</v>
      </c>
      <c r="I2780" s="2">
        <v>2566</v>
      </c>
      <c r="J2780" s="2">
        <v>2.02</v>
      </c>
      <c r="K2780" s="2">
        <v>3.81</v>
      </c>
      <c r="L2780" s="2">
        <v>7.73</v>
      </c>
      <c r="M2780" s="2">
        <v>14.67</v>
      </c>
      <c r="N2780" s="2">
        <v>0.934808262</v>
      </c>
      <c r="O2780" s="2">
        <v>0.87121453400000004</v>
      </c>
      <c r="P2780" s="2">
        <v>3.9634747720000001</v>
      </c>
      <c r="Q2780" s="2">
        <v>3.9999926659999998</v>
      </c>
      <c r="R2780" s="2">
        <v>0.91584010299999996</v>
      </c>
      <c r="S2780" s="2">
        <v>1.0258401029999999</v>
      </c>
      <c r="T2780" s="2">
        <v>3.8562117649999998</v>
      </c>
      <c r="U2780" s="2">
        <v>3.8662117650000001</v>
      </c>
      <c r="V2780" s="2">
        <v>0.437662363</v>
      </c>
      <c r="W2780" s="2">
        <v>0.47470765199999998</v>
      </c>
      <c r="X2780">
        <f t="shared" si="129"/>
        <v>1</v>
      </c>
      <c r="Y2780">
        <f t="shared" si="130"/>
        <v>0</v>
      </c>
      <c r="Z2780">
        <f t="shared" si="131"/>
        <v>0</v>
      </c>
    </row>
    <row r="2781" spans="1:26" ht="15.75" customHeight="1" x14ac:dyDescent="0.2">
      <c r="A2781" s="2" t="s">
        <v>36</v>
      </c>
      <c r="B2781" s="2" t="s">
        <v>24</v>
      </c>
      <c r="C2781" s="2" t="s">
        <v>27</v>
      </c>
      <c r="D2781" s="2" t="s">
        <v>27</v>
      </c>
      <c r="E2781" s="2">
        <v>84</v>
      </c>
      <c r="F2781" s="2">
        <v>217</v>
      </c>
      <c r="G2781" s="2">
        <v>419</v>
      </c>
      <c r="H2781" s="2">
        <v>2226</v>
      </c>
      <c r="I2781" s="2">
        <v>2807</v>
      </c>
      <c r="J2781" s="2">
        <v>2.14</v>
      </c>
      <c r="K2781" s="2">
        <v>4.1900000000000004</v>
      </c>
      <c r="L2781" s="2">
        <v>13.73</v>
      </c>
      <c r="M2781" s="2">
        <v>15.26</v>
      </c>
      <c r="N2781" s="2">
        <v>0.109637172</v>
      </c>
      <c r="O2781" s="2">
        <v>0.44145216300000001</v>
      </c>
      <c r="P2781" s="2">
        <v>2.2052621270000001</v>
      </c>
      <c r="Q2781" s="2">
        <v>2.2252389770000001</v>
      </c>
      <c r="R2781" s="2">
        <v>0.54119955200000003</v>
      </c>
      <c r="S2781" s="2">
        <v>0.65119955200000001</v>
      </c>
      <c r="T2781" s="2">
        <v>2.1378222789999999</v>
      </c>
      <c r="U2781" s="2">
        <v>2.1278222790000001</v>
      </c>
      <c r="V2781" s="2">
        <v>0.81230291399999999</v>
      </c>
      <c r="W2781" s="2">
        <v>0.84934820300000002</v>
      </c>
      <c r="X2781">
        <f t="shared" si="129"/>
        <v>1</v>
      </c>
      <c r="Y2781">
        <f t="shared" si="130"/>
        <v>0</v>
      </c>
      <c r="Z2781">
        <f t="shared" si="131"/>
        <v>0</v>
      </c>
    </row>
    <row r="2782" spans="1:26" ht="15.75" customHeight="1" x14ac:dyDescent="0.2">
      <c r="A2782" s="2" t="s">
        <v>36</v>
      </c>
      <c r="B2782" s="2" t="s">
        <v>24</v>
      </c>
      <c r="C2782" s="2" t="s">
        <v>27</v>
      </c>
      <c r="D2782" s="2" t="s">
        <v>27</v>
      </c>
      <c r="E2782" s="2">
        <v>110</v>
      </c>
      <c r="F2782" s="2">
        <v>236</v>
      </c>
      <c r="G2782" s="2">
        <v>457</v>
      </c>
      <c r="H2782" s="2">
        <v>2341</v>
      </c>
      <c r="I2782" s="2">
        <v>3095</v>
      </c>
      <c r="J2782" s="2">
        <v>2.35</v>
      </c>
      <c r="K2782" s="2">
        <v>4.54</v>
      </c>
      <c r="L2782" s="2">
        <v>14.06</v>
      </c>
      <c r="M2782" s="2">
        <v>15.88</v>
      </c>
      <c r="N2782" s="2">
        <v>0.38155298599999998</v>
      </c>
      <c r="O2782" s="2">
        <v>0.214622333</v>
      </c>
      <c r="P2782" s="2">
        <v>2.4791115370000001</v>
      </c>
      <c r="Q2782" s="2">
        <v>2.4802030469999998</v>
      </c>
      <c r="R2782" s="2">
        <v>0.193834483</v>
      </c>
      <c r="S2782" s="2">
        <v>0.30383448299999999</v>
      </c>
      <c r="T2782" s="2">
        <v>2.4715222450000001</v>
      </c>
      <c r="U2782" s="2">
        <v>2.4615222449999998</v>
      </c>
      <c r="V2782" s="2">
        <v>1.159667982</v>
      </c>
      <c r="W2782" s="2">
        <v>1.196713272</v>
      </c>
      <c r="X2782">
        <f t="shared" si="129"/>
        <v>1</v>
      </c>
      <c r="Y2782">
        <f t="shared" si="130"/>
        <v>0</v>
      </c>
      <c r="Z2782">
        <f t="shared" si="131"/>
        <v>0</v>
      </c>
    </row>
    <row r="2783" spans="1:26" ht="15.75" customHeight="1" x14ac:dyDescent="0.2">
      <c r="A2783" s="2" t="s">
        <v>36</v>
      </c>
      <c r="B2783" s="2" t="s">
        <v>24</v>
      </c>
      <c r="C2783" s="2" t="s">
        <v>32</v>
      </c>
      <c r="D2783" s="2" t="s">
        <v>33</v>
      </c>
      <c r="E2783" s="2">
        <v>110</v>
      </c>
      <c r="F2783" s="2">
        <v>208</v>
      </c>
      <c r="G2783" s="2">
        <v>618</v>
      </c>
      <c r="H2783" s="2">
        <v>930</v>
      </c>
      <c r="I2783" s="2">
        <v>2310</v>
      </c>
      <c r="J2783" s="2">
        <v>2.0499999999999998</v>
      </c>
      <c r="K2783" s="2">
        <v>5.9</v>
      </c>
      <c r="L2783" s="2">
        <v>8.1</v>
      </c>
      <c r="M2783" s="2">
        <v>13.97</v>
      </c>
      <c r="N2783" s="2">
        <v>4.0898534499999997</v>
      </c>
      <c r="O2783" s="2">
        <v>3.9730624849999998</v>
      </c>
      <c r="P2783" s="2">
        <v>3.6811924189999998</v>
      </c>
      <c r="Q2783" s="2">
        <v>3.6573058999999999</v>
      </c>
      <c r="R2783" s="2">
        <v>1.169547511</v>
      </c>
      <c r="S2783" s="2">
        <v>1.0595475110000001</v>
      </c>
      <c r="T2783" s="2">
        <v>3.4904636139999998</v>
      </c>
      <c r="U2783" s="2">
        <v>3.5004636140000001</v>
      </c>
      <c r="V2783" s="2">
        <v>2.5230499769999999</v>
      </c>
      <c r="W2783" s="2">
        <v>2.5600952659999998</v>
      </c>
      <c r="X2783">
        <f t="shared" si="129"/>
        <v>1</v>
      </c>
      <c r="Y2783">
        <f t="shared" si="130"/>
        <v>0</v>
      </c>
      <c r="Z2783">
        <f t="shared" si="131"/>
        <v>1</v>
      </c>
    </row>
    <row r="2784" spans="1:26" ht="15.75" customHeight="1" x14ac:dyDescent="0.2">
      <c r="A2784" s="2" t="s">
        <v>36</v>
      </c>
      <c r="B2784" s="2" t="s">
        <v>24</v>
      </c>
      <c r="C2784" s="2" t="s">
        <v>28</v>
      </c>
      <c r="D2784" s="2" t="s">
        <v>29</v>
      </c>
      <c r="E2784" s="2">
        <v>119</v>
      </c>
      <c r="F2784" s="2">
        <v>222</v>
      </c>
      <c r="G2784" s="2">
        <v>393</v>
      </c>
      <c r="H2784" s="2">
        <v>1537</v>
      </c>
      <c r="I2784" s="2">
        <v>2220</v>
      </c>
      <c r="J2784" s="2">
        <v>2.2000000000000002</v>
      </c>
      <c r="K2784" s="2">
        <v>3.95</v>
      </c>
      <c r="L2784" s="2">
        <v>11.25</v>
      </c>
      <c r="M2784" s="2">
        <v>13.71</v>
      </c>
      <c r="N2784" s="2">
        <v>2.625259437</v>
      </c>
      <c r="O2784" s="2">
        <v>2.8014743580000001</v>
      </c>
      <c r="P2784" s="2">
        <v>0.84914013099999996</v>
      </c>
      <c r="Q2784" s="2">
        <v>0.954661761</v>
      </c>
      <c r="R2784" s="2">
        <v>0.77900849900000002</v>
      </c>
      <c r="S2784" s="2">
        <v>0.88900849900000001</v>
      </c>
      <c r="T2784" s="2">
        <v>0.33791229699999997</v>
      </c>
      <c r="U2784" s="2">
        <v>0.34791229699999998</v>
      </c>
      <c r="V2784" s="2">
        <v>0.57449396699999999</v>
      </c>
      <c r="W2784" s="2">
        <v>0.61153925600000003</v>
      </c>
      <c r="X2784">
        <f t="shared" si="129"/>
        <v>1</v>
      </c>
      <c r="Y2784">
        <f t="shared" si="130"/>
        <v>0</v>
      </c>
      <c r="Z2784">
        <f t="shared" si="131"/>
        <v>1</v>
      </c>
    </row>
    <row r="2785" spans="1:26" ht="15.75" customHeight="1" x14ac:dyDescent="0.2">
      <c r="A2785" s="2" t="s">
        <v>36</v>
      </c>
      <c r="B2785" s="2" t="s">
        <v>24</v>
      </c>
      <c r="C2785" s="2" t="s">
        <v>26</v>
      </c>
      <c r="D2785" s="2" t="s">
        <v>26</v>
      </c>
      <c r="E2785" s="2">
        <v>106</v>
      </c>
      <c r="F2785" s="2">
        <v>218</v>
      </c>
      <c r="G2785" s="2">
        <v>379</v>
      </c>
      <c r="H2785" s="2">
        <v>1319</v>
      </c>
      <c r="I2785" s="2">
        <v>2576</v>
      </c>
      <c r="J2785" s="2">
        <v>2.16</v>
      </c>
      <c r="K2785" s="2">
        <v>3.81</v>
      </c>
      <c r="L2785" s="2">
        <v>10.26</v>
      </c>
      <c r="M2785" s="2">
        <v>14.69</v>
      </c>
      <c r="N2785" s="2">
        <v>1.6482394869999999</v>
      </c>
      <c r="O2785" s="2">
        <v>1.846692437</v>
      </c>
      <c r="P2785" s="2">
        <v>1.619826768</v>
      </c>
      <c r="Q2785" s="2">
        <v>1.6926031349999999</v>
      </c>
      <c r="R2785" s="2">
        <v>0.91904218900000001</v>
      </c>
      <c r="S2785" s="2">
        <v>1.0290421890000001</v>
      </c>
      <c r="T2785" s="2">
        <v>1.3338666400000001</v>
      </c>
      <c r="U2785" s="2">
        <v>1.3438666399999999</v>
      </c>
      <c r="V2785" s="2">
        <v>0.43446027599999998</v>
      </c>
      <c r="W2785" s="2">
        <v>0.47150556599999999</v>
      </c>
      <c r="X2785">
        <f t="shared" si="129"/>
        <v>1</v>
      </c>
      <c r="Y2785">
        <f t="shared" si="130"/>
        <v>0</v>
      </c>
      <c r="Z2785">
        <f t="shared" si="131"/>
        <v>0</v>
      </c>
    </row>
    <row r="2786" spans="1:26" ht="15.75" customHeight="1" x14ac:dyDescent="0.2">
      <c r="A2786" s="2" t="s">
        <v>36</v>
      </c>
      <c r="B2786" s="2" t="s">
        <v>24</v>
      </c>
      <c r="C2786" s="2" t="s">
        <v>30</v>
      </c>
      <c r="D2786" s="2" t="s">
        <v>31</v>
      </c>
      <c r="E2786" s="2">
        <v>92</v>
      </c>
      <c r="F2786" s="2">
        <v>213</v>
      </c>
      <c r="G2786" s="2">
        <v>703</v>
      </c>
      <c r="H2786" s="2">
        <v>1496</v>
      </c>
      <c r="I2786" s="2">
        <v>2703</v>
      </c>
      <c r="J2786" s="2">
        <v>2.1</v>
      </c>
      <c r="K2786" s="2">
        <v>6.55</v>
      </c>
      <c r="L2786" s="2">
        <v>11.08</v>
      </c>
      <c r="M2786" s="2">
        <v>15.01</v>
      </c>
      <c r="N2786" s="2">
        <v>3.5158633689999998</v>
      </c>
      <c r="O2786" s="2">
        <v>3.3926676019999999</v>
      </c>
      <c r="P2786" s="2">
        <v>1.890981169</v>
      </c>
      <c r="Q2786" s="2">
        <v>1.7882611980000001</v>
      </c>
      <c r="R2786" s="2">
        <v>1.8199874840000001</v>
      </c>
      <c r="S2786" s="2">
        <v>1.709987484</v>
      </c>
      <c r="T2786" s="2">
        <v>0.51327900500000001</v>
      </c>
      <c r="U2786" s="2">
        <v>0.52327900500000002</v>
      </c>
      <c r="V2786" s="2">
        <v>3.17348995</v>
      </c>
      <c r="W2786" s="2">
        <v>3.2105352389999999</v>
      </c>
      <c r="X2786">
        <f t="shared" si="129"/>
        <v>1</v>
      </c>
      <c r="Y2786">
        <f t="shared" si="130"/>
        <v>0</v>
      </c>
      <c r="Z2786">
        <f t="shared" si="131"/>
        <v>1</v>
      </c>
    </row>
    <row r="2787" spans="1:26" ht="15.75" customHeight="1" x14ac:dyDescent="0.2">
      <c r="A2787" s="2" t="s">
        <v>36</v>
      </c>
      <c r="B2787" s="2" t="s">
        <v>24</v>
      </c>
      <c r="C2787" s="2" t="s">
        <v>27</v>
      </c>
      <c r="D2787" s="2" t="s">
        <v>27</v>
      </c>
      <c r="E2787" s="2">
        <v>108</v>
      </c>
      <c r="F2787" s="2">
        <v>213</v>
      </c>
      <c r="G2787" s="2">
        <v>407</v>
      </c>
      <c r="H2787" s="2">
        <v>2070</v>
      </c>
      <c r="I2787" s="2">
        <v>2888</v>
      </c>
      <c r="J2787" s="2">
        <v>2.1</v>
      </c>
      <c r="K2787" s="2">
        <v>4.08</v>
      </c>
      <c r="L2787" s="2">
        <v>13.24</v>
      </c>
      <c r="M2787" s="2">
        <v>15.44</v>
      </c>
      <c r="N2787" s="2">
        <v>0.56914699999999996</v>
      </c>
      <c r="O2787" s="2">
        <v>0.81382748000000005</v>
      </c>
      <c r="P2787" s="2">
        <v>1.772129793</v>
      </c>
      <c r="Q2787" s="2">
        <v>1.8060948489999999</v>
      </c>
      <c r="R2787" s="2">
        <v>0.64695860299999997</v>
      </c>
      <c r="S2787" s="2">
        <v>0.75695860299999995</v>
      </c>
      <c r="T2787" s="2">
        <v>1.6498147080000001</v>
      </c>
      <c r="U2787" s="2">
        <v>1.6398147080000001</v>
      </c>
      <c r="V2787" s="2">
        <v>0.70654386199999997</v>
      </c>
      <c r="W2787" s="2">
        <v>0.74358915199999998</v>
      </c>
      <c r="X2787">
        <f t="shared" si="129"/>
        <v>1</v>
      </c>
      <c r="Y2787">
        <f t="shared" si="130"/>
        <v>0</v>
      </c>
      <c r="Z2787">
        <f t="shared" si="131"/>
        <v>0</v>
      </c>
    </row>
    <row r="2788" spans="1:26" ht="15.75" customHeight="1" x14ac:dyDescent="0.2">
      <c r="A2788" s="2" t="s">
        <v>36</v>
      </c>
      <c r="B2788" s="2" t="s">
        <v>24</v>
      </c>
      <c r="C2788" s="2" t="s">
        <v>30</v>
      </c>
      <c r="D2788" s="2" t="s">
        <v>31</v>
      </c>
      <c r="E2788" s="2">
        <v>124</v>
      </c>
      <c r="F2788" s="2">
        <v>215</v>
      </c>
      <c r="G2788" s="2">
        <v>892</v>
      </c>
      <c r="H2788" s="2">
        <v>1533</v>
      </c>
      <c r="I2788" s="2">
        <v>2674</v>
      </c>
      <c r="J2788" s="2">
        <v>2.12</v>
      </c>
      <c r="K2788" s="2">
        <v>7.85</v>
      </c>
      <c r="L2788" s="2">
        <v>11.23</v>
      </c>
      <c r="M2788" s="2">
        <v>14.94</v>
      </c>
      <c r="N2788" s="2">
        <v>4.3728677439999997</v>
      </c>
      <c r="O2788" s="2">
        <v>4.1723447399999998</v>
      </c>
      <c r="P2788" s="2">
        <v>3.1431475459999998</v>
      </c>
      <c r="Q2788" s="2">
        <v>3.0350641180000002</v>
      </c>
      <c r="R2788" s="2">
        <v>3.1230216249999998</v>
      </c>
      <c r="S2788" s="2">
        <v>3.0130216249999999</v>
      </c>
      <c r="T2788" s="2">
        <v>0.35512311499999999</v>
      </c>
      <c r="U2788" s="2">
        <v>0.365123115</v>
      </c>
      <c r="V2788" s="2">
        <v>4.4765240899999998</v>
      </c>
      <c r="W2788" s="2">
        <v>4.5135693799999999</v>
      </c>
      <c r="X2788">
        <f t="shared" si="129"/>
        <v>1</v>
      </c>
      <c r="Y2788">
        <f t="shared" si="130"/>
        <v>0</v>
      </c>
      <c r="Z2788">
        <f t="shared" si="131"/>
        <v>1</v>
      </c>
    </row>
    <row r="2789" spans="1:26" ht="15.75" customHeight="1" x14ac:dyDescent="0.2">
      <c r="A2789" s="2" t="s">
        <v>36</v>
      </c>
      <c r="B2789" s="2" t="s">
        <v>24</v>
      </c>
      <c r="C2789" s="2" t="s">
        <v>26</v>
      </c>
      <c r="D2789" s="2" t="s">
        <v>26</v>
      </c>
      <c r="E2789" s="2">
        <v>130</v>
      </c>
      <c r="F2789" s="2">
        <v>231</v>
      </c>
      <c r="G2789" s="2">
        <v>417</v>
      </c>
      <c r="H2789" s="2">
        <v>939</v>
      </c>
      <c r="I2789" s="2">
        <v>2621</v>
      </c>
      <c r="J2789" s="2">
        <v>2.2999999999999998</v>
      </c>
      <c r="K2789" s="2">
        <v>4.17</v>
      </c>
      <c r="L2789" s="2">
        <v>8.15</v>
      </c>
      <c r="M2789" s="2">
        <v>14.81</v>
      </c>
      <c r="N2789" s="2">
        <v>0.48721573400000001</v>
      </c>
      <c r="O2789" s="2">
        <v>0.33560663600000001</v>
      </c>
      <c r="P2789" s="2">
        <v>3.4829729380000001</v>
      </c>
      <c r="Q2789" s="2">
        <v>3.5120558129999999</v>
      </c>
      <c r="R2789" s="2">
        <v>0.55668910400000005</v>
      </c>
      <c r="S2789" s="2">
        <v>0.66668910400000003</v>
      </c>
      <c r="T2789" s="2">
        <v>3.4381968719999998</v>
      </c>
      <c r="U2789" s="2">
        <v>3.448196872</v>
      </c>
      <c r="V2789" s="2">
        <v>0.796813361</v>
      </c>
      <c r="W2789" s="2">
        <v>0.83385865100000001</v>
      </c>
      <c r="X2789">
        <f t="shared" si="129"/>
        <v>1</v>
      </c>
      <c r="Y2789">
        <f t="shared" si="130"/>
        <v>0</v>
      </c>
      <c r="Z2789">
        <f t="shared" si="131"/>
        <v>0</v>
      </c>
    </row>
    <row r="2790" spans="1:26" ht="15.75" customHeight="1" x14ac:dyDescent="0.2">
      <c r="A2790" s="2" t="s">
        <v>36</v>
      </c>
      <c r="B2790" s="2" t="s">
        <v>24</v>
      </c>
      <c r="C2790" s="2" t="s">
        <v>26</v>
      </c>
      <c r="D2790" s="2" t="s">
        <v>26</v>
      </c>
      <c r="E2790" s="2">
        <v>90</v>
      </c>
      <c r="F2790" s="2">
        <v>221</v>
      </c>
      <c r="G2790" s="2">
        <v>411</v>
      </c>
      <c r="H2790" s="2">
        <v>1042</v>
      </c>
      <c r="I2790" s="2">
        <v>2554</v>
      </c>
      <c r="J2790" s="2">
        <v>2.19</v>
      </c>
      <c r="K2790" s="2">
        <v>4.1100000000000003</v>
      </c>
      <c r="L2790" s="2">
        <v>8.7799999999999994</v>
      </c>
      <c r="M2790" s="2">
        <v>14.64</v>
      </c>
      <c r="N2790" s="2">
        <v>0.14977200399999999</v>
      </c>
      <c r="O2790" s="2">
        <v>0.34783294999999997</v>
      </c>
      <c r="P2790" s="2">
        <v>2.880772731</v>
      </c>
      <c r="Q2790" s="2">
        <v>2.9159561109999999</v>
      </c>
      <c r="R2790" s="2">
        <v>0.61574803099999997</v>
      </c>
      <c r="S2790" s="2">
        <v>0.72574803099999996</v>
      </c>
      <c r="T2790" s="2">
        <v>2.8141972019999999</v>
      </c>
      <c r="U2790" s="2">
        <v>2.8241972020000001</v>
      </c>
      <c r="V2790" s="2">
        <v>0.73775443399999996</v>
      </c>
      <c r="W2790" s="2">
        <v>0.77479972399999997</v>
      </c>
      <c r="X2790">
        <f t="shared" si="129"/>
        <v>1</v>
      </c>
      <c r="Y2790">
        <f t="shared" si="130"/>
        <v>0</v>
      </c>
      <c r="Z2790">
        <f t="shared" si="131"/>
        <v>0</v>
      </c>
    </row>
    <row r="2791" spans="1:26" ht="15.75" customHeight="1" x14ac:dyDescent="0.2">
      <c r="A2791" s="2" t="s">
        <v>36</v>
      </c>
      <c r="B2791" s="2" t="s">
        <v>24</v>
      </c>
      <c r="C2791" s="2" t="s">
        <v>26</v>
      </c>
      <c r="D2791" s="2" t="s">
        <v>26</v>
      </c>
      <c r="E2791" s="2">
        <v>90</v>
      </c>
      <c r="F2791" s="2">
        <v>217</v>
      </c>
      <c r="G2791" s="2">
        <v>422</v>
      </c>
      <c r="H2791" s="2">
        <v>842</v>
      </c>
      <c r="I2791" s="2">
        <v>2616</v>
      </c>
      <c r="J2791" s="2">
        <v>2.14</v>
      </c>
      <c r="K2791" s="2">
        <v>4.22</v>
      </c>
      <c r="L2791" s="2">
        <v>7.52</v>
      </c>
      <c r="M2791" s="2">
        <v>14.8</v>
      </c>
      <c r="N2791" s="2">
        <v>1.1142440410000001</v>
      </c>
      <c r="O2791" s="2">
        <v>0.94795649599999998</v>
      </c>
      <c r="P2791" s="2">
        <v>4.0981181869999999</v>
      </c>
      <c r="Q2791" s="2">
        <v>4.1232307050000001</v>
      </c>
      <c r="R2791" s="2">
        <v>0.51337298799999997</v>
      </c>
      <c r="S2791" s="2">
        <v>0.62337298799999996</v>
      </c>
      <c r="T2791" s="2">
        <v>4.0658358120000004</v>
      </c>
      <c r="U2791" s="2">
        <v>4.0758358120000002</v>
      </c>
      <c r="V2791" s="2">
        <v>0.84012947699999996</v>
      </c>
      <c r="W2791" s="2">
        <v>0.87717476699999997</v>
      </c>
      <c r="X2791">
        <f t="shared" si="129"/>
        <v>1</v>
      </c>
      <c r="Y2791">
        <f t="shared" si="130"/>
        <v>0</v>
      </c>
      <c r="Z2791">
        <f t="shared" si="131"/>
        <v>0</v>
      </c>
    </row>
    <row r="2792" spans="1:26" ht="15.75" customHeight="1" x14ac:dyDescent="0.2">
      <c r="A2792" s="2" t="s">
        <v>36</v>
      </c>
      <c r="B2792" s="2" t="s">
        <v>24</v>
      </c>
      <c r="C2792" s="2" t="s">
        <v>25</v>
      </c>
      <c r="D2792" s="2" t="s">
        <v>25</v>
      </c>
      <c r="E2792" s="2">
        <v>109</v>
      </c>
      <c r="F2792" s="2">
        <v>215</v>
      </c>
      <c r="G2792" s="2">
        <v>899</v>
      </c>
      <c r="H2792" s="2">
        <v>1520</v>
      </c>
      <c r="I2792" s="2">
        <v>2679</v>
      </c>
      <c r="J2792" s="2">
        <v>2.12</v>
      </c>
      <c r="K2792" s="2">
        <v>7.9</v>
      </c>
      <c r="L2792" s="2">
        <v>11.18</v>
      </c>
      <c r="M2792" s="2">
        <v>14.95</v>
      </c>
      <c r="N2792" s="2">
        <v>1.015169534</v>
      </c>
      <c r="O2792" s="2">
        <v>0.85605467599999996</v>
      </c>
      <c r="P2792" s="2">
        <v>3.1947343969999999</v>
      </c>
      <c r="Q2792" s="2">
        <v>3.0870314049999998</v>
      </c>
      <c r="R2792" s="2">
        <v>3.1681436569999999</v>
      </c>
      <c r="S2792" s="2">
        <v>3.058143657</v>
      </c>
      <c r="T2792" s="2">
        <v>0.41133154500000002</v>
      </c>
      <c r="U2792" s="2">
        <v>0.42133154499999997</v>
      </c>
      <c r="V2792" s="2">
        <v>4.5216461219999999</v>
      </c>
      <c r="W2792" s="2">
        <v>4.5586914119999999</v>
      </c>
      <c r="X2792">
        <f t="shared" si="129"/>
        <v>1</v>
      </c>
      <c r="Y2792">
        <f t="shared" si="130"/>
        <v>0</v>
      </c>
      <c r="Z2792">
        <f t="shared" si="131"/>
        <v>0</v>
      </c>
    </row>
    <row r="2793" spans="1:26" ht="15.75" customHeight="1" x14ac:dyDescent="0.2">
      <c r="A2793" s="2" t="s">
        <v>36</v>
      </c>
      <c r="B2793" s="2" t="s">
        <v>24</v>
      </c>
      <c r="C2793" s="2" t="s">
        <v>25</v>
      </c>
      <c r="D2793" s="2" t="s">
        <v>25</v>
      </c>
      <c r="E2793" s="2">
        <v>100</v>
      </c>
      <c r="F2793" s="2">
        <v>205</v>
      </c>
      <c r="G2793" s="2">
        <v>639</v>
      </c>
      <c r="H2793" s="2">
        <v>1765</v>
      </c>
      <c r="I2793" s="2">
        <v>2747</v>
      </c>
      <c r="J2793" s="2">
        <v>2</v>
      </c>
      <c r="K2793" s="2">
        <v>6.06</v>
      </c>
      <c r="L2793" s="2">
        <v>12.17</v>
      </c>
      <c r="M2793" s="2">
        <v>15.12</v>
      </c>
      <c r="N2793" s="2">
        <v>1.2097062679999999</v>
      </c>
      <c r="O2793" s="2">
        <v>1.311917282</v>
      </c>
      <c r="P2793" s="2">
        <v>1.450863094</v>
      </c>
      <c r="Q2793" s="2">
        <v>1.3465438940000001</v>
      </c>
      <c r="R2793" s="2">
        <v>1.329014879</v>
      </c>
      <c r="S2793" s="2">
        <v>1.2190148789999999</v>
      </c>
      <c r="T2793" s="2">
        <v>0.58199928400000001</v>
      </c>
      <c r="U2793" s="2">
        <v>0.571999284</v>
      </c>
      <c r="V2793" s="2">
        <v>2.6825173449999999</v>
      </c>
      <c r="W2793" s="2">
        <v>2.7195626339999999</v>
      </c>
      <c r="X2793">
        <f t="shared" si="129"/>
        <v>1</v>
      </c>
      <c r="Y2793">
        <f t="shared" si="130"/>
        <v>0</v>
      </c>
      <c r="Z2793">
        <f t="shared" si="131"/>
        <v>0</v>
      </c>
    </row>
    <row r="2794" spans="1:26" ht="15.75" customHeight="1" x14ac:dyDescent="0.2">
      <c r="A2794" s="2" t="s">
        <v>36</v>
      </c>
      <c r="B2794" s="2" t="s">
        <v>24</v>
      </c>
      <c r="C2794" s="2" t="s">
        <v>25</v>
      </c>
      <c r="D2794" s="2" t="s">
        <v>25</v>
      </c>
      <c r="E2794" s="2">
        <v>142</v>
      </c>
      <c r="F2794" s="2">
        <v>214</v>
      </c>
      <c r="G2794" s="2">
        <v>903</v>
      </c>
      <c r="H2794" s="2">
        <v>1715</v>
      </c>
      <c r="I2794" s="2">
        <v>2706</v>
      </c>
      <c r="J2794" s="2">
        <v>2.11</v>
      </c>
      <c r="K2794" s="2">
        <v>7.93</v>
      </c>
      <c r="L2794" s="2">
        <v>11.98</v>
      </c>
      <c r="M2794" s="2">
        <v>15.02</v>
      </c>
      <c r="N2794" s="2">
        <v>0.67839839199999996</v>
      </c>
      <c r="O2794" s="2">
        <v>0.63142768500000002</v>
      </c>
      <c r="P2794" s="2">
        <v>3.2217988069999999</v>
      </c>
      <c r="Q2794" s="2">
        <v>3.1113990880000002</v>
      </c>
      <c r="R2794" s="2">
        <v>3.198102445</v>
      </c>
      <c r="S2794" s="2">
        <v>3.0881024450000001</v>
      </c>
      <c r="T2794" s="2">
        <v>0.39003628400000001</v>
      </c>
      <c r="U2794" s="2">
        <v>0.380036284</v>
      </c>
      <c r="V2794" s="2">
        <v>4.55160491</v>
      </c>
      <c r="W2794" s="2">
        <v>4.5886502</v>
      </c>
      <c r="X2794">
        <f t="shared" si="129"/>
        <v>1</v>
      </c>
      <c r="Y2794">
        <f t="shared" si="130"/>
        <v>0</v>
      </c>
      <c r="Z2794">
        <f t="shared" si="131"/>
        <v>0</v>
      </c>
    </row>
    <row r="2795" spans="1:26" ht="15.75" customHeight="1" x14ac:dyDescent="0.2">
      <c r="A2795" s="2" t="s">
        <v>36</v>
      </c>
      <c r="B2795" s="2" t="s">
        <v>24</v>
      </c>
      <c r="C2795" s="2" t="s">
        <v>28</v>
      </c>
      <c r="D2795" s="2" t="s">
        <v>29</v>
      </c>
      <c r="E2795" s="2">
        <v>121</v>
      </c>
      <c r="F2795" s="2">
        <v>211</v>
      </c>
      <c r="G2795" s="2">
        <v>495</v>
      </c>
      <c r="H2795" s="2">
        <v>1236</v>
      </c>
      <c r="I2795" s="2">
        <v>2340</v>
      </c>
      <c r="J2795" s="2">
        <v>2.08</v>
      </c>
      <c r="K2795" s="2">
        <v>4.88</v>
      </c>
      <c r="L2795" s="2">
        <v>9.84</v>
      </c>
      <c r="M2795" s="2">
        <v>14.06</v>
      </c>
      <c r="N2795" s="2">
        <v>1.446773836</v>
      </c>
      <c r="O2795" s="2">
        <v>1.492362204</v>
      </c>
      <c r="P2795" s="2">
        <v>1.757724659</v>
      </c>
      <c r="Q2795" s="2">
        <v>1.762038427</v>
      </c>
      <c r="R2795" s="2">
        <v>0.145682281</v>
      </c>
      <c r="S2795" s="2">
        <v>3.5682281000000003E-2</v>
      </c>
      <c r="T2795" s="2">
        <v>1.7516770960000001</v>
      </c>
      <c r="U2795" s="2">
        <v>1.7616770960000001</v>
      </c>
      <c r="V2795" s="2">
        <v>1.4991847460000001</v>
      </c>
      <c r="W2795" s="2">
        <v>1.5362300360000001</v>
      </c>
      <c r="X2795">
        <f t="shared" si="129"/>
        <v>1</v>
      </c>
      <c r="Y2795">
        <f t="shared" si="130"/>
        <v>0</v>
      </c>
      <c r="Z2795">
        <f t="shared" si="131"/>
        <v>1</v>
      </c>
    </row>
    <row r="2796" spans="1:26" ht="15.75" customHeight="1" x14ac:dyDescent="0.2">
      <c r="A2796" s="2" t="s">
        <v>36</v>
      </c>
      <c r="B2796" s="2" t="s">
        <v>24</v>
      </c>
      <c r="C2796" s="2" t="s">
        <v>30</v>
      </c>
      <c r="D2796" s="2" t="s">
        <v>31</v>
      </c>
      <c r="E2796" s="2">
        <v>103</v>
      </c>
      <c r="F2796" s="2">
        <v>214</v>
      </c>
      <c r="G2796" s="2">
        <v>637</v>
      </c>
      <c r="H2796" s="2">
        <v>1220</v>
      </c>
      <c r="I2796" s="2">
        <v>1962</v>
      </c>
      <c r="J2796" s="2">
        <v>2.11</v>
      </c>
      <c r="K2796" s="2">
        <v>6.04</v>
      </c>
      <c r="L2796" s="2">
        <v>9.75</v>
      </c>
      <c r="M2796" s="2">
        <v>12.88</v>
      </c>
      <c r="N2796" s="2">
        <v>4.3822245229999996</v>
      </c>
      <c r="O2796" s="2">
        <v>4.3491486789999998</v>
      </c>
      <c r="P2796" s="2">
        <v>2.2575465669999999</v>
      </c>
      <c r="Q2796" s="2">
        <v>2.2037428000000001</v>
      </c>
      <c r="R2796" s="2">
        <v>1.3134403079999999</v>
      </c>
      <c r="S2796" s="2">
        <v>1.203440308</v>
      </c>
      <c r="T2796" s="2">
        <v>1.8361348150000001</v>
      </c>
      <c r="U2796" s="2">
        <v>1.8461348150000001</v>
      </c>
      <c r="V2796" s="2">
        <v>2.6669427730000002</v>
      </c>
      <c r="W2796" s="2">
        <v>2.7039880630000002</v>
      </c>
      <c r="X2796">
        <f t="shared" si="129"/>
        <v>1</v>
      </c>
      <c r="Y2796">
        <f t="shared" si="130"/>
        <v>0</v>
      </c>
      <c r="Z2796">
        <f t="shared" si="131"/>
        <v>1</v>
      </c>
    </row>
    <row r="2797" spans="1:26" ht="15.75" customHeight="1" x14ac:dyDescent="0.2">
      <c r="A2797" s="2" t="s">
        <v>36</v>
      </c>
      <c r="B2797" s="2" t="s">
        <v>24</v>
      </c>
      <c r="C2797" s="2" t="s">
        <v>32</v>
      </c>
      <c r="D2797" s="2" t="s">
        <v>33</v>
      </c>
      <c r="E2797" s="2">
        <v>144</v>
      </c>
      <c r="F2797" s="2">
        <v>220</v>
      </c>
      <c r="G2797" s="2">
        <v>454</v>
      </c>
      <c r="H2797" s="2">
        <v>1069</v>
      </c>
      <c r="I2797" s="2">
        <v>2385</v>
      </c>
      <c r="J2797" s="2">
        <v>2.1800000000000002</v>
      </c>
      <c r="K2797" s="2">
        <v>4.5199999999999996</v>
      </c>
      <c r="L2797" s="2">
        <v>8.93</v>
      </c>
      <c r="M2797" s="2">
        <v>14.19</v>
      </c>
      <c r="N2797" s="2">
        <v>4.0803428479999999</v>
      </c>
      <c r="O2797" s="2">
        <v>4.0188339449999999</v>
      </c>
      <c r="P2797" s="2">
        <v>2.666836253</v>
      </c>
      <c r="Q2797" s="2">
        <v>2.6878701039999999</v>
      </c>
      <c r="R2797" s="2">
        <v>0.21484882</v>
      </c>
      <c r="S2797" s="2">
        <v>0.32484881999999998</v>
      </c>
      <c r="T2797" s="2">
        <v>2.658167712</v>
      </c>
      <c r="U2797" s="2">
        <v>2.6681677119999998</v>
      </c>
      <c r="V2797" s="2">
        <v>1.1386536460000001</v>
      </c>
      <c r="W2797" s="2">
        <v>1.1756989360000001</v>
      </c>
      <c r="X2797">
        <f t="shared" si="129"/>
        <v>1</v>
      </c>
      <c r="Y2797">
        <f t="shared" si="130"/>
        <v>0</v>
      </c>
      <c r="Z2797">
        <f t="shared" si="131"/>
        <v>1</v>
      </c>
    </row>
    <row r="2798" spans="1:26" ht="15.75" customHeight="1" x14ac:dyDescent="0.2">
      <c r="A2798" s="2" t="s">
        <v>36</v>
      </c>
      <c r="B2798" s="2" t="s">
        <v>24</v>
      </c>
      <c r="C2798" s="2" t="s">
        <v>26</v>
      </c>
      <c r="D2798" s="2" t="s">
        <v>26</v>
      </c>
      <c r="E2798" s="2">
        <v>130</v>
      </c>
      <c r="F2798" s="2">
        <v>235</v>
      </c>
      <c r="G2798" s="2">
        <v>455</v>
      </c>
      <c r="H2798" s="2">
        <v>1086</v>
      </c>
      <c r="I2798" s="2">
        <v>2642</v>
      </c>
      <c r="J2798" s="2">
        <v>2.34</v>
      </c>
      <c r="K2798" s="2">
        <v>4.5199999999999996</v>
      </c>
      <c r="L2798" s="2">
        <v>9.0299999999999994</v>
      </c>
      <c r="M2798" s="2">
        <v>14.86</v>
      </c>
      <c r="N2798" s="2">
        <v>0.59364470199999997</v>
      </c>
      <c r="O2798" s="2">
        <v>0.60903618000000004</v>
      </c>
      <c r="P2798" s="2">
        <v>2.5682104909999999</v>
      </c>
      <c r="Q2798" s="2">
        <v>2.5895366449999999</v>
      </c>
      <c r="R2798" s="2">
        <v>0.21184428499999999</v>
      </c>
      <c r="S2798" s="2">
        <v>0.32184428500000001</v>
      </c>
      <c r="T2798" s="2">
        <v>2.5594583649999998</v>
      </c>
      <c r="U2798" s="2">
        <v>2.569458365</v>
      </c>
      <c r="V2798" s="2">
        <v>1.1416581800000001</v>
      </c>
      <c r="W2798" s="2">
        <v>1.1787034700000001</v>
      </c>
      <c r="X2798">
        <f t="shared" si="129"/>
        <v>1</v>
      </c>
      <c r="Y2798">
        <f t="shared" si="130"/>
        <v>0</v>
      </c>
      <c r="Z2798">
        <f t="shared" si="131"/>
        <v>0</v>
      </c>
    </row>
    <row r="2799" spans="1:26" ht="15.75" customHeight="1" x14ac:dyDescent="0.2">
      <c r="A2799" s="2" t="s">
        <v>36</v>
      </c>
      <c r="B2799" s="2" t="s">
        <v>24</v>
      </c>
      <c r="C2799" s="2" t="s">
        <v>32</v>
      </c>
      <c r="D2799" s="2" t="s">
        <v>33</v>
      </c>
      <c r="E2799" s="2">
        <v>108</v>
      </c>
      <c r="F2799" s="2">
        <v>222</v>
      </c>
      <c r="G2799" s="2">
        <v>482</v>
      </c>
      <c r="H2799" s="2">
        <v>1000</v>
      </c>
      <c r="I2799" s="2">
        <v>2526</v>
      </c>
      <c r="J2799" s="2">
        <v>2.19</v>
      </c>
      <c r="K2799" s="2">
        <v>4.76</v>
      </c>
      <c r="L2799" s="2">
        <v>8.5299999999999994</v>
      </c>
      <c r="M2799" s="2">
        <v>14.57</v>
      </c>
      <c r="N2799" s="2">
        <v>4.2429157919999998</v>
      </c>
      <c r="O2799" s="2">
        <v>4.1651089450000001</v>
      </c>
      <c r="P2799" s="2">
        <v>3.0647022669999999</v>
      </c>
      <c r="Q2799" s="2">
        <v>3.0756390599999999</v>
      </c>
      <c r="R2799" s="2">
        <v>2.8798635E-2</v>
      </c>
      <c r="S2799" s="2">
        <v>8.1201364999999998E-2</v>
      </c>
      <c r="T2799" s="2">
        <v>3.0645669560000002</v>
      </c>
      <c r="U2799" s="2">
        <v>3.074566956</v>
      </c>
      <c r="V2799" s="2">
        <v>1.3823011000000001</v>
      </c>
      <c r="W2799" s="2">
        <v>1.4193463900000001</v>
      </c>
      <c r="X2799">
        <f t="shared" si="129"/>
        <v>1</v>
      </c>
      <c r="Y2799">
        <f t="shared" si="130"/>
        <v>0</v>
      </c>
      <c r="Z2799">
        <f t="shared" si="131"/>
        <v>1</v>
      </c>
    </row>
    <row r="2800" spans="1:26" ht="15.75" customHeight="1" x14ac:dyDescent="0.2">
      <c r="A2800" s="2" t="s">
        <v>36</v>
      </c>
      <c r="B2800" s="2" t="s">
        <v>24</v>
      </c>
      <c r="C2800" s="2" t="s">
        <v>28</v>
      </c>
      <c r="D2800" s="2" t="s">
        <v>29</v>
      </c>
      <c r="E2800" s="2">
        <v>122</v>
      </c>
      <c r="F2800" s="2">
        <v>206</v>
      </c>
      <c r="G2800" s="2">
        <v>499</v>
      </c>
      <c r="H2800" s="2">
        <v>1399</v>
      </c>
      <c r="I2800" s="2">
        <v>2842</v>
      </c>
      <c r="J2800" s="2">
        <v>2.02</v>
      </c>
      <c r="K2800" s="2">
        <v>4.91</v>
      </c>
      <c r="L2800" s="2">
        <v>10.63</v>
      </c>
      <c r="M2800" s="2">
        <v>15.34</v>
      </c>
      <c r="N2800" s="2">
        <v>2.1709607690000001</v>
      </c>
      <c r="O2800" s="2">
        <v>2.2553917569999999</v>
      </c>
      <c r="P2800" s="2">
        <v>0.97281857599999999</v>
      </c>
      <c r="Q2800" s="2">
        <v>0.96816126599999996</v>
      </c>
      <c r="R2800" s="2">
        <v>0.183396584</v>
      </c>
      <c r="S2800" s="2">
        <v>7.3396584000000001E-2</v>
      </c>
      <c r="T2800" s="2">
        <v>0.95537514899999998</v>
      </c>
      <c r="U2800" s="2">
        <v>0.96537514899999999</v>
      </c>
      <c r="V2800" s="2">
        <v>1.5368990499999999</v>
      </c>
      <c r="W2800" s="2">
        <v>1.5739443399999999</v>
      </c>
      <c r="X2800">
        <f t="shared" si="129"/>
        <v>1</v>
      </c>
      <c r="Y2800">
        <f t="shared" si="130"/>
        <v>0</v>
      </c>
      <c r="Z2800">
        <f t="shared" si="131"/>
        <v>1</v>
      </c>
    </row>
    <row r="2801" spans="1:26" ht="15.75" customHeight="1" x14ac:dyDescent="0.2">
      <c r="A2801" s="2" t="s">
        <v>36</v>
      </c>
      <c r="B2801" s="2" t="s">
        <v>24</v>
      </c>
      <c r="C2801" s="2" t="s">
        <v>32</v>
      </c>
      <c r="D2801" s="2" t="s">
        <v>33</v>
      </c>
      <c r="E2801" s="2">
        <v>150</v>
      </c>
      <c r="F2801" s="2">
        <v>213</v>
      </c>
      <c r="G2801" s="2">
        <v>512</v>
      </c>
      <c r="H2801" s="2">
        <v>1061</v>
      </c>
      <c r="I2801" s="2">
        <v>2375</v>
      </c>
      <c r="J2801" s="2">
        <v>2.1</v>
      </c>
      <c r="K2801" s="2">
        <v>5.0199999999999996</v>
      </c>
      <c r="L2801" s="2">
        <v>8.8800000000000008</v>
      </c>
      <c r="M2801" s="2">
        <v>14.16</v>
      </c>
      <c r="N2801" s="2">
        <v>3.7976317229999998</v>
      </c>
      <c r="O2801" s="2">
        <v>3.7199993629999999</v>
      </c>
      <c r="P2801" s="2">
        <v>2.7218308100000002</v>
      </c>
      <c r="Q2801" s="2">
        <v>2.7221774089999999</v>
      </c>
      <c r="R2801" s="2">
        <v>0.29288025899999998</v>
      </c>
      <c r="S2801" s="2">
        <v>0.18288025899999999</v>
      </c>
      <c r="T2801" s="2">
        <v>2.7060273669999999</v>
      </c>
      <c r="U2801" s="2">
        <v>2.7160273670000001</v>
      </c>
      <c r="V2801" s="2">
        <v>1.646382724</v>
      </c>
      <c r="W2801" s="2">
        <v>1.683428014</v>
      </c>
      <c r="X2801">
        <f t="shared" si="129"/>
        <v>1</v>
      </c>
      <c r="Y2801">
        <f t="shared" si="130"/>
        <v>0</v>
      </c>
      <c r="Z2801">
        <f t="shared" si="131"/>
        <v>1</v>
      </c>
    </row>
    <row r="2802" spans="1:26" ht="15.75" customHeight="1" x14ac:dyDescent="0.2">
      <c r="A2802" s="2" t="s">
        <v>36</v>
      </c>
      <c r="B2802" s="2" t="s">
        <v>24</v>
      </c>
      <c r="C2802" s="2" t="s">
        <v>25</v>
      </c>
      <c r="D2802" s="2" t="s">
        <v>25</v>
      </c>
      <c r="E2802" s="2">
        <v>137</v>
      </c>
      <c r="F2802" s="2">
        <v>202</v>
      </c>
      <c r="G2802" s="2">
        <v>747</v>
      </c>
      <c r="H2802" s="2">
        <v>1790</v>
      </c>
      <c r="I2802" s="2">
        <v>2764</v>
      </c>
      <c r="J2802" s="2">
        <v>1.98</v>
      </c>
      <c r="K2802" s="2">
        <v>6.87</v>
      </c>
      <c r="L2802" s="2">
        <v>12.27</v>
      </c>
      <c r="M2802" s="2">
        <v>15.16</v>
      </c>
      <c r="N2802" s="2">
        <v>0.489289631</v>
      </c>
      <c r="O2802" s="2">
        <v>0.64192465499999996</v>
      </c>
      <c r="P2802" s="2">
        <v>2.2425839939999999</v>
      </c>
      <c r="Q2802" s="2">
        <v>2.1348175939999998</v>
      </c>
      <c r="R2802" s="2">
        <v>2.1382526780000002</v>
      </c>
      <c r="S2802" s="2">
        <v>2.0282526779999999</v>
      </c>
      <c r="T2802" s="2">
        <v>0.67606098299999995</v>
      </c>
      <c r="U2802" s="2">
        <v>0.66606098300000005</v>
      </c>
      <c r="V2802" s="2">
        <v>3.4917551429999998</v>
      </c>
      <c r="W2802" s="2">
        <v>3.5288004329999998</v>
      </c>
      <c r="X2802">
        <f t="shared" si="129"/>
        <v>1</v>
      </c>
      <c r="Y2802">
        <f t="shared" si="130"/>
        <v>0</v>
      </c>
      <c r="Z2802">
        <f t="shared" si="131"/>
        <v>0</v>
      </c>
    </row>
    <row r="2803" spans="1:26" ht="15.75" customHeight="1" x14ac:dyDescent="0.2">
      <c r="A2803" s="2" t="s">
        <v>36</v>
      </c>
      <c r="B2803" s="2" t="s">
        <v>24</v>
      </c>
      <c r="C2803" s="2" t="s">
        <v>27</v>
      </c>
      <c r="D2803" s="2" t="s">
        <v>27</v>
      </c>
      <c r="E2803" s="2">
        <v>76</v>
      </c>
      <c r="F2803" s="2">
        <v>219</v>
      </c>
      <c r="G2803" s="2">
        <v>413</v>
      </c>
      <c r="H2803" s="2">
        <v>2382</v>
      </c>
      <c r="I2803" s="2">
        <v>2955</v>
      </c>
      <c r="J2803" s="2">
        <v>2.16</v>
      </c>
      <c r="K2803" s="2">
        <v>4.13</v>
      </c>
      <c r="L2803" s="2">
        <v>14.18</v>
      </c>
      <c r="M2803" s="2">
        <v>15.59</v>
      </c>
      <c r="N2803" s="2">
        <v>0.43703375100000003</v>
      </c>
      <c r="O2803" s="2">
        <v>0.573244278</v>
      </c>
      <c r="P2803" s="2">
        <v>2.655819207</v>
      </c>
      <c r="Q2803" s="2">
        <v>2.6730456390000001</v>
      </c>
      <c r="R2803" s="2">
        <v>0.59706378199999999</v>
      </c>
      <c r="S2803" s="2">
        <v>0.70706378199999997</v>
      </c>
      <c r="T2803" s="2">
        <v>2.5878350989999999</v>
      </c>
      <c r="U2803" s="2">
        <v>2.5778350990000001</v>
      </c>
      <c r="V2803" s="2">
        <v>0.75643868299999995</v>
      </c>
      <c r="W2803" s="2">
        <v>0.79348397299999995</v>
      </c>
      <c r="X2803">
        <f t="shared" si="129"/>
        <v>1</v>
      </c>
      <c r="Y2803">
        <f t="shared" si="130"/>
        <v>0</v>
      </c>
      <c r="Z2803">
        <f t="shared" si="131"/>
        <v>0</v>
      </c>
    </row>
    <row r="2804" spans="1:26" ht="15.75" customHeight="1" x14ac:dyDescent="0.2">
      <c r="A2804" s="2" t="s">
        <v>36</v>
      </c>
      <c r="B2804" s="2" t="s">
        <v>24</v>
      </c>
      <c r="C2804" s="2" t="s">
        <v>30</v>
      </c>
      <c r="D2804" s="2" t="s">
        <v>31</v>
      </c>
      <c r="E2804" s="2">
        <v>88</v>
      </c>
      <c r="F2804" s="2">
        <v>225</v>
      </c>
      <c r="G2804" s="2">
        <v>660</v>
      </c>
      <c r="H2804" s="2">
        <v>1497</v>
      </c>
      <c r="I2804" s="2">
        <v>2622</v>
      </c>
      <c r="J2804" s="2">
        <v>2.23</v>
      </c>
      <c r="K2804" s="2">
        <v>6.22</v>
      </c>
      <c r="L2804" s="2">
        <v>11.08</v>
      </c>
      <c r="M2804" s="2">
        <v>14.81</v>
      </c>
      <c r="N2804" s="2">
        <v>3.314349671</v>
      </c>
      <c r="O2804" s="2">
        <v>3.215959426</v>
      </c>
      <c r="P2804" s="2">
        <v>1.5789189269999999</v>
      </c>
      <c r="Q2804" s="2">
        <v>1.4787883989999999</v>
      </c>
      <c r="R2804" s="2">
        <v>1.493664122</v>
      </c>
      <c r="S2804" s="2">
        <v>1.3836641220000001</v>
      </c>
      <c r="T2804" s="2">
        <v>0.51181292199999995</v>
      </c>
      <c r="U2804" s="2">
        <v>0.52181292199999996</v>
      </c>
      <c r="V2804" s="2">
        <v>2.8471665869999998</v>
      </c>
      <c r="W2804" s="2">
        <v>2.8842118769999998</v>
      </c>
      <c r="X2804">
        <f t="shared" si="129"/>
        <v>1</v>
      </c>
      <c r="Y2804">
        <f t="shared" si="130"/>
        <v>0</v>
      </c>
      <c r="Z2804">
        <f t="shared" si="131"/>
        <v>1</v>
      </c>
    </row>
    <row r="2805" spans="1:26" ht="15.75" customHeight="1" x14ac:dyDescent="0.2">
      <c r="A2805" s="2" t="s">
        <v>36</v>
      </c>
      <c r="B2805" s="2" t="s">
        <v>24</v>
      </c>
      <c r="C2805" s="2" t="s">
        <v>25</v>
      </c>
      <c r="D2805" s="2" t="s">
        <v>25</v>
      </c>
      <c r="E2805" s="2">
        <v>106</v>
      </c>
      <c r="F2805" s="2">
        <v>202</v>
      </c>
      <c r="G2805" s="2">
        <v>751</v>
      </c>
      <c r="H2805" s="2">
        <v>1810</v>
      </c>
      <c r="I2805" s="2">
        <v>2714</v>
      </c>
      <c r="J2805" s="2">
        <v>1.97</v>
      </c>
      <c r="K2805" s="2">
        <v>6.9</v>
      </c>
      <c r="L2805" s="2">
        <v>12.34</v>
      </c>
      <c r="M2805" s="2">
        <v>15.04</v>
      </c>
      <c r="N2805" s="2">
        <v>0.51993876900000002</v>
      </c>
      <c r="O2805" s="2">
        <v>0.67945898599999999</v>
      </c>
      <c r="P2805" s="2">
        <v>2.2935561340000001</v>
      </c>
      <c r="Q2805" s="2">
        <v>2.1865155249999999</v>
      </c>
      <c r="R2805" s="2">
        <v>2.1668941350000002</v>
      </c>
      <c r="S2805" s="2">
        <v>2.0568941349999998</v>
      </c>
      <c r="T2805" s="2">
        <v>0.75164456199999996</v>
      </c>
      <c r="U2805" s="2">
        <v>0.74164456199999995</v>
      </c>
      <c r="V2805" s="2">
        <v>3.5203966000000002</v>
      </c>
      <c r="W2805" s="2">
        <v>3.5574418900000002</v>
      </c>
      <c r="X2805">
        <f t="shared" si="129"/>
        <v>1</v>
      </c>
      <c r="Y2805">
        <f t="shared" si="130"/>
        <v>0</v>
      </c>
      <c r="Z2805">
        <f t="shared" si="131"/>
        <v>0</v>
      </c>
    </row>
    <row r="2806" spans="1:26" ht="15.75" customHeight="1" x14ac:dyDescent="0.2">
      <c r="A2806" s="2" t="s">
        <v>36</v>
      </c>
      <c r="B2806" s="2" t="s">
        <v>24</v>
      </c>
      <c r="C2806" s="2" t="s">
        <v>30</v>
      </c>
      <c r="D2806" s="2" t="s">
        <v>31</v>
      </c>
      <c r="E2806" s="2">
        <v>127</v>
      </c>
      <c r="F2806" s="2">
        <v>210</v>
      </c>
      <c r="G2806" s="2">
        <v>738</v>
      </c>
      <c r="H2806" s="2">
        <v>1466</v>
      </c>
      <c r="I2806" s="2">
        <v>2675</v>
      </c>
      <c r="J2806" s="2">
        <v>2.06</v>
      </c>
      <c r="K2806" s="2">
        <v>6.81</v>
      </c>
      <c r="L2806" s="2">
        <v>10.94</v>
      </c>
      <c r="M2806" s="2">
        <v>14.94</v>
      </c>
      <c r="N2806" s="2">
        <v>3.7850654979999998</v>
      </c>
      <c r="O2806" s="2">
        <v>3.6518572420000002</v>
      </c>
      <c r="P2806" s="2">
        <v>2.1746582050000001</v>
      </c>
      <c r="Q2806" s="2">
        <v>2.0730646319999999</v>
      </c>
      <c r="R2806" s="2">
        <v>2.07590488</v>
      </c>
      <c r="S2806" s="2">
        <v>1.9659048800000001</v>
      </c>
      <c r="T2806" s="2">
        <v>0.64788674800000001</v>
      </c>
      <c r="U2806" s="2">
        <v>0.65788674800000002</v>
      </c>
      <c r="V2806" s="2">
        <v>3.429407345</v>
      </c>
      <c r="W2806" s="2">
        <v>3.466452635</v>
      </c>
      <c r="X2806">
        <f t="shared" si="129"/>
        <v>1</v>
      </c>
      <c r="Y2806">
        <f t="shared" si="130"/>
        <v>0</v>
      </c>
      <c r="Z2806">
        <f t="shared" si="131"/>
        <v>1</v>
      </c>
    </row>
    <row r="2807" spans="1:26" ht="15.75" customHeight="1" x14ac:dyDescent="0.2">
      <c r="A2807" s="2" t="s">
        <v>36</v>
      </c>
      <c r="B2807" s="2" t="s">
        <v>24</v>
      </c>
      <c r="C2807" s="2" t="s">
        <v>25</v>
      </c>
      <c r="D2807" s="2" t="s">
        <v>25</v>
      </c>
      <c r="E2807" s="2">
        <v>134</v>
      </c>
      <c r="F2807" s="2">
        <v>121</v>
      </c>
      <c r="G2807" s="2">
        <v>625</v>
      </c>
      <c r="H2807" s="2">
        <v>1312</v>
      </c>
      <c r="I2807" s="2">
        <v>2518</v>
      </c>
      <c r="J2807" s="2">
        <v>1.03</v>
      </c>
      <c r="K2807" s="2">
        <v>5.95</v>
      </c>
      <c r="L2807" s="2">
        <v>10.220000000000001</v>
      </c>
      <c r="M2807" s="2">
        <v>14.55</v>
      </c>
      <c r="N2807" s="2">
        <v>0.85754569199999997</v>
      </c>
      <c r="O2807" s="2">
        <v>0.713652277</v>
      </c>
      <c r="P2807" s="2">
        <v>2.1326281100000002</v>
      </c>
      <c r="Q2807" s="2">
        <v>1.950283794</v>
      </c>
      <c r="R2807" s="2">
        <v>1.9894867169999999</v>
      </c>
      <c r="S2807" s="2">
        <v>1.7794867169999999</v>
      </c>
      <c r="T2807" s="2">
        <v>0.76814403600000003</v>
      </c>
      <c r="U2807" s="2">
        <v>0.79814403599999995</v>
      </c>
      <c r="V2807" s="2">
        <v>2.773318867</v>
      </c>
      <c r="W2807" s="2">
        <v>2.608635381</v>
      </c>
      <c r="X2807">
        <f t="shared" si="129"/>
        <v>1</v>
      </c>
      <c r="Y2807">
        <f t="shared" si="130"/>
        <v>0</v>
      </c>
      <c r="Z2807">
        <f t="shared" si="131"/>
        <v>0</v>
      </c>
    </row>
    <row r="2808" spans="1:26" ht="15.75" customHeight="1" x14ac:dyDescent="0.2">
      <c r="A2808" s="2" t="s">
        <v>36</v>
      </c>
      <c r="B2808" s="2" t="s">
        <v>24</v>
      </c>
      <c r="C2808" s="2" t="s">
        <v>26</v>
      </c>
      <c r="D2808" s="2" t="s">
        <v>26</v>
      </c>
      <c r="E2808" s="2">
        <v>257</v>
      </c>
      <c r="F2808" s="2">
        <v>145</v>
      </c>
      <c r="G2808" s="2">
        <v>389</v>
      </c>
      <c r="H2808" s="2">
        <v>962</v>
      </c>
      <c r="I2808" s="2">
        <v>2641</v>
      </c>
      <c r="J2808" s="2">
        <v>1.31</v>
      </c>
      <c r="K2808" s="2">
        <v>3.91</v>
      </c>
      <c r="L2808" s="2">
        <v>8.3000000000000007</v>
      </c>
      <c r="M2808" s="2">
        <v>14.86</v>
      </c>
      <c r="N2808" s="2">
        <v>0.13875457799999999</v>
      </c>
      <c r="O2808" s="2">
        <v>0.31280607399999999</v>
      </c>
      <c r="P2808" s="2">
        <v>2.693964808</v>
      </c>
      <c r="Q2808" s="2">
        <v>2.7361414499999999</v>
      </c>
      <c r="R2808" s="2">
        <v>5.3374965000000003E-2</v>
      </c>
      <c r="S2808" s="2">
        <v>0.26337496500000002</v>
      </c>
      <c r="T2808" s="2">
        <v>2.693436003</v>
      </c>
      <c r="U2808" s="2">
        <v>2.7234360030000002</v>
      </c>
      <c r="V2808" s="2">
        <v>0.73045718599999998</v>
      </c>
      <c r="W2808" s="2">
        <v>0.56577370000000005</v>
      </c>
      <c r="X2808">
        <f t="shared" si="129"/>
        <v>1</v>
      </c>
      <c r="Y2808">
        <f t="shared" si="130"/>
        <v>0</v>
      </c>
      <c r="Z2808">
        <f t="shared" si="131"/>
        <v>0</v>
      </c>
    </row>
    <row r="2809" spans="1:26" ht="15.75" customHeight="1" x14ac:dyDescent="0.2">
      <c r="A2809" s="2" t="s">
        <v>36</v>
      </c>
      <c r="B2809" s="2" t="s">
        <v>24</v>
      </c>
      <c r="C2809" s="2" t="s">
        <v>27</v>
      </c>
      <c r="D2809" s="2" t="s">
        <v>27</v>
      </c>
      <c r="E2809" s="2">
        <v>242</v>
      </c>
      <c r="F2809" s="2">
        <v>146</v>
      </c>
      <c r="G2809" s="2">
        <v>362</v>
      </c>
      <c r="H2809" s="2">
        <v>1992</v>
      </c>
      <c r="I2809" s="2">
        <v>2631</v>
      </c>
      <c r="J2809" s="2">
        <v>1.33</v>
      </c>
      <c r="K2809" s="2">
        <v>3.65</v>
      </c>
      <c r="L2809" s="2">
        <v>12.98</v>
      </c>
      <c r="M2809" s="2">
        <v>14.83</v>
      </c>
      <c r="N2809" s="2">
        <v>0.16138607999999999</v>
      </c>
      <c r="O2809" s="2">
        <v>0.34069687199999998</v>
      </c>
      <c r="P2809" s="2">
        <v>2.019160447</v>
      </c>
      <c r="Q2809" s="2">
        <v>2.03323082</v>
      </c>
      <c r="R2809" s="2">
        <v>0.31356783900000001</v>
      </c>
      <c r="S2809" s="2">
        <v>0.52356783900000003</v>
      </c>
      <c r="T2809" s="2">
        <v>1.994663912</v>
      </c>
      <c r="U2809" s="2">
        <v>1.964663912</v>
      </c>
      <c r="V2809" s="2">
        <v>0.47026431099999999</v>
      </c>
      <c r="W2809" s="2">
        <v>0.30558082600000003</v>
      </c>
      <c r="X2809">
        <f t="shared" si="129"/>
        <v>1</v>
      </c>
      <c r="Y2809">
        <f t="shared" si="130"/>
        <v>0</v>
      </c>
      <c r="Z2809">
        <f t="shared" si="131"/>
        <v>0</v>
      </c>
    </row>
    <row r="2810" spans="1:26" ht="15.75" customHeight="1" x14ac:dyDescent="0.2">
      <c r="A2810" s="2" t="s">
        <v>36</v>
      </c>
      <c r="B2810" s="2" t="s">
        <v>24</v>
      </c>
      <c r="C2810" s="2" t="s">
        <v>28</v>
      </c>
      <c r="D2810" s="2" t="s">
        <v>29</v>
      </c>
      <c r="E2810" s="2">
        <v>145</v>
      </c>
      <c r="F2810" s="2">
        <v>138</v>
      </c>
      <c r="G2810" s="2">
        <v>488</v>
      </c>
      <c r="H2810" s="2">
        <v>1168</v>
      </c>
      <c r="I2810" s="2">
        <v>2356</v>
      </c>
      <c r="J2810" s="2">
        <v>1.24</v>
      </c>
      <c r="K2810" s="2">
        <v>4.8099999999999996</v>
      </c>
      <c r="L2810" s="2">
        <v>9.48</v>
      </c>
      <c r="M2810" s="2">
        <v>14.1</v>
      </c>
      <c r="N2810" s="2">
        <v>1.3559646430000001</v>
      </c>
      <c r="O2810" s="2">
        <v>1.1958810090000001</v>
      </c>
      <c r="P2810" s="2">
        <v>1.7342227750000001</v>
      </c>
      <c r="Q2810" s="2">
        <v>1.668590582</v>
      </c>
      <c r="R2810" s="2">
        <v>0.85447712399999998</v>
      </c>
      <c r="S2810" s="2">
        <v>0.64447712400000001</v>
      </c>
      <c r="T2810" s="2">
        <v>1.509104859</v>
      </c>
      <c r="U2810" s="2">
        <v>1.539104859</v>
      </c>
      <c r="V2810" s="2">
        <v>1.6383092749999999</v>
      </c>
      <c r="W2810" s="2">
        <v>1.473625789</v>
      </c>
      <c r="X2810">
        <f t="shared" si="129"/>
        <v>1</v>
      </c>
      <c r="Y2810">
        <f t="shared" si="130"/>
        <v>0</v>
      </c>
      <c r="Z2810">
        <f t="shared" si="131"/>
        <v>1</v>
      </c>
    </row>
    <row r="2811" spans="1:26" ht="15.75" customHeight="1" x14ac:dyDescent="0.2">
      <c r="A2811" s="2" t="s">
        <v>36</v>
      </c>
      <c r="B2811" s="2" t="s">
        <v>24</v>
      </c>
      <c r="C2811" s="2" t="s">
        <v>30</v>
      </c>
      <c r="D2811" s="2" t="s">
        <v>31</v>
      </c>
      <c r="E2811" s="2">
        <v>272</v>
      </c>
      <c r="F2811" s="2">
        <v>139</v>
      </c>
      <c r="G2811" s="2">
        <v>451</v>
      </c>
      <c r="H2811" s="2">
        <v>1259</v>
      </c>
      <c r="I2811" s="2">
        <v>2625</v>
      </c>
      <c r="J2811" s="2">
        <v>1.24</v>
      </c>
      <c r="K2811" s="2">
        <v>4.49</v>
      </c>
      <c r="L2811" s="2">
        <v>9.9600000000000009</v>
      </c>
      <c r="M2811" s="2">
        <v>14.82</v>
      </c>
      <c r="N2811" s="2">
        <v>3.0030441570000002</v>
      </c>
      <c r="O2811" s="2">
        <v>2.923579202</v>
      </c>
      <c r="P2811" s="2">
        <v>1.1598525420000001</v>
      </c>
      <c r="Q2811" s="2">
        <v>1.1098579479999999</v>
      </c>
      <c r="R2811" s="2">
        <v>0.52506014099999998</v>
      </c>
      <c r="S2811" s="2">
        <v>0.31506014100000002</v>
      </c>
      <c r="T2811" s="2">
        <v>1.034200062</v>
      </c>
      <c r="U2811" s="2">
        <v>1.0642000620000001</v>
      </c>
      <c r="V2811" s="2">
        <v>1.3088922919999999</v>
      </c>
      <c r="W2811" s="2">
        <v>1.144208806</v>
      </c>
      <c r="X2811">
        <f t="shared" si="129"/>
        <v>1</v>
      </c>
      <c r="Y2811">
        <f t="shared" si="130"/>
        <v>0</v>
      </c>
      <c r="Z2811">
        <f t="shared" si="131"/>
        <v>1</v>
      </c>
    </row>
    <row r="2812" spans="1:26" ht="15.75" customHeight="1" x14ac:dyDescent="0.2">
      <c r="A2812" s="2" t="s">
        <v>36</v>
      </c>
      <c r="B2812" s="2" t="s">
        <v>24</v>
      </c>
      <c r="C2812" s="2" t="s">
        <v>26</v>
      </c>
      <c r="D2812" s="2" t="s">
        <v>26</v>
      </c>
      <c r="E2812" s="2">
        <v>200</v>
      </c>
      <c r="F2812" s="2">
        <v>141</v>
      </c>
      <c r="G2812" s="2">
        <v>397</v>
      </c>
      <c r="H2812" s="2">
        <v>870</v>
      </c>
      <c r="I2812" s="2">
        <v>2615</v>
      </c>
      <c r="J2812" s="2">
        <v>1.27</v>
      </c>
      <c r="K2812" s="2">
        <v>3.99</v>
      </c>
      <c r="L2812" s="2">
        <v>7.71</v>
      </c>
      <c r="M2812" s="2">
        <v>14.8</v>
      </c>
      <c r="N2812" s="2">
        <v>0.70612219499999995</v>
      </c>
      <c r="O2812" s="2">
        <v>0.78475377599999996</v>
      </c>
      <c r="P2812" s="2">
        <v>3.2759970460000001</v>
      </c>
      <c r="Q2812" s="2">
        <v>3.3108275690000002</v>
      </c>
      <c r="R2812" s="2">
        <v>2.8880090000000001E-2</v>
      </c>
      <c r="S2812" s="2">
        <v>0.18111991</v>
      </c>
      <c r="T2812" s="2">
        <v>3.275869744</v>
      </c>
      <c r="U2812" s="2">
        <v>3.3058697440000002</v>
      </c>
      <c r="V2812" s="2">
        <v>0.81271224099999995</v>
      </c>
      <c r="W2812" s="2">
        <v>0.64802875500000001</v>
      </c>
      <c r="X2812">
        <f t="shared" si="129"/>
        <v>1</v>
      </c>
      <c r="Y2812">
        <f t="shared" si="130"/>
        <v>0</v>
      </c>
      <c r="Z2812">
        <f t="shared" si="131"/>
        <v>0</v>
      </c>
    </row>
    <row r="2813" spans="1:26" ht="15.75" customHeight="1" x14ac:dyDescent="0.2">
      <c r="A2813" s="2" t="s">
        <v>36</v>
      </c>
      <c r="B2813" s="2" t="s">
        <v>24</v>
      </c>
      <c r="C2813" s="2" t="s">
        <v>28</v>
      </c>
      <c r="D2813" s="2" t="s">
        <v>29</v>
      </c>
      <c r="E2813" s="2">
        <v>192</v>
      </c>
      <c r="F2813" s="2">
        <v>145</v>
      </c>
      <c r="G2813" s="2">
        <v>553</v>
      </c>
      <c r="H2813" s="2">
        <v>1125</v>
      </c>
      <c r="I2813" s="2">
        <v>2513</v>
      </c>
      <c r="J2813" s="2">
        <v>1.32</v>
      </c>
      <c r="K2813" s="2">
        <v>5.37</v>
      </c>
      <c r="L2813" s="2">
        <v>9.25</v>
      </c>
      <c r="M2813" s="2">
        <v>14.53</v>
      </c>
      <c r="N2813" s="2">
        <v>1.628009853</v>
      </c>
      <c r="O2813" s="2">
        <v>1.4345625129999999</v>
      </c>
      <c r="P2813" s="2">
        <v>2.243659954</v>
      </c>
      <c r="Q2813" s="2">
        <v>2.142514732</v>
      </c>
      <c r="R2813" s="2">
        <v>1.4124668440000001</v>
      </c>
      <c r="S2813" s="2">
        <v>1.2024668439999999</v>
      </c>
      <c r="T2813" s="2">
        <v>1.7432576989999999</v>
      </c>
      <c r="U2813" s="2">
        <v>1.773257699</v>
      </c>
      <c r="V2813" s="2">
        <v>2.1962989940000002</v>
      </c>
      <c r="W2813" s="2">
        <v>2.0316155079999998</v>
      </c>
      <c r="X2813">
        <f t="shared" si="129"/>
        <v>1</v>
      </c>
      <c r="Y2813">
        <f t="shared" si="130"/>
        <v>0</v>
      </c>
      <c r="Z2813">
        <f t="shared" si="131"/>
        <v>1</v>
      </c>
    </row>
    <row r="2814" spans="1:26" ht="15.75" customHeight="1" x14ac:dyDescent="0.2">
      <c r="A2814" s="2" t="s">
        <v>36</v>
      </c>
      <c r="B2814" s="2" t="s">
        <v>24</v>
      </c>
      <c r="C2814" s="2" t="s">
        <v>32</v>
      </c>
      <c r="D2814" s="2" t="s">
        <v>33</v>
      </c>
      <c r="E2814" s="2">
        <v>283</v>
      </c>
      <c r="F2814" s="2">
        <v>133</v>
      </c>
      <c r="G2814" s="2">
        <v>611</v>
      </c>
      <c r="H2814" s="2">
        <v>1178</v>
      </c>
      <c r="I2814" s="2">
        <v>2591</v>
      </c>
      <c r="J2814" s="2">
        <v>1.18</v>
      </c>
      <c r="K2814" s="2">
        <v>5.84</v>
      </c>
      <c r="L2814" s="2">
        <v>9.5399999999999991</v>
      </c>
      <c r="M2814" s="2">
        <v>14.73</v>
      </c>
      <c r="N2814" s="2">
        <v>1.351407279</v>
      </c>
      <c r="O2814" s="2">
        <v>1.3405675749999999</v>
      </c>
      <c r="P2814" s="2">
        <v>2.3776534740000002</v>
      </c>
      <c r="Q2814" s="2">
        <v>2.2350098250000001</v>
      </c>
      <c r="R2814" s="2">
        <v>1.8814157920000001</v>
      </c>
      <c r="S2814" s="2">
        <v>1.6714157919999999</v>
      </c>
      <c r="T2814" s="2">
        <v>1.4537918219999999</v>
      </c>
      <c r="U2814" s="2">
        <v>1.4837918219999999</v>
      </c>
      <c r="V2814" s="2">
        <v>2.6652479420000001</v>
      </c>
      <c r="W2814" s="2">
        <v>2.5005644560000002</v>
      </c>
      <c r="X2814">
        <f t="shared" si="129"/>
        <v>1</v>
      </c>
      <c r="Y2814">
        <f t="shared" si="130"/>
        <v>0</v>
      </c>
      <c r="Z2814">
        <f t="shared" si="131"/>
        <v>1</v>
      </c>
    </row>
    <row r="2815" spans="1:26" ht="15.75" customHeight="1" x14ac:dyDescent="0.2">
      <c r="A2815" s="2" t="s">
        <v>36</v>
      </c>
      <c r="B2815" s="2" t="s">
        <v>24</v>
      </c>
      <c r="C2815" s="2" t="s">
        <v>32</v>
      </c>
      <c r="D2815" s="2" t="s">
        <v>33</v>
      </c>
      <c r="E2815" s="2">
        <v>232</v>
      </c>
      <c r="F2815" s="2">
        <v>135</v>
      </c>
      <c r="G2815" s="2">
        <v>532</v>
      </c>
      <c r="H2815" s="2">
        <v>916</v>
      </c>
      <c r="I2815" s="2">
        <v>2442</v>
      </c>
      <c r="J2815" s="2">
        <v>1.2</v>
      </c>
      <c r="K2815" s="2">
        <v>5.2</v>
      </c>
      <c r="L2815" s="2">
        <v>8.01</v>
      </c>
      <c r="M2815" s="2">
        <v>14.34</v>
      </c>
      <c r="N2815" s="2">
        <v>2.7647769449999999</v>
      </c>
      <c r="O2815" s="2">
        <v>2.8859624519999998</v>
      </c>
      <c r="P2815" s="2">
        <v>3.2292199510000001</v>
      </c>
      <c r="Q2815" s="2">
        <v>3.1831753680000001</v>
      </c>
      <c r="R2815" s="2">
        <v>1.2363033299999999</v>
      </c>
      <c r="S2815" s="2">
        <v>1.02630333</v>
      </c>
      <c r="T2815" s="2">
        <v>2.9831888260000001</v>
      </c>
      <c r="U2815" s="2">
        <v>3.0131888259999999</v>
      </c>
      <c r="V2815" s="2">
        <v>2.0201354810000001</v>
      </c>
      <c r="W2815" s="2">
        <v>1.8554519949999999</v>
      </c>
      <c r="X2815">
        <f t="shared" si="129"/>
        <v>1</v>
      </c>
      <c r="Y2815">
        <f t="shared" si="130"/>
        <v>0</v>
      </c>
      <c r="Z2815">
        <f t="shared" si="131"/>
        <v>1</v>
      </c>
    </row>
    <row r="2816" spans="1:26" ht="15.75" customHeight="1" x14ac:dyDescent="0.2">
      <c r="A2816" s="2" t="s">
        <v>36</v>
      </c>
      <c r="B2816" s="2" t="s">
        <v>24</v>
      </c>
      <c r="C2816" s="2" t="s">
        <v>25</v>
      </c>
      <c r="D2816" s="2" t="s">
        <v>25</v>
      </c>
      <c r="E2816" s="2">
        <v>237</v>
      </c>
      <c r="F2816" s="2">
        <v>133</v>
      </c>
      <c r="G2816" s="2">
        <v>542</v>
      </c>
      <c r="H2816" s="2">
        <v>1432</v>
      </c>
      <c r="I2816" s="2">
        <v>2320</v>
      </c>
      <c r="J2816" s="2">
        <v>1.18</v>
      </c>
      <c r="K2816" s="2">
        <v>5.28</v>
      </c>
      <c r="L2816" s="2">
        <v>10.79</v>
      </c>
      <c r="M2816" s="2">
        <v>14</v>
      </c>
      <c r="N2816" s="2">
        <v>2.3357638E-2</v>
      </c>
      <c r="O2816" s="2">
        <v>0.35914688700000003</v>
      </c>
      <c r="P2816" s="2">
        <v>1.3328684120000001</v>
      </c>
      <c r="Q2816" s="2">
        <v>1.13140822</v>
      </c>
      <c r="R2816" s="2">
        <v>1.3177617909999999</v>
      </c>
      <c r="S2816" s="2">
        <v>1.1077617909999999</v>
      </c>
      <c r="T2816" s="2">
        <v>0.20010513899999999</v>
      </c>
      <c r="U2816" s="2">
        <v>0.23010513899999999</v>
      </c>
      <c r="V2816" s="2">
        <v>2.101593941</v>
      </c>
      <c r="W2816" s="2">
        <v>1.936910455</v>
      </c>
      <c r="X2816">
        <f t="shared" si="129"/>
        <v>1</v>
      </c>
      <c r="Y2816">
        <f t="shared" si="130"/>
        <v>0</v>
      </c>
      <c r="Z2816">
        <f t="shared" si="131"/>
        <v>0</v>
      </c>
    </row>
    <row r="2817" spans="1:26" ht="15.75" customHeight="1" x14ac:dyDescent="0.2">
      <c r="A2817" s="2" t="s">
        <v>36</v>
      </c>
      <c r="B2817" s="2" t="s">
        <v>24</v>
      </c>
      <c r="C2817" s="2" t="s">
        <v>32</v>
      </c>
      <c r="D2817" s="2" t="s">
        <v>33</v>
      </c>
      <c r="E2817" s="2">
        <v>159</v>
      </c>
      <c r="F2817" s="2">
        <v>146</v>
      </c>
      <c r="G2817" s="2">
        <v>748</v>
      </c>
      <c r="H2817" s="2">
        <v>1089</v>
      </c>
      <c r="I2817" s="2">
        <v>2726</v>
      </c>
      <c r="J2817" s="2">
        <v>1.33</v>
      </c>
      <c r="K2817" s="2">
        <v>6.88</v>
      </c>
      <c r="L2817" s="2">
        <v>9.0399999999999991</v>
      </c>
      <c r="M2817" s="2">
        <v>15.07</v>
      </c>
      <c r="N2817" s="2">
        <v>2.3438260249999998</v>
      </c>
      <c r="O2817" s="2">
        <v>2.2022398380000001</v>
      </c>
      <c r="P2817" s="2">
        <v>3.5053663140000002</v>
      </c>
      <c r="Q2817" s="2">
        <v>3.3503569309999999</v>
      </c>
      <c r="R2817" s="2">
        <v>2.915420975</v>
      </c>
      <c r="S2817" s="2">
        <v>2.705420975</v>
      </c>
      <c r="T2817" s="2">
        <v>1.946256287</v>
      </c>
      <c r="U2817" s="2">
        <v>1.976256287</v>
      </c>
      <c r="V2817" s="2">
        <v>3.6992531259999999</v>
      </c>
      <c r="W2817" s="2">
        <v>3.53456964</v>
      </c>
      <c r="X2817">
        <f t="shared" si="129"/>
        <v>1</v>
      </c>
      <c r="Y2817">
        <f t="shared" si="130"/>
        <v>0</v>
      </c>
      <c r="Z2817">
        <f t="shared" si="131"/>
        <v>1</v>
      </c>
    </row>
    <row r="2818" spans="1:26" ht="15.75" customHeight="1" x14ac:dyDescent="0.2">
      <c r="A2818" s="2" t="s">
        <v>36</v>
      </c>
      <c r="B2818" s="2" t="s">
        <v>24</v>
      </c>
      <c r="C2818" s="2" t="s">
        <v>32</v>
      </c>
      <c r="D2818" s="2" t="s">
        <v>33</v>
      </c>
      <c r="E2818" s="2">
        <v>177</v>
      </c>
      <c r="F2818" s="2">
        <v>146</v>
      </c>
      <c r="G2818" s="2">
        <v>706</v>
      </c>
      <c r="H2818" s="2">
        <v>1083</v>
      </c>
      <c r="I2818" s="2">
        <v>2787</v>
      </c>
      <c r="J2818" s="2">
        <v>1.33</v>
      </c>
      <c r="K2818" s="2">
        <v>6.57</v>
      </c>
      <c r="L2818" s="2">
        <v>9.01</v>
      </c>
      <c r="M2818" s="2">
        <v>15.21</v>
      </c>
      <c r="N2818" s="2">
        <v>2.1748220960000002</v>
      </c>
      <c r="O2818" s="2">
        <v>2.0740925899999998</v>
      </c>
      <c r="P2818" s="2">
        <v>3.274013541</v>
      </c>
      <c r="Q2818" s="2">
        <v>3.128566948</v>
      </c>
      <c r="R2818" s="2">
        <v>2.6072577219999999</v>
      </c>
      <c r="S2818" s="2">
        <v>2.397257722</v>
      </c>
      <c r="T2818" s="2">
        <v>1.980245399</v>
      </c>
      <c r="U2818" s="2">
        <v>2.010245399</v>
      </c>
      <c r="V2818" s="2">
        <v>3.3910898719999998</v>
      </c>
      <c r="W2818" s="2">
        <v>3.2264063859999998</v>
      </c>
      <c r="X2818">
        <f t="shared" si="129"/>
        <v>1</v>
      </c>
      <c r="Y2818">
        <f t="shared" si="130"/>
        <v>0</v>
      </c>
      <c r="Z2818">
        <f t="shared" si="131"/>
        <v>1</v>
      </c>
    </row>
    <row r="2819" spans="1:26" ht="15.75" customHeight="1" x14ac:dyDescent="0.2">
      <c r="A2819" s="2" t="s">
        <v>36</v>
      </c>
      <c r="B2819" s="2" t="s">
        <v>24</v>
      </c>
      <c r="C2819" s="2" t="s">
        <v>25</v>
      </c>
      <c r="D2819" s="2" t="s">
        <v>25</v>
      </c>
      <c r="E2819" s="2">
        <v>154</v>
      </c>
      <c r="F2819" s="2">
        <v>138</v>
      </c>
      <c r="G2819" s="2">
        <v>550</v>
      </c>
      <c r="H2819" s="2">
        <v>1506</v>
      </c>
      <c r="I2819" s="2">
        <v>2570</v>
      </c>
      <c r="J2819" s="2">
        <v>1.23</v>
      </c>
      <c r="K2819" s="2">
        <v>5.34</v>
      </c>
      <c r="L2819" s="2">
        <v>11.12</v>
      </c>
      <c r="M2819" s="2">
        <v>14.68</v>
      </c>
      <c r="N2819" s="2">
        <v>0.353382266</v>
      </c>
      <c r="O2819" s="2">
        <v>0.38540899000000001</v>
      </c>
      <c r="P2819" s="2">
        <v>1.390708498</v>
      </c>
      <c r="Q2819" s="2">
        <v>1.178875841</v>
      </c>
      <c r="R2819" s="2">
        <v>1.3847011950000001</v>
      </c>
      <c r="S2819" s="2">
        <v>1.1747011949999999</v>
      </c>
      <c r="T2819" s="2">
        <v>0.12912290800000001</v>
      </c>
      <c r="U2819" s="2">
        <v>9.9122907999999996E-2</v>
      </c>
      <c r="V2819" s="2">
        <v>2.1685333459999998</v>
      </c>
      <c r="W2819" s="2">
        <v>2.0038498599999999</v>
      </c>
      <c r="X2819">
        <f t="shared" ref="X2819:X2882" si="132">IF(B2819="normal",1,0)</f>
        <v>1</v>
      </c>
      <c r="Y2819">
        <f t="shared" ref="Y2819:Y2882" si="133">IF(A2819="lecture",1,0)</f>
        <v>0</v>
      </c>
      <c r="Z2819">
        <f t="shared" ref="Z2819:Z2882" si="134">IF(ISNUMBER(FIND("~",D2819)),1,0)</f>
        <v>0</v>
      </c>
    </row>
    <row r="2820" spans="1:26" ht="15.75" customHeight="1" x14ac:dyDescent="0.2">
      <c r="A2820" s="2" t="s">
        <v>36</v>
      </c>
      <c r="B2820" s="2" t="s">
        <v>24</v>
      </c>
      <c r="C2820" s="2" t="s">
        <v>25</v>
      </c>
      <c r="D2820" s="2" t="s">
        <v>25</v>
      </c>
      <c r="E2820" s="2">
        <v>247</v>
      </c>
      <c r="F2820" s="2">
        <v>134</v>
      </c>
      <c r="G2820" s="2">
        <v>572</v>
      </c>
      <c r="H2820" s="2">
        <v>1427</v>
      </c>
      <c r="I2820" s="2">
        <v>2462</v>
      </c>
      <c r="J2820" s="2">
        <v>1.18</v>
      </c>
      <c r="K2820" s="2">
        <v>5.53</v>
      </c>
      <c r="L2820" s="2">
        <v>10.77</v>
      </c>
      <c r="M2820" s="2">
        <v>14.4</v>
      </c>
      <c r="N2820" s="2">
        <v>0.2366462</v>
      </c>
      <c r="O2820" s="2">
        <v>0.140073015</v>
      </c>
      <c r="P2820" s="2">
        <v>1.582607082</v>
      </c>
      <c r="Q2820" s="2">
        <v>1.3802686369999999</v>
      </c>
      <c r="R2820" s="2">
        <v>1.5666034760000001</v>
      </c>
      <c r="S2820" s="2">
        <v>1.3566034760000001</v>
      </c>
      <c r="T2820" s="2">
        <v>0.22449660499999999</v>
      </c>
      <c r="U2820" s="2">
        <v>0.25449660499999999</v>
      </c>
      <c r="V2820" s="2">
        <v>2.3504356259999999</v>
      </c>
      <c r="W2820" s="2">
        <v>2.18575214</v>
      </c>
      <c r="X2820">
        <f t="shared" si="132"/>
        <v>1</v>
      </c>
      <c r="Y2820">
        <f t="shared" si="133"/>
        <v>0</v>
      </c>
      <c r="Z2820">
        <f t="shared" si="134"/>
        <v>0</v>
      </c>
    </row>
    <row r="2821" spans="1:26" ht="15.75" customHeight="1" x14ac:dyDescent="0.2">
      <c r="A2821" s="2" t="s">
        <v>36</v>
      </c>
      <c r="B2821" s="2" t="s">
        <v>24</v>
      </c>
      <c r="C2821" s="2" t="s">
        <v>27</v>
      </c>
      <c r="D2821" s="2" t="s">
        <v>27</v>
      </c>
      <c r="E2821" s="2">
        <v>217</v>
      </c>
      <c r="F2821" s="2">
        <v>131</v>
      </c>
      <c r="G2821" s="2">
        <v>352</v>
      </c>
      <c r="H2821" s="2">
        <v>2043</v>
      </c>
      <c r="I2821" s="2">
        <v>2612</v>
      </c>
      <c r="J2821" s="2">
        <v>1.1499999999999999</v>
      </c>
      <c r="K2821" s="2">
        <v>3.56</v>
      </c>
      <c r="L2821" s="2">
        <v>13.15</v>
      </c>
      <c r="M2821" s="2">
        <v>14.79</v>
      </c>
      <c r="N2821" s="2">
        <v>0.35024524699999998</v>
      </c>
      <c r="O2821" s="2">
        <v>0.51084835200000001</v>
      </c>
      <c r="P2821" s="2">
        <v>2.20159612</v>
      </c>
      <c r="Q2821" s="2">
        <v>2.220867261</v>
      </c>
      <c r="R2821" s="2">
        <v>0.40492431899999998</v>
      </c>
      <c r="S2821" s="2">
        <v>0.614924319</v>
      </c>
      <c r="T2821" s="2">
        <v>2.1640383010000002</v>
      </c>
      <c r="U2821" s="2">
        <v>2.1340383009999999</v>
      </c>
      <c r="V2821" s="2">
        <v>0.378907832</v>
      </c>
      <c r="W2821" s="2">
        <v>0.21422434600000001</v>
      </c>
      <c r="X2821">
        <f t="shared" si="132"/>
        <v>1</v>
      </c>
      <c r="Y2821">
        <f t="shared" si="133"/>
        <v>0</v>
      </c>
      <c r="Z2821">
        <f t="shared" si="134"/>
        <v>0</v>
      </c>
    </row>
    <row r="2822" spans="1:26" ht="15.75" customHeight="1" x14ac:dyDescent="0.2">
      <c r="A2822" s="2" t="s">
        <v>36</v>
      </c>
      <c r="B2822" s="2" t="s">
        <v>24</v>
      </c>
      <c r="C2822" s="2" t="s">
        <v>30</v>
      </c>
      <c r="D2822" s="2" t="s">
        <v>31</v>
      </c>
      <c r="E2822" s="2">
        <v>251</v>
      </c>
      <c r="F2822" s="2">
        <v>142</v>
      </c>
      <c r="G2822" s="2">
        <v>616</v>
      </c>
      <c r="H2822" s="2">
        <v>1234</v>
      </c>
      <c r="I2822" s="2">
        <v>2794</v>
      </c>
      <c r="J2822" s="2">
        <v>1.28</v>
      </c>
      <c r="K2822" s="2">
        <v>5.88</v>
      </c>
      <c r="L2822" s="2">
        <v>9.83</v>
      </c>
      <c r="M2822" s="2">
        <v>15.23</v>
      </c>
      <c r="N2822" s="2">
        <v>3.705532646</v>
      </c>
      <c r="O2822" s="2">
        <v>3.5665728479999999</v>
      </c>
      <c r="P2822" s="2">
        <v>2.242015189</v>
      </c>
      <c r="Q2822" s="2">
        <v>2.0821862800000002</v>
      </c>
      <c r="R2822" s="2">
        <v>1.9184470039999999</v>
      </c>
      <c r="S2822" s="2">
        <v>1.7084470039999999</v>
      </c>
      <c r="T2822" s="2">
        <v>1.1602556610000001</v>
      </c>
      <c r="U2822" s="2">
        <v>1.1902556609999999</v>
      </c>
      <c r="V2822" s="2">
        <v>2.7022791549999998</v>
      </c>
      <c r="W2822" s="2">
        <v>2.5375956689999999</v>
      </c>
      <c r="X2822">
        <f t="shared" si="132"/>
        <v>1</v>
      </c>
      <c r="Y2822">
        <f t="shared" si="133"/>
        <v>0</v>
      </c>
      <c r="Z2822">
        <f t="shared" si="134"/>
        <v>1</v>
      </c>
    </row>
    <row r="2823" spans="1:26" ht="15.75" customHeight="1" x14ac:dyDescent="0.2">
      <c r="A2823" s="2" t="s">
        <v>36</v>
      </c>
      <c r="B2823" s="2" t="s">
        <v>24</v>
      </c>
      <c r="C2823" s="2" t="s">
        <v>28</v>
      </c>
      <c r="D2823" s="2" t="s">
        <v>29</v>
      </c>
      <c r="E2823" s="2">
        <v>225</v>
      </c>
      <c r="F2823" s="2">
        <v>148</v>
      </c>
      <c r="G2823" s="2">
        <v>561</v>
      </c>
      <c r="H2823" s="2">
        <v>1054</v>
      </c>
      <c r="I2823" s="2">
        <v>2254</v>
      </c>
      <c r="J2823" s="2">
        <v>1.35</v>
      </c>
      <c r="K2823" s="2">
        <v>5.44</v>
      </c>
      <c r="L2823" s="2">
        <v>8.85</v>
      </c>
      <c r="M2823" s="2">
        <v>13.81</v>
      </c>
      <c r="N2823" s="2">
        <v>1.529193638</v>
      </c>
      <c r="O2823" s="2">
        <v>1.33001053</v>
      </c>
      <c r="P2823" s="2">
        <v>2.604950723</v>
      </c>
      <c r="Q2823" s="2">
        <v>2.5176061179999998</v>
      </c>
      <c r="R2823" s="2">
        <v>1.4788048650000001</v>
      </c>
      <c r="S2823" s="2">
        <v>1.2688048649999999</v>
      </c>
      <c r="T2823" s="2">
        <v>2.1445056400000002</v>
      </c>
      <c r="U2823" s="2">
        <v>2.17450564</v>
      </c>
      <c r="V2823" s="2">
        <v>2.2626370159999998</v>
      </c>
      <c r="W2823" s="2">
        <v>2.0979535299999998</v>
      </c>
      <c r="X2823">
        <f t="shared" si="132"/>
        <v>1</v>
      </c>
      <c r="Y2823">
        <f t="shared" si="133"/>
        <v>0</v>
      </c>
      <c r="Z2823">
        <f t="shared" si="134"/>
        <v>1</v>
      </c>
    </row>
    <row r="2824" spans="1:26" ht="15.75" customHeight="1" x14ac:dyDescent="0.2">
      <c r="A2824" s="2" t="s">
        <v>36</v>
      </c>
      <c r="B2824" s="2" t="s">
        <v>24</v>
      </c>
      <c r="C2824" s="2" t="s">
        <v>28</v>
      </c>
      <c r="D2824" s="2" t="s">
        <v>29</v>
      </c>
      <c r="E2824" s="2">
        <v>373</v>
      </c>
      <c r="F2824" s="2">
        <v>145</v>
      </c>
      <c r="G2824" s="2">
        <v>483</v>
      </c>
      <c r="H2824" s="2">
        <v>926</v>
      </c>
      <c r="I2824" s="2">
        <v>1818</v>
      </c>
      <c r="J2824" s="2">
        <v>1.32</v>
      </c>
      <c r="K2824" s="2">
        <v>4.7699999999999996</v>
      </c>
      <c r="L2824" s="2">
        <v>8.07</v>
      </c>
      <c r="M2824" s="2">
        <v>12.37</v>
      </c>
      <c r="N2824" s="2">
        <v>0.87281698699999999</v>
      </c>
      <c r="O2824" s="2">
        <v>0.73418935500000004</v>
      </c>
      <c r="P2824" s="2">
        <v>3.0282528040000001</v>
      </c>
      <c r="Q2824" s="2">
        <v>3.0083138279999999</v>
      </c>
      <c r="R2824" s="2">
        <v>0.81054441300000002</v>
      </c>
      <c r="S2824" s="2">
        <v>0.60054441300000005</v>
      </c>
      <c r="T2824" s="2">
        <v>2.9177616080000002</v>
      </c>
      <c r="U2824" s="2">
        <v>2.947761608</v>
      </c>
      <c r="V2824" s="2">
        <v>1.594376563</v>
      </c>
      <c r="W2824" s="2">
        <v>1.429693077</v>
      </c>
      <c r="X2824">
        <f t="shared" si="132"/>
        <v>1</v>
      </c>
      <c r="Y2824">
        <f t="shared" si="133"/>
        <v>0</v>
      </c>
      <c r="Z2824">
        <f t="shared" si="134"/>
        <v>1</v>
      </c>
    </row>
    <row r="2825" spans="1:26" ht="15.75" customHeight="1" x14ac:dyDescent="0.2">
      <c r="A2825" s="2" t="s">
        <v>36</v>
      </c>
      <c r="B2825" s="2" t="s">
        <v>24</v>
      </c>
      <c r="C2825" s="2" t="s">
        <v>32</v>
      </c>
      <c r="D2825" s="2" t="s">
        <v>33</v>
      </c>
      <c r="E2825" s="2">
        <v>197</v>
      </c>
      <c r="F2825" s="2">
        <v>141</v>
      </c>
      <c r="G2825" s="2">
        <v>712</v>
      </c>
      <c r="H2825" s="2">
        <v>1014</v>
      </c>
      <c r="I2825" s="2">
        <v>2748</v>
      </c>
      <c r="J2825" s="2">
        <v>1.27</v>
      </c>
      <c r="K2825" s="2">
        <v>6.61</v>
      </c>
      <c r="L2825" s="2">
        <v>8.61</v>
      </c>
      <c r="M2825" s="2">
        <v>15.12</v>
      </c>
      <c r="N2825" s="2">
        <v>2.5330348859999998</v>
      </c>
      <c r="O2825" s="2">
        <v>2.4556674410000001</v>
      </c>
      <c r="P2825" s="2">
        <v>3.5636584880000002</v>
      </c>
      <c r="Q2825" s="2">
        <v>3.4313085860000001</v>
      </c>
      <c r="R2825" s="2">
        <v>2.6515283840000001</v>
      </c>
      <c r="S2825" s="2">
        <v>2.4415283840000002</v>
      </c>
      <c r="T2825" s="2">
        <v>2.3809785899999998</v>
      </c>
      <c r="U2825" s="2">
        <v>2.41097859</v>
      </c>
      <c r="V2825" s="2">
        <v>3.435360535</v>
      </c>
      <c r="W2825" s="2">
        <v>3.2706770490000001</v>
      </c>
      <c r="X2825">
        <f t="shared" si="132"/>
        <v>1</v>
      </c>
      <c r="Y2825">
        <f t="shared" si="133"/>
        <v>0</v>
      </c>
      <c r="Z2825">
        <f t="shared" si="134"/>
        <v>1</v>
      </c>
    </row>
    <row r="2826" spans="1:26" ht="15.75" customHeight="1" x14ac:dyDescent="0.2">
      <c r="A2826" s="2" t="s">
        <v>36</v>
      </c>
      <c r="B2826" s="2" t="s">
        <v>24</v>
      </c>
      <c r="C2826" s="2" t="s">
        <v>26</v>
      </c>
      <c r="D2826" s="2" t="s">
        <v>26</v>
      </c>
      <c r="E2826" s="2">
        <v>187</v>
      </c>
      <c r="F2826" s="2">
        <v>142</v>
      </c>
      <c r="G2826" s="2">
        <v>394</v>
      </c>
      <c r="H2826" s="2">
        <v>971</v>
      </c>
      <c r="I2826" s="2">
        <v>2492</v>
      </c>
      <c r="J2826" s="2">
        <v>1.29</v>
      </c>
      <c r="K2826" s="2">
        <v>3.95</v>
      </c>
      <c r="L2826" s="2">
        <v>8.35</v>
      </c>
      <c r="M2826" s="2">
        <v>14.48</v>
      </c>
      <c r="N2826" s="2">
        <v>7.2019688999999998E-2</v>
      </c>
      <c r="O2826" s="2">
        <v>0.243595903</v>
      </c>
      <c r="P2826" s="2">
        <v>2.64026125</v>
      </c>
      <c r="Q2826" s="2">
        <v>2.6789643810000001</v>
      </c>
      <c r="R2826" s="2">
        <v>5.846197E-3</v>
      </c>
      <c r="S2826" s="2">
        <v>0.21584619699999999</v>
      </c>
      <c r="T2826" s="2">
        <v>2.640254777</v>
      </c>
      <c r="U2826" s="2">
        <v>2.6702547769999998</v>
      </c>
      <c r="V2826" s="2">
        <v>0.77798595299999995</v>
      </c>
      <c r="W2826" s="2">
        <v>0.61330246700000002</v>
      </c>
      <c r="X2826">
        <f t="shared" si="132"/>
        <v>1</v>
      </c>
      <c r="Y2826">
        <f t="shared" si="133"/>
        <v>0</v>
      </c>
      <c r="Z2826">
        <f t="shared" si="134"/>
        <v>0</v>
      </c>
    </row>
    <row r="2827" spans="1:26" ht="15.75" customHeight="1" x14ac:dyDescent="0.2">
      <c r="A2827" s="2" t="s">
        <v>36</v>
      </c>
      <c r="B2827" s="2" t="s">
        <v>24</v>
      </c>
      <c r="C2827" s="2" t="s">
        <v>25</v>
      </c>
      <c r="D2827" s="2" t="s">
        <v>25</v>
      </c>
      <c r="E2827" s="2">
        <v>194</v>
      </c>
      <c r="F2827" s="2">
        <v>139</v>
      </c>
      <c r="G2827" s="2">
        <v>558</v>
      </c>
      <c r="H2827" s="2">
        <v>1384</v>
      </c>
      <c r="I2827" s="2">
        <v>2488</v>
      </c>
      <c r="J2827" s="2">
        <v>1.24</v>
      </c>
      <c r="K2827" s="2">
        <v>5.41</v>
      </c>
      <c r="L2827" s="2">
        <v>10.57</v>
      </c>
      <c r="M2827" s="2">
        <v>14.47</v>
      </c>
      <c r="N2827" s="2">
        <v>0.23737715500000001</v>
      </c>
      <c r="O2827" s="2">
        <v>0.363566269</v>
      </c>
      <c r="P2827" s="2">
        <v>1.51409934</v>
      </c>
      <c r="Q2827" s="2">
        <v>1.323696341</v>
      </c>
      <c r="R2827" s="2">
        <v>1.453977498</v>
      </c>
      <c r="S2827" s="2">
        <v>1.243977498</v>
      </c>
      <c r="T2827" s="2">
        <v>0.42242898400000001</v>
      </c>
      <c r="U2827" s="2">
        <v>0.45242898399999998</v>
      </c>
      <c r="V2827" s="2">
        <v>2.2378096489999999</v>
      </c>
      <c r="W2827" s="2">
        <v>2.073126163</v>
      </c>
      <c r="X2827">
        <f t="shared" si="132"/>
        <v>1</v>
      </c>
      <c r="Y2827">
        <f t="shared" si="133"/>
        <v>0</v>
      </c>
      <c r="Z2827">
        <f t="shared" si="134"/>
        <v>0</v>
      </c>
    </row>
    <row r="2828" spans="1:26" ht="15.75" customHeight="1" x14ac:dyDescent="0.2">
      <c r="A2828" s="2" t="s">
        <v>36</v>
      </c>
      <c r="B2828" s="2" t="s">
        <v>24</v>
      </c>
      <c r="C2828" s="2" t="s">
        <v>30</v>
      </c>
      <c r="D2828" s="2" t="s">
        <v>31</v>
      </c>
      <c r="E2828" s="2">
        <v>172</v>
      </c>
      <c r="F2828" s="2">
        <v>140</v>
      </c>
      <c r="G2828" s="2">
        <v>730</v>
      </c>
      <c r="H2828" s="2">
        <v>1192</v>
      </c>
      <c r="I2828" s="2">
        <v>2755</v>
      </c>
      <c r="J2828" s="2">
        <v>1.26</v>
      </c>
      <c r="K2828" s="2">
        <v>6.75</v>
      </c>
      <c r="L2828" s="2">
        <v>9.61</v>
      </c>
      <c r="M2828" s="2">
        <v>15.14</v>
      </c>
      <c r="N2828" s="2">
        <v>4.4217652049999998</v>
      </c>
      <c r="O2828" s="2">
        <v>4.2653856149999996</v>
      </c>
      <c r="P2828" s="2">
        <v>3.1105870709999999</v>
      </c>
      <c r="Q2828" s="2">
        <v>2.9381217099999999</v>
      </c>
      <c r="R2828" s="2">
        <v>2.7879965310000001</v>
      </c>
      <c r="S2828" s="2">
        <v>2.5779965310000001</v>
      </c>
      <c r="T2828" s="2">
        <v>1.379430052</v>
      </c>
      <c r="U2828" s="2">
        <v>1.409430052</v>
      </c>
      <c r="V2828" s="2">
        <v>3.5718286809999999</v>
      </c>
      <c r="W2828" s="2">
        <v>3.4071451960000001</v>
      </c>
      <c r="X2828">
        <f t="shared" si="132"/>
        <v>1</v>
      </c>
      <c r="Y2828">
        <f t="shared" si="133"/>
        <v>0</v>
      </c>
      <c r="Z2828">
        <f t="shared" si="134"/>
        <v>1</v>
      </c>
    </row>
    <row r="2829" spans="1:26" ht="15.75" customHeight="1" x14ac:dyDescent="0.2">
      <c r="A2829" s="2" t="s">
        <v>36</v>
      </c>
      <c r="B2829" s="2" t="s">
        <v>24</v>
      </c>
      <c r="C2829" s="2" t="s">
        <v>27</v>
      </c>
      <c r="D2829" s="2" t="s">
        <v>27</v>
      </c>
      <c r="E2829" s="2">
        <v>216</v>
      </c>
      <c r="F2829" s="2">
        <v>139</v>
      </c>
      <c r="G2829" s="2">
        <v>363</v>
      </c>
      <c r="H2829" s="2">
        <v>2002</v>
      </c>
      <c r="I2829" s="2">
        <v>2645</v>
      </c>
      <c r="J2829" s="2">
        <v>1.24</v>
      </c>
      <c r="K2829" s="2">
        <v>3.66</v>
      </c>
      <c r="L2829" s="2">
        <v>13.02</v>
      </c>
      <c r="M2829" s="2">
        <v>14.87</v>
      </c>
      <c r="N2829" s="2">
        <v>0.177319053</v>
      </c>
      <c r="O2829" s="2">
        <v>0.343490093</v>
      </c>
      <c r="P2829" s="2">
        <v>2.0498963699999999</v>
      </c>
      <c r="Q2829" s="2">
        <v>2.0616161700000002</v>
      </c>
      <c r="R2829" s="2">
        <v>0.29733142000000001</v>
      </c>
      <c r="S2829" s="2">
        <v>0.50733141999999998</v>
      </c>
      <c r="T2829" s="2">
        <v>2.028218222</v>
      </c>
      <c r="U2829" s="2">
        <v>1.998218222</v>
      </c>
      <c r="V2829" s="2">
        <v>0.48650072999999999</v>
      </c>
      <c r="W2829" s="2">
        <v>0.321817244</v>
      </c>
      <c r="X2829">
        <f t="shared" si="132"/>
        <v>1</v>
      </c>
      <c r="Y2829">
        <f t="shared" si="133"/>
        <v>0</v>
      </c>
      <c r="Z2829">
        <f t="shared" si="134"/>
        <v>0</v>
      </c>
    </row>
    <row r="2830" spans="1:26" ht="15.75" customHeight="1" x14ac:dyDescent="0.2">
      <c r="A2830" s="2" t="s">
        <v>36</v>
      </c>
      <c r="B2830" s="2" t="s">
        <v>24</v>
      </c>
      <c r="C2830" s="2" t="s">
        <v>30</v>
      </c>
      <c r="D2830" s="2" t="s">
        <v>31</v>
      </c>
      <c r="E2830" s="2">
        <v>220</v>
      </c>
      <c r="F2830" s="2">
        <v>144</v>
      </c>
      <c r="G2830" s="2">
        <v>557</v>
      </c>
      <c r="H2830" s="2">
        <v>1205</v>
      </c>
      <c r="I2830" s="2">
        <v>2870</v>
      </c>
      <c r="J2830" s="2">
        <v>1.31</v>
      </c>
      <c r="K2830" s="2">
        <v>5.4</v>
      </c>
      <c r="L2830" s="2">
        <v>9.68</v>
      </c>
      <c r="M2830" s="2">
        <v>15.4</v>
      </c>
      <c r="N2830" s="2">
        <v>3.589078115</v>
      </c>
      <c r="O2830" s="2">
        <v>3.4698116730000002</v>
      </c>
      <c r="P2830" s="2">
        <v>1.9495305270000001</v>
      </c>
      <c r="Q2830" s="2">
        <v>1.821619959</v>
      </c>
      <c r="R2830" s="2">
        <v>1.4429241159999999</v>
      </c>
      <c r="S2830" s="2">
        <v>1.232924116</v>
      </c>
      <c r="T2830" s="2">
        <v>1.3109688289999999</v>
      </c>
      <c r="U2830" s="2">
        <v>1.3409688289999999</v>
      </c>
      <c r="V2830" s="2">
        <v>2.2267562669999998</v>
      </c>
      <c r="W2830" s="2">
        <v>2.0620727809999999</v>
      </c>
      <c r="X2830">
        <f t="shared" si="132"/>
        <v>1</v>
      </c>
      <c r="Y2830">
        <f t="shared" si="133"/>
        <v>0</v>
      </c>
      <c r="Z2830">
        <f t="shared" si="134"/>
        <v>1</v>
      </c>
    </row>
    <row r="2831" spans="1:26" ht="15.75" customHeight="1" x14ac:dyDescent="0.2">
      <c r="A2831" s="2" t="s">
        <v>36</v>
      </c>
      <c r="B2831" s="2" t="s">
        <v>24</v>
      </c>
      <c r="C2831" s="2" t="s">
        <v>27</v>
      </c>
      <c r="D2831" s="2" t="s">
        <v>27</v>
      </c>
      <c r="E2831" s="2">
        <v>186</v>
      </c>
      <c r="F2831" s="2">
        <v>143</v>
      </c>
      <c r="G2831" s="2">
        <v>382</v>
      </c>
      <c r="H2831" s="2">
        <v>1984</v>
      </c>
      <c r="I2831" s="2">
        <v>2593</v>
      </c>
      <c r="J2831" s="2">
        <v>1.29</v>
      </c>
      <c r="K2831" s="2">
        <v>3.84</v>
      </c>
      <c r="L2831" s="2">
        <v>12.96</v>
      </c>
      <c r="M2831" s="2">
        <v>14.74</v>
      </c>
      <c r="N2831" s="2">
        <v>0.11907833900000001</v>
      </c>
      <c r="O2831" s="2">
        <v>0.16492122100000001</v>
      </c>
      <c r="P2831" s="2">
        <v>1.968928904</v>
      </c>
      <c r="Q2831" s="2">
        <v>1.9628857479999999</v>
      </c>
      <c r="R2831" s="2">
        <v>0.11706234</v>
      </c>
      <c r="S2831" s="2">
        <v>0.32706234000000001</v>
      </c>
      <c r="T2831" s="2">
        <v>1.965445863</v>
      </c>
      <c r="U2831" s="2">
        <v>1.935445863</v>
      </c>
      <c r="V2831" s="2">
        <v>0.66676981099999999</v>
      </c>
      <c r="W2831" s="2">
        <v>0.50208632500000006</v>
      </c>
      <c r="X2831">
        <f t="shared" si="132"/>
        <v>1</v>
      </c>
      <c r="Y2831">
        <f t="shared" si="133"/>
        <v>0</v>
      </c>
      <c r="Z2831">
        <f t="shared" si="134"/>
        <v>0</v>
      </c>
    </row>
    <row r="2832" spans="1:26" ht="15.75" customHeight="1" x14ac:dyDescent="0.2">
      <c r="A2832" s="2" t="s">
        <v>36</v>
      </c>
      <c r="B2832" s="2" t="s">
        <v>24</v>
      </c>
      <c r="C2832" s="2" t="s">
        <v>26</v>
      </c>
      <c r="D2832" s="2" t="s">
        <v>26</v>
      </c>
      <c r="E2832" s="2">
        <v>196</v>
      </c>
      <c r="F2832" s="2">
        <v>146</v>
      </c>
      <c r="G2832" s="2">
        <v>412</v>
      </c>
      <c r="H2832" s="2">
        <v>1053</v>
      </c>
      <c r="I2832" s="2">
        <v>2614</v>
      </c>
      <c r="J2832" s="2">
        <v>1.33</v>
      </c>
      <c r="K2832" s="2">
        <v>4.13</v>
      </c>
      <c r="L2832" s="2">
        <v>8.84</v>
      </c>
      <c r="M2832" s="2">
        <v>14.79</v>
      </c>
      <c r="N2832" s="2">
        <v>0.44801036300000002</v>
      </c>
      <c r="O2832" s="2">
        <v>0.36124494699999998</v>
      </c>
      <c r="P2832" s="2">
        <v>2.156744942</v>
      </c>
      <c r="Q2832" s="2">
        <v>2.1807217570000001</v>
      </c>
      <c r="R2832" s="2">
        <v>0.166711636</v>
      </c>
      <c r="S2832" s="2">
        <v>4.3288364000000003E-2</v>
      </c>
      <c r="T2832" s="2">
        <v>2.1502920680000002</v>
      </c>
      <c r="U2832" s="2">
        <v>2.180292068</v>
      </c>
      <c r="V2832" s="2">
        <v>0.950543786</v>
      </c>
      <c r="W2832" s="2">
        <v>0.78586030100000004</v>
      </c>
      <c r="X2832">
        <f t="shared" si="132"/>
        <v>1</v>
      </c>
      <c r="Y2832">
        <f t="shared" si="133"/>
        <v>0</v>
      </c>
      <c r="Z2832">
        <f t="shared" si="134"/>
        <v>0</v>
      </c>
    </row>
    <row r="2833" spans="1:26" ht="15.75" customHeight="1" x14ac:dyDescent="0.2">
      <c r="A2833" s="2" t="s">
        <v>36</v>
      </c>
      <c r="B2833" s="2" t="s">
        <v>24</v>
      </c>
      <c r="C2833" s="2" t="s">
        <v>27</v>
      </c>
      <c r="D2833" s="2" t="s">
        <v>27</v>
      </c>
      <c r="E2833" s="2">
        <v>293</v>
      </c>
      <c r="F2833" s="2">
        <v>139</v>
      </c>
      <c r="G2833" s="2">
        <v>372</v>
      </c>
      <c r="H2833" s="2">
        <v>2010</v>
      </c>
      <c r="I2833" s="2">
        <v>2609</v>
      </c>
      <c r="J2833" s="2">
        <v>1.24</v>
      </c>
      <c r="K2833" s="2">
        <v>3.75</v>
      </c>
      <c r="L2833" s="2">
        <v>13.04</v>
      </c>
      <c r="M2833" s="2">
        <v>14.78</v>
      </c>
      <c r="N2833" s="2">
        <v>0.17300975199999999</v>
      </c>
      <c r="O2833" s="2">
        <v>0.29201187699999998</v>
      </c>
      <c r="P2833" s="2">
        <v>2.063436845</v>
      </c>
      <c r="Q2833" s="2">
        <v>2.0658731779999999</v>
      </c>
      <c r="R2833" s="2">
        <v>0.21005573799999999</v>
      </c>
      <c r="S2833" s="2">
        <v>0.42005573800000001</v>
      </c>
      <c r="T2833" s="2">
        <v>2.0527172729999998</v>
      </c>
      <c r="U2833" s="2">
        <v>2.022717273</v>
      </c>
      <c r="V2833" s="2">
        <v>0.57377641199999996</v>
      </c>
      <c r="W2833" s="2">
        <v>0.409092927</v>
      </c>
      <c r="X2833">
        <f t="shared" si="132"/>
        <v>1</v>
      </c>
      <c r="Y2833">
        <f t="shared" si="133"/>
        <v>0</v>
      </c>
      <c r="Z2833">
        <f t="shared" si="134"/>
        <v>0</v>
      </c>
    </row>
    <row r="2834" spans="1:26" ht="15.75" customHeight="1" x14ac:dyDescent="0.2">
      <c r="A2834" s="2" t="s">
        <v>36</v>
      </c>
      <c r="B2834" s="2" t="s">
        <v>24</v>
      </c>
      <c r="C2834" s="2" t="s">
        <v>30</v>
      </c>
      <c r="D2834" s="2" t="s">
        <v>31</v>
      </c>
      <c r="E2834" s="2">
        <v>231</v>
      </c>
      <c r="F2834" s="2">
        <v>143</v>
      </c>
      <c r="G2834" s="2">
        <v>625</v>
      </c>
      <c r="H2834" s="2">
        <v>1262</v>
      </c>
      <c r="I2834" s="2">
        <v>2823</v>
      </c>
      <c r="J2834" s="2">
        <v>1.29</v>
      </c>
      <c r="K2834" s="2">
        <v>5.95</v>
      </c>
      <c r="L2834" s="2">
        <v>9.9700000000000006</v>
      </c>
      <c r="M2834" s="2">
        <v>15.29</v>
      </c>
      <c r="N2834" s="2">
        <v>3.6347300040000001</v>
      </c>
      <c r="O2834" s="2">
        <v>3.4904412329999999</v>
      </c>
      <c r="P2834" s="2">
        <v>2.2391676110000001</v>
      </c>
      <c r="Q2834" s="2">
        <v>2.069329389</v>
      </c>
      <c r="R2834" s="2">
        <v>1.994729242</v>
      </c>
      <c r="S2834" s="2">
        <v>1.784729242</v>
      </c>
      <c r="T2834" s="2">
        <v>1.017313541</v>
      </c>
      <c r="U2834" s="2">
        <v>1.0473135410000001</v>
      </c>
      <c r="V2834" s="2">
        <v>2.7785613929999999</v>
      </c>
      <c r="W2834" s="2">
        <v>2.613877907</v>
      </c>
      <c r="X2834">
        <f t="shared" si="132"/>
        <v>1</v>
      </c>
      <c r="Y2834">
        <f t="shared" si="133"/>
        <v>0</v>
      </c>
      <c r="Z2834">
        <f t="shared" si="134"/>
        <v>1</v>
      </c>
    </row>
    <row r="2835" spans="1:26" ht="15.75" customHeight="1" x14ac:dyDescent="0.2">
      <c r="A2835" s="2" t="s">
        <v>36</v>
      </c>
      <c r="B2835" s="2" t="s">
        <v>24</v>
      </c>
      <c r="C2835" s="2" t="s">
        <v>27</v>
      </c>
      <c r="D2835" s="2" t="s">
        <v>27</v>
      </c>
      <c r="E2835" s="2">
        <v>186</v>
      </c>
      <c r="F2835" s="2">
        <v>144</v>
      </c>
      <c r="G2835" s="2">
        <v>408</v>
      </c>
      <c r="H2835" s="2">
        <v>1873</v>
      </c>
      <c r="I2835" s="2">
        <v>2473</v>
      </c>
      <c r="J2835" s="2">
        <v>1.31</v>
      </c>
      <c r="K2835" s="2">
        <v>4.09</v>
      </c>
      <c r="L2835" s="2">
        <v>12.57</v>
      </c>
      <c r="M2835" s="2">
        <v>14.43</v>
      </c>
      <c r="N2835" s="2">
        <v>0.44727673800000001</v>
      </c>
      <c r="O2835" s="2">
        <v>0.295801123</v>
      </c>
      <c r="P2835" s="2">
        <v>1.5862745869999999</v>
      </c>
      <c r="Q2835" s="2">
        <v>1.552678</v>
      </c>
      <c r="R2835" s="2">
        <v>0.132413793</v>
      </c>
      <c r="S2835" s="2">
        <v>7.7586207000000004E-2</v>
      </c>
      <c r="T2835" s="2">
        <v>1.580738325</v>
      </c>
      <c r="U2835" s="2">
        <v>1.550738325</v>
      </c>
      <c r="V2835" s="2">
        <v>0.91624594400000003</v>
      </c>
      <c r="W2835" s="2">
        <v>0.75156245799999999</v>
      </c>
      <c r="X2835">
        <f t="shared" si="132"/>
        <v>1</v>
      </c>
      <c r="Y2835">
        <f t="shared" si="133"/>
        <v>0</v>
      </c>
      <c r="Z2835">
        <f t="shared" si="134"/>
        <v>0</v>
      </c>
    </row>
    <row r="2836" spans="1:26" ht="15.75" customHeight="1" x14ac:dyDescent="0.2">
      <c r="A2836" s="2" t="s">
        <v>36</v>
      </c>
      <c r="B2836" s="2" t="s">
        <v>24</v>
      </c>
      <c r="C2836" s="2" t="s">
        <v>26</v>
      </c>
      <c r="D2836" s="2" t="s">
        <v>26</v>
      </c>
      <c r="E2836" s="2">
        <v>232</v>
      </c>
      <c r="F2836" s="2">
        <v>141</v>
      </c>
      <c r="G2836" s="2">
        <v>391</v>
      </c>
      <c r="H2836" s="2">
        <v>1035</v>
      </c>
      <c r="I2836" s="2">
        <v>2534</v>
      </c>
      <c r="J2836" s="2">
        <v>1.27</v>
      </c>
      <c r="K2836" s="2">
        <v>3.93</v>
      </c>
      <c r="L2836" s="2">
        <v>8.73</v>
      </c>
      <c r="M2836" s="2">
        <v>14.59</v>
      </c>
      <c r="N2836" s="2">
        <v>0.31606408400000002</v>
      </c>
      <c r="O2836" s="2">
        <v>0.34480831200000001</v>
      </c>
      <c r="P2836" s="2">
        <v>2.2573226480000002</v>
      </c>
      <c r="Q2836" s="2">
        <v>2.3000764519999999</v>
      </c>
      <c r="R2836" s="2">
        <v>3.4339195000000003E-2</v>
      </c>
      <c r="S2836" s="2">
        <v>0.24433919500000001</v>
      </c>
      <c r="T2836" s="2">
        <v>2.257061443</v>
      </c>
      <c r="U2836" s="2">
        <v>2.2870614429999998</v>
      </c>
      <c r="V2836" s="2">
        <v>0.74949295599999999</v>
      </c>
      <c r="W2836" s="2">
        <v>0.58480947000000005</v>
      </c>
      <c r="X2836">
        <f t="shared" si="132"/>
        <v>1</v>
      </c>
      <c r="Y2836">
        <f t="shared" si="133"/>
        <v>0</v>
      </c>
      <c r="Z2836">
        <f t="shared" si="134"/>
        <v>0</v>
      </c>
    </row>
    <row r="2837" spans="1:26" ht="15.75" customHeight="1" x14ac:dyDescent="0.2">
      <c r="A2837" s="2" t="s">
        <v>36</v>
      </c>
      <c r="B2837" s="2" t="s">
        <v>24</v>
      </c>
      <c r="C2837" s="2" t="s">
        <v>30</v>
      </c>
      <c r="D2837" s="2" t="s">
        <v>31</v>
      </c>
      <c r="E2837" s="2">
        <v>116</v>
      </c>
      <c r="F2837" s="2">
        <v>140</v>
      </c>
      <c r="G2837" s="2">
        <v>551</v>
      </c>
      <c r="H2837" s="2">
        <v>1201</v>
      </c>
      <c r="I2837" s="2">
        <v>2743</v>
      </c>
      <c r="J2837" s="2">
        <v>1.26</v>
      </c>
      <c r="K2837" s="2">
        <v>5.36</v>
      </c>
      <c r="L2837" s="2">
        <v>9.66</v>
      </c>
      <c r="M2837" s="2">
        <v>15.11</v>
      </c>
      <c r="N2837" s="2">
        <v>3.588128867</v>
      </c>
      <c r="O2837" s="2">
        <v>3.471146847</v>
      </c>
      <c r="P2837" s="2">
        <v>1.930577626</v>
      </c>
      <c r="Q2837" s="2">
        <v>1.807183091</v>
      </c>
      <c r="R2837" s="2">
        <v>1.395816299</v>
      </c>
      <c r="S2837" s="2">
        <v>1.1858162990000001</v>
      </c>
      <c r="T2837" s="2">
        <v>1.333726669</v>
      </c>
      <c r="U2837" s="2">
        <v>1.3637266690000001</v>
      </c>
      <c r="V2837" s="2">
        <v>2.1796484500000002</v>
      </c>
      <c r="W2837" s="2">
        <v>2.0149649639999998</v>
      </c>
      <c r="X2837">
        <f t="shared" si="132"/>
        <v>1</v>
      </c>
      <c r="Y2837">
        <f t="shared" si="133"/>
        <v>0</v>
      </c>
      <c r="Z2837">
        <f t="shared" si="134"/>
        <v>1</v>
      </c>
    </row>
    <row r="2838" spans="1:26" ht="15.75" customHeight="1" x14ac:dyDescent="0.2">
      <c r="A2838" s="2" t="s">
        <v>36</v>
      </c>
      <c r="B2838" s="2" t="s">
        <v>24</v>
      </c>
      <c r="C2838" s="2" t="s">
        <v>32</v>
      </c>
      <c r="D2838" s="2" t="s">
        <v>33</v>
      </c>
      <c r="E2838" s="2">
        <v>236</v>
      </c>
      <c r="F2838" s="2">
        <v>139</v>
      </c>
      <c r="G2838" s="2">
        <v>673</v>
      </c>
      <c r="H2838" s="2">
        <v>1088</v>
      </c>
      <c r="I2838" s="2">
        <v>2794</v>
      </c>
      <c r="J2838" s="2">
        <v>1.25</v>
      </c>
      <c r="K2838" s="2">
        <v>6.33</v>
      </c>
      <c r="L2838" s="2">
        <v>9.0399999999999991</v>
      </c>
      <c r="M2838" s="2">
        <v>15.23</v>
      </c>
      <c r="N2838" s="2">
        <v>2.0177187929999998</v>
      </c>
      <c r="O2838" s="2">
        <v>1.9500479310000001</v>
      </c>
      <c r="P2838" s="2">
        <v>3.0666272590000001</v>
      </c>
      <c r="Q2838" s="2">
        <v>2.9279561260000002</v>
      </c>
      <c r="R2838" s="2">
        <v>2.3652151899999998</v>
      </c>
      <c r="S2838" s="2">
        <v>2.1552151899999998</v>
      </c>
      <c r="T2838" s="2">
        <v>1.9519118449999999</v>
      </c>
      <c r="U2838" s="2">
        <v>1.9819118449999999</v>
      </c>
      <c r="V2838" s="2">
        <v>3.1490473410000002</v>
      </c>
      <c r="W2838" s="2">
        <v>2.9843638549999998</v>
      </c>
      <c r="X2838">
        <f t="shared" si="132"/>
        <v>1</v>
      </c>
      <c r="Y2838">
        <f t="shared" si="133"/>
        <v>0</v>
      </c>
      <c r="Z2838">
        <f t="shared" si="134"/>
        <v>1</v>
      </c>
    </row>
    <row r="2839" spans="1:26" ht="15.75" customHeight="1" x14ac:dyDescent="0.2">
      <c r="A2839" s="2" t="s">
        <v>36</v>
      </c>
      <c r="B2839" s="2" t="s">
        <v>24</v>
      </c>
      <c r="C2839" s="2" t="s">
        <v>28</v>
      </c>
      <c r="D2839" s="2" t="s">
        <v>29</v>
      </c>
      <c r="E2839" s="2">
        <v>181</v>
      </c>
      <c r="F2839" s="2">
        <v>143</v>
      </c>
      <c r="G2839" s="2">
        <v>410</v>
      </c>
      <c r="H2839" s="2">
        <v>827</v>
      </c>
      <c r="I2839" s="2">
        <v>1891</v>
      </c>
      <c r="J2839" s="2">
        <v>1.29</v>
      </c>
      <c r="K2839" s="2">
        <v>4.0999999999999996</v>
      </c>
      <c r="L2839" s="2">
        <v>7.43</v>
      </c>
      <c r="M2839" s="2">
        <v>12.63</v>
      </c>
      <c r="N2839" s="2">
        <v>1.003645933</v>
      </c>
      <c r="O2839" s="2">
        <v>1.0559775490000001</v>
      </c>
      <c r="P2839" s="2">
        <v>3.5674827570000001</v>
      </c>
      <c r="Q2839" s="2">
        <v>3.595128425</v>
      </c>
      <c r="R2839" s="2">
        <v>0.14489801699999999</v>
      </c>
      <c r="S2839" s="2">
        <v>6.5101983000000002E-2</v>
      </c>
      <c r="T2839" s="2">
        <v>3.564538931</v>
      </c>
      <c r="U2839" s="2">
        <v>3.5945389310000002</v>
      </c>
      <c r="V2839" s="2">
        <v>0.928730167</v>
      </c>
      <c r="W2839" s="2">
        <v>0.76404668099999995</v>
      </c>
      <c r="X2839">
        <f t="shared" si="132"/>
        <v>1</v>
      </c>
      <c r="Y2839">
        <f t="shared" si="133"/>
        <v>0</v>
      </c>
      <c r="Z2839">
        <f t="shared" si="134"/>
        <v>1</v>
      </c>
    </row>
    <row r="2840" spans="1:26" ht="15.75" customHeight="1" x14ac:dyDescent="0.2">
      <c r="A2840" s="2" t="s">
        <v>36</v>
      </c>
      <c r="B2840" s="2" t="s">
        <v>24</v>
      </c>
      <c r="C2840" s="2" t="s">
        <v>28</v>
      </c>
      <c r="D2840" s="2" t="s">
        <v>29</v>
      </c>
      <c r="E2840" s="2">
        <v>230</v>
      </c>
      <c r="F2840" s="2">
        <v>147</v>
      </c>
      <c r="G2840" s="2">
        <v>561</v>
      </c>
      <c r="H2840" s="2">
        <v>1268</v>
      </c>
      <c r="I2840" s="2">
        <v>2382</v>
      </c>
      <c r="J2840" s="2">
        <v>1.34</v>
      </c>
      <c r="K2840" s="2">
        <v>5.44</v>
      </c>
      <c r="L2840" s="2">
        <v>10</v>
      </c>
      <c r="M2840" s="2">
        <v>14.18</v>
      </c>
      <c r="N2840" s="2">
        <v>2.1594579770000002</v>
      </c>
      <c r="O2840" s="2">
        <v>1.9886813679999999</v>
      </c>
      <c r="P2840" s="2">
        <v>1.7779325180000001</v>
      </c>
      <c r="Q2840" s="2">
        <v>1.6260892769999999</v>
      </c>
      <c r="R2840" s="2">
        <v>1.4788048650000001</v>
      </c>
      <c r="S2840" s="2">
        <v>1.2688048649999999</v>
      </c>
      <c r="T2840" s="2">
        <v>0.98700567900000002</v>
      </c>
      <c r="U2840" s="2">
        <v>1.0170056789999999</v>
      </c>
      <c r="V2840" s="2">
        <v>2.2626370159999998</v>
      </c>
      <c r="W2840" s="2">
        <v>2.0979535299999998</v>
      </c>
      <c r="X2840">
        <f t="shared" si="132"/>
        <v>1</v>
      </c>
      <c r="Y2840">
        <f t="shared" si="133"/>
        <v>0</v>
      </c>
      <c r="Z2840">
        <f t="shared" si="134"/>
        <v>1</v>
      </c>
    </row>
    <row r="2841" spans="1:26" ht="15.75" customHeight="1" x14ac:dyDescent="0.2">
      <c r="A2841" s="2" t="s">
        <v>36</v>
      </c>
      <c r="B2841" s="2" t="s">
        <v>24</v>
      </c>
      <c r="C2841" s="2" t="s">
        <v>26</v>
      </c>
      <c r="D2841" s="2" t="s">
        <v>26</v>
      </c>
      <c r="E2841" s="2">
        <v>228</v>
      </c>
      <c r="F2841" s="2">
        <v>140</v>
      </c>
      <c r="G2841" s="2">
        <v>396</v>
      </c>
      <c r="H2841" s="2">
        <v>909</v>
      </c>
      <c r="I2841" s="2">
        <v>2533</v>
      </c>
      <c r="J2841" s="2">
        <v>1.26</v>
      </c>
      <c r="K2841" s="2">
        <v>3.97</v>
      </c>
      <c r="L2841" s="2">
        <v>7.97</v>
      </c>
      <c r="M2841" s="2">
        <v>14.58</v>
      </c>
      <c r="N2841" s="2">
        <v>0.45353295999999999</v>
      </c>
      <c r="O2841" s="2">
        <v>0.54647367000000002</v>
      </c>
      <c r="P2841" s="2">
        <v>3.023550722</v>
      </c>
      <c r="Q2841" s="2">
        <v>3.059863494</v>
      </c>
      <c r="R2841" s="2">
        <v>1.3108816000000001E-2</v>
      </c>
      <c r="S2841" s="2">
        <v>0.196891184</v>
      </c>
      <c r="T2841" s="2">
        <v>3.0235223050000002</v>
      </c>
      <c r="U2841" s="2">
        <v>3.053522305</v>
      </c>
      <c r="V2841" s="2">
        <v>0.79694096599999997</v>
      </c>
      <c r="W2841" s="2">
        <v>0.63225748000000004</v>
      </c>
      <c r="X2841">
        <f t="shared" si="132"/>
        <v>1</v>
      </c>
      <c r="Y2841">
        <f t="shared" si="133"/>
        <v>0</v>
      </c>
      <c r="Z2841">
        <f t="shared" si="134"/>
        <v>0</v>
      </c>
    </row>
    <row r="2842" spans="1:26" ht="15.75" customHeight="1" x14ac:dyDescent="0.2">
      <c r="A2842" s="2" t="s">
        <v>36</v>
      </c>
      <c r="B2842" s="2" t="s">
        <v>24</v>
      </c>
      <c r="C2842" s="2" t="s">
        <v>25</v>
      </c>
      <c r="D2842" s="2" t="s">
        <v>25</v>
      </c>
      <c r="E2842" s="2">
        <v>203</v>
      </c>
      <c r="F2842" s="2">
        <v>136</v>
      </c>
      <c r="G2842" s="2">
        <v>548</v>
      </c>
      <c r="H2842" s="2">
        <v>1533</v>
      </c>
      <c r="I2842" s="2">
        <v>2498</v>
      </c>
      <c r="J2842" s="2">
        <v>1.21</v>
      </c>
      <c r="K2842" s="2">
        <v>5.33</v>
      </c>
      <c r="L2842" s="2">
        <v>11.24</v>
      </c>
      <c r="M2842" s="2">
        <v>14.49</v>
      </c>
      <c r="N2842" s="2">
        <v>0.469072296</v>
      </c>
      <c r="O2842" s="2">
        <v>0.485369616</v>
      </c>
      <c r="P2842" s="2">
        <v>1.387518783</v>
      </c>
      <c r="Q2842" s="2">
        <v>1.175563921</v>
      </c>
      <c r="R2842" s="2">
        <v>1.3652213209999999</v>
      </c>
      <c r="S2842" s="2">
        <v>1.155221321</v>
      </c>
      <c r="T2842" s="2">
        <v>0.247748092</v>
      </c>
      <c r="U2842" s="2">
        <v>0.217748092</v>
      </c>
      <c r="V2842" s="2">
        <v>2.1490534719999999</v>
      </c>
      <c r="W2842" s="2">
        <v>1.9843699859999999</v>
      </c>
      <c r="X2842">
        <f t="shared" si="132"/>
        <v>1</v>
      </c>
      <c r="Y2842">
        <f t="shared" si="133"/>
        <v>0</v>
      </c>
      <c r="Z2842">
        <f t="shared" si="134"/>
        <v>0</v>
      </c>
    </row>
    <row r="2843" spans="1:26" ht="15.75" customHeight="1" x14ac:dyDescent="0.2">
      <c r="A2843" s="2" t="s">
        <v>36</v>
      </c>
      <c r="B2843" s="2" t="s">
        <v>24</v>
      </c>
      <c r="C2843" s="2" t="s">
        <v>30</v>
      </c>
      <c r="D2843" s="2" t="s">
        <v>31</v>
      </c>
      <c r="E2843" s="2">
        <v>243</v>
      </c>
      <c r="F2843" s="2">
        <v>144</v>
      </c>
      <c r="G2843" s="2">
        <v>555</v>
      </c>
      <c r="H2843" s="2">
        <v>1360</v>
      </c>
      <c r="I2843" s="2">
        <v>2660</v>
      </c>
      <c r="J2843" s="2">
        <v>1.31</v>
      </c>
      <c r="K2843" s="2">
        <v>5.39</v>
      </c>
      <c r="L2843" s="2">
        <v>10.45</v>
      </c>
      <c r="M2843" s="2">
        <v>14.91</v>
      </c>
      <c r="N2843" s="2">
        <v>2.9165677269999999</v>
      </c>
      <c r="O2843" s="2">
        <v>2.7805536119999998</v>
      </c>
      <c r="P2843" s="2">
        <v>1.5274211950000001</v>
      </c>
      <c r="Q2843" s="2">
        <v>1.3454174459999999</v>
      </c>
      <c r="R2843" s="2">
        <v>1.4290909089999999</v>
      </c>
      <c r="S2843" s="2">
        <v>1.2190909089999999</v>
      </c>
      <c r="T2843" s="2">
        <v>0.53917963700000004</v>
      </c>
      <c r="U2843" s="2">
        <v>0.56917963699999996</v>
      </c>
      <c r="V2843" s="2">
        <v>2.2129230600000001</v>
      </c>
      <c r="W2843" s="2">
        <v>2.0482395740000001</v>
      </c>
      <c r="X2843">
        <f t="shared" si="132"/>
        <v>1</v>
      </c>
      <c r="Y2843">
        <f t="shared" si="133"/>
        <v>0</v>
      </c>
      <c r="Z2843">
        <f t="shared" si="134"/>
        <v>1</v>
      </c>
    </row>
    <row r="2844" spans="1:26" ht="15.75" customHeight="1" x14ac:dyDescent="0.2">
      <c r="A2844" s="2" t="s">
        <v>36</v>
      </c>
      <c r="B2844" s="2" t="s">
        <v>24</v>
      </c>
      <c r="C2844" s="2" t="s">
        <v>28</v>
      </c>
      <c r="D2844" s="2" t="s">
        <v>29</v>
      </c>
      <c r="E2844" s="2">
        <v>267</v>
      </c>
      <c r="F2844" s="2">
        <v>141</v>
      </c>
      <c r="G2844" s="2">
        <v>429</v>
      </c>
      <c r="H2844" s="2">
        <v>966</v>
      </c>
      <c r="I2844" s="2">
        <v>1862</v>
      </c>
      <c r="J2844" s="2">
        <v>1.27</v>
      </c>
      <c r="K2844" s="2">
        <v>4.28</v>
      </c>
      <c r="L2844" s="2">
        <v>8.32</v>
      </c>
      <c r="M2844" s="2">
        <v>12.53</v>
      </c>
      <c r="N2844" s="2">
        <v>0.330148989</v>
      </c>
      <c r="O2844" s="2">
        <v>0.20335152300000001</v>
      </c>
      <c r="P2844" s="2">
        <v>2.6905204180000002</v>
      </c>
      <c r="Q2844" s="2">
        <v>2.703317518</v>
      </c>
      <c r="R2844" s="2">
        <v>0.32435328600000002</v>
      </c>
      <c r="S2844" s="2">
        <v>0.114353286</v>
      </c>
      <c r="T2844" s="2">
        <v>2.6708978010000002</v>
      </c>
      <c r="U2844" s="2">
        <v>2.700897801</v>
      </c>
      <c r="V2844" s="2">
        <v>1.1081854369999999</v>
      </c>
      <c r="W2844" s="2">
        <v>0.94350195100000001</v>
      </c>
      <c r="X2844">
        <f t="shared" si="132"/>
        <v>1</v>
      </c>
      <c r="Y2844">
        <f t="shared" si="133"/>
        <v>0</v>
      </c>
      <c r="Z2844">
        <f t="shared" si="134"/>
        <v>1</v>
      </c>
    </row>
    <row r="2845" spans="1:26" ht="15.75" customHeight="1" x14ac:dyDescent="0.2">
      <c r="A2845" s="2" t="s">
        <v>36</v>
      </c>
      <c r="B2845" s="2" t="s">
        <v>24</v>
      </c>
      <c r="C2845" s="2" t="s">
        <v>28</v>
      </c>
      <c r="D2845" s="2" t="s">
        <v>29</v>
      </c>
      <c r="E2845" s="2">
        <v>95</v>
      </c>
      <c r="F2845" s="2">
        <v>139</v>
      </c>
      <c r="G2845" s="2">
        <v>516</v>
      </c>
      <c r="H2845" s="2">
        <v>1063</v>
      </c>
      <c r="I2845" s="2">
        <v>2420</v>
      </c>
      <c r="J2845" s="2">
        <v>1.24</v>
      </c>
      <c r="K2845" s="2">
        <v>5.05</v>
      </c>
      <c r="L2845" s="2">
        <v>8.9</v>
      </c>
      <c r="M2845" s="2">
        <v>14.28</v>
      </c>
      <c r="N2845" s="2">
        <v>1.185575432</v>
      </c>
      <c r="O2845" s="2">
        <v>0.98778180100000001</v>
      </c>
      <c r="P2845" s="2">
        <v>2.3597859950000002</v>
      </c>
      <c r="Q2845" s="2">
        <v>2.2976940959999999</v>
      </c>
      <c r="R2845" s="2">
        <v>1.094363808</v>
      </c>
      <c r="S2845" s="2">
        <v>0.88436380800000003</v>
      </c>
      <c r="T2845" s="2">
        <v>2.0906835720000001</v>
      </c>
      <c r="U2845" s="2">
        <v>2.1206835719999999</v>
      </c>
      <c r="V2845" s="2">
        <v>1.8781959580000001</v>
      </c>
      <c r="W2845" s="2">
        <v>1.713512473</v>
      </c>
      <c r="X2845">
        <f t="shared" si="132"/>
        <v>1</v>
      </c>
      <c r="Y2845">
        <f t="shared" si="133"/>
        <v>0</v>
      </c>
      <c r="Z2845">
        <f t="shared" si="134"/>
        <v>1</v>
      </c>
    </row>
    <row r="2846" spans="1:26" ht="15.75" customHeight="1" x14ac:dyDescent="0.2">
      <c r="A2846" s="2" t="s">
        <v>36</v>
      </c>
      <c r="B2846" s="2" t="s">
        <v>24</v>
      </c>
      <c r="C2846" s="2" t="s">
        <v>32</v>
      </c>
      <c r="D2846" s="2" t="s">
        <v>33</v>
      </c>
      <c r="E2846" s="2">
        <v>198</v>
      </c>
      <c r="F2846" s="2">
        <v>136</v>
      </c>
      <c r="G2846" s="2">
        <v>701</v>
      </c>
      <c r="H2846" s="2">
        <v>1132</v>
      </c>
      <c r="I2846" s="2">
        <v>2725</v>
      </c>
      <c r="J2846" s="2">
        <v>1.21</v>
      </c>
      <c r="K2846" s="2">
        <v>6.54</v>
      </c>
      <c r="L2846" s="2">
        <v>9.2899999999999991</v>
      </c>
      <c r="M2846" s="2">
        <v>15.06</v>
      </c>
      <c r="N2846" s="2">
        <v>1.936313529</v>
      </c>
      <c r="O2846" s="2">
        <v>1.8147221819999999</v>
      </c>
      <c r="P2846" s="2">
        <v>3.0872636309999999</v>
      </c>
      <c r="Q2846" s="2">
        <v>2.932030224</v>
      </c>
      <c r="R2846" s="2">
        <v>2.5751603209999998</v>
      </c>
      <c r="S2846" s="2">
        <v>2.3651603209999998</v>
      </c>
      <c r="T2846" s="2">
        <v>1.7028640719999999</v>
      </c>
      <c r="U2846" s="2">
        <v>1.7328640719999999</v>
      </c>
      <c r="V2846" s="2">
        <v>3.3589924710000001</v>
      </c>
      <c r="W2846" s="2">
        <v>3.1943089850000002</v>
      </c>
      <c r="X2846">
        <f t="shared" si="132"/>
        <v>1</v>
      </c>
      <c r="Y2846">
        <f t="shared" si="133"/>
        <v>0</v>
      </c>
      <c r="Z2846">
        <f t="shared" si="134"/>
        <v>1</v>
      </c>
    </row>
    <row r="2847" spans="1:26" ht="15.75" customHeight="1" x14ac:dyDescent="0.2">
      <c r="A2847" s="2" t="s">
        <v>36</v>
      </c>
      <c r="B2847" s="2" t="s">
        <v>24</v>
      </c>
      <c r="C2847" s="2" t="s">
        <v>25</v>
      </c>
      <c r="D2847" s="2" t="s">
        <v>25</v>
      </c>
      <c r="E2847" s="2">
        <v>160</v>
      </c>
      <c r="F2847" s="2">
        <v>137</v>
      </c>
      <c r="G2847" s="2">
        <v>551</v>
      </c>
      <c r="H2847" s="2">
        <v>1476</v>
      </c>
      <c r="I2847" s="2">
        <v>2578</v>
      </c>
      <c r="J2847" s="2">
        <v>1.22</v>
      </c>
      <c r="K2847" s="2">
        <v>5.35</v>
      </c>
      <c r="L2847" s="2">
        <v>10.99</v>
      </c>
      <c r="M2847" s="2">
        <v>14.7</v>
      </c>
      <c r="N2847" s="2">
        <v>0.227157681</v>
      </c>
      <c r="O2847" s="2">
        <v>0.30520804299999998</v>
      </c>
      <c r="P2847" s="2">
        <v>1.3930397480000001</v>
      </c>
      <c r="Q2847" s="2">
        <v>1.18346499</v>
      </c>
      <c r="R2847" s="2">
        <v>1.3930386299999999</v>
      </c>
      <c r="S2847" s="2">
        <v>1.18303863</v>
      </c>
      <c r="T2847" s="2">
        <v>1.7644780000000001E-3</v>
      </c>
      <c r="U2847" s="2">
        <v>3.1764477999999999E-2</v>
      </c>
      <c r="V2847" s="2">
        <v>2.1768707809999999</v>
      </c>
      <c r="W2847" s="2">
        <v>2.0121872949999999</v>
      </c>
      <c r="X2847">
        <f t="shared" si="132"/>
        <v>1</v>
      </c>
      <c r="Y2847">
        <f t="shared" si="133"/>
        <v>0</v>
      </c>
      <c r="Z2847">
        <f t="shared" si="134"/>
        <v>0</v>
      </c>
    </row>
    <row r="2848" spans="1:26" ht="15.75" customHeight="1" x14ac:dyDescent="0.2">
      <c r="A2848" s="2" t="s">
        <v>36</v>
      </c>
      <c r="B2848" s="2" t="s">
        <v>24</v>
      </c>
      <c r="C2848" s="2" t="s">
        <v>27</v>
      </c>
      <c r="D2848" s="2" t="s">
        <v>27</v>
      </c>
      <c r="E2848" s="2">
        <v>172</v>
      </c>
      <c r="F2848" s="2">
        <v>137</v>
      </c>
      <c r="G2848" s="2">
        <v>392</v>
      </c>
      <c r="H2848" s="2">
        <v>1897</v>
      </c>
      <c r="I2848" s="2">
        <v>2546</v>
      </c>
      <c r="J2848" s="2">
        <v>1.23</v>
      </c>
      <c r="K2848" s="2">
        <v>3.94</v>
      </c>
      <c r="L2848" s="2">
        <v>12.65</v>
      </c>
      <c r="M2848" s="2">
        <v>14.62</v>
      </c>
      <c r="N2848" s="2">
        <v>0.27742736600000001</v>
      </c>
      <c r="O2848" s="2">
        <v>0.17576102499999999</v>
      </c>
      <c r="P2848" s="2">
        <v>1.665051233</v>
      </c>
      <c r="Q2848" s="2">
        <v>1.651645754</v>
      </c>
      <c r="R2848" s="2">
        <v>2.4833450999999999E-2</v>
      </c>
      <c r="S2848" s="2">
        <v>0.234833451</v>
      </c>
      <c r="T2848" s="2">
        <v>1.664866033</v>
      </c>
      <c r="U2848" s="2">
        <v>1.634866033</v>
      </c>
      <c r="V2848" s="2">
        <v>0.75899869900000005</v>
      </c>
      <c r="W2848" s="2">
        <v>0.59431521300000001</v>
      </c>
      <c r="X2848">
        <f t="shared" si="132"/>
        <v>1</v>
      </c>
      <c r="Y2848">
        <f t="shared" si="133"/>
        <v>0</v>
      </c>
      <c r="Z2848">
        <f t="shared" si="134"/>
        <v>0</v>
      </c>
    </row>
    <row r="2849" spans="1:26" ht="15.75" customHeight="1" x14ac:dyDescent="0.2">
      <c r="A2849" s="2" t="s">
        <v>36</v>
      </c>
      <c r="B2849" s="2" t="s">
        <v>24</v>
      </c>
      <c r="C2849" s="2" t="s">
        <v>32</v>
      </c>
      <c r="D2849" s="2" t="s">
        <v>33</v>
      </c>
      <c r="E2849" s="2">
        <v>180</v>
      </c>
      <c r="F2849" s="2">
        <v>145</v>
      </c>
      <c r="G2849" s="2">
        <v>413</v>
      </c>
      <c r="H2849" s="2">
        <v>902</v>
      </c>
      <c r="I2849" s="2">
        <v>2172</v>
      </c>
      <c r="J2849" s="2">
        <v>1.31</v>
      </c>
      <c r="K2849" s="2">
        <v>4.1399999999999997</v>
      </c>
      <c r="L2849" s="2">
        <v>7.92</v>
      </c>
      <c r="M2849" s="2">
        <v>13.56</v>
      </c>
      <c r="N2849" s="2">
        <v>3.0731859099999999</v>
      </c>
      <c r="O2849" s="2">
        <v>3.2962941579999998</v>
      </c>
      <c r="P2849" s="2">
        <v>3.073355361</v>
      </c>
      <c r="Q2849" s="2">
        <v>3.0984951019999998</v>
      </c>
      <c r="R2849" s="2">
        <v>0.17604719799999999</v>
      </c>
      <c r="S2849" s="2">
        <v>3.3952801999999997E-2</v>
      </c>
      <c r="T2849" s="2">
        <v>3.0683090719999999</v>
      </c>
      <c r="U2849" s="2">
        <v>3.0983090720000002</v>
      </c>
      <c r="V2849" s="2">
        <v>0.95987934799999997</v>
      </c>
      <c r="W2849" s="2">
        <v>0.79519586200000003</v>
      </c>
      <c r="X2849">
        <f t="shared" si="132"/>
        <v>1</v>
      </c>
      <c r="Y2849">
        <f t="shared" si="133"/>
        <v>0</v>
      </c>
      <c r="Z2849">
        <f t="shared" si="134"/>
        <v>1</v>
      </c>
    </row>
    <row r="2850" spans="1:26" ht="15.75" customHeight="1" x14ac:dyDescent="0.2">
      <c r="A2850" s="2" t="s">
        <v>36</v>
      </c>
      <c r="B2850" s="2" t="s">
        <v>24</v>
      </c>
      <c r="C2850" s="2" t="s">
        <v>28</v>
      </c>
      <c r="D2850" s="2" t="s">
        <v>29</v>
      </c>
      <c r="E2850" s="2">
        <v>224</v>
      </c>
      <c r="F2850" s="2">
        <v>140</v>
      </c>
      <c r="G2850" s="2">
        <v>421</v>
      </c>
      <c r="H2850" s="2">
        <v>1070</v>
      </c>
      <c r="I2850" s="2">
        <v>2047</v>
      </c>
      <c r="J2850" s="2">
        <v>1.25</v>
      </c>
      <c r="K2850" s="2">
        <v>4.21</v>
      </c>
      <c r="L2850" s="2">
        <v>8.94</v>
      </c>
      <c r="M2850" s="2">
        <v>13.16</v>
      </c>
      <c r="N2850" s="2">
        <v>0.56939042799999995</v>
      </c>
      <c r="O2850" s="2">
        <v>0.46000217599999998</v>
      </c>
      <c r="P2850" s="2">
        <v>2.0672943140000002</v>
      </c>
      <c r="Q2850" s="2">
        <v>2.082777332</v>
      </c>
      <c r="R2850" s="2">
        <v>0.24735928300000001</v>
      </c>
      <c r="S2850" s="2">
        <v>3.7359283E-2</v>
      </c>
      <c r="T2850" s="2">
        <v>2.0524422439999999</v>
      </c>
      <c r="U2850" s="2">
        <v>2.0824422440000001</v>
      </c>
      <c r="V2850" s="2">
        <v>1.0311914339999999</v>
      </c>
      <c r="W2850" s="2">
        <v>0.86650794799999997</v>
      </c>
      <c r="X2850">
        <f t="shared" si="132"/>
        <v>1</v>
      </c>
      <c r="Y2850">
        <f t="shared" si="133"/>
        <v>0</v>
      </c>
      <c r="Z2850">
        <f t="shared" si="134"/>
        <v>1</v>
      </c>
    </row>
    <row r="2851" spans="1:26" ht="15.75" customHeight="1" x14ac:dyDescent="0.2">
      <c r="A2851" s="2" t="s">
        <v>36</v>
      </c>
      <c r="B2851" s="2" t="s">
        <v>24</v>
      </c>
      <c r="C2851" s="2" t="s">
        <v>27</v>
      </c>
      <c r="D2851" s="2" t="s">
        <v>27</v>
      </c>
      <c r="E2851" s="2">
        <v>224</v>
      </c>
      <c r="F2851" s="2">
        <v>143</v>
      </c>
      <c r="G2851" s="2">
        <v>380</v>
      </c>
      <c r="H2851" s="2">
        <v>1998</v>
      </c>
      <c r="I2851" s="2">
        <v>2632</v>
      </c>
      <c r="J2851" s="2">
        <v>1.29</v>
      </c>
      <c r="K2851" s="2">
        <v>3.82</v>
      </c>
      <c r="L2851" s="2">
        <v>13</v>
      </c>
      <c r="M2851" s="2">
        <v>14.84</v>
      </c>
      <c r="N2851" s="2">
        <v>0.145757684</v>
      </c>
      <c r="O2851" s="2">
        <v>0.21572771600000001</v>
      </c>
      <c r="P2851" s="2">
        <v>2.0174052630000001</v>
      </c>
      <c r="Q2851" s="2">
        <v>2.013140183</v>
      </c>
      <c r="R2851" s="2">
        <v>0.13943866599999999</v>
      </c>
      <c r="S2851" s="2">
        <v>0.34943866600000001</v>
      </c>
      <c r="T2851" s="2">
        <v>2.0125806449999999</v>
      </c>
      <c r="U2851" s="2">
        <v>1.9825806450000001</v>
      </c>
      <c r="V2851" s="2">
        <v>0.64439348399999996</v>
      </c>
      <c r="W2851" s="2">
        <v>0.47970999800000003</v>
      </c>
      <c r="X2851">
        <f t="shared" si="132"/>
        <v>1</v>
      </c>
      <c r="Y2851">
        <f t="shared" si="133"/>
        <v>0</v>
      </c>
      <c r="Z2851">
        <f t="shared" si="134"/>
        <v>0</v>
      </c>
    </row>
    <row r="2852" spans="1:26" ht="15.75" customHeight="1" x14ac:dyDescent="0.2">
      <c r="A2852" s="2" t="s">
        <v>36</v>
      </c>
      <c r="B2852" s="2" t="s">
        <v>24</v>
      </c>
      <c r="C2852" s="2" t="s">
        <v>26</v>
      </c>
      <c r="D2852" s="2" t="s">
        <v>26</v>
      </c>
      <c r="E2852" s="2">
        <v>231</v>
      </c>
      <c r="F2852" s="2">
        <v>136</v>
      </c>
      <c r="G2852" s="2">
        <v>375</v>
      </c>
      <c r="H2852" s="2">
        <v>922</v>
      </c>
      <c r="I2852" s="2">
        <v>2499</v>
      </c>
      <c r="J2852" s="2">
        <v>1.21</v>
      </c>
      <c r="K2852" s="2">
        <v>3.78</v>
      </c>
      <c r="L2852" s="2">
        <v>8.0399999999999991</v>
      </c>
      <c r="M2852" s="2">
        <v>14.49</v>
      </c>
      <c r="N2852" s="2">
        <v>0.42248513399999998</v>
      </c>
      <c r="O2852" s="2">
        <v>0.58056384299999997</v>
      </c>
      <c r="P2852" s="2">
        <v>2.9509041869999999</v>
      </c>
      <c r="Q2852" s="2">
        <v>3.0011598959999999</v>
      </c>
      <c r="R2852" s="2">
        <v>0.18432548200000001</v>
      </c>
      <c r="S2852" s="2">
        <v>0.394325482</v>
      </c>
      <c r="T2852" s="2">
        <v>2.9451417000000002</v>
      </c>
      <c r="U2852" s="2">
        <v>2.9751417</v>
      </c>
      <c r="V2852" s="2">
        <v>0.59950666900000005</v>
      </c>
      <c r="W2852" s="2">
        <v>0.434823183</v>
      </c>
      <c r="X2852">
        <f t="shared" si="132"/>
        <v>1</v>
      </c>
      <c r="Y2852">
        <f t="shared" si="133"/>
        <v>0</v>
      </c>
      <c r="Z2852">
        <f t="shared" si="134"/>
        <v>0</v>
      </c>
    </row>
    <row r="2853" spans="1:26" ht="15.75" customHeight="1" x14ac:dyDescent="0.2">
      <c r="A2853" s="2" t="s">
        <v>36</v>
      </c>
      <c r="B2853" s="2" t="s">
        <v>24</v>
      </c>
      <c r="C2853" s="2" t="s">
        <v>27</v>
      </c>
      <c r="D2853" s="2" t="s">
        <v>27</v>
      </c>
      <c r="E2853" s="2">
        <v>100</v>
      </c>
      <c r="F2853" s="2">
        <v>136</v>
      </c>
      <c r="G2853" s="2">
        <v>368</v>
      </c>
      <c r="H2853" s="2">
        <v>1809</v>
      </c>
      <c r="I2853" s="2">
        <v>2480</v>
      </c>
      <c r="J2853" s="2">
        <v>1.21</v>
      </c>
      <c r="K2853" s="2">
        <v>3.7</v>
      </c>
      <c r="L2853" s="2">
        <v>12.34</v>
      </c>
      <c r="M2853" s="2">
        <v>14.44</v>
      </c>
      <c r="N2853" s="2">
        <v>0.53491203899999995</v>
      </c>
      <c r="O2853" s="2">
        <v>0.54977478099999999</v>
      </c>
      <c r="P2853" s="2">
        <v>1.3718963479999999</v>
      </c>
      <c r="Q2853" s="2">
        <v>1.3976471429999999</v>
      </c>
      <c r="R2853" s="2">
        <v>0.25522554800000002</v>
      </c>
      <c r="S2853" s="2">
        <v>0.46522554799999999</v>
      </c>
      <c r="T2853" s="2">
        <v>1.3479464050000001</v>
      </c>
      <c r="U2853" s="2">
        <v>1.317946405</v>
      </c>
      <c r="V2853" s="2">
        <v>0.52860660299999995</v>
      </c>
      <c r="W2853" s="2">
        <v>0.36392311700000002</v>
      </c>
      <c r="X2853">
        <f t="shared" si="132"/>
        <v>1</v>
      </c>
      <c r="Y2853">
        <f t="shared" si="133"/>
        <v>0</v>
      </c>
      <c r="Z2853">
        <f t="shared" si="134"/>
        <v>0</v>
      </c>
    </row>
    <row r="2854" spans="1:26" ht="15.75" customHeight="1" x14ac:dyDescent="0.2">
      <c r="A2854" s="2" t="s">
        <v>36</v>
      </c>
      <c r="B2854" s="2" t="s">
        <v>24</v>
      </c>
      <c r="C2854" s="2" t="s">
        <v>27</v>
      </c>
      <c r="D2854" s="2" t="s">
        <v>27</v>
      </c>
      <c r="E2854" s="2">
        <v>207</v>
      </c>
      <c r="F2854" s="2">
        <v>136</v>
      </c>
      <c r="G2854" s="2">
        <v>385</v>
      </c>
      <c r="H2854" s="2">
        <v>1946</v>
      </c>
      <c r="I2854" s="2">
        <v>2506</v>
      </c>
      <c r="J2854" s="2">
        <v>1.21</v>
      </c>
      <c r="K2854" s="2">
        <v>3.87</v>
      </c>
      <c r="L2854" s="2">
        <v>12.83</v>
      </c>
      <c r="M2854" s="2">
        <v>14.51</v>
      </c>
      <c r="N2854" s="2">
        <v>0.123037906</v>
      </c>
      <c r="O2854" s="2">
        <v>7.5290338999999998E-2</v>
      </c>
      <c r="P2854" s="2">
        <v>1.837780016</v>
      </c>
      <c r="Q2854" s="2">
        <v>1.82977045</v>
      </c>
      <c r="R2854" s="2">
        <v>8.5173393999999999E-2</v>
      </c>
      <c r="S2854" s="2">
        <v>0.29517339399999998</v>
      </c>
      <c r="T2854" s="2">
        <v>1.83580524</v>
      </c>
      <c r="U2854" s="2">
        <v>1.80580524</v>
      </c>
      <c r="V2854" s="2">
        <v>0.69865875700000002</v>
      </c>
      <c r="W2854" s="2">
        <v>0.53397527099999997</v>
      </c>
      <c r="X2854">
        <f t="shared" si="132"/>
        <v>1</v>
      </c>
      <c r="Y2854">
        <f t="shared" si="133"/>
        <v>0</v>
      </c>
      <c r="Z2854">
        <f t="shared" si="134"/>
        <v>0</v>
      </c>
    </row>
    <row r="2855" spans="1:26" ht="15.75" customHeight="1" x14ac:dyDescent="0.2">
      <c r="A2855" s="2" t="s">
        <v>36</v>
      </c>
      <c r="B2855" s="2" t="s">
        <v>24</v>
      </c>
      <c r="C2855" s="2" t="s">
        <v>32</v>
      </c>
      <c r="D2855" s="2" t="s">
        <v>33</v>
      </c>
      <c r="E2855" s="2">
        <v>255</v>
      </c>
      <c r="F2855" s="2">
        <v>140</v>
      </c>
      <c r="G2855" s="2">
        <v>858</v>
      </c>
      <c r="H2855" s="2">
        <v>1181</v>
      </c>
      <c r="I2855" s="2">
        <v>2860</v>
      </c>
      <c r="J2855" s="2">
        <v>1.26</v>
      </c>
      <c r="K2855" s="2">
        <v>7.63</v>
      </c>
      <c r="L2855" s="2">
        <v>9.5500000000000007</v>
      </c>
      <c r="M2855" s="2">
        <v>15.38</v>
      </c>
      <c r="N2855" s="2">
        <v>2.6404735380000002</v>
      </c>
      <c r="O2855" s="2">
        <v>2.3920389150000001</v>
      </c>
      <c r="P2855" s="2">
        <v>3.9442716629999999</v>
      </c>
      <c r="Q2855" s="2">
        <v>3.7611088509999999</v>
      </c>
      <c r="R2855" s="2">
        <v>3.672874379</v>
      </c>
      <c r="S2855" s="2">
        <v>3.4628743790000001</v>
      </c>
      <c r="T2855" s="2">
        <v>1.437801358</v>
      </c>
      <c r="U2855" s="2">
        <v>1.467801358</v>
      </c>
      <c r="V2855" s="2">
        <v>4.4567065299999999</v>
      </c>
      <c r="W2855" s="2">
        <v>4.2920230439999996</v>
      </c>
      <c r="X2855">
        <f t="shared" si="132"/>
        <v>1</v>
      </c>
      <c r="Y2855">
        <f t="shared" si="133"/>
        <v>0</v>
      </c>
      <c r="Z2855">
        <f t="shared" si="134"/>
        <v>1</v>
      </c>
    </row>
    <row r="2856" spans="1:26" ht="15.75" customHeight="1" x14ac:dyDescent="0.2">
      <c r="A2856" s="2" t="s">
        <v>36</v>
      </c>
      <c r="B2856" s="2" t="s">
        <v>24</v>
      </c>
      <c r="C2856" s="2" t="s">
        <v>28</v>
      </c>
      <c r="D2856" s="2" t="s">
        <v>29</v>
      </c>
      <c r="E2856" s="2">
        <v>191</v>
      </c>
      <c r="F2856" s="2">
        <v>147</v>
      </c>
      <c r="G2856" s="2">
        <v>672</v>
      </c>
      <c r="H2856" s="2">
        <v>1175</v>
      </c>
      <c r="I2856" s="2">
        <v>2838</v>
      </c>
      <c r="J2856" s="2">
        <v>1.34</v>
      </c>
      <c r="K2856" s="2">
        <v>6.31</v>
      </c>
      <c r="L2856" s="2">
        <v>9.52</v>
      </c>
      <c r="M2856" s="2">
        <v>15.33</v>
      </c>
      <c r="N2856" s="2">
        <v>2.586551971</v>
      </c>
      <c r="O2856" s="2">
        <v>2.3891791250000001</v>
      </c>
      <c r="P2856" s="2">
        <v>2.7758713770000001</v>
      </c>
      <c r="Q2856" s="2">
        <v>2.6173998460000001</v>
      </c>
      <c r="R2856" s="2">
        <v>2.3525775809999998</v>
      </c>
      <c r="S2856" s="2">
        <v>2.1425775809999998</v>
      </c>
      <c r="T2856" s="2">
        <v>1.4733772860000001</v>
      </c>
      <c r="U2856" s="2">
        <v>1.5033772860000001</v>
      </c>
      <c r="V2856" s="2">
        <v>3.1364097310000001</v>
      </c>
      <c r="W2856" s="2">
        <v>2.9717262459999998</v>
      </c>
      <c r="X2856">
        <f t="shared" si="132"/>
        <v>1</v>
      </c>
      <c r="Y2856">
        <f t="shared" si="133"/>
        <v>0</v>
      </c>
      <c r="Z2856">
        <f t="shared" si="134"/>
        <v>1</v>
      </c>
    </row>
    <row r="2857" spans="1:26" ht="15.75" customHeight="1" x14ac:dyDescent="0.2">
      <c r="A2857" s="2" t="s">
        <v>36</v>
      </c>
      <c r="B2857" s="2" t="s">
        <v>24</v>
      </c>
      <c r="C2857" s="2" t="s">
        <v>26</v>
      </c>
      <c r="D2857" s="2" t="s">
        <v>26</v>
      </c>
      <c r="E2857" s="2">
        <v>228</v>
      </c>
      <c r="F2857" s="2">
        <v>141</v>
      </c>
      <c r="G2857" s="2">
        <v>386</v>
      </c>
      <c r="H2857" s="2">
        <v>995</v>
      </c>
      <c r="I2857" s="2">
        <v>2606</v>
      </c>
      <c r="J2857" s="2">
        <v>1.27</v>
      </c>
      <c r="K2857" s="2">
        <v>3.88</v>
      </c>
      <c r="L2857" s="2">
        <v>8.5</v>
      </c>
      <c r="M2857" s="2">
        <v>14.77</v>
      </c>
      <c r="N2857" s="2">
        <v>0.118934557</v>
      </c>
      <c r="O2857" s="2">
        <v>0.282409034</v>
      </c>
      <c r="P2857" s="2">
        <v>2.4959589090000001</v>
      </c>
      <c r="Q2857" s="2">
        <v>2.5414411600000002</v>
      </c>
      <c r="R2857" s="2">
        <v>8.1989484000000001E-2</v>
      </c>
      <c r="S2857" s="2">
        <v>0.29198948400000002</v>
      </c>
      <c r="T2857" s="2">
        <v>2.494611913</v>
      </c>
      <c r="U2857" s="2">
        <v>2.5246119130000002</v>
      </c>
      <c r="V2857" s="2">
        <v>0.70184266699999998</v>
      </c>
      <c r="W2857" s="2">
        <v>0.53715918100000004</v>
      </c>
      <c r="X2857">
        <f t="shared" si="132"/>
        <v>1</v>
      </c>
      <c r="Y2857">
        <f t="shared" si="133"/>
        <v>0</v>
      </c>
      <c r="Z2857">
        <f t="shared" si="134"/>
        <v>0</v>
      </c>
    </row>
    <row r="2858" spans="1:26" ht="15.75" customHeight="1" x14ac:dyDescent="0.2">
      <c r="A2858" s="2" t="s">
        <v>36</v>
      </c>
      <c r="B2858" s="2" t="s">
        <v>24</v>
      </c>
      <c r="C2858" s="2" t="s">
        <v>30</v>
      </c>
      <c r="D2858" s="2" t="s">
        <v>31</v>
      </c>
      <c r="E2858" s="2">
        <v>194</v>
      </c>
      <c r="F2858" s="2">
        <v>142</v>
      </c>
      <c r="G2858" s="2">
        <v>639</v>
      </c>
      <c r="H2858" s="2">
        <v>1189</v>
      </c>
      <c r="I2858" s="2">
        <v>2754</v>
      </c>
      <c r="J2858" s="2">
        <v>1.28</v>
      </c>
      <c r="K2858" s="2">
        <v>6.06</v>
      </c>
      <c r="L2858" s="2">
        <v>9.59</v>
      </c>
      <c r="M2858" s="2">
        <v>15.13</v>
      </c>
      <c r="N2858" s="2">
        <v>4.0060210449999998</v>
      </c>
      <c r="O2858" s="2">
        <v>3.8663918719999999</v>
      </c>
      <c r="P2858" s="2">
        <v>2.5245823380000001</v>
      </c>
      <c r="Q2858" s="2">
        <v>2.370605619</v>
      </c>
      <c r="R2858" s="2">
        <v>2.1016083110000001</v>
      </c>
      <c r="S2858" s="2">
        <v>1.8916083109999999</v>
      </c>
      <c r="T2858" s="2">
        <v>1.3988418380000001</v>
      </c>
      <c r="U2858" s="2">
        <v>1.4288418380000001</v>
      </c>
      <c r="V2858" s="2">
        <v>2.885440462</v>
      </c>
      <c r="W2858" s="2">
        <v>2.7207569760000001</v>
      </c>
      <c r="X2858">
        <f t="shared" si="132"/>
        <v>1</v>
      </c>
      <c r="Y2858">
        <f t="shared" si="133"/>
        <v>0</v>
      </c>
      <c r="Z2858">
        <f t="shared" si="134"/>
        <v>1</v>
      </c>
    </row>
    <row r="2859" spans="1:26" ht="15.75" customHeight="1" x14ac:dyDescent="0.2">
      <c r="A2859" s="2" t="s">
        <v>36</v>
      </c>
      <c r="B2859" s="2" t="s">
        <v>24</v>
      </c>
      <c r="C2859" s="2" t="s">
        <v>27</v>
      </c>
      <c r="D2859" s="2" t="s">
        <v>27</v>
      </c>
      <c r="E2859" s="2">
        <v>186</v>
      </c>
      <c r="F2859" s="2">
        <v>153</v>
      </c>
      <c r="G2859" s="2">
        <v>348</v>
      </c>
      <c r="H2859" s="2">
        <v>2001</v>
      </c>
      <c r="I2859" s="2">
        <v>2632</v>
      </c>
      <c r="J2859" s="2">
        <v>1.41</v>
      </c>
      <c r="K2859" s="2">
        <v>3.51</v>
      </c>
      <c r="L2859" s="2">
        <v>13.01</v>
      </c>
      <c r="M2859" s="2">
        <v>14.84</v>
      </c>
      <c r="N2859" s="2">
        <v>0.28859330900000002</v>
      </c>
      <c r="O2859" s="2">
        <v>0.477212095</v>
      </c>
      <c r="P2859" s="2">
        <v>2.072282644</v>
      </c>
      <c r="Q2859" s="2">
        <v>2.0993728979999999</v>
      </c>
      <c r="R2859" s="2">
        <v>0.45087967600000001</v>
      </c>
      <c r="S2859" s="2">
        <v>0.66087967599999997</v>
      </c>
      <c r="T2859" s="2">
        <v>2.0226376030000002</v>
      </c>
      <c r="U2859" s="2">
        <v>1.9926376029999999</v>
      </c>
      <c r="V2859" s="2">
        <v>0.332952474</v>
      </c>
      <c r="W2859" s="2">
        <v>0.16826898800000001</v>
      </c>
      <c r="X2859">
        <f t="shared" si="132"/>
        <v>1</v>
      </c>
      <c r="Y2859">
        <f t="shared" si="133"/>
        <v>0</v>
      </c>
      <c r="Z2859">
        <f t="shared" si="134"/>
        <v>0</v>
      </c>
    </row>
    <row r="2860" spans="1:26" ht="15.75" customHeight="1" x14ac:dyDescent="0.2">
      <c r="A2860" s="2" t="s">
        <v>36</v>
      </c>
      <c r="B2860" s="2" t="s">
        <v>24</v>
      </c>
      <c r="C2860" s="2" t="s">
        <v>30</v>
      </c>
      <c r="D2860" s="2" t="s">
        <v>31</v>
      </c>
      <c r="E2860" s="2">
        <v>169</v>
      </c>
      <c r="F2860" s="2">
        <v>141</v>
      </c>
      <c r="G2860" s="2">
        <v>690</v>
      </c>
      <c r="H2860" s="2">
        <v>1241</v>
      </c>
      <c r="I2860" s="2">
        <v>2871</v>
      </c>
      <c r="J2860" s="2">
        <v>1.27</v>
      </c>
      <c r="K2860" s="2">
        <v>6.45</v>
      </c>
      <c r="L2860" s="2">
        <v>9.8699999999999992</v>
      </c>
      <c r="M2860" s="2">
        <v>15.4</v>
      </c>
      <c r="N2860" s="2">
        <v>4.0314107229999996</v>
      </c>
      <c r="O2860" s="2">
        <v>3.8766099939999998</v>
      </c>
      <c r="P2860" s="2">
        <v>2.730433879</v>
      </c>
      <c r="Q2860" s="2">
        <v>2.5539524070000001</v>
      </c>
      <c r="R2860" s="2">
        <v>2.4882224179999999</v>
      </c>
      <c r="S2860" s="2">
        <v>2.2782224179999999</v>
      </c>
      <c r="T2860" s="2">
        <v>1.124285714</v>
      </c>
      <c r="U2860" s="2">
        <v>1.154285714</v>
      </c>
      <c r="V2860" s="2">
        <v>3.2720545689999998</v>
      </c>
      <c r="W2860" s="2">
        <v>3.1073710829999999</v>
      </c>
      <c r="X2860">
        <f t="shared" si="132"/>
        <v>1</v>
      </c>
      <c r="Y2860">
        <f t="shared" si="133"/>
        <v>0</v>
      </c>
      <c r="Z2860">
        <f t="shared" si="134"/>
        <v>1</v>
      </c>
    </row>
    <row r="2861" spans="1:26" ht="15.75" customHeight="1" x14ac:dyDescent="0.2">
      <c r="A2861" s="2" t="s">
        <v>36</v>
      </c>
      <c r="B2861" s="2" t="s">
        <v>24</v>
      </c>
      <c r="C2861" s="2" t="s">
        <v>26</v>
      </c>
      <c r="D2861" s="2" t="s">
        <v>26</v>
      </c>
      <c r="E2861" s="2">
        <v>186</v>
      </c>
      <c r="F2861" s="2">
        <v>136</v>
      </c>
      <c r="G2861" s="2">
        <v>380</v>
      </c>
      <c r="H2861" s="2">
        <v>1037</v>
      </c>
      <c r="I2861" s="2">
        <v>2495</v>
      </c>
      <c r="J2861" s="2">
        <v>1.21</v>
      </c>
      <c r="K2861" s="2">
        <v>3.83</v>
      </c>
      <c r="L2861" s="2">
        <v>8.74</v>
      </c>
      <c r="M2861" s="2">
        <v>14.48</v>
      </c>
      <c r="N2861" s="2">
        <v>0.35476479900000002</v>
      </c>
      <c r="O2861" s="2">
        <v>0.42538881299999998</v>
      </c>
      <c r="P2861" s="2">
        <v>2.249288387</v>
      </c>
      <c r="Q2861" s="2">
        <v>2.3010641970000001</v>
      </c>
      <c r="R2861" s="2">
        <v>0.133040877</v>
      </c>
      <c r="S2861" s="2">
        <v>0.34304087700000002</v>
      </c>
      <c r="T2861" s="2">
        <v>2.2453503889999999</v>
      </c>
      <c r="U2861" s="2">
        <v>2.2753503890000002</v>
      </c>
      <c r="V2861" s="2">
        <v>0.65079127299999995</v>
      </c>
      <c r="W2861" s="2">
        <v>0.48610778700000001</v>
      </c>
      <c r="X2861">
        <f t="shared" si="132"/>
        <v>1</v>
      </c>
      <c r="Y2861">
        <f t="shared" si="133"/>
        <v>0</v>
      </c>
      <c r="Z2861">
        <f t="shared" si="134"/>
        <v>0</v>
      </c>
    </row>
    <row r="2862" spans="1:26" ht="15.75" customHeight="1" x14ac:dyDescent="0.2">
      <c r="A2862" s="2" t="s">
        <v>36</v>
      </c>
      <c r="B2862" s="2" t="s">
        <v>24</v>
      </c>
      <c r="C2862" s="2" t="s">
        <v>26</v>
      </c>
      <c r="D2862" s="2" t="s">
        <v>26</v>
      </c>
      <c r="E2862" s="2">
        <v>150</v>
      </c>
      <c r="F2862" s="2">
        <v>145</v>
      </c>
      <c r="G2862" s="2">
        <v>410</v>
      </c>
      <c r="H2862" s="2">
        <v>1094</v>
      </c>
      <c r="I2862" s="2">
        <v>2668</v>
      </c>
      <c r="J2862" s="2">
        <v>1.32</v>
      </c>
      <c r="K2862" s="2">
        <v>4.0999999999999996</v>
      </c>
      <c r="L2862" s="2">
        <v>9.07</v>
      </c>
      <c r="M2862" s="2">
        <v>14.93</v>
      </c>
      <c r="N2862" s="2">
        <v>0.66577553700000003</v>
      </c>
      <c r="O2862" s="2">
        <v>0.59452494099999997</v>
      </c>
      <c r="P2862" s="2">
        <v>1.923499436</v>
      </c>
      <c r="Q2862" s="2">
        <v>1.949121586</v>
      </c>
      <c r="R2862" s="2">
        <v>0.14489801699999999</v>
      </c>
      <c r="S2862" s="2">
        <v>6.5101983000000002E-2</v>
      </c>
      <c r="T2862" s="2">
        <v>1.9180340570000001</v>
      </c>
      <c r="U2862" s="2">
        <v>1.9480340570000001</v>
      </c>
      <c r="V2862" s="2">
        <v>0.928730167</v>
      </c>
      <c r="W2862" s="2">
        <v>0.76404668099999995</v>
      </c>
      <c r="X2862">
        <f t="shared" si="132"/>
        <v>1</v>
      </c>
      <c r="Y2862">
        <f t="shared" si="133"/>
        <v>0</v>
      </c>
      <c r="Z2862">
        <f t="shared" si="134"/>
        <v>0</v>
      </c>
    </row>
    <row r="2863" spans="1:26" ht="15.75" customHeight="1" x14ac:dyDescent="0.2">
      <c r="A2863" s="2" t="s">
        <v>36</v>
      </c>
      <c r="B2863" s="2" t="s">
        <v>24</v>
      </c>
      <c r="C2863" s="2" t="s">
        <v>26</v>
      </c>
      <c r="D2863" s="2" t="s">
        <v>26</v>
      </c>
      <c r="E2863" s="2">
        <v>190</v>
      </c>
      <c r="F2863" s="2">
        <v>147</v>
      </c>
      <c r="G2863" s="2">
        <v>436</v>
      </c>
      <c r="H2863" s="2">
        <v>947</v>
      </c>
      <c r="I2863" s="2">
        <v>2536</v>
      </c>
      <c r="J2863" s="2">
        <v>1.34</v>
      </c>
      <c r="K2863" s="2">
        <v>4.3499999999999996</v>
      </c>
      <c r="L2863" s="2">
        <v>8.1999999999999993</v>
      </c>
      <c r="M2863" s="2">
        <v>14.59</v>
      </c>
      <c r="N2863" s="2">
        <v>0.43336215300000003</v>
      </c>
      <c r="O2863" s="2">
        <v>0.33277087900000002</v>
      </c>
      <c r="P2863" s="2">
        <v>2.812780676</v>
      </c>
      <c r="Q2863" s="2">
        <v>2.8216967479999999</v>
      </c>
      <c r="R2863" s="2">
        <v>0.38556282200000003</v>
      </c>
      <c r="S2863" s="2">
        <v>0.17556282200000001</v>
      </c>
      <c r="T2863" s="2">
        <v>2.7862297900000002</v>
      </c>
      <c r="U2863" s="2">
        <v>2.81622979</v>
      </c>
      <c r="V2863" s="2">
        <v>1.1693949720000001</v>
      </c>
      <c r="W2863" s="2">
        <v>1.004711487</v>
      </c>
      <c r="X2863">
        <f t="shared" si="132"/>
        <v>1</v>
      </c>
      <c r="Y2863">
        <f t="shared" si="133"/>
        <v>0</v>
      </c>
      <c r="Z2863">
        <f t="shared" si="134"/>
        <v>0</v>
      </c>
    </row>
    <row r="2864" spans="1:26" ht="15.75" customHeight="1" x14ac:dyDescent="0.2">
      <c r="A2864" s="2" t="s">
        <v>36</v>
      </c>
      <c r="B2864" s="2" t="s">
        <v>24</v>
      </c>
      <c r="C2864" s="2" t="s">
        <v>25</v>
      </c>
      <c r="D2864" s="2" t="s">
        <v>25</v>
      </c>
      <c r="E2864" s="2">
        <v>201</v>
      </c>
      <c r="F2864" s="2">
        <v>143</v>
      </c>
      <c r="G2864" s="2">
        <v>539</v>
      </c>
      <c r="H2864" s="2">
        <v>1331</v>
      </c>
      <c r="I2864" s="2">
        <v>2342</v>
      </c>
      <c r="J2864" s="2">
        <v>1.3</v>
      </c>
      <c r="K2864" s="2">
        <v>5.26</v>
      </c>
      <c r="L2864" s="2">
        <v>10.31</v>
      </c>
      <c r="M2864" s="2">
        <v>14.07</v>
      </c>
      <c r="N2864" s="2">
        <v>0.45837295700000003</v>
      </c>
      <c r="O2864" s="2">
        <v>0.66305093299999995</v>
      </c>
      <c r="P2864" s="2">
        <v>1.461626842</v>
      </c>
      <c r="Q2864" s="2">
        <v>1.295348712</v>
      </c>
      <c r="R2864" s="2">
        <v>1.2953534280000001</v>
      </c>
      <c r="S2864" s="2">
        <v>1.0853534279999999</v>
      </c>
      <c r="T2864" s="2">
        <v>0.67706168300000003</v>
      </c>
      <c r="U2864" s="2">
        <v>0.70706168300000005</v>
      </c>
      <c r="V2864" s="2">
        <v>2.0791855780000001</v>
      </c>
      <c r="W2864" s="2">
        <v>1.914502092</v>
      </c>
      <c r="X2864">
        <f t="shared" si="132"/>
        <v>1</v>
      </c>
      <c r="Y2864">
        <f t="shared" si="133"/>
        <v>0</v>
      </c>
      <c r="Z2864">
        <f t="shared" si="134"/>
        <v>0</v>
      </c>
    </row>
    <row r="2865" spans="1:26" ht="15.75" customHeight="1" x14ac:dyDescent="0.2">
      <c r="A2865" s="2" t="s">
        <v>36</v>
      </c>
      <c r="B2865" s="2" t="s">
        <v>24</v>
      </c>
      <c r="C2865" s="2" t="s">
        <v>25</v>
      </c>
      <c r="D2865" s="2" t="s">
        <v>25</v>
      </c>
      <c r="E2865" s="2">
        <v>279</v>
      </c>
      <c r="F2865" s="2">
        <v>136</v>
      </c>
      <c r="G2865" s="2">
        <v>539</v>
      </c>
      <c r="H2865" s="2">
        <v>1368</v>
      </c>
      <c r="I2865" s="2">
        <v>2447</v>
      </c>
      <c r="J2865" s="2">
        <v>1.21</v>
      </c>
      <c r="K2865" s="2">
        <v>5.25</v>
      </c>
      <c r="L2865" s="2">
        <v>10.49</v>
      </c>
      <c r="M2865" s="2">
        <v>14.36</v>
      </c>
      <c r="N2865" s="2">
        <v>0.28047356000000001</v>
      </c>
      <c r="O2865" s="2">
        <v>0.527129238</v>
      </c>
      <c r="P2865" s="2">
        <v>1.3851530830000001</v>
      </c>
      <c r="Q2865" s="2">
        <v>1.204431896</v>
      </c>
      <c r="R2865" s="2">
        <v>1.29254902</v>
      </c>
      <c r="S2865" s="2">
        <v>1.0825490200000001</v>
      </c>
      <c r="T2865" s="2">
        <v>0.49796194300000002</v>
      </c>
      <c r="U2865" s="2">
        <v>0.52796194299999999</v>
      </c>
      <c r="V2865" s="2">
        <v>2.0763811699999999</v>
      </c>
      <c r="W2865" s="2">
        <v>1.911697684</v>
      </c>
      <c r="X2865">
        <f t="shared" si="132"/>
        <v>1</v>
      </c>
      <c r="Y2865">
        <f t="shared" si="133"/>
        <v>0</v>
      </c>
      <c r="Z2865">
        <f t="shared" si="134"/>
        <v>0</v>
      </c>
    </row>
    <row r="2866" spans="1:26" ht="15.75" customHeight="1" x14ac:dyDescent="0.2">
      <c r="A2866" s="2" t="s">
        <v>36</v>
      </c>
      <c r="B2866" s="2" t="s">
        <v>24</v>
      </c>
      <c r="C2866" s="2" t="s">
        <v>25</v>
      </c>
      <c r="D2866" s="2" t="s">
        <v>25</v>
      </c>
      <c r="E2866" s="2">
        <v>155</v>
      </c>
      <c r="F2866" s="2">
        <v>144</v>
      </c>
      <c r="G2866" s="2">
        <v>496</v>
      </c>
      <c r="H2866" s="2">
        <v>1517</v>
      </c>
      <c r="I2866" s="2">
        <v>2501</v>
      </c>
      <c r="J2866" s="2">
        <v>1.3</v>
      </c>
      <c r="K2866" s="2">
        <v>4.88</v>
      </c>
      <c r="L2866" s="2">
        <v>11.17</v>
      </c>
      <c r="M2866" s="2">
        <v>14.5</v>
      </c>
      <c r="N2866" s="2">
        <v>0.56660618699999998</v>
      </c>
      <c r="O2866" s="2">
        <v>0.80581485399999997</v>
      </c>
      <c r="P2866" s="2">
        <v>0.94093522799999996</v>
      </c>
      <c r="Q2866" s="2">
        <v>0.72909117599999995</v>
      </c>
      <c r="R2866" s="2">
        <v>0.92439739399999998</v>
      </c>
      <c r="S2866" s="2">
        <v>0.71439739400000002</v>
      </c>
      <c r="T2866" s="2">
        <v>0.17563758400000001</v>
      </c>
      <c r="U2866" s="2">
        <v>0.14563758399999999</v>
      </c>
      <c r="V2866" s="2">
        <v>1.708229545</v>
      </c>
      <c r="W2866" s="2">
        <v>1.5435460590000001</v>
      </c>
      <c r="X2866">
        <f t="shared" si="132"/>
        <v>1</v>
      </c>
      <c r="Y2866">
        <f t="shared" si="133"/>
        <v>0</v>
      </c>
      <c r="Z2866">
        <f t="shared" si="134"/>
        <v>0</v>
      </c>
    </row>
    <row r="2867" spans="1:26" ht="15.75" customHeight="1" x14ac:dyDescent="0.2">
      <c r="A2867" s="2" t="s">
        <v>36</v>
      </c>
      <c r="B2867" s="2" t="s">
        <v>24</v>
      </c>
      <c r="C2867" s="2" t="s">
        <v>28</v>
      </c>
      <c r="D2867" s="2" t="s">
        <v>29</v>
      </c>
      <c r="E2867" s="2">
        <v>182</v>
      </c>
      <c r="F2867" s="2">
        <v>139</v>
      </c>
      <c r="G2867" s="2">
        <v>374</v>
      </c>
      <c r="H2867" s="2">
        <v>954</v>
      </c>
      <c r="I2867" s="2">
        <v>1887</v>
      </c>
      <c r="J2867" s="2">
        <v>1.25</v>
      </c>
      <c r="K2867" s="2">
        <v>3.77</v>
      </c>
      <c r="L2867" s="2">
        <v>8.25</v>
      </c>
      <c r="M2867" s="2">
        <v>12.62</v>
      </c>
      <c r="N2867" s="2">
        <v>0.268667612</v>
      </c>
      <c r="O2867" s="2">
        <v>0.458665816</v>
      </c>
      <c r="P2867" s="2">
        <v>2.7517150140000002</v>
      </c>
      <c r="Q2867" s="2">
        <v>2.804120905</v>
      </c>
      <c r="R2867" s="2">
        <v>0.19396743799999999</v>
      </c>
      <c r="S2867" s="2">
        <v>0.40396743800000001</v>
      </c>
      <c r="T2867" s="2">
        <v>2.7448701519999998</v>
      </c>
      <c r="U2867" s="2">
        <v>2.7748701520000001</v>
      </c>
      <c r="V2867" s="2">
        <v>0.58986471299999998</v>
      </c>
      <c r="W2867" s="2">
        <v>0.42518122699999999</v>
      </c>
      <c r="X2867">
        <f t="shared" si="132"/>
        <v>1</v>
      </c>
      <c r="Y2867">
        <f t="shared" si="133"/>
        <v>0</v>
      </c>
      <c r="Z2867">
        <f t="shared" si="134"/>
        <v>1</v>
      </c>
    </row>
    <row r="2868" spans="1:26" ht="15.75" customHeight="1" x14ac:dyDescent="0.2">
      <c r="A2868" s="2" t="s">
        <v>36</v>
      </c>
      <c r="B2868" s="2" t="s">
        <v>24</v>
      </c>
      <c r="C2868" s="2" t="s">
        <v>30</v>
      </c>
      <c r="D2868" s="2" t="s">
        <v>31</v>
      </c>
      <c r="E2868" s="2">
        <v>264</v>
      </c>
      <c r="F2868" s="2">
        <v>129</v>
      </c>
      <c r="G2868" s="2">
        <v>679</v>
      </c>
      <c r="H2868" s="2">
        <v>1166</v>
      </c>
      <c r="I2868" s="2">
        <v>2700</v>
      </c>
      <c r="J2868" s="2">
        <v>1.1299999999999999</v>
      </c>
      <c r="K2868" s="2">
        <v>6.37</v>
      </c>
      <c r="L2868" s="2">
        <v>9.4700000000000006</v>
      </c>
      <c r="M2868" s="2">
        <v>15</v>
      </c>
      <c r="N2868" s="2">
        <v>4.2849732129999998</v>
      </c>
      <c r="O2868" s="2">
        <v>4.1395220760000004</v>
      </c>
      <c r="P2868" s="2">
        <v>2.8475820039999999</v>
      </c>
      <c r="Q2868" s="2">
        <v>2.6895218349999999</v>
      </c>
      <c r="R2868" s="2">
        <v>2.4080636599999998</v>
      </c>
      <c r="S2868" s="2">
        <v>2.1980636599999999</v>
      </c>
      <c r="T2868" s="2">
        <v>1.5198528469999999</v>
      </c>
      <c r="U2868" s="2">
        <v>1.5498528469999999</v>
      </c>
      <c r="V2868" s="2">
        <v>3.1918958110000002</v>
      </c>
      <c r="W2868" s="2">
        <v>3.0272123249999998</v>
      </c>
      <c r="X2868">
        <f t="shared" si="132"/>
        <v>1</v>
      </c>
      <c r="Y2868">
        <f t="shared" si="133"/>
        <v>0</v>
      </c>
      <c r="Z2868">
        <f t="shared" si="134"/>
        <v>1</v>
      </c>
    </row>
    <row r="2869" spans="1:26" ht="15.75" customHeight="1" x14ac:dyDescent="0.2">
      <c r="A2869" s="2" t="s">
        <v>36</v>
      </c>
      <c r="B2869" s="2" t="s">
        <v>24</v>
      </c>
      <c r="C2869" s="2" t="s">
        <v>32</v>
      </c>
      <c r="D2869" s="2" t="s">
        <v>33</v>
      </c>
      <c r="E2869" s="2">
        <v>169</v>
      </c>
      <c r="F2869" s="2">
        <v>140</v>
      </c>
      <c r="G2869" s="2">
        <v>577</v>
      </c>
      <c r="H2869" s="2">
        <v>939</v>
      </c>
      <c r="I2869" s="2">
        <v>2796</v>
      </c>
      <c r="J2869" s="2">
        <v>1.26</v>
      </c>
      <c r="K2869" s="2">
        <v>5.57</v>
      </c>
      <c r="L2869" s="2">
        <v>8.15</v>
      </c>
      <c r="M2869" s="2">
        <v>15.23</v>
      </c>
      <c r="N2869" s="2">
        <v>2.6310779069999999</v>
      </c>
      <c r="O2869" s="2">
        <v>2.706772532</v>
      </c>
      <c r="P2869" s="2">
        <v>3.261343509</v>
      </c>
      <c r="Q2869" s="2">
        <v>3.189864155</v>
      </c>
      <c r="R2869" s="2">
        <v>1.6102259590000001</v>
      </c>
      <c r="S2869" s="2">
        <v>1.4002259589999999</v>
      </c>
      <c r="T2869" s="2">
        <v>2.8361124530000001</v>
      </c>
      <c r="U2869" s="2">
        <v>2.8661124529999999</v>
      </c>
      <c r="V2869" s="2">
        <v>2.39405811</v>
      </c>
      <c r="W2869" s="2">
        <v>2.2293746240000001</v>
      </c>
      <c r="X2869">
        <f t="shared" si="132"/>
        <v>1</v>
      </c>
      <c r="Y2869">
        <f t="shared" si="133"/>
        <v>0</v>
      </c>
      <c r="Z2869">
        <f t="shared" si="134"/>
        <v>1</v>
      </c>
    </row>
    <row r="2870" spans="1:26" ht="15.75" customHeight="1" x14ac:dyDescent="0.2">
      <c r="A2870" s="2" t="s">
        <v>36</v>
      </c>
      <c r="B2870" s="2" t="s">
        <v>24</v>
      </c>
      <c r="C2870" s="2" t="s">
        <v>26</v>
      </c>
      <c r="D2870" s="2" t="s">
        <v>26</v>
      </c>
      <c r="E2870" s="2">
        <v>158</v>
      </c>
      <c r="F2870" s="2">
        <v>138</v>
      </c>
      <c r="G2870" s="2">
        <v>385</v>
      </c>
      <c r="H2870" s="2">
        <v>1019</v>
      </c>
      <c r="I2870" s="2">
        <v>2472</v>
      </c>
      <c r="J2870" s="2">
        <v>1.23</v>
      </c>
      <c r="K2870" s="2">
        <v>3.87</v>
      </c>
      <c r="L2870" s="2">
        <v>8.64</v>
      </c>
      <c r="M2870" s="2">
        <v>14.42</v>
      </c>
      <c r="N2870" s="2">
        <v>0.239785359</v>
      </c>
      <c r="O2870" s="2">
        <v>0.32913684199999999</v>
      </c>
      <c r="P2870" s="2">
        <v>2.3529756100000001</v>
      </c>
      <c r="Q2870" s="2">
        <v>2.3999340889999998</v>
      </c>
      <c r="R2870" s="2">
        <v>8.8358208999999993E-2</v>
      </c>
      <c r="S2870" s="2">
        <v>0.29835820899999999</v>
      </c>
      <c r="T2870" s="2">
        <v>2.351316025</v>
      </c>
      <c r="U2870" s="2">
        <v>2.3813160249999998</v>
      </c>
      <c r="V2870" s="2">
        <v>0.69547394200000001</v>
      </c>
      <c r="W2870" s="2">
        <v>0.53079045599999997</v>
      </c>
      <c r="X2870">
        <f t="shared" si="132"/>
        <v>1</v>
      </c>
      <c r="Y2870">
        <f t="shared" si="133"/>
        <v>0</v>
      </c>
      <c r="Z2870">
        <f t="shared" si="134"/>
        <v>0</v>
      </c>
    </row>
    <row r="2871" spans="1:26" ht="15.75" customHeight="1" x14ac:dyDescent="0.2">
      <c r="A2871" s="2" t="s">
        <v>36</v>
      </c>
      <c r="B2871" s="2" t="s">
        <v>24</v>
      </c>
      <c r="C2871" s="2" t="s">
        <v>32</v>
      </c>
      <c r="D2871" s="2" t="s">
        <v>33</v>
      </c>
      <c r="E2871" s="2">
        <v>134</v>
      </c>
      <c r="F2871" s="2">
        <v>140</v>
      </c>
      <c r="G2871" s="2">
        <v>569</v>
      </c>
      <c r="H2871" s="2">
        <v>914</v>
      </c>
      <c r="I2871" s="2">
        <v>2724</v>
      </c>
      <c r="J2871" s="2">
        <v>1.26</v>
      </c>
      <c r="K2871" s="2">
        <v>5.5</v>
      </c>
      <c r="L2871" s="2">
        <v>8</v>
      </c>
      <c r="M2871" s="2">
        <v>15.06</v>
      </c>
      <c r="N2871" s="2">
        <v>2.7797601049999998</v>
      </c>
      <c r="O2871" s="2">
        <v>2.8645272240000001</v>
      </c>
      <c r="P2871" s="2">
        <v>3.365676605</v>
      </c>
      <c r="Q2871" s="2">
        <v>3.3022182299999998</v>
      </c>
      <c r="R2871" s="2">
        <v>1.541984974</v>
      </c>
      <c r="S2871" s="2">
        <v>1.331984974</v>
      </c>
      <c r="T2871" s="2">
        <v>2.991665314</v>
      </c>
      <c r="U2871" s="2">
        <v>3.0216653139999998</v>
      </c>
      <c r="V2871" s="2">
        <v>2.3258171249999999</v>
      </c>
      <c r="W2871" s="2">
        <v>2.161133639</v>
      </c>
      <c r="X2871">
        <f t="shared" si="132"/>
        <v>1</v>
      </c>
      <c r="Y2871">
        <f t="shared" si="133"/>
        <v>0</v>
      </c>
      <c r="Z2871">
        <f t="shared" si="134"/>
        <v>1</v>
      </c>
    </row>
    <row r="2872" spans="1:26" ht="15.75" customHeight="1" x14ac:dyDescent="0.2">
      <c r="A2872" s="2" t="s">
        <v>36</v>
      </c>
      <c r="B2872" s="2" t="s">
        <v>24</v>
      </c>
      <c r="C2872" s="2" t="s">
        <v>28</v>
      </c>
      <c r="D2872" s="2" t="s">
        <v>29</v>
      </c>
      <c r="E2872" s="2">
        <v>144</v>
      </c>
      <c r="F2872" s="2">
        <v>143</v>
      </c>
      <c r="G2872" s="2">
        <v>446</v>
      </c>
      <c r="H2872" s="2">
        <v>1157</v>
      </c>
      <c r="I2872" s="2">
        <v>2123</v>
      </c>
      <c r="J2872" s="2">
        <v>1.29</v>
      </c>
      <c r="K2872" s="2">
        <v>4.4400000000000004</v>
      </c>
      <c r="L2872" s="2">
        <v>9.42</v>
      </c>
      <c r="M2872" s="2">
        <v>13.41</v>
      </c>
      <c r="N2872" s="2">
        <v>1.103386695</v>
      </c>
      <c r="O2872" s="2">
        <v>0.97970592999999995</v>
      </c>
      <c r="P2872" s="2">
        <v>1.640971218</v>
      </c>
      <c r="Q2872" s="2">
        <v>1.6222721280000001</v>
      </c>
      <c r="R2872" s="2">
        <v>0.47674102800000001</v>
      </c>
      <c r="S2872" s="2">
        <v>0.26674102799999999</v>
      </c>
      <c r="T2872" s="2">
        <v>1.5701925130000001</v>
      </c>
      <c r="U2872" s="2">
        <v>1.6001925130000001</v>
      </c>
      <c r="V2872" s="2">
        <v>1.2605731790000001</v>
      </c>
      <c r="W2872" s="2">
        <v>1.0958896929999999</v>
      </c>
      <c r="X2872">
        <f t="shared" si="132"/>
        <v>1</v>
      </c>
      <c r="Y2872">
        <f t="shared" si="133"/>
        <v>0</v>
      </c>
      <c r="Z2872">
        <f t="shared" si="134"/>
        <v>1</v>
      </c>
    </row>
    <row r="2873" spans="1:26" ht="15.75" customHeight="1" x14ac:dyDescent="0.2">
      <c r="A2873" s="2" t="s">
        <v>36</v>
      </c>
      <c r="B2873" s="2" t="s">
        <v>24</v>
      </c>
      <c r="C2873" s="2" t="s">
        <v>32</v>
      </c>
      <c r="D2873" s="2" t="s">
        <v>33</v>
      </c>
      <c r="E2873" s="2">
        <v>158</v>
      </c>
      <c r="F2873" s="2">
        <v>146</v>
      </c>
      <c r="G2873" s="2">
        <v>639</v>
      </c>
      <c r="H2873" s="2">
        <v>1049</v>
      </c>
      <c r="I2873" s="2">
        <v>2783</v>
      </c>
      <c r="J2873" s="2">
        <v>1.32</v>
      </c>
      <c r="K2873" s="2">
        <v>6.06</v>
      </c>
      <c r="L2873" s="2">
        <v>8.82</v>
      </c>
      <c r="M2873" s="2">
        <v>15.2</v>
      </c>
      <c r="N2873" s="2">
        <v>2.098545938</v>
      </c>
      <c r="O2873" s="2">
        <v>2.0866669450000002</v>
      </c>
      <c r="P2873" s="2">
        <v>3.0219780909999998</v>
      </c>
      <c r="Q2873" s="2">
        <v>2.902579647</v>
      </c>
      <c r="R2873" s="2">
        <v>2.1016083110000001</v>
      </c>
      <c r="S2873" s="2">
        <v>1.8916083109999999</v>
      </c>
      <c r="T2873" s="2">
        <v>2.17154187</v>
      </c>
      <c r="U2873" s="2">
        <v>2.2015418699999998</v>
      </c>
      <c r="V2873" s="2">
        <v>2.885440462</v>
      </c>
      <c r="W2873" s="2">
        <v>2.7207569760000001</v>
      </c>
      <c r="X2873">
        <f t="shared" si="132"/>
        <v>1</v>
      </c>
      <c r="Y2873">
        <f t="shared" si="133"/>
        <v>0</v>
      </c>
      <c r="Z2873">
        <f t="shared" si="134"/>
        <v>1</v>
      </c>
    </row>
    <row r="2874" spans="1:26" ht="15.75" customHeight="1" x14ac:dyDescent="0.2">
      <c r="A2874" s="2" t="s">
        <v>36</v>
      </c>
      <c r="B2874" s="2" t="s">
        <v>24</v>
      </c>
      <c r="C2874" s="2" t="s">
        <v>25</v>
      </c>
      <c r="D2874" s="2" t="s">
        <v>25</v>
      </c>
      <c r="E2874" s="2">
        <v>178</v>
      </c>
      <c r="F2874" s="2">
        <v>139</v>
      </c>
      <c r="G2874" s="2">
        <v>478</v>
      </c>
      <c r="H2874" s="2">
        <v>1472</v>
      </c>
      <c r="I2874" s="2">
        <v>2289</v>
      </c>
      <c r="J2874" s="2">
        <v>1.25</v>
      </c>
      <c r="K2874" s="2">
        <v>4.7300000000000004</v>
      </c>
      <c r="L2874" s="2">
        <v>10.97</v>
      </c>
      <c r="M2874" s="2">
        <v>13.91</v>
      </c>
      <c r="N2874" s="2">
        <v>0.59764680000000003</v>
      </c>
      <c r="O2874" s="2">
        <v>0.91011058899999997</v>
      </c>
      <c r="P2874" s="2">
        <v>0.76672112699999995</v>
      </c>
      <c r="Q2874" s="2">
        <v>0.55877042799999999</v>
      </c>
      <c r="R2874" s="2">
        <v>0.76643150100000002</v>
      </c>
      <c r="S2874" s="2">
        <v>0.55643150100000005</v>
      </c>
      <c r="T2874" s="2">
        <v>2.1072260999999998E-2</v>
      </c>
      <c r="U2874" s="2">
        <v>5.1072261000000001E-2</v>
      </c>
      <c r="V2874" s="2">
        <v>1.5502636519999999</v>
      </c>
      <c r="W2874" s="2">
        <v>1.385580166</v>
      </c>
      <c r="X2874">
        <f t="shared" si="132"/>
        <v>1</v>
      </c>
      <c r="Y2874">
        <f t="shared" si="133"/>
        <v>0</v>
      </c>
      <c r="Z2874">
        <f t="shared" si="134"/>
        <v>0</v>
      </c>
    </row>
    <row r="2875" spans="1:26" ht="15.75" customHeight="1" x14ac:dyDescent="0.2">
      <c r="A2875" s="2" t="s">
        <v>36</v>
      </c>
      <c r="B2875" s="2" t="s">
        <v>24</v>
      </c>
      <c r="C2875" s="2" t="s">
        <v>27</v>
      </c>
      <c r="D2875" s="2" t="s">
        <v>27</v>
      </c>
      <c r="E2875" s="2">
        <v>237</v>
      </c>
      <c r="F2875" s="2">
        <v>136</v>
      </c>
      <c r="G2875" s="2">
        <v>374</v>
      </c>
      <c r="H2875" s="2">
        <v>1953</v>
      </c>
      <c r="I2875" s="2">
        <v>2546</v>
      </c>
      <c r="J2875" s="2">
        <v>1.21</v>
      </c>
      <c r="K2875" s="2">
        <v>3.77</v>
      </c>
      <c r="L2875" s="2">
        <v>12.85</v>
      </c>
      <c r="M2875" s="2">
        <v>14.62</v>
      </c>
      <c r="N2875" s="2">
        <v>2.2147378999999998E-2</v>
      </c>
      <c r="O2875" s="2">
        <v>0.181842016</v>
      </c>
      <c r="P2875" s="2">
        <v>1.8696320070000001</v>
      </c>
      <c r="Q2875" s="2">
        <v>1.873245144</v>
      </c>
      <c r="R2875" s="2">
        <v>0.190752535</v>
      </c>
      <c r="S2875" s="2">
        <v>0.40075253500000002</v>
      </c>
      <c r="T2875" s="2">
        <v>1.859875618</v>
      </c>
      <c r="U2875" s="2">
        <v>1.829875618</v>
      </c>
      <c r="V2875" s="2">
        <v>0.59307961600000003</v>
      </c>
      <c r="W2875" s="2">
        <v>0.42839612999999999</v>
      </c>
      <c r="X2875">
        <f t="shared" si="132"/>
        <v>1</v>
      </c>
      <c r="Y2875">
        <f t="shared" si="133"/>
        <v>0</v>
      </c>
      <c r="Z2875">
        <f t="shared" si="134"/>
        <v>0</v>
      </c>
    </row>
    <row r="2876" spans="1:26" ht="15.75" customHeight="1" x14ac:dyDescent="0.2">
      <c r="A2876" s="2" t="s">
        <v>36</v>
      </c>
      <c r="B2876" s="2" t="s">
        <v>24</v>
      </c>
      <c r="C2876" s="2" t="s">
        <v>30</v>
      </c>
      <c r="D2876" s="2" t="s">
        <v>31</v>
      </c>
      <c r="E2876" s="2">
        <v>228</v>
      </c>
      <c r="F2876" s="2">
        <v>137</v>
      </c>
      <c r="G2876" s="2">
        <v>591</v>
      </c>
      <c r="H2876" s="2">
        <v>1230</v>
      </c>
      <c r="I2876" s="2">
        <v>2715</v>
      </c>
      <c r="J2876" s="2">
        <v>1.22</v>
      </c>
      <c r="K2876" s="2">
        <v>5.68</v>
      </c>
      <c r="L2876" s="2">
        <v>9.81</v>
      </c>
      <c r="M2876" s="2">
        <v>15.04</v>
      </c>
      <c r="N2876" s="2">
        <v>3.6152809590000001</v>
      </c>
      <c r="O2876" s="2">
        <v>3.483104419</v>
      </c>
      <c r="P2876" s="2">
        <v>2.0895448679999999</v>
      </c>
      <c r="Q2876" s="2">
        <v>1.9385629609999999</v>
      </c>
      <c r="R2876" s="2">
        <v>1.7238672589999999</v>
      </c>
      <c r="S2876" s="2">
        <v>1.513867259</v>
      </c>
      <c r="T2876" s="2">
        <v>1.1808807859999999</v>
      </c>
      <c r="U2876" s="2">
        <v>1.2108807859999999</v>
      </c>
      <c r="V2876" s="2">
        <v>2.5076994099999999</v>
      </c>
      <c r="W2876" s="2">
        <v>2.3430159239999999</v>
      </c>
      <c r="X2876">
        <f t="shared" si="132"/>
        <v>1</v>
      </c>
      <c r="Y2876">
        <f t="shared" si="133"/>
        <v>0</v>
      </c>
      <c r="Z2876">
        <f t="shared" si="134"/>
        <v>1</v>
      </c>
    </row>
    <row r="2877" spans="1:26" ht="15.75" customHeight="1" x14ac:dyDescent="0.2">
      <c r="A2877" s="2" t="s">
        <v>36</v>
      </c>
      <c r="B2877" s="2" t="s">
        <v>24</v>
      </c>
      <c r="C2877" s="2" t="s">
        <v>25</v>
      </c>
      <c r="D2877" s="2" t="s">
        <v>25</v>
      </c>
      <c r="E2877" s="2">
        <v>275</v>
      </c>
      <c r="F2877" s="2">
        <v>139</v>
      </c>
      <c r="G2877" s="2">
        <v>532</v>
      </c>
      <c r="H2877" s="2">
        <v>1392</v>
      </c>
      <c r="I2877" s="2">
        <v>2477</v>
      </c>
      <c r="J2877" s="2">
        <v>1.25</v>
      </c>
      <c r="K2877" s="2">
        <v>5.2</v>
      </c>
      <c r="L2877" s="2">
        <v>10.61</v>
      </c>
      <c r="M2877" s="2">
        <v>14.44</v>
      </c>
      <c r="N2877" s="2">
        <v>0.18968901299999999</v>
      </c>
      <c r="O2877" s="2">
        <v>0.50307412600000001</v>
      </c>
      <c r="P2877" s="2">
        <v>1.29484333</v>
      </c>
      <c r="Q2877" s="2">
        <v>1.107008502</v>
      </c>
      <c r="R2877" s="2">
        <v>1.2363033299999999</v>
      </c>
      <c r="S2877" s="2">
        <v>1.02630333</v>
      </c>
      <c r="T2877" s="2">
        <v>0.384932883</v>
      </c>
      <c r="U2877" s="2">
        <v>0.41493288299999997</v>
      </c>
      <c r="V2877" s="2">
        <v>2.0201354810000001</v>
      </c>
      <c r="W2877" s="2">
        <v>1.8554519949999999</v>
      </c>
      <c r="X2877">
        <f t="shared" si="132"/>
        <v>1</v>
      </c>
      <c r="Y2877">
        <f t="shared" si="133"/>
        <v>0</v>
      </c>
      <c r="Z2877">
        <f t="shared" si="134"/>
        <v>0</v>
      </c>
    </row>
    <row r="2878" spans="1:26" ht="15.75" customHeight="1" x14ac:dyDescent="0.2">
      <c r="A2878" s="2" t="s">
        <v>36</v>
      </c>
      <c r="B2878" s="2" t="s">
        <v>24</v>
      </c>
      <c r="C2878" s="2" t="s">
        <v>30</v>
      </c>
      <c r="D2878" s="2" t="s">
        <v>31</v>
      </c>
      <c r="E2878" s="2">
        <v>128</v>
      </c>
      <c r="F2878" s="2">
        <v>139</v>
      </c>
      <c r="G2878" s="2">
        <v>499</v>
      </c>
      <c r="H2878" s="2">
        <v>1291</v>
      </c>
      <c r="I2878" s="2">
        <v>2749</v>
      </c>
      <c r="J2878" s="2">
        <v>1.24</v>
      </c>
      <c r="K2878" s="2">
        <v>4.91</v>
      </c>
      <c r="L2878" s="2">
        <v>10.119999999999999</v>
      </c>
      <c r="M2878" s="2">
        <v>15.12</v>
      </c>
      <c r="N2878" s="2">
        <v>2.9830955659999998</v>
      </c>
      <c r="O2878" s="2">
        <v>2.8775316659999999</v>
      </c>
      <c r="P2878" s="2">
        <v>1.288792774</v>
      </c>
      <c r="Q2878" s="2">
        <v>1.166363869</v>
      </c>
      <c r="R2878" s="2">
        <v>0.94760303700000004</v>
      </c>
      <c r="S2878" s="2">
        <v>0.73760303699999996</v>
      </c>
      <c r="T2878" s="2">
        <v>0.87351891699999995</v>
      </c>
      <c r="U2878" s="2">
        <v>0.90351891699999998</v>
      </c>
      <c r="V2878" s="2">
        <v>1.7314351880000001</v>
      </c>
      <c r="W2878" s="2">
        <v>1.5667517019999999</v>
      </c>
      <c r="X2878">
        <f t="shared" si="132"/>
        <v>1</v>
      </c>
      <c r="Y2878">
        <f t="shared" si="133"/>
        <v>0</v>
      </c>
      <c r="Z2878">
        <f t="shared" si="134"/>
        <v>1</v>
      </c>
    </row>
    <row r="2879" spans="1:26" ht="15.75" customHeight="1" x14ac:dyDescent="0.2">
      <c r="A2879" s="2" t="s">
        <v>36</v>
      </c>
      <c r="B2879" s="2" t="s">
        <v>24</v>
      </c>
      <c r="C2879" s="2" t="s">
        <v>25</v>
      </c>
      <c r="D2879" s="2" t="s">
        <v>25</v>
      </c>
      <c r="E2879" s="2">
        <v>182</v>
      </c>
      <c r="F2879" s="2">
        <v>122</v>
      </c>
      <c r="G2879" s="2">
        <v>589</v>
      </c>
      <c r="H2879" s="2">
        <v>1285</v>
      </c>
      <c r="I2879" s="2">
        <v>2148</v>
      </c>
      <c r="J2879" s="2">
        <v>1.05</v>
      </c>
      <c r="K2879" s="2">
        <v>5.67</v>
      </c>
      <c r="L2879" s="2">
        <v>10.08</v>
      </c>
      <c r="M2879" s="2">
        <v>13.49</v>
      </c>
      <c r="N2879" s="2">
        <v>0.28546247800000002</v>
      </c>
      <c r="O2879" s="2">
        <v>0.32968657000000001</v>
      </c>
      <c r="P2879" s="2">
        <v>1.3667232739999999</v>
      </c>
      <c r="Q2879" s="2">
        <v>1.2904876599999999</v>
      </c>
      <c r="R2879" s="2">
        <v>1.3250137310000001</v>
      </c>
      <c r="S2879" s="2">
        <v>1.1650137309999999</v>
      </c>
      <c r="T2879" s="2">
        <v>0.33506883100000001</v>
      </c>
      <c r="U2879" s="2">
        <v>0.55506883100000004</v>
      </c>
      <c r="V2879" s="2">
        <v>2.2567380799999999</v>
      </c>
      <c r="W2879" s="2">
        <v>2.1170839049999999</v>
      </c>
      <c r="X2879">
        <f t="shared" si="132"/>
        <v>1</v>
      </c>
      <c r="Y2879">
        <f t="shared" si="133"/>
        <v>0</v>
      </c>
      <c r="Z2879">
        <f t="shared" si="134"/>
        <v>0</v>
      </c>
    </row>
    <row r="2880" spans="1:26" ht="15.75" customHeight="1" x14ac:dyDescent="0.2">
      <c r="A2880" s="2" t="s">
        <v>36</v>
      </c>
      <c r="B2880" s="2" t="s">
        <v>24</v>
      </c>
      <c r="C2880" s="2" t="s">
        <v>26</v>
      </c>
      <c r="D2880" s="2" t="s">
        <v>26</v>
      </c>
      <c r="E2880" s="2">
        <v>142</v>
      </c>
      <c r="F2880" s="2">
        <v>140</v>
      </c>
      <c r="G2880" s="2">
        <v>451</v>
      </c>
      <c r="H2880" s="2">
        <v>898</v>
      </c>
      <c r="I2880" s="2">
        <v>2221</v>
      </c>
      <c r="J2880" s="2">
        <v>1.25</v>
      </c>
      <c r="K2880" s="2">
        <v>4.49</v>
      </c>
      <c r="L2880" s="2">
        <v>7.9</v>
      </c>
      <c r="M2880" s="2">
        <v>13.71</v>
      </c>
      <c r="N2880" s="2">
        <v>0.54873444800000004</v>
      </c>
      <c r="O2880" s="2">
        <v>1.11136715</v>
      </c>
      <c r="P2880" s="2">
        <v>2.528339694</v>
      </c>
      <c r="Q2880" s="2">
        <v>2.744025921</v>
      </c>
      <c r="R2880" s="2">
        <v>0.14807298899999999</v>
      </c>
      <c r="S2880" s="2">
        <v>1.1927011E-2</v>
      </c>
      <c r="T2880" s="2">
        <v>2.524</v>
      </c>
      <c r="U2880" s="2">
        <v>2.7440000000000002</v>
      </c>
      <c r="V2880" s="2">
        <v>1.0797973380000001</v>
      </c>
      <c r="W2880" s="2">
        <v>0.940143163</v>
      </c>
      <c r="X2880">
        <f t="shared" si="132"/>
        <v>1</v>
      </c>
      <c r="Y2880">
        <f t="shared" si="133"/>
        <v>0</v>
      </c>
      <c r="Z2880">
        <f t="shared" si="134"/>
        <v>0</v>
      </c>
    </row>
    <row r="2881" spans="1:26" ht="15.75" customHeight="1" x14ac:dyDescent="0.2">
      <c r="A2881" s="2" t="s">
        <v>36</v>
      </c>
      <c r="B2881" s="2" t="s">
        <v>24</v>
      </c>
      <c r="C2881" s="2" t="s">
        <v>27</v>
      </c>
      <c r="D2881" s="2" t="s">
        <v>27</v>
      </c>
      <c r="E2881" s="2">
        <v>140</v>
      </c>
      <c r="F2881" s="2">
        <v>144</v>
      </c>
      <c r="G2881" s="2">
        <v>429</v>
      </c>
      <c r="H2881" s="2">
        <v>1725</v>
      </c>
      <c r="I2881" s="2">
        <v>2522</v>
      </c>
      <c r="J2881" s="2">
        <v>1.3</v>
      </c>
      <c r="K2881" s="2">
        <v>4.28</v>
      </c>
      <c r="L2881" s="2">
        <v>12.02</v>
      </c>
      <c r="M2881" s="2">
        <v>14.56</v>
      </c>
      <c r="N2881" s="2">
        <v>0.12011857200000001</v>
      </c>
      <c r="O2881" s="2">
        <v>0.14690862900000001</v>
      </c>
      <c r="P2881" s="2">
        <v>1.602391991</v>
      </c>
      <c r="Q2881" s="2">
        <v>1.398155869</v>
      </c>
      <c r="R2881" s="2">
        <v>5.5646714E-2</v>
      </c>
      <c r="S2881" s="2">
        <v>0.21564671399999999</v>
      </c>
      <c r="T2881" s="2">
        <v>1.6014254699999999</v>
      </c>
      <c r="U2881" s="2">
        <v>1.3814254699999999</v>
      </c>
      <c r="V2881" s="2">
        <v>0.87607763500000002</v>
      </c>
      <c r="W2881" s="2">
        <v>0.73642346000000003</v>
      </c>
      <c r="X2881">
        <f t="shared" si="132"/>
        <v>1</v>
      </c>
      <c r="Y2881">
        <f t="shared" si="133"/>
        <v>0</v>
      </c>
      <c r="Z2881">
        <f t="shared" si="134"/>
        <v>0</v>
      </c>
    </row>
    <row r="2882" spans="1:26" ht="15.75" customHeight="1" x14ac:dyDescent="0.2">
      <c r="A2882" s="2" t="s">
        <v>36</v>
      </c>
      <c r="B2882" s="2" t="s">
        <v>24</v>
      </c>
      <c r="C2882" s="2" t="s">
        <v>28</v>
      </c>
      <c r="D2882" s="2" t="s">
        <v>29</v>
      </c>
      <c r="E2882" s="2">
        <v>170</v>
      </c>
      <c r="F2882" s="2">
        <v>136</v>
      </c>
      <c r="G2882" s="2">
        <v>534</v>
      </c>
      <c r="H2882" s="2">
        <v>1261</v>
      </c>
      <c r="I2882" s="2">
        <v>2260</v>
      </c>
      <c r="J2882" s="2">
        <v>1.21</v>
      </c>
      <c r="K2882" s="2">
        <v>5.21</v>
      </c>
      <c r="L2882" s="2">
        <v>9.9700000000000006</v>
      </c>
      <c r="M2882" s="2">
        <v>13.83</v>
      </c>
      <c r="N2882" s="2">
        <v>1.6614202039999999</v>
      </c>
      <c r="O2882" s="2">
        <v>1.0878822050000001</v>
      </c>
      <c r="P2882" s="2">
        <v>0.98343131900000003</v>
      </c>
      <c r="Q2882" s="2">
        <v>0.98018149799999998</v>
      </c>
      <c r="R2882" s="2">
        <v>0.87320860600000005</v>
      </c>
      <c r="S2882" s="2">
        <v>0.71320860600000002</v>
      </c>
      <c r="T2882" s="2">
        <v>0.45237582799999998</v>
      </c>
      <c r="U2882" s="2">
        <v>0.67237582799999995</v>
      </c>
      <c r="V2882" s="2">
        <v>1.804932955</v>
      </c>
      <c r="W2882" s="2">
        <v>1.66527878</v>
      </c>
      <c r="X2882">
        <f t="shared" si="132"/>
        <v>1</v>
      </c>
      <c r="Y2882">
        <f t="shared" si="133"/>
        <v>0</v>
      </c>
      <c r="Z2882">
        <f t="shared" si="134"/>
        <v>1</v>
      </c>
    </row>
    <row r="2883" spans="1:26" ht="15.75" customHeight="1" x14ac:dyDescent="0.2">
      <c r="A2883" s="2" t="s">
        <v>36</v>
      </c>
      <c r="B2883" s="2" t="s">
        <v>24</v>
      </c>
      <c r="C2883" s="2" t="s">
        <v>30</v>
      </c>
      <c r="D2883" s="2" t="s">
        <v>31</v>
      </c>
      <c r="E2883" s="2">
        <v>204</v>
      </c>
      <c r="F2883" s="2">
        <v>126</v>
      </c>
      <c r="G2883" s="2">
        <v>528</v>
      </c>
      <c r="H2883" s="2">
        <v>1263</v>
      </c>
      <c r="I2883" s="2">
        <v>2113</v>
      </c>
      <c r="J2883" s="2">
        <v>1.0900000000000001</v>
      </c>
      <c r="K2883" s="2">
        <v>5.16</v>
      </c>
      <c r="L2883" s="2">
        <v>9.98</v>
      </c>
      <c r="M2883" s="2">
        <v>13.38</v>
      </c>
      <c r="N2883" s="2">
        <v>2.1603340850000001</v>
      </c>
      <c r="O2883" s="2">
        <v>2.0792258189999999</v>
      </c>
      <c r="P2883" s="2">
        <v>0.93458192399999995</v>
      </c>
      <c r="Q2883" s="2">
        <v>0.93787289100000004</v>
      </c>
      <c r="R2883" s="2">
        <v>0.82241125299999995</v>
      </c>
      <c r="S2883" s="2">
        <v>0.66241125300000003</v>
      </c>
      <c r="T2883" s="2">
        <v>0.443940428</v>
      </c>
      <c r="U2883" s="2">
        <v>0.66394042799999997</v>
      </c>
      <c r="V2883" s="2">
        <v>1.754135601</v>
      </c>
      <c r="W2883" s="2">
        <v>1.6144814270000001</v>
      </c>
      <c r="X2883">
        <f t="shared" ref="X2883:X2946" si="135">IF(B2883="normal",1,0)</f>
        <v>1</v>
      </c>
      <c r="Y2883">
        <f t="shared" ref="Y2883:Y2946" si="136">IF(A2883="lecture",1,0)</f>
        <v>0</v>
      </c>
      <c r="Z2883">
        <f t="shared" ref="Z2883:Z2946" si="137">IF(ISNUMBER(FIND("~",D2883)),1,0)</f>
        <v>1</v>
      </c>
    </row>
    <row r="2884" spans="1:26" ht="15.75" customHeight="1" x14ac:dyDescent="0.2">
      <c r="A2884" s="2" t="s">
        <v>36</v>
      </c>
      <c r="B2884" s="2" t="s">
        <v>24</v>
      </c>
      <c r="C2884" s="2" t="s">
        <v>26</v>
      </c>
      <c r="D2884" s="2" t="s">
        <v>26</v>
      </c>
      <c r="E2884" s="2">
        <v>123</v>
      </c>
      <c r="F2884" s="2">
        <v>140</v>
      </c>
      <c r="G2884" s="2">
        <v>518</v>
      </c>
      <c r="H2884" s="2">
        <v>1438</v>
      </c>
      <c r="I2884" s="2">
        <v>2590</v>
      </c>
      <c r="J2884" s="2">
        <v>1.26</v>
      </c>
      <c r="K2884" s="2">
        <v>5.07</v>
      </c>
      <c r="L2884" s="2">
        <v>10.82</v>
      </c>
      <c r="M2884" s="2">
        <v>14.73</v>
      </c>
      <c r="N2884" s="2">
        <v>2.4301662209999999</v>
      </c>
      <c r="O2884" s="2">
        <v>1.9017707349999999</v>
      </c>
      <c r="P2884" s="2">
        <v>0.83167793599999995</v>
      </c>
      <c r="Q2884" s="2">
        <v>0.59790400099999996</v>
      </c>
      <c r="R2884" s="2">
        <v>0.73149737699999995</v>
      </c>
      <c r="S2884" s="2">
        <v>0.57149737700000003</v>
      </c>
      <c r="T2884" s="2">
        <v>0.39572689799999999</v>
      </c>
      <c r="U2884" s="2">
        <v>0.17572689799999999</v>
      </c>
      <c r="V2884" s="2">
        <v>1.6632217250000001</v>
      </c>
      <c r="W2884" s="2">
        <v>1.523567551</v>
      </c>
      <c r="X2884">
        <f t="shared" si="135"/>
        <v>1</v>
      </c>
      <c r="Y2884">
        <f t="shared" si="136"/>
        <v>0</v>
      </c>
      <c r="Z2884">
        <f t="shared" si="137"/>
        <v>0</v>
      </c>
    </row>
    <row r="2885" spans="1:26" ht="15.75" customHeight="1" x14ac:dyDescent="0.2">
      <c r="A2885" s="2" t="s">
        <v>36</v>
      </c>
      <c r="B2885" s="2" t="s">
        <v>24</v>
      </c>
      <c r="C2885" s="2" t="s">
        <v>28</v>
      </c>
      <c r="D2885" s="2" t="s">
        <v>29</v>
      </c>
      <c r="E2885" s="2">
        <v>133</v>
      </c>
      <c r="F2885" s="2">
        <v>146</v>
      </c>
      <c r="G2885" s="2">
        <v>583</v>
      </c>
      <c r="H2885" s="2">
        <v>1618</v>
      </c>
      <c r="I2885" s="2">
        <v>2342</v>
      </c>
      <c r="J2885" s="2">
        <v>1.33</v>
      </c>
      <c r="K2885" s="2">
        <v>5.62</v>
      </c>
      <c r="L2885" s="2">
        <v>11.59</v>
      </c>
      <c r="M2885" s="2">
        <v>14.06</v>
      </c>
      <c r="N2885" s="2">
        <v>3.3254801249999999</v>
      </c>
      <c r="O2885" s="2">
        <v>2.7622536449999999</v>
      </c>
      <c r="P2885" s="2">
        <v>1.7350508840000001</v>
      </c>
      <c r="Q2885" s="2">
        <v>1.469445984</v>
      </c>
      <c r="R2885" s="2">
        <v>1.2790825690000001</v>
      </c>
      <c r="S2885" s="2">
        <v>1.1190825689999999</v>
      </c>
      <c r="T2885" s="2">
        <v>1.17232647</v>
      </c>
      <c r="U2885" s="2">
        <v>0.95232647000000004</v>
      </c>
      <c r="V2885" s="2">
        <v>2.2108069179999998</v>
      </c>
      <c r="W2885" s="2">
        <v>2.0711527429999999</v>
      </c>
      <c r="X2885">
        <f t="shared" si="135"/>
        <v>1</v>
      </c>
      <c r="Y2885">
        <f t="shared" si="136"/>
        <v>0</v>
      </c>
      <c r="Z2885">
        <f t="shared" si="137"/>
        <v>1</v>
      </c>
    </row>
    <row r="2886" spans="1:26" ht="15.75" customHeight="1" x14ac:dyDescent="0.2">
      <c r="A2886" s="2" t="s">
        <v>36</v>
      </c>
      <c r="B2886" s="2" t="s">
        <v>24</v>
      </c>
      <c r="C2886" s="2" t="s">
        <v>32</v>
      </c>
      <c r="D2886" s="2" t="s">
        <v>33</v>
      </c>
      <c r="E2886" s="2">
        <v>181</v>
      </c>
      <c r="F2886" s="2">
        <v>135</v>
      </c>
      <c r="G2886" s="2">
        <v>679</v>
      </c>
      <c r="H2886" s="2">
        <v>1012</v>
      </c>
      <c r="I2886" s="2">
        <v>2112</v>
      </c>
      <c r="J2886" s="2">
        <v>1.2</v>
      </c>
      <c r="K2886" s="2">
        <v>6.37</v>
      </c>
      <c r="L2886" s="2">
        <v>8.6</v>
      </c>
      <c r="M2886" s="2">
        <v>13.38</v>
      </c>
      <c r="N2886" s="2">
        <v>1.899862347</v>
      </c>
      <c r="O2886" s="2">
        <v>1.9233571979999999</v>
      </c>
      <c r="P2886" s="2">
        <v>2.7255598280000002</v>
      </c>
      <c r="Q2886" s="2">
        <v>2.7667466190000001</v>
      </c>
      <c r="R2886" s="2">
        <v>2.0280636599999999</v>
      </c>
      <c r="S2886" s="2">
        <v>1.86806366</v>
      </c>
      <c r="T2886" s="2">
        <v>1.8208882909999999</v>
      </c>
      <c r="U2886" s="2">
        <v>2.0408882909999999</v>
      </c>
      <c r="V2886" s="2">
        <v>2.9597880089999999</v>
      </c>
      <c r="W2886" s="2">
        <v>2.820133835</v>
      </c>
      <c r="X2886">
        <f t="shared" si="135"/>
        <v>1</v>
      </c>
      <c r="Y2886">
        <f t="shared" si="136"/>
        <v>0</v>
      </c>
      <c r="Z2886">
        <f t="shared" si="137"/>
        <v>1</v>
      </c>
    </row>
    <row r="2887" spans="1:26" ht="15.75" customHeight="1" x14ac:dyDescent="0.2">
      <c r="A2887" s="2" t="s">
        <v>36</v>
      </c>
      <c r="B2887" s="2" t="s">
        <v>24</v>
      </c>
      <c r="C2887" s="2" t="s">
        <v>32</v>
      </c>
      <c r="D2887" s="2" t="s">
        <v>33</v>
      </c>
      <c r="E2887" s="2">
        <v>194</v>
      </c>
      <c r="F2887" s="2">
        <v>144</v>
      </c>
      <c r="G2887" s="2">
        <v>638</v>
      </c>
      <c r="H2887" s="2">
        <v>1110</v>
      </c>
      <c r="I2887" s="2">
        <v>2159</v>
      </c>
      <c r="J2887" s="2">
        <v>1.3</v>
      </c>
      <c r="K2887" s="2">
        <v>6.05</v>
      </c>
      <c r="L2887" s="2">
        <v>9.17</v>
      </c>
      <c r="M2887" s="2">
        <v>13.52</v>
      </c>
      <c r="N2887" s="2">
        <v>1.261294747</v>
      </c>
      <c r="O2887" s="2">
        <v>1.288614862</v>
      </c>
      <c r="P2887" s="2">
        <v>2.1239775320000001</v>
      </c>
      <c r="Q2887" s="2">
        <v>2.1421696269999999</v>
      </c>
      <c r="R2887" s="2">
        <v>1.71382602</v>
      </c>
      <c r="S2887" s="2">
        <v>1.55382602</v>
      </c>
      <c r="T2887" s="2">
        <v>1.2546238190000001</v>
      </c>
      <c r="U2887" s="2">
        <v>1.4746238190000001</v>
      </c>
      <c r="V2887" s="2">
        <v>2.645550369</v>
      </c>
      <c r="W2887" s="2">
        <v>2.505896194</v>
      </c>
      <c r="X2887">
        <f t="shared" si="135"/>
        <v>1</v>
      </c>
      <c r="Y2887">
        <f t="shared" si="136"/>
        <v>0</v>
      </c>
      <c r="Z2887">
        <f t="shared" si="137"/>
        <v>1</v>
      </c>
    </row>
    <row r="2888" spans="1:26" ht="15.75" customHeight="1" x14ac:dyDescent="0.2">
      <c r="A2888" s="2" t="s">
        <v>36</v>
      </c>
      <c r="B2888" s="2" t="s">
        <v>24</v>
      </c>
      <c r="C2888" s="2" t="s">
        <v>25</v>
      </c>
      <c r="D2888" s="2" t="s">
        <v>25</v>
      </c>
      <c r="E2888" s="2">
        <v>202</v>
      </c>
      <c r="F2888" s="2">
        <v>136</v>
      </c>
      <c r="G2888" s="2">
        <v>613</v>
      </c>
      <c r="H2888" s="2">
        <v>1399</v>
      </c>
      <c r="I2888" s="2">
        <v>2414</v>
      </c>
      <c r="J2888" s="2">
        <v>1.21</v>
      </c>
      <c r="K2888" s="2">
        <v>5.85</v>
      </c>
      <c r="L2888" s="2">
        <v>10.64</v>
      </c>
      <c r="M2888" s="2">
        <v>14.27</v>
      </c>
      <c r="N2888" s="2">
        <v>0.31966254199999999</v>
      </c>
      <c r="O2888" s="2">
        <v>0.26456234200000001</v>
      </c>
      <c r="P2888" s="2">
        <v>1.530225795</v>
      </c>
      <c r="Q2888" s="2">
        <v>1.354658549</v>
      </c>
      <c r="R2888" s="2">
        <v>1.514656647</v>
      </c>
      <c r="S2888" s="2">
        <v>1.3546566470000001</v>
      </c>
      <c r="T2888" s="2">
        <v>0.21772970799999999</v>
      </c>
      <c r="U2888" s="2">
        <v>2.2702920000000001E-3</v>
      </c>
      <c r="V2888" s="2">
        <v>2.4463809959999998</v>
      </c>
      <c r="W2888" s="2">
        <v>2.3067268209999998</v>
      </c>
      <c r="X2888">
        <f t="shared" si="135"/>
        <v>1</v>
      </c>
      <c r="Y2888">
        <f t="shared" si="136"/>
        <v>0</v>
      </c>
      <c r="Z2888">
        <f t="shared" si="137"/>
        <v>0</v>
      </c>
    </row>
    <row r="2889" spans="1:26" ht="15.75" customHeight="1" x14ac:dyDescent="0.2">
      <c r="A2889" s="2" t="s">
        <v>36</v>
      </c>
      <c r="B2889" s="2" t="s">
        <v>24</v>
      </c>
      <c r="C2889" s="2" t="s">
        <v>32</v>
      </c>
      <c r="D2889" s="2" t="s">
        <v>33</v>
      </c>
      <c r="E2889" s="2">
        <v>119</v>
      </c>
      <c r="F2889" s="2">
        <v>146</v>
      </c>
      <c r="G2889" s="2">
        <v>633</v>
      </c>
      <c r="H2889" s="2">
        <v>1303</v>
      </c>
      <c r="I2889" s="2">
        <v>2234</v>
      </c>
      <c r="J2889" s="2">
        <v>1.32</v>
      </c>
      <c r="K2889" s="2">
        <v>6.01</v>
      </c>
      <c r="L2889" s="2">
        <v>10.17</v>
      </c>
      <c r="M2889" s="2">
        <v>13.75</v>
      </c>
      <c r="N2889" s="2">
        <v>0.38783280999999997</v>
      </c>
      <c r="O2889" s="2">
        <v>0.37747321700000003</v>
      </c>
      <c r="P2889" s="2">
        <v>1.6927540139999999</v>
      </c>
      <c r="Q2889" s="2">
        <v>1.584799568</v>
      </c>
      <c r="R2889" s="2">
        <v>1.674824528</v>
      </c>
      <c r="S2889" s="2">
        <v>1.5148245279999999</v>
      </c>
      <c r="T2889" s="2">
        <v>0.24572129100000001</v>
      </c>
      <c r="U2889" s="2">
        <v>0.46572129099999998</v>
      </c>
      <c r="V2889" s="2">
        <v>2.6065488760000002</v>
      </c>
      <c r="W2889" s="2">
        <v>2.4668947019999998</v>
      </c>
      <c r="X2889">
        <f t="shared" si="135"/>
        <v>1</v>
      </c>
      <c r="Y2889">
        <f t="shared" si="136"/>
        <v>0</v>
      </c>
      <c r="Z2889">
        <f t="shared" si="137"/>
        <v>1</v>
      </c>
    </row>
    <row r="2890" spans="1:26" ht="15.75" customHeight="1" x14ac:dyDescent="0.2">
      <c r="A2890" s="2" t="s">
        <v>36</v>
      </c>
      <c r="B2890" s="2" t="s">
        <v>24</v>
      </c>
      <c r="C2890" s="2" t="s">
        <v>32</v>
      </c>
      <c r="D2890" s="2" t="s">
        <v>33</v>
      </c>
      <c r="E2890" s="2">
        <v>149</v>
      </c>
      <c r="F2890" s="2">
        <v>140</v>
      </c>
      <c r="G2890" s="2">
        <v>626</v>
      </c>
      <c r="H2890" s="2">
        <v>1268</v>
      </c>
      <c r="I2890" s="2">
        <v>2215</v>
      </c>
      <c r="J2890" s="2">
        <v>1.26</v>
      </c>
      <c r="K2890" s="2">
        <v>5.96</v>
      </c>
      <c r="L2890" s="2">
        <v>10</v>
      </c>
      <c r="M2890" s="2">
        <v>13.69</v>
      </c>
      <c r="N2890" s="2">
        <v>0.46135937199999999</v>
      </c>
      <c r="O2890" s="2">
        <v>0.47260917299999999</v>
      </c>
      <c r="P2890" s="2">
        <v>1.670663867</v>
      </c>
      <c r="Q2890" s="2">
        <v>1.5911593180000001</v>
      </c>
      <c r="R2890" s="2">
        <v>1.6173494909999999</v>
      </c>
      <c r="S2890" s="2">
        <v>1.457349491</v>
      </c>
      <c r="T2890" s="2">
        <v>0.41868649299999999</v>
      </c>
      <c r="U2890" s="2">
        <v>0.63868649300000002</v>
      </c>
      <c r="V2890" s="2">
        <v>2.5490738400000001</v>
      </c>
      <c r="W2890" s="2">
        <v>2.4094196650000002</v>
      </c>
      <c r="X2890">
        <f t="shared" si="135"/>
        <v>1</v>
      </c>
      <c r="Y2890">
        <f t="shared" si="136"/>
        <v>0</v>
      </c>
      <c r="Z2890">
        <f t="shared" si="137"/>
        <v>1</v>
      </c>
    </row>
    <row r="2891" spans="1:26" ht="15.75" customHeight="1" x14ac:dyDescent="0.2">
      <c r="A2891" s="2" t="s">
        <v>36</v>
      </c>
      <c r="B2891" s="2" t="s">
        <v>24</v>
      </c>
      <c r="C2891" s="2" t="s">
        <v>25</v>
      </c>
      <c r="D2891" s="2" t="s">
        <v>25</v>
      </c>
      <c r="E2891" s="2">
        <v>92</v>
      </c>
      <c r="F2891" s="2">
        <v>145</v>
      </c>
      <c r="G2891" s="2">
        <v>577</v>
      </c>
      <c r="H2891" s="2">
        <v>1363</v>
      </c>
      <c r="I2891" s="2">
        <v>2400</v>
      </c>
      <c r="J2891" s="2">
        <v>1.32</v>
      </c>
      <c r="K2891" s="2">
        <v>5.57</v>
      </c>
      <c r="L2891" s="2">
        <v>10.47</v>
      </c>
      <c r="M2891" s="2">
        <v>14.23</v>
      </c>
      <c r="N2891" s="2">
        <v>0.145247034</v>
      </c>
      <c r="O2891" s="2">
        <v>0.15959209099999999</v>
      </c>
      <c r="P2891" s="2">
        <v>1.231052816</v>
      </c>
      <c r="Q2891" s="2">
        <v>1.0844211770000001</v>
      </c>
      <c r="R2891" s="2">
        <v>1.230225959</v>
      </c>
      <c r="S2891" s="2">
        <v>1.0702259590000001</v>
      </c>
      <c r="T2891" s="2">
        <v>4.5112359999999997E-2</v>
      </c>
      <c r="U2891" s="2">
        <v>0.17488764000000001</v>
      </c>
      <c r="V2891" s="2">
        <v>2.1619503080000002</v>
      </c>
      <c r="W2891" s="2">
        <v>2.0222961330000002</v>
      </c>
      <c r="X2891">
        <f t="shared" si="135"/>
        <v>1</v>
      </c>
      <c r="Y2891">
        <f t="shared" si="136"/>
        <v>0</v>
      </c>
      <c r="Z2891">
        <f t="shared" si="137"/>
        <v>0</v>
      </c>
    </row>
    <row r="2892" spans="1:26" ht="15.75" customHeight="1" x14ac:dyDescent="0.2">
      <c r="A2892" s="2" t="s">
        <v>36</v>
      </c>
      <c r="B2892" s="2" t="s">
        <v>24</v>
      </c>
      <c r="C2892" s="2" t="s">
        <v>25</v>
      </c>
      <c r="D2892" s="2" t="s">
        <v>25</v>
      </c>
      <c r="E2892" s="2">
        <v>124</v>
      </c>
      <c r="F2892" s="2">
        <v>124</v>
      </c>
      <c r="G2892" s="2">
        <v>611</v>
      </c>
      <c r="H2892" s="2">
        <v>1382</v>
      </c>
      <c r="I2892" s="2">
        <v>2377</v>
      </c>
      <c r="J2892" s="2">
        <v>1.07</v>
      </c>
      <c r="K2892" s="2">
        <v>5.84</v>
      </c>
      <c r="L2892" s="2">
        <v>10.56</v>
      </c>
      <c r="M2892" s="2">
        <v>14.16</v>
      </c>
      <c r="N2892" s="2">
        <v>0.24964972599999999</v>
      </c>
      <c r="O2892" s="2">
        <v>0.19325176199999999</v>
      </c>
      <c r="P2892" s="2">
        <v>1.510398355</v>
      </c>
      <c r="Q2892" s="2">
        <v>1.346554102</v>
      </c>
      <c r="R2892" s="2">
        <v>1.504065336</v>
      </c>
      <c r="S2892" s="2">
        <v>1.3440653360000001</v>
      </c>
      <c r="T2892" s="2">
        <v>0.13816894399999999</v>
      </c>
      <c r="U2892" s="2">
        <v>8.1831055999999999E-2</v>
      </c>
      <c r="V2892" s="2">
        <v>2.435789685</v>
      </c>
      <c r="W2892" s="2">
        <v>2.29613551</v>
      </c>
      <c r="X2892">
        <f t="shared" si="135"/>
        <v>1</v>
      </c>
      <c r="Y2892">
        <f t="shared" si="136"/>
        <v>0</v>
      </c>
      <c r="Z2892">
        <f t="shared" si="137"/>
        <v>0</v>
      </c>
    </row>
    <row r="2893" spans="1:26" ht="15.75" customHeight="1" x14ac:dyDescent="0.2">
      <c r="A2893" s="2" t="s">
        <v>36</v>
      </c>
      <c r="B2893" s="2" t="s">
        <v>24</v>
      </c>
      <c r="C2893" s="2" t="s">
        <v>27</v>
      </c>
      <c r="D2893" s="2" t="s">
        <v>27</v>
      </c>
      <c r="E2893" s="2">
        <v>155</v>
      </c>
      <c r="F2893" s="2">
        <v>139</v>
      </c>
      <c r="G2893" s="2">
        <v>411</v>
      </c>
      <c r="H2893" s="2">
        <v>1652</v>
      </c>
      <c r="I2893" s="2">
        <v>2421</v>
      </c>
      <c r="J2893" s="2">
        <v>1.25</v>
      </c>
      <c r="K2893" s="2">
        <v>4.12</v>
      </c>
      <c r="L2893" s="2">
        <v>11.73</v>
      </c>
      <c r="M2893" s="2">
        <v>14.29</v>
      </c>
      <c r="N2893" s="2">
        <v>0.21542383700000001</v>
      </c>
      <c r="O2893" s="2">
        <v>0.282006056</v>
      </c>
      <c r="P2893" s="2">
        <v>1.329370129</v>
      </c>
      <c r="Q2893" s="2">
        <v>1.155770387</v>
      </c>
      <c r="R2893" s="2">
        <v>0.22263180099999999</v>
      </c>
      <c r="S2893" s="2">
        <v>0.38263180099999999</v>
      </c>
      <c r="T2893" s="2">
        <v>1.310595293</v>
      </c>
      <c r="U2893" s="2">
        <v>1.090595293</v>
      </c>
      <c r="V2893" s="2">
        <v>0.70909254799999999</v>
      </c>
      <c r="W2893" s="2">
        <v>0.569438373</v>
      </c>
      <c r="X2893">
        <f t="shared" si="135"/>
        <v>1</v>
      </c>
      <c r="Y2893">
        <f t="shared" si="136"/>
        <v>0</v>
      </c>
      <c r="Z2893">
        <f t="shared" si="137"/>
        <v>0</v>
      </c>
    </row>
    <row r="2894" spans="1:26" ht="15.75" customHeight="1" x14ac:dyDescent="0.2">
      <c r="A2894" s="2" t="s">
        <v>36</v>
      </c>
      <c r="B2894" s="2" t="s">
        <v>24</v>
      </c>
      <c r="C2894" s="2" t="s">
        <v>30</v>
      </c>
      <c r="D2894" s="2" t="s">
        <v>31</v>
      </c>
      <c r="E2894" s="2">
        <v>190</v>
      </c>
      <c r="F2894" s="2">
        <v>130</v>
      </c>
      <c r="G2894" s="2">
        <v>586</v>
      </c>
      <c r="H2894" s="2">
        <v>1143</v>
      </c>
      <c r="I2894" s="2">
        <v>2128</v>
      </c>
      <c r="J2894" s="2">
        <v>1.1399999999999999</v>
      </c>
      <c r="K2894" s="2">
        <v>5.64</v>
      </c>
      <c r="L2894" s="2">
        <v>9.35</v>
      </c>
      <c r="M2894" s="2">
        <v>13.43</v>
      </c>
      <c r="N2894" s="2">
        <v>2.9375524560000001</v>
      </c>
      <c r="O2894" s="2">
        <v>2.85025811</v>
      </c>
      <c r="P2894" s="2">
        <v>1.683863074</v>
      </c>
      <c r="Q2894" s="2">
        <v>1.7222039060000001</v>
      </c>
      <c r="R2894" s="2">
        <v>1.2980201650000001</v>
      </c>
      <c r="S2894" s="2">
        <v>1.1380201649999999</v>
      </c>
      <c r="T2894" s="2">
        <v>1.0726315790000001</v>
      </c>
      <c r="U2894" s="2">
        <v>1.292631579</v>
      </c>
      <c r="V2894" s="2">
        <v>2.2297445140000001</v>
      </c>
      <c r="W2894" s="2">
        <v>2.0900903390000001</v>
      </c>
      <c r="X2894">
        <f t="shared" si="135"/>
        <v>1</v>
      </c>
      <c r="Y2894">
        <f t="shared" si="136"/>
        <v>0</v>
      </c>
      <c r="Z2894">
        <f t="shared" si="137"/>
        <v>1</v>
      </c>
    </row>
    <row r="2895" spans="1:26" ht="15.75" customHeight="1" x14ac:dyDescent="0.2">
      <c r="A2895" s="2" t="s">
        <v>36</v>
      </c>
      <c r="B2895" s="2" t="s">
        <v>24</v>
      </c>
      <c r="C2895" s="2" t="s">
        <v>28</v>
      </c>
      <c r="D2895" s="2" t="s">
        <v>29</v>
      </c>
      <c r="E2895" s="2">
        <v>141</v>
      </c>
      <c r="F2895" s="2">
        <v>131</v>
      </c>
      <c r="G2895" s="2">
        <v>539</v>
      </c>
      <c r="H2895" s="2">
        <v>1377</v>
      </c>
      <c r="I2895" s="2">
        <v>2337</v>
      </c>
      <c r="J2895" s="2">
        <v>1.1499999999999999</v>
      </c>
      <c r="K2895" s="2">
        <v>5.25</v>
      </c>
      <c r="L2895" s="2">
        <v>10.53</v>
      </c>
      <c r="M2895" s="2">
        <v>14.05</v>
      </c>
      <c r="N2895" s="2">
        <v>2.2037626829999999</v>
      </c>
      <c r="O2895" s="2">
        <v>1.6464004350000001</v>
      </c>
      <c r="P2895" s="2">
        <v>0.91674004600000003</v>
      </c>
      <c r="Q2895" s="2">
        <v>0.75733476600000005</v>
      </c>
      <c r="R2895" s="2">
        <v>0.90974386299999999</v>
      </c>
      <c r="S2895" s="2">
        <v>0.74974386299999995</v>
      </c>
      <c r="T2895" s="2">
        <v>0.11304165400000001</v>
      </c>
      <c r="U2895" s="2">
        <v>0.106958346</v>
      </c>
      <c r="V2895" s="2">
        <v>1.8414682120000001</v>
      </c>
      <c r="W2895" s="2">
        <v>1.701814038</v>
      </c>
      <c r="X2895">
        <f t="shared" si="135"/>
        <v>1</v>
      </c>
      <c r="Y2895">
        <f t="shared" si="136"/>
        <v>0</v>
      </c>
      <c r="Z2895">
        <f t="shared" si="137"/>
        <v>1</v>
      </c>
    </row>
    <row r="2896" spans="1:26" ht="15.75" customHeight="1" x14ac:dyDescent="0.2">
      <c r="A2896" s="2" t="s">
        <v>36</v>
      </c>
      <c r="B2896" s="2" t="s">
        <v>24</v>
      </c>
      <c r="C2896" s="2" t="s">
        <v>28</v>
      </c>
      <c r="D2896" s="2" t="s">
        <v>29</v>
      </c>
      <c r="E2896" s="2">
        <v>162</v>
      </c>
      <c r="F2896" s="2">
        <v>134</v>
      </c>
      <c r="G2896" s="2">
        <v>522</v>
      </c>
      <c r="H2896" s="2">
        <v>1272</v>
      </c>
      <c r="I2896" s="2">
        <v>2241</v>
      </c>
      <c r="J2896" s="2">
        <v>1.19</v>
      </c>
      <c r="K2896" s="2">
        <v>5.1100000000000003</v>
      </c>
      <c r="L2896" s="2">
        <v>10.02</v>
      </c>
      <c r="M2896" s="2">
        <v>13.77</v>
      </c>
      <c r="N2896" s="2">
        <v>1.6713719069999999</v>
      </c>
      <c r="O2896" s="2">
        <v>1.1153480149999999</v>
      </c>
      <c r="P2896" s="2">
        <v>0.86396860200000003</v>
      </c>
      <c r="Q2896" s="2">
        <v>0.866901908</v>
      </c>
      <c r="R2896" s="2">
        <v>0.76568166599999998</v>
      </c>
      <c r="S2896" s="2">
        <v>0.60568166599999995</v>
      </c>
      <c r="T2896" s="2">
        <v>0.40021660599999997</v>
      </c>
      <c r="U2896" s="2">
        <v>0.62021660599999995</v>
      </c>
      <c r="V2896" s="2">
        <v>1.697406014</v>
      </c>
      <c r="W2896" s="2">
        <v>1.5577518400000001</v>
      </c>
      <c r="X2896">
        <f t="shared" si="135"/>
        <v>1</v>
      </c>
      <c r="Y2896">
        <f t="shared" si="136"/>
        <v>0</v>
      </c>
      <c r="Z2896">
        <f t="shared" si="137"/>
        <v>1</v>
      </c>
    </row>
    <row r="2897" spans="1:26" ht="15.75" customHeight="1" x14ac:dyDescent="0.2">
      <c r="A2897" s="2" t="s">
        <v>36</v>
      </c>
      <c r="B2897" s="2" t="s">
        <v>24</v>
      </c>
      <c r="C2897" s="2" t="s">
        <v>32</v>
      </c>
      <c r="D2897" s="2" t="s">
        <v>33</v>
      </c>
      <c r="E2897" s="2">
        <v>168</v>
      </c>
      <c r="F2897" s="2">
        <v>131</v>
      </c>
      <c r="G2897" s="2">
        <v>639</v>
      </c>
      <c r="H2897" s="2">
        <v>1487</v>
      </c>
      <c r="I2897" s="2">
        <v>2329</v>
      </c>
      <c r="J2897" s="2">
        <v>1.1499999999999999</v>
      </c>
      <c r="K2897" s="2">
        <v>6.06</v>
      </c>
      <c r="L2897" s="2">
        <v>11.04</v>
      </c>
      <c r="M2897" s="2">
        <v>14.03</v>
      </c>
      <c r="N2897" s="2">
        <v>0.76719560799999997</v>
      </c>
      <c r="O2897" s="2">
        <v>0.71275240500000003</v>
      </c>
      <c r="P2897" s="2">
        <v>1.8283445570000001</v>
      </c>
      <c r="Q2897" s="2">
        <v>1.6109266630000001</v>
      </c>
      <c r="R2897" s="2">
        <v>1.721608311</v>
      </c>
      <c r="S2897" s="2">
        <v>1.5616083110000001</v>
      </c>
      <c r="T2897" s="2">
        <v>0.615555556</v>
      </c>
      <c r="U2897" s="2">
        <v>0.39555555599999997</v>
      </c>
      <c r="V2897" s="2">
        <v>2.6533326599999998</v>
      </c>
      <c r="W2897" s="2">
        <v>2.5136784849999998</v>
      </c>
      <c r="X2897">
        <f t="shared" si="135"/>
        <v>1</v>
      </c>
      <c r="Y2897">
        <f t="shared" si="136"/>
        <v>0</v>
      </c>
      <c r="Z2897">
        <f t="shared" si="137"/>
        <v>1</v>
      </c>
    </row>
    <row r="2898" spans="1:26" ht="15.75" customHeight="1" x14ac:dyDescent="0.2">
      <c r="A2898" s="2" t="s">
        <v>36</v>
      </c>
      <c r="B2898" s="2" t="s">
        <v>24</v>
      </c>
      <c r="C2898" s="2" t="s">
        <v>26</v>
      </c>
      <c r="D2898" s="2" t="s">
        <v>26</v>
      </c>
      <c r="E2898" s="2">
        <v>137</v>
      </c>
      <c r="F2898" s="2">
        <v>143</v>
      </c>
      <c r="G2898" s="2">
        <v>413</v>
      </c>
      <c r="H2898" s="2">
        <v>901</v>
      </c>
      <c r="I2898" s="2">
        <v>2342</v>
      </c>
      <c r="J2898" s="2">
        <v>1.3</v>
      </c>
      <c r="K2898" s="2">
        <v>4.13</v>
      </c>
      <c r="L2898" s="2">
        <v>7.92</v>
      </c>
      <c r="M2898" s="2">
        <v>14.07</v>
      </c>
      <c r="N2898" s="2">
        <v>0.67654997800000005</v>
      </c>
      <c r="O2898" s="2">
        <v>1.2763000680000001</v>
      </c>
      <c r="P2898" s="2">
        <v>2.5132694020000002</v>
      </c>
      <c r="Q2898" s="2">
        <v>2.7493385620000002</v>
      </c>
      <c r="R2898" s="2">
        <v>0.207063782</v>
      </c>
      <c r="S2898" s="2">
        <v>0.36706378200000001</v>
      </c>
      <c r="T2898" s="2">
        <v>2.5047250700000001</v>
      </c>
      <c r="U2898" s="2">
        <v>2.7247250699999999</v>
      </c>
      <c r="V2898" s="2">
        <v>0.72466056700000003</v>
      </c>
      <c r="W2898" s="2">
        <v>0.58500639200000004</v>
      </c>
      <c r="X2898">
        <f t="shared" si="135"/>
        <v>1</v>
      </c>
      <c r="Y2898">
        <f t="shared" si="136"/>
        <v>0</v>
      </c>
      <c r="Z2898">
        <f t="shared" si="137"/>
        <v>0</v>
      </c>
    </row>
    <row r="2899" spans="1:26" ht="15.75" customHeight="1" x14ac:dyDescent="0.2">
      <c r="A2899" s="2" t="s">
        <v>36</v>
      </c>
      <c r="B2899" s="2" t="s">
        <v>24</v>
      </c>
      <c r="C2899" s="2" t="s">
        <v>25</v>
      </c>
      <c r="D2899" s="2" t="s">
        <v>25</v>
      </c>
      <c r="E2899" s="2">
        <v>120</v>
      </c>
      <c r="F2899" s="2">
        <v>134</v>
      </c>
      <c r="G2899" s="2">
        <v>614</v>
      </c>
      <c r="H2899" s="2">
        <v>1265</v>
      </c>
      <c r="I2899" s="2">
        <v>2431</v>
      </c>
      <c r="J2899" s="2">
        <v>1.18</v>
      </c>
      <c r="K2899" s="2">
        <v>5.87</v>
      </c>
      <c r="L2899" s="2">
        <v>9.98</v>
      </c>
      <c r="M2899" s="2">
        <v>14.31</v>
      </c>
      <c r="N2899" s="2">
        <v>0.42770736599999998</v>
      </c>
      <c r="O2899" s="2">
        <v>0.44961731700000002</v>
      </c>
      <c r="P2899" s="2">
        <v>1.586196736</v>
      </c>
      <c r="Q2899" s="2">
        <v>1.514453796</v>
      </c>
      <c r="R2899" s="2">
        <v>1.525236985</v>
      </c>
      <c r="S2899" s="2">
        <v>1.3652369849999999</v>
      </c>
      <c r="T2899" s="2">
        <v>0.43551374799999998</v>
      </c>
      <c r="U2899" s="2">
        <v>0.65551374799999995</v>
      </c>
      <c r="V2899" s="2">
        <v>2.4569613339999998</v>
      </c>
      <c r="W2899" s="2">
        <v>2.3173071589999998</v>
      </c>
      <c r="X2899">
        <f t="shared" si="135"/>
        <v>1</v>
      </c>
      <c r="Y2899">
        <f t="shared" si="136"/>
        <v>0</v>
      </c>
      <c r="Z2899">
        <f t="shared" si="137"/>
        <v>0</v>
      </c>
    </row>
    <row r="2900" spans="1:26" ht="15.75" customHeight="1" x14ac:dyDescent="0.2">
      <c r="A2900" s="2" t="s">
        <v>36</v>
      </c>
      <c r="B2900" s="2" t="s">
        <v>24</v>
      </c>
      <c r="C2900" s="2" t="s">
        <v>30</v>
      </c>
      <c r="D2900" s="2" t="s">
        <v>31</v>
      </c>
      <c r="E2900" s="2">
        <v>200</v>
      </c>
      <c r="F2900" s="2">
        <v>133</v>
      </c>
      <c r="G2900" s="2">
        <v>664</v>
      </c>
      <c r="H2900" s="2">
        <v>1082</v>
      </c>
      <c r="I2900" s="2">
        <v>2141</v>
      </c>
      <c r="J2900" s="2">
        <v>1.17</v>
      </c>
      <c r="K2900" s="2">
        <v>6.25</v>
      </c>
      <c r="L2900" s="2">
        <v>9.01</v>
      </c>
      <c r="M2900" s="2">
        <v>13.47</v>
      </c>
      <c r="N2900" s="2">
        <v>3.5522765839999999</v>
      </c>
      <c r="O2900" s="2">
        <v>3.4543941349999998</v>
      </c>
      <c r="P2900" s="2">
        <v>2.3787473619999999</v>
      </c>
      <c r="Q2900" s="2">
        <v>2.396085029</v>
      </c>
      <c r="R2900" s="2">
        <v>1.914237805</v>
      </c>
      <c r="S2900" s="2">
        <v>1.754237805</v>
      </c>
      <c r="T2900" s="2">
        <v>1.4121376139999999</v>
      </c>
      <c r="U2900" s="2">
        <v>1.6321376139999999</v>
      </c>
      <c r="V2900" s="2">
        <v>2.845962154</v>
      </c>
      <c r="W2900" s="2">
        <v>2.706307979</v>
      </c>
      <c r="X2900">
        <f t="shared" si="135"/>
        <v>1</v>
      </c>
      <c r="Y2900">
        <f t="shared" si="136"/>
        <v>0</v>
      </c>
      <c r="Z2900">
        <f t="shared" si="137"/>
        <v>1</v>
      </c>
    </row>
    <row r="2901" spans="1:26" ht="15.75" customHeight="1" x14ac:dyDescent="0.2">
      <c r="A2901" s="2" t="s">
        <v>36</v>
      </c>
      <c r="B2901" s="2" t="s">
        <v>24</v>
      </c>
      <c r="C2901" s="2" t="s">
        <v>27</v>
      </c>
      <c r="D2901" s="2" t="s">
        <v>27</v>
      </c>
      <c r="E2901" s="2">
        <v>129</v>
      </c>
      <c r="F2901" s="2">
        <v>136</v>
      </c>
      <c r="G2901" s="2">
        <v>406</v>
      </c>
      <c r="H2901" s="2">
        <v>1711</v>
      </c>
      <c r="I2901" s="2">
        <v>2494</v>
      </c>
      <c r="J2901" s="2">
        <v>1.21</v>
      </c>
      <c r="K2901" s="2">
        <v>4.07</v>
      </c>
      <c r="L2901" s="2">
        <v>11.96</v>
      </c>
      <c r="M2901" s="2">
        <v>14.48</v>
      </c>
      <c r="N2901" s="2">
        <v>0.15294174599999999</v>
      </c>
      <c r="O2901" s="2">
        <v>0.286193111</v>
      </c>
      <c r="P2901" s="2">
        <v>1.5672499769999999</v>
      </c>
      <c r="Q2901" s="2">
        <v>1.391381142</v>
      </c>
      <c r="R2901" s="2">
        <v>0.26633892100000001</v>
      </c>
      <c r="S2901" s="2">
        <v>0.42633892099999998</v>
      </c>
      <c r="T2901" s="2">
        <v>1.544453324</v>
      </c>
      <c r="U2901" s="2">
        <v>1.324453324</v>
      </c>
      <c r="V2901" s="2">
        <v>0.665385428</v>
      </c>
      <c r="W2901" s="2">
        <v>0.52573125300000001</v>
      </c>
      <c r="X2901">
        <f t="shared" si="135"/>
        <v>1</v>
      </c>
      <c r="Y2901">
        <f t="shared" si="136"/>
        <v>0</v>
      </c>
      <c r="Z2901">
        <f t="shared" si="137"/>
        <v>0</v>
      </c>
    </row>
    <row r="2902" spans="1:26" ht="15.75" customHeight="1" x14ac:dyDescent="0.2">
      <c r="A2902" s="2" t="s">
        <v>36</v>
      </c>
      <c r="B2902" s="2" t="s">
        <v>24</v>
      </c>
      <c r="C2902" s="2" t="s">
        <v>30</v>
      </c>
      <c r="D2902" s="2" t="s">
        <v>31</v>
      </c>
      <c r="E2902" s="2">
        <v>157</v>
      </c>
      <c r="F2902" s="2">
        <v>126</v>
      </c>
      <c r="G2902" s="2">
        <v>628</v>
      </c>
      <c r="H2902" s="2">
        <v>1218</v>
      </c>
      <c r="I2902" s="2">
        <v>2267</v>
      </c>
      <c r="J2902" s="2">
        <v>1.0900000000000001</v>
      </c>
      <c r="K2902" s="2">
        <v>5.98</v>
      </c>
      <c r="L2902" s="2">
        <v>9.75</v>
      </c>
      <c r="M2902" s="2">
        <v>13.85</v>
      </c>
      <c r="N2902" s="2">
        <v>2.7966652519999999</v>
      </c>
      <c r="O2902" s="2">
        <v>2.6928597729999999</v>
      </c>
      <c r="P2902" s="2">
        <v>1.77181893</v>
      </c>
      <c r="Q2902" s="2">
        <v>1.728005555</v>
      </c>
      <c r="R2902" s="2">
        <v>1.6382871859999999</v>
      </c>
      <c r="S2902" s="2">
        <v>1.478287186</v>
      </c>
      <c r="T2902" s="2">
        <v>0.67480176199999997</v>
      </c>
      <c r="U2902" s="2">
        <v>0.89480176199999995</v>
      </c>
      <c r="V2902" s="2">
        <v>2.5700115349999999</v>
      </c>
      <c r="W2902" s="2">
        <v>2.4303573599999999</v>
      </c>
      <c r="X2902">
        <f t="shared" si="135"/>
        <v>1</v>
      </c>
      <c r="Y2902">
        <f t="shared" si="136"/>
        <v>0</v>
      </c>
      <c r="Z2902">
        <f t="shared" si="137"/>
        <v>1</v>
      </c>
    </row>
    <row r="2903" spans="1:26" ht="15.75" customHeight="1" x14ac:dyDescent="0.2">
      <c r="A2903" s="2" t="s">
        <v>36</v>
      </c>
      <c r="B2903" s="2" t="s">
        <v>24</v>
      </c>
      <c r="C2903" s="2" t="s">
        <v>27</v>
      </c>
      <c r="D2903" s="2" t="s">
        <v>27</v>
      </c>
      <c r="E2903" s="2">
        <v>150</v>
      </c>
      <c r="F2903" s="2">
        <v>140</v>
      </c>
      <c r="G2903" s="2">
        <v>417</v>
      </c>
      <c r="H2903" s="2">
        <v>1696</v>
      </c>
      <c r="I2903" s="2">
        <v>2469</v>
      </c>
      <c r="J2903" s="2">
        <v>1.26</v>
      </c>
      <c r="K2903" s="2">
        <v>4.17</v>
      </c>
      <c r="L2903" s="2">
        <v>11.91</v>
      </c>
      <c r="M2903" s="2">
        <v>14.42</v>
      </c>
      <c r="N2903" s="2">
        <v>4.8825980999999997E-2</v>
      </c>
      <c r="O2903" s="2">
        <v>0.177386453</v>
      </c>
      <c r="P2903" s="2">
        <v>1.495035074</v>
      </c>
      <c r="Q2903" s="2">
        <v>1.3071941119999999</v>
      </c>
      <c r="R2903" s="2">
        <v>0.166689104</v>
      </c>
      <c r="S2903" s="2">
        <v>0.32668910400000001</v>
      </c>
      <c r="T2903" s="2">
        <v>1.485713504</v>
      </c>
      <c r="U2903" s="2">
        <v>1.265713504</v>
      </c>
      <c r="V2903" s="2">
        <v>0.76503524499999997</v>
      </c>
      <c r="W2903" s="2">
        <v>0.62538106999999998</v>
      </c>
      <c r="X2903">
        <f t="shared" si="135"/>
        <v>1</v>
      </c>
      <c r="Y2903">
        <f t="shared" si="136"/>
        <v>0</v>
      </c>
      <c r="Z2903">
        <f t="shared" si="137"/>
        <v>0</v>
      </c>
    </row>
    <row r="2904" spans="1:26" ht="15.75" customHeight="1" x14ac:dyDescent="0.2">
      <c r="A2904" s="2" t="s">
        <v>36</v>
      </c>
      <c r="B2904" s="2" t="s">
        <v>24</v>
      </c>
      <c r="C2904" s="2" t="s">
        <v>26</v>
      </c>
      <c r="D2904" s="2" t="s">
        <v>26</v>
      </c>
      <c r="E2904" s="2">
        <v>167</v>
      </c>
      <c r="F2904" s="2">
        <v>143</v>
      </c>
      <c r="G2904" s="2">
        <v>463</v>
      </c>
      <c r="H2904" s="2">
        <v>990</v>
      </c>
      <c r="I2904" s="2">
        <v>2921</v>
      </c>
      <c r="J2904" s="2">
        <v>1.29</v>
      </c>
      <c r="K2904" s="2">
        <v>4.59</v>
      </c>
      <c r="L2904" s="2">
        <v>8.4700000000000006</v>
      </c>
      <c r="M2904" s="2">
        <v>15.51</v>
      </c>
      <c r="N2904" s="2">
        <v>4.1922948000000002E-2</v>
      </c>
      <c r="O2904" s="2">
        <v>0.55861396900000004</v>
      </c>
      <c r="P2904" s="2">
        <v>1.9666897240000001</v>
      </c>
      <c r="Q2904" s="2">
        <v>2.1725988620000001</v>
      </c>
      <c r="R2904" s="2">
        <v>0.250016511</v>
      </c>
      <c r="S2904" s="2">
        <v>9.0016510999999994E-2</v>
      </c>
      <c r="T2904" s="2">
        <v>1.9507332500000001</v>
      </c>
      <c r="U2904" s="2">
        <v>2.1707332500000001</v>
      </c>
      <c r="V2904" s="2">
        <v>1.1817408599999999</v>
      </c>
      <c r="W2904" s="2">
        <v>1.0420866849999999</v>
      </c>
      <c r="X2904">
        <f t="shared" si="135"/>
        <v>1</v>
      </c>
      <c r="Y2904">
        <f t="shared" si="136"/>
        <v>0</v>
      </c>
      <c r="Z2904">
        <f t="shared" si="137"/>
        <v>0</v>
      </c>
    </row>
    <row r="2905" spans="1:26" ht="15.75" customHeight="1" x14ac:dyDescent="0.2">
      <c r="A2905" s="2" t="s">
        <v>36</v>
      </c>
      <c r="B2905" s="2" t="s">
        <v>24</v>
      </c>
      <c r="C2905" s="2" t="s">
        <v>27</v>
      </c>
      <c r="D2905" s="2" t="s">
        <v>27</v>
      </c>
      <c r="E2905" s="2">
        <v>165</v>
      </c>
      <c r="F2905" s="2">
        <v>143</v>
      </c>
      <c r="G2905" s="2">
        <v>427</v>
      </c>
      <c r="H2905" s="2">
        <v>1737</v>
      </c>
      <c r="I2905" s="2">
        <v>2409</v>
      </c>
      <c r="J2905" s="2">
        <v>1.29</v>
      </c>
      <c r="K2905" s="2">
        <v>4.2699999999999996</v>
      </c>
      <c r="L2905" s="2">
        <v>12.07</v>
      </c>
      <c r="M2905" s="2">
        <v>14.25</v>
      </c>
      <c r="N2905" s="2">
        <v>0.15318715799999999</v>
      </c>
      <c r="O2905" s="2">
        <v>0.19296462</v>
      </c>
      <c r="P2905" s="2">
        <v>1.64667125</v>
      </c>
      <c r="Q2905" s="2">
        <v>1.443740113</v>
      </c>
      <c r="R2905" s="2">
        <v>7.1002513000000003E-2</v>
      </c>
      <c r="S2905" s="2">
        <v>0.23100251299999999</v>
      </c>
      <c r="T2905" s="2">
        <v>1.645139766</v>
      </c>
      <c r="U2905" s="2">
        <v>1.425139766</v>
      </c>
      <c r="V2905" s="2">
        <v>0.86072183599999996</v>
      </c>
      <c r="W2905" s="2">
        <v>0.72106766099999997</v>
      </c>
      <c r="X2905">
        <f t="shared" si="135"/>
        <v>1</v>
      </c>
      <c r="Y2905">
        <f t="shared" si="136"/>
        <v>0</v>
      </c>
      <c r="Z2905">
        <f t="shared" si="137"/>
        <v>0</v>
      </c>
    </row>
    <row r="2906" spans="1:26" ht="15.75" customHeight="1" x14ac:dyDescent="0.2">
      <c r="A2906" s="2" t="s">
        <v>36</v>
      </c>
      <c r="B2906" s="2" t="s">
        <v>24</v>
      </c>
      <c r="C2906" s="2" t="s">
        <v>30</v>
      </c>
      <c r="D2906" s="2" t="s">
        <v>31</v>
      </c>
      <c r="E2906" s="2">
        <v>173</v>
      </c>
      <c r="F2906" s="2">
        <v>131</v>
      </c>
      <c r="G2906" s="2">
        <v>592</v>
      </c>
      <c r="H2906" s="2">
        <v>1088</v>
      </c>
      <c r="I2906" s="2">
        <v>2109</v>
      </c>
      <c r="J2906" s="2">
        <v>1.1499999999999999</v>
      </c>
      <c r="K2906" s="2">
        <v>5.69</v>
      </c>
      <c r="L2906" s="2">
        <v>9.0399999999999991</v>
      </c>
      <c r="M2906" s="2">
        <v>13.37</v>
      </c>
      <c r="N2906" s="2">
        <v>3.2348268170000001</v>
      </c>
      <c r="O2906" s="2">
        <v>3.1507118940000001</v>
      </c>
      <c r="P2906" s="2">
        <v>1.931359512</v>
      </c>
      <c r="Q2906" s="2">
        <v>1.995101885</v>
      </c>
      <c r="R2906" s="2">
        <v>1.349247649</v>
      </c>
      <c r="S2906" s="2">
        <v>1.1892476489999999</v>
      </c>
      <c r="T2906" s="2">
        <v>1.3819118450000001</v>
      </c>
      <c r="U2906" s="2">
        <v>1.6019118450000001</v>
      </c>
      <c r="V2906" s="2">
        <v>2.2809719980000001</v>
      </c>
      <c r="W2906" s="2">
        <v>2.1413178230000001</v>
      </c>
      <c r="X2906">
        <f t="shared" si="135"/>
        <v>1</v>
      </c>
      <c r="Y2906">
        <f t="shared" si="136"/>
        <v>0</v>
      </c>
      <c r="Z2906">
        <f t="shared" si="137"/>
        <v>1</v>
      </c>
    </row>
    <row r="2907" spans="1:26" ht="15.75" customHeight="1" x14ac:dyDescent="0.2">
      <c r="A2907" s="2" t="s">
        <v>36</v>
      </c>
      <c r="B2907" s="2" t="s">
        <v>24</v>
      </c>
      <c r="C2907" s="2" t="s">
        <v>27</v>
      </c>
      <c r="D2907" s="2" t="s">
        <v>27</v>
      </c>
      <c r="E2907" s="2">
        <v>121</v>
      </c>
      <c r="F2907" s="2">
        <v>141</v>
      </c>
      <c r="G2907" s="2">
        <v>453</v>
      </c>
      <c r="H2907" s="2">
        <v>1602</v>
      </c>
      <c r="I2907" s="2">
        <v>2432</v>
      </c>
      <c r="J2907" s="2">
        <v>1.27</v>
      </c>
      <c r="K2907" s="2">
        <v>4.5</v>
      </c>
      <c r="L2907" s="2">
        <v>11.53</v>
      </c>
      <c r="M2907" s="2">
        <v>14.32</v>
      </c>
      <c r="N2907" s="2">
        <v>0.48202064</v>
      </c>
      <c r="O2907" s="2">
        <v>0.392144467</v>
      </c>
      <c r="P2907" s="2">
        <v>1.1192381490000001</v>
      </c>
      <c r="Q2907" s="2">
        <v>0.88772600400000001</v>
      </c>
      <c r="R2907" s="2">
        <v>0.16011605400000001</v>
      </c>
      <c r="S2907" s="2">
        <v>1.16054E-4</v>
      </c>
      <c r="T2907" s="2">
        <v>1.107725997</v>
      </c>
      <c r="U2907" s="2">
        <v>0.88772599699999999</v>
      </c>
      <c r="V2907" s="2">
        <v>1.091840403</v>
      </c>
      <c r="W2907" s="2">
        <v>0.95218622799999997</v>
      </c>
      <c r="X2907">
        <f t="shared" si="135"/>
        <v>1</v>
      </c>
      <c r="Y2907">
        <f t="shared" si="136"/>
        <v>0</v>
      </c>
      <c r="Z2907">
        <f t="shared" si="137"/>
        <v>0</v>
      </c>
    </row>
    <row r="2908" spans="1:26" ht="15.75" customHeight="1" x14ac:dyDescent="0.2">
      <c r="A2908" s="2" t="s">
        <v>36</v>
      </c>
      <c r="B2908" s="2" t="s">
        <v>24</v>
      </c>
      <c r="C2908" s="2" t="s">
        <v>26</v>
      </c>
      <c r="D2908" s="2" t="s">
        <v>26</v>
      </c>
      <c r="E2908" s="2">
        <v>158</v>
      </c>
      <c r="F2908" s="2">
        <v>137</v>
      </c>
      <c r="G2908" s="2">
        <v>450</v>
      </c>
      <c r="H2908" s="2">
        <v>971</v>
      </c>
      <c r="I2908" s="2">
        <v>2263</v>
      </c>
      <c r="J2908" s="2">
        <v>1.22</v>
      </c>
      <c r="K2908" s="2">
        <v>4.47</v>
      </c>
      <c r="L2908" s="2">
        <v>8.35</v>
      </c>
      <c r="M2908" s="2">
        <v>13.84</v>
      </c>
      <c r="N2908" s="2">
        <v>0.125358895</v>
      </c>
      <c r="O2908" s="2">
        <v>0.72456824399999997</v>
      </c>
      <c r="P2908" s="2">
        <v>2.0745225839999999</v>
      </c>
      <c r="Q2908" s="2">
        <v>2.2904139190000001</v>
      </c>
      <c r="R2908" s="2">
        <v>0.13300041500000001</v>
      </c>
      <c r="S2908" s="2">
        <v>2.6999585E-2</v>
      </c>
      <c r="T2908" s="2">
        <v>2.0702547770000002</v>
      </c>
      <c r="U2908" s="2">
        <v>2.2902547769999999</v>
      </c>
      <c r="V2908" s="2">
        <v>1.0647247639999999</v>
      </c>
      <c r="W2908" s="2">
        <v>0.92507058900000005</v>
      </c>
      <c r="X2908">
        <f t="shared" si="135"/>
        <v>1</v>
      </c>
      <c r="Y2908">
        <f t="shared" si="136"/>
        <v>0</v>
      </c>
      <c r="Z2908">
        <f t="shared" si="137"/>
        <v>0</v>
      </c>
    </row>
    <row r="2909" spans="1:26" ht="15.75" customHeight="1" x14ac:dyDescent="0.2">
      <c r="A2909" s="2" t="s">
        <v>36</v>
      </c>
      <c r="B2909" s="2" t="s">
        <v>24</v>
      </c>
      <c r="C2909" s="2" t="s">
        <v>30</v>
      </c>
      <c r="D2909" s="2" t="s">
        <v>31</v>
      </c>
      <c r="E2909" s="2">
        <v>157</v>
      </c>
      <c r="F2909" s="2">
        <v>135</v>
      </c>
      <c r="G2909" s="2">
        <v>617</v>
      </c>
      <c r="H2909" s="2">
        <v>1195</v>
      </c>
      <c r="I2909" s="2">
        <v>2115</v>
      </c>
      <c r="J2909" s="2">
        <v>1.2</v>
      </c>
      <c r="K2909" s="2">
        <v>5.89</v>
      </c>
      <c r="L2909" s="2">
        <v>9.6300000000000008</v>
      </c>
      <c r="M2909" s="2">
        <v>13.39</v>
      </c>
      <c r="N2909" s="2">
        <v>2.838114687</v>
      </c>
      <c r="O2909" s="2">
        <v>2.738695624</v>
      </c>
      <c r="P2909" s="2">
        <v>1.7428016749999999</v>
      </c>
      <c r="Q2909" s="2">
        <v>1.7216296470000001</v>
      </c>
      <c r="R2909" s="2">
        <v>1.5516399380000001</v>
      </c>
      <c r="S2909" s="2">
        <v>1.391639938</v>
      </c>
      <c r="T2909" s="2">
        <v>0.79358123800000002</v>
      </c>
      <c r="U2909" s="2">
        <v>1.013581238</v>
      </c>
      <c r="V2909" s="2">
        <v>2.4833642870000001</v>
      </c>
      <c r="W2909" s="2">
        <v>2.3437101120000001</v>
      </c>
      <c r="X2909">
        <f t="shared" si="135"/>
        <v>1</v>
      </c>
      <c r="Y2909">
        <f t="shared" si="136"/>
        <v>0</v>
      </c>
      <c r="Z2909">
        <f t="shared" si="137"/>
        <v>1</v>
      </c>
    </row>
    <row r="2910" spans="1:26" ht="15.75" customHeight="1" x14ac:dyDescent="0.2">
      <c r="A2910" s="2" t="s">
        <v>36</v>
      </c>
      <c r="B2910" s="2" t="s">
        <v>24</v>
      </c>
      <c r="C2910" s="2" t="s">
        <v>32</v>
      </c>
      <c r="D2910" s="2" t="s">
        <v>33</v>
      </c>
      <c r="E2910" s="2">
        <v>189</v>
      </c>
      <c r="F2910" s="2">
        <v>136</v>
      </c>
      <c r="G2910" s="2">
        <v>616</v>
      </c>
      <c r="H2910" s="2">
        <v>1058</v>
      </c>
      <c r="I2910" s="2">
        <v>2174</v>
      </c>
      <c r="J2910" s="2">
        <v>1.21</v>
      </c>
      <c r="K2910" s="2">
        <v>5.88</v>
      </c>
      <c r="L2910" s="2">
        <v>8.8699999999999992</v>
      </c>
      <c r="M2910" s="2">
        <v>13.57</v>
      </c>
      <c r="N2910" s="2">
        <v>1.514804525</v>
      </c>
      <c r="O2910" s="2">
        <v>1.549792778</v>
      </c>
      <c r="P2910" s="2">
        <v>2.1867294350000002</v>
      </c>
      <c r="Q2910" s="2">
        <v>2.246164072</v>
      </c>
      <c r="R2910" s="2">
        <v>1.5410869570000001</v>
      </c>
      <c r="S2910" s="2">
        <v>1.3810869569999999</v>
      </c>
      <c r="T2910" s="2">
        <v>1.5513982770000001</v>
      </c>
      <c r="U2910" s="2">
        <v>1.7713982770000001</v>
      </c>
      <c r="V2910" s="2">
        <v>2.472811305</v>
      </c>
      <c r="W2910" s="2">
        <v>2.3331571310000001</v>
      </c>
      <c r="X2910">
        <f t="shared" si="135"/>
        <v>1</v>
      </c>
      <c r="Y2910">
        <f t="shared" si="136"/>
        <v>0</v>
      </c>
      <c r="Z2910">
        <f t="shared" si="137"/>
        <v>1</v>
      </c>
    </row>
    <row r="2911" spans="1:26" ht="15.75" customHeight="1" x14ac:dyDescent="0.2">
      <c r="A2911" s="2" t="s">
        <v>36</v>
      </c>
      <c r="B2911" s="2" t="s">
        <v>24</v>
      </c>
      <c r="C2911" s="2" t="s">
        <v>28</v>
      </c>
      <c r="D2911" s="2" t="s">
        <v>29</v>
      </c>
      <c r="E2911" s="2">
        <v>200</v>
      </c>
      <c r="F2911" s="2">
        <v>133</v>
      </c>
      <c r="G2911" s="2">
        <v>627</v>
      </c>
      <c r="H2911" s="2">
        <v>1645</v>
      </c>
      <c r="I2911" s="2">
        <v>2328</v>
      </c>
      <c r="J2911" s="2">
        <v>1.17</v>
      </c>
      <c r="K2911" s="2">
        <v>5.97</v>
      </c>
      <c r="L2911" s="2">
        <v>11.7</v>
      </c>
      <c r="M2911" s="2">
        <v>14.03</v>
      </c>
      <c r="N2911" s="2">
        <v>3.5541826319999998</v>
      </c>
      <c r="O2911" s="2">
        <v>2.9740291170000002</v>
      </c>
      <c r="P2911" s="2">
        <v>2.0743037549999999</v>
      </c>
      <c r="Q2911" s="2">
        <v>1.814046541</v>
      </c>
      <c r="R2911" s="2">
        <v>1.630440608</v>
      </c>
      <c r="S2911" s="2">
        <v>1.4704406080000001</v>
      </c>
      <c r="T2911" s="2">
        <v>1.282341409</v>
      </c>
      <c r="U2911" s="2">
        <v>1.0623414090000001</v>
      </c>
      <c r="V2911" s="2">
        <v>2.5621649569999998</v>
      </c>
      <c r="W2911" s="2">
        <v>2.4225107819999998</v>
      </c>
      <c r="X2911">
        <f t="shared" si="135"/>
        <v>1</v>
      </c>
      <c r="Y2911">
        <f t="shared" si="136"/>
        <v>0</v>
      </c>
      <c r="Z2911">
        <f t="shared" si="137"/>
        <v>1</v>
      </c>
    </row>
    <row r="2912" spans="1:26" ht="15.75" customHeight="1" x14ac:dyDescent="0.2">
      <c r="A2912" s="2" t="s">
        <v>36</v>
      </c>
      <c r="B2912" s="2" t="s">
        <v>24</v>
      </c>
      <c r="C2912" s="2" t="s">
        <v>28</v>
      </c>
      <c r="D2912" s="2" t="s">
        <v>29</v>
      </c>
      <c r="E2912" s="2">
        <v>150</v>
      </c>
      <c r="F2912" s="2">
        <v>133</v>
      </c>
      <c r="G2912" s="2">
        <v>500</v>
      </c>
      <c r="H2912" s="2">
        <v>1478</v>
      </c>
      <c r="I2912" s="2">
        <v>2288</v>
      </c>
      <c r="J2912" s="2">
        <v>1.17</v>
      </c>
      <c r="K2912" s="2">
        <v>4.92</v>
      </c>
      <c r="L2912" s="2">
        <v>11</v>
      </c>
      <c r="M2912" s="2">
        <v>13.91</v>
      </c>
      <c r="N2912" s="2">
        <v>2.5826378970000001</v>
      </c>
      <c r="O2912" s="2">
        <v>2.0771314350000001</v>
      </c>
      <c r="P2912" s="2">
        <v>0.81969372500000004</v>
      </c>
      <c r="Q2912" s="2">
        <v>0.55289646800000003</v>
      </c>
      <c r="R2912" s="2">
        <v>0.58208101899999998</v>
      </c>
      <c r="S2912" s="2">
        <v>0.422081019</v>
      </c>
      <c r="T2912" s="2">
        <v>0.57713039300000002</v>
      </c>
      <c r="U2912" s="2">
        <v>0.35713039299999999</v>
      </c>
      <c r="V2912" s="2">
        <v>1.5138053680000001</v>
      </c>
      <c r="W2912" s="2">
        <v>1.3741511930000001</v>
      </c>
      <c r="X2912">
        <f t="shared" si="135"/>
        <v>1</v>
      </c>
      <c r="Y2912">
        <f t="shared" si="136"/>
        <v>0</v>
      </c>
      <c r="Z2912">
        <f t="shared" si="137"/>
        <v>1</v>
      </c>
    </row>
    <row r="2913" spans="1:26" ht="15.75" customHeight="1" x14ac:dyDescent="0.2">
      <c r="A2913" s="2" t="s">
        <v>36</v>
      </c>
      <c r="B2913" s="2" t="s">
        <v>24</v>
      </c>
      <c r="C2913" s="2" t="s">
        <v>26</v>
      </c>
      <c r="D2913" s="2" t="s">
        <v>26</v>
      </c>
      <c r="E2913" s="2">
        <v>181</v>
      </c>
      <c r="F2913" s="2">
        <v>139</v>
      </c>
      <c r="G2913" s="2">
        <v>465</v>
      </c>
      <c r="H2913" s="2">
        <v>850</v>
      </c>
      <c r="I2913" s="2">
        <v>2227</v>
      </c>
      <c r="J2913" s="2">
        <v>1.25</v>
      </c>
      <c r="K2913" s="2">
        <v>4.6100000000000003</v>
      </c>
      <c r="L2913" s="2">
        <v>7.58</v>
      </c>
      <c r="M2913" s="2">
        <v>13.73</v>
      </c>
      <c r="N2913" s="2">
        <v>0.86393202199999997</v>
      </c>
      <c r="O2913" s="2">
        <v>1.3775612450000001</v>
      </c>
      <c r="P2913" s="2">
        <v>2.8553107849999999</v>
      </c>
      <c r="Q2913" s="2">
        <v>3.06443895</v>
      </c>
      <c r="R2913" s="2">
        <v>0.27088659799999998</v>
      </c>
      <c r="S2913" s="2">
        <v>0.110886598</v>
      </c>
      <c r="T2913" s="2">
        <v>2.84243208</v>
      </c>
      <c r="U2913" s="2">
        <v>3.0624320799999998</v>
      </c>
      <c r="V2913" s="2">
        <v>1.2026109469999999</v>
      </c>
      <c r="W2913" s="2">
        <v>1.0629567719999999</v>
      </c>
      <c r="X2913">
        <f t="shared" si="135"/>
        <v>1</v>
      </c>
      <c r="Y2913">
        <f t="shared" si="136"/>
        <v>0</v>
      </c>
      <c r="Z2913">
        <f t="shared" si="137"/>
        <v>0</v>
      </c>
    </row>
    <row r="2914" spans="1:26" ht="15.75" customHeight="1" x14ac:dyDescent="0.2">
      <c r="A2914" s="2" t="s">
        <v>36</v>
      </c>
      <c r="B2914" s="2" t="s">
        <v>24</v>
      </c>
      <c r="C2914" s="2" t="s">
        <v>25</v>
      </c>
      <c r="D2914" s="2" t="s">
        <v>25</v>
      </c>
      <c r="E2914" s="2">
        <v>142</v>
      </c>
      <c r="F2914" s="2">
        <v>119</v>
      </c>
      <c r="G2914" s="2">
        <v>579</v>
      </c>
      <c r="H2914" s="2">
        <v>1351</v>
      </c>
      <c r="I2914" s="2">
        <v>2329</v>
      </c>
      <c r="J2914" s="2">
        <v>1</v>
      </c>
      <c r="K2914" s="2">
        <v>5.58</v>
      </c>
      <c r="L2914" s="2">
        <v>10.41</v>
      </c>
      <c r="M2914" s="2">
        <v>14.03</v>
      </c>
      <c r="N2914" s="2">
        <v>0.10705305800000001</v>
      </c>
      <c r="O2914" s="2">
        <v>0.13890054800000001</v>
      </c>
      <c r="P2914" s="2">
        <v>1.241135686</v>
      </c>
      <c r="Q2914" s="2">
        <v>1.1050935120000001</v>
      </c>
      <c r="R2914" s="2">
        <v>1.2411029410000001</v>
      </c>
      <c r="S2914" s="2">
        <v>1.0811029409999999</v>
      </c>
      <c r="T2914" s="2">
        <v>9.0155019999999999E-3</v>
      </c>
      <c r="U2914" s="2">
        <v>0.22901550200000001</v>
      </c>
      <c r="V2914" s="2">
        <v>2.1728272899999999</v>
      </c>
      <c r="W2914" s="2">
        <v>2.0331731149999999</v>
      </c>
      <c r="X2914">
        <f t="shared" si="135"/>
        <v>1</v>
      </c>
      <c r="Y2914">
        <f t="shared" si="136"/>
        <v>0</v>
      </c>
      <c r="Z2914">
        <f t="shared" si="137"/>
        <v>0</v>
      </c>
    </row>
    <row r="2915" spans="1:26" ht="15.75" customHeight="1" x14ac:dyDescent="0.2">
      <c r="A2915" s="2" t="s">
        <v>36</v>
      </c>
      <c r="B2915" s="2" t="s">
        <v>24</v>
      </c>
      <c r="C2915" s="2" t="s">
        <v>30</v>
      </c>
      <c r="D2915" s="2" t="s">
        <v>31</v>
      </c>
      <c r="E2915" s="2">
        <v>160</v>
      </c>
      <c r="F2915" s="2">
        <v>132</v>
      </c>
      <c r="G2915" s="2">
        <v>664</v>
      </c>
      <c r="H2915" s="2">
        <v>1368</v>
      </c>
      <c r="I2915" s="2">
        <v>2389</v>
      </c>
      <c r="J2915" s="2">
        <v>1.17</v>
      </c>
      <c r="K2915" s="2">
        <v>6.26</v>
      </c>
      <c r="L2915" s="2">
        <v>10.49</v>
      </c>
      <c r="M2915" s="2">
        <v>14.2</v>
      </c>
      <c r="N2915" s="2">
        <v>2.4883875199999999</v>
      </c>
      <c r="O2915" s="2">
        <v>2.3652772959999999</v>
      </c>
      <c r="P2915" s="2">
        <v>1.918075886</v>
      </c>
      <c r="Q2915" s="2">
        <v>1.763134735</v>
      </c>
      <c r="R2915" s="2">
        <v>1.916781405</v>
      </c>
      <c r="S2915" s="2">
        <v>1.7567814049999999</v>
      </c>
      <c r="T2915" s="2">
        <v>7.0456730999999995E-2</v>
      </c>
      <c r="U2915" s="2">
        <v>0.14954326900000001</v>
      </c>
      <c r="V2915" s="2">
        <v>2.8485057540000001</v>
      </c>
      <c r="W2915" s="2">
        <v>2.7088515790000001</v>
      </c>
      <c r="X2915">
        <f t="shared" si="135"/>
        <v>1</v>
      </c>
      <c r="Y2915">
        <f t="shared" si="136"/>
        <v>0</v>
      </c>
      <c r="Z2915">
        <f t="shared" si="137"/>
        <v>1</v>
      </c>
    </row>
    <row r="2916" spans="1:26" ht="15.75" customHeight="1" x14ac:dyDescent="0.2">
      <c r="A2916" s="2" t="s">
        <v>36</v>
      </c>
      <c r="B2916" s="2" t="s">
        <v>24</v>
      </c>
      <c r="C2916" s="2" t="s">
        <v>28</v>
      </c>
      <c r="D2916" s="2" t="s">
        <v>29</v>
      </c>
      <c r="E2916" s="2">
        <v>163</v>
      </c>
      <c r="F2916" s="2">
        <v>131</v>
      </c>
      <c r="G2916" s="2">
        <v>541</v>
      </c>
      <c r="H2916" s="2">
        <v>1356</v>
      </c>
      <c r="I2916" s="2">
        <v>2262</v>
      </c>
      <c r="J2916" s="2">
        <v>1.1499999999999999</v>
      </c>
      <c r="K2916" s="2">
        <v>5.27</v>
      </c>
      <c r="L2916" s="2">
        <v>10.43</v>
      </c>
      <c r="M2916" s="2">
        <v>13.83</v>
      </c>
      <c r="N2916" s="2">
        <v>2.1157767609999998</v>
      </c>
      <c r="O2916" s="2">
        <v>1.5531208839999999</v>
      </c>
      <c r="P2916" s="2">
        <v>0.92945966400000002</v>
      </c>
      <c r="Q2916" s="2">
        <v>0.79664240099999994</v>
      </c>
      <c r="R2916" s="2">
        <v>0.929364254</v>
      </c>
      <c r="S2916" s="2">
        <v>0.76936425399999997</v>
      </c>
      <c r="T2916" s="2">
        <v>1.3317249999999999E-2</v>
      </c>
      <c r="U2916" s="2">
        <v>0.20668275</v>
      </c>
      <c r="V2916" s="2">
        <v>1.861088603</v>
      </c>
      <c r="W2916" s="2">
        <v>1.721434428</v>
      </c>
      <c r="X2916">
        <f t="shared" si="135"/>
        <v>1</v>
      </c>
      <c r="Y2916">
        <f t="shared" si="136"/>
        <v>0</v>
      </c>
      <c r="Z2916">
        <f t="shared" si="137"/>
        <v>1</v>
      </c>
    </row>
    <row r="2917" spans="1:26" ht="15.75" customHeight="1" x14ac:dyDescent="0.2">
      <c r="A2917" s="2" t="s">
        <v>36</v>
      </c>
      <c r="B2917" s="2" t="s">
        <v>24</v>
      </c>
      <c r="C2917" s="2" t="s">
        <v>28</v>
      </c>
      <c r="D2917" s="2" t="s">
        <v>29</v>
      </c>
      <c r="E2917" s="2">
        <v>132</v>
      </c>
      <c r="F2917" s="2">
        <v>121</v>
      </c>
      <c r="G2917" s="2">
        <v>502</v>
      </c>
      <c r="H2917" s="2">
        <v>1326</v>
      </c>
      <c r="I2917" s="2">
        <v>2277</v>
      </c>
      <c r="J2917" s="2">
        <v>1.03</v>
      </c>
      <c r="K2917" s="2">
        <v>4.9400000000000004</v>
      </c>
      <c r="L2917" s="2">
        <v>10.29</v>
      </c>
      <c r="M2917" s="2">
        <v>13.88</v>
      </c>
      <c r="N2917" s="2">
        <v>1.8887683129999999</v>
      </c>
      <c r="O2917" s="2">
        <v>1.3704024640000001</v>
      </c>
      <c r="P2917" s="2">
        <v>0.613307457</v>
      </c>
      <c r="Q2917" s="2">
        <v>0.56161585000000003</v>
      </c>
      <c r="R2917" s="2">
        <v>0.59942872599999997</v>
      </c>
      <c r="S2917" s="2">
        <v>0.43942872599999999</v>
      </c>
      <c r="T2917" s="2">
        <v>0.12973526699999999</v>
      </c>
      <c r="U2917" s="2">
        <v>0.34973526700000002</v>
      </c>
      <c r="V2917" s="2">
        <v>1.531153075</v>
      </c>
      <c r="W2917" s="2">
        <v>1.3914989</v>
      </c>
      <c r="X2917">
        <f t="shared" si="135"/>
        <v>1</v>
      </c>
      <c r="Y2917">
        <f t="shared" si="136"/>
        <v>0</v>
      </c>
      <c r="Z2917">
        <f t="shared" si="137"/>
        <v>1</v>
      </c>
    </row>
    <row r="2918" spans="1:26" ht="15.75" customHeight="1" x14ac:dyDescent="0.2">
      <c r="A2918" s="2" t="s">
        <v>36</v>
      </c>
      <c r="B2918" s="2" t="s">
        <v>24</v>
      </c>
      <c r="C2918" s="2" t="s">
        <v>32</v>
      </c>
      <c r="D2918" s="2" t="s">
        <v>33</v>
      </c>
      <c r="E2918" s="2">
        <v>160</v>
      </c>
      <c r="F2918" s="2">
        <v>136</v>
      </c>
      <c r="G2918" s="2">
        <v>684</v>
      </c>
      <c r="H2918" s="2">
        <v>1487</v>
      </c>
      <c r="I2918" s="2">
        <v>2362</v>
      </c>
      <c r="J2918" s="2">
        <v>1.21</v>
      </c>
      <c r="K2918" s="2">
        <v>6.41</v>
      </c>
      <c r="L2918" s="2">
        <v>11.04</v>
      </c>
      <c r="M2918" s="2">
        <v>14.12</v>
      </c>
      <c r="N2918" s="2">
        <v>0.98469878399999999</v>
      </c>
      <c r="O2918" s="2">
        <v>0.92818627600000003</v>
      </c>
      <c r="P2918" s="2">
        <v>2.1554818509999998</v>
      </c>
      <c r="Q2918" s="2">
        <v>1.946336973</v>
      </c>
      <c r="R2918" s="2">
        <v>2.0657186080000001</v>
      </c>
      <c r="S2918" s="2">
        <v>1.9057186079999999</v>
      </c>
      <c r="T2918" s="2">
        <v>0.615555556</v>
      </c>
      <c r="U2918" s="2">
        <v>0.39555555599999997</v>
      </c>
      <c r="V2918" s="2">
        <v>2.9974429570000001</v>
      </c>
      <c r="W2918" s="2">
        <v>2.8577887820000001</v>
      </c>
      <c r="X2918">
        <f t="shared" si="135"/>
        <v>1</v>
      </c>
      <c r="Y2918">
        <f t="shared" si="136"/>
        <v>0</v>
      </c>
      <c r="Z2918">
        <f t="shared" si="137"/>
        <v>1</v>
      </c>
    </row>
    <row r="2919" spans="1:26" ht="15.75" customHeight="1" x14ac:dyDescent="0.2">
      <c r="A2919" s="2" t="s">
        <v>36</v>
      </c>
      <c r="B2919" s="2" t="s">
        <v>24</v>
      </c>
      <c r="C2919" s="2" t="s">
        <v>25</v>
      </c>
      <c r="D2919" s="2" t="s">
        <v>25</v>
      </c>
      <c r="E2919" s="2">
        <v>130</v>
      </c>
      <c r="F2919" s="2">
        <v>133</v>
      </c>
      <c r="G2919" s="2">
        <v>579</v>
      </c>
      <c r="H2919" s="2">
        <v>1382</v>
      </c>
      <c r="I2919" s="2">
        <v>2462</v>
      </c>
      <c r="J2919" s="2">
        <v>1.17</v>
      </c>
      <c r="K2919" s="2">
        <v>5.58</v>
      </c>
      <c r="L2919" s="2">
        <v>10.56</v>
      </c>
      <c r="M2919" s="2">
        <v>14.4</v>
      </c>
      <c r="N2919" s="2">
        <v>0.209803776</v>
      </c>
      <c r="O2919" s="2">
        <v>0.20081532699999999</v>
      </c>
      <c r="P2919" s="2">
        <v>1.248427116</v>
      </c>
      <c r="Q2919" s="2">
        <v>1.084436747</v>
      </c>
      <c r="R2919" s="2">
        <v>1.2411029410000001</v>
      </c>
      <c r="S2919" s="2">
        <v>1.0811029409999999</v>
      </c>
      <c r="T2919" s="2">
        <v>0.13503241899999999</v>
      </c>
      <c r="U2919" s="2">
        <v>8.4967581E-2</v>
      </c>
      <c r="V2919" s="2">
        <v>2.1728272899999999</v>
      </c>
      <c r="W2919" s="2">
        <v>2.0331731149999999</v>
      </c>
      <c r="X2919">
        <f t="shared" si="135"/>
        <v>1</v>
      </c>
      <c r="Y2919">
        <f t="shared" si="136"/>
        <v>0</v>
      </c>
      <c r="Z2919">
        <f t="shared" si="137"/>
        <v>0</v>
      </c>
    </row>
    <row r="2920" spans="1:26" ht="15.75" customHeight="1" x14ac:dyDescent="0.2">
      <c r="A2920" s="2" t="s">
        <v>36</v>
      </c>
      <c r="B2920" s="2" t="s">
        <v>24</v>
      </c>
      <c r="C2920" s="2" t="s">
        <v>27</v>
      </c>
      <c r="D2920" s="2" t="s">
        <v>27</v>
      </c>
      <c r="E2920" s="2">
        <v>144</v>
      </c>
      <c r="F2920" s="2">
        <v>128</v>
      </c>
      <c r="G2920" s="2">
        <v>376</v>
      </c>
      <c r="H2920" s="2">
        <v>1797</v>
      </c>
      <c r="I2920" s="2">
        <v>2547</v>
      </c>
      <c r="J2920" s="2">
        <v>1.1100000000000001</v>
      </c>
      <c r="K2920" s="2">
        <v>3.79</v>
      </c>
      <c r="L2920" s="2">
        <v>12.29</v>
      </c>
      <c r="M2920" s="2">
        <v>14.62</v>
      </c>
      <c r="N2920" s="2">
        <v>0.57305817800000003</v>
      </c>
      <c r="O2920" s="2">
        <v>0.693988787</v>
      </c>
      <c r="P2920" s="2">
        <v>1.953808225</v>
      </c>
      <c r="Q2920" s="2">
        <v>1.8012677109999999</v>
      </c>
      <c r="R2920" s="2">
        <v>0.55469178100000005</v>
      </c>
      <c r="S2920" s="2">
        <v>0.71469178099999997</v>
      </c>
      <c r="T2920" s="2">
        <v>1.873414959</v>
      </c>
      <c r="U2920" s="2">
        <v>1.653414959</v>
      </c>
      <c r="V2920" s="2">
        <v>0.37703256800000001</v>
      </c>
      <c r="W2920" s="2">
        <v>0.23737839299999999</v>
      </c>
      <c r="X2920">
        <f t="shared" si="135"/>
        <v>1</v>
      </c>
      <c r="Y2920">
        <f t="shared" si="136"/>
        <v>0</v>
      </c>
      <c r="Z2920">
        <f t="shared" si="137"/>
        <v>0</v>
      </c>
    </row>
    <row r="2921" spans="1:26" ht="15.75" customHeight="1" x14ac:dyDescent="0.2">
      <c r="A2921" s="2" t="s">
        <v>36</v>
      </c>
      <c r="B2921" s="2" t="s">
        <v>24</v>
      </c>
      <c r="C2921" s="2" t="s">
        <v>32</v>
      </c>
      <c r="D2921" s="2" t="s">
        <v>33</v>
      </c>
      <c r="E2921" s="2">
        <v>120</v>
      </c>
      <c r="F2921" s="2">
        <v>142</v>
      </c>
      <c r="G2921" s="2">
        <v>601</v>
      </c>
      <c r="H2921" s="2">
        <v>1439</v>
      </c>
      <c r="I2921" s="2">
        <v>2216</v>
      </c>
      <c r="J2921" s="2">
        <v>1.28</v>
      </c>
      <c r="K2921" s="2">
        <v>5.76</v>
      </c>
      <c r="L2921" s="2">
        <v>10.82</v>
      </c>
      <c r="M2921" s="2">
        <v>13.7</v>
      </c>
      <c r="N2921" s="2">
        <v>0.457612238</v>
      </c>
      <c r="O2921" s="2">
        <v>0.41238105800000002</v>
      </c>
      <c r="P2921" s="2">
        <v>1.4768861659999999</v>
      </c>
      <c r="Q2921" s="2">
        <v>1.274423895</v>
      </c>
      <c r="R2921" s="2">
        <v>1.4216087470000001</v>
      </c>
      <c r="S2921" s="2">
        <v>1.2616087469999999</v>
      </c>
      <c r="T2921" s="2">
        <v>0.40027655200000001</v>
      </c>
      <c r="U2921" s="2">
        <v>0.18027655200000001</v>
      </c>
      <c r="V2921" s="2">
        <v>2.353333095</v>
      </c>
      <c r="W2921" s="2">
        <v>2.2136789210000001</v>
      </c>
      <c r="X2921">
        <f t="shared" si="135"/>
        <v>1</v>
      </c>
      <c r="Y2921">
        <f t="shared" si="136"/>
        <v>0</v>
      </c>
      <c r="Z2921">
        <f t="shared" si="137"/>
        <v>1</v>
      </c>
    </row>
    <row r="2922" spans="1:26" ht="15.75" customHeight="1" x14ac:dyDescent="0.2">
      <c r="A2922" s="2" t="s">
        <v>36</v>
      </c>
      <c r="B2922" s="2" t="s">
        <v>24</v>
      </c>
      <c r="C2922" s="2" t="s">
        <v>28</v>
      </c>
      <c r="D2922" s="2" t="s">
        <v>29</v>
      </c>
      <c r="E2922" s="2">
        <v>176</v>
      </c>
      <c r="F2922" s="2">
        <v>136</v>
      </c>
      <c r="G2922" s="2">
        <v>508</v>
      </c>
      <c r="H2922" s="2">
        <v>1211</v>
      </c>
      <c r="I2922" s="2">
        <v>2168</v>
      </c>
      <c r="J2922" s="2">
        <v>1.21</v>
      </c>
      <c r="K2922" s="2">
        <v>4.99</v>
      </c>
      <c r="L2922" s="2">
        <v>9.7100000000000009</v>
      </c>
      <c r="M2922" s="2">
        <v>13.55</v>
      </c>
      <c r="N2922" s="2">
        <v>1.340005954</v>
      </c>
      <c r="O2922" s="2">
        <v>0.79191413799999999</v>
      </c>
      <c r="P2922" s="2">
        <v>0.96444127300000004</v>
      </c>
      <c r="Q2922" s="2">
        <v>1.0529496759999999</v>
      </c>
      <c r="R2922" s="2">
        <v>0.65130317400000004</v>
      </c>
      <c r="S2922" s="2">
        <v>0.49130317400000001</v>
      </c>
      <c r="T2922" s="2">
        <v>0.71130242799999999</v>
      </c>
      <c r="U2922" s="2">
        <v>0.93130242799999996</v>
      </c>
      <c r="V2922" s="2">
        <v>1.5830275220000001</v>
      </c>
      <c r="W2922" s="2">
        <v>1.4433733479999999</v>
      </c>
      <c r="X2922">
        <f t="shared" si="135"/>
        <v>1</v>
      </c>
      <c r="Y2922">
        <f t="shared" si="136"/>
        <v>0</v>
      </c>
      <c r="Z2922">
        <f t="shared" si="137"/>
        <v>1</v>
      </c>
    </row>
    <row r="2923" spans="1:26" ht="15.75" customHeight="1" x14ac:dyDescent="0.2">
      <c r="A2923" s="2" t="s">
        <v>36</v>
      </c>
      <c r="B2923" s="2" t="s">
        <v>24</v>
      </c>
      <c r="C2923" s="2" t="s">
        <v>27</v>
      </c>
      <c r="D2923" s="2" t="s">
        <v>27</v>
      </c>
      <c r="E2923" s="2">
        <v>163</v>
      </c>
      <c r="F2923" s="2">
        <v>138</v>
      </c>
      <c r="G2923" s="2">
        <v>406</v>
      </c>
      <c r="H2923" s="2">
        <v>1738</v>
      </c>
      <c r="I2923" s="2">
        <v>2511</v>
      </c>
      <c r="J2923" s="2">
        <v>1.23</v>
      </c>
      <c r="K2923" s="2">
        <v>4.07</v>
      </c>
      <c r="L2923" s="2">
        <v>12.07</v>
      </c>
      <c r="M2923" s="2">
        <v>14.53</v>
      </c>
      <c r="N2923" s="2">
        <v>0.21194360800000001</v>
      </c>
      <c r="O2923" s="2">
        <v>0.33256207199999999</v>
      </c>
      <c r="P2923" s="2">
        <v>1.6721206019999999</v>
      </c>
      <c r="Q2923" s="2">
        <v>1.4933520309999999</v>
      </c>
      <c r="R2923" s="2">
        <v>0.26946745599999999</v>
      </c>
      <c r="S2923" s="2">
        <v>0.42946745600000003</v>
      </c>
      <c r="T2923" s="2">
        <v>1.6502650080000001</v>
      </c>
      <c r="U2923" s="2">
        <v>1.4302650079999999</v>
      </c>
      <c r="V2923" s="2">
        <v>0.66225689300000001</v>
      </c>
      <c r="W2923" s="2">
        <v>0.52260271899999999</v>
      </c>
      <c r="X2923">
        <f t="shared" si="135"/>
        <v>1</v>
      </c>
      <c r="Y2923">
        <f t="shared" si="136"/>
        <v>0</v>
      </c>
      <c r="Z2923">
        <f t="shared" si="137"/>
        <v>0</v>
      </c>
    </row>
    <row r="2924" spans="1:26" ht="15.75" customHeight="1" x14ac:dyDescent="0.2">
      <c r="A2924" s="2" t="s">
        <v>36</v>
      </c>
      <c r="B2924" s="2" t="s">
        <v>24</v>
      </c>
      <c r="C2924" s="2" t="s">
        <v>26</v>
      </c>
      <c r="D2924" s="2" t="s">
        <v>26</v>
      </c>
      <c r="E2924" s="2">
        <v>156</v>
      </c>
      <c r="F2924" s="2">
        <v>143</v>
      </c>
      <c r="G2924" s="2">
        <v>449</v>
      </c>
      <c r="H2924" s="2">
        <v>797</v>
      </c>
      <c r="I2924" s="2">
        <v>2297</v>
      </c>
      <c r="J2924" s="2">
        <v>1.29</v>
      </c>
      <c r="K2924" s="2">
        <v>4.46</v>
      </c>
      <c r="L2924" s="2">
        <v>7.22</v>
      </c>
      <c r="M2924" s="2">
        <v>13.94</v>
      </c>
      <c r="N2924" s="2">
        <v>1.2234788830000001</v>
      </c>
      <c r="O2924" s="2">
        <v>1.759821955</v>
      </c>
      <c r="P2924" s="2">
        <v>3.2021023400000002</v>
      </c>
      <c r="Q2924" s="2">
        <v>3.4198926200000002</v>
      </c>
      <c r="R2924" s="2">
        <v>0.12394685900000001</v>
      </c>
      <c r="S2924" s="2">
        <v>3.6053140999999997E-2</v>
      </c>
      <c r="T2924" s="2">
        <v>3.1997025749999999</v>
      </c>
      <c r="U2924" s="2">
        <v>3.4197025750000001</v>
      </c>
      <c r="V2924" s="2">
        <v>1.0556712070000001</v>
      </c>
      <c r="W2924" s="2">
        <v>0.91601703300000004</v>
      </c>
      <c r="X2924">
        <f t="shared" si="135"/>
        <v>1</v>
      </c>
      <c r="Y2924">
        <f t="shared" si="136"/>
        <v>0</v>
      </c>
      <c r="Z2924">
        <f t="shared" si="137"/>
        <v>0</v>
      </c>
    </row>
    <row r="2925" spans="1:26" ht="15.75" customHeight="1" x14ac:dyDescent="0.2">
      <c r="A2925" s="2" t="s">
        <v>36</v>
      </c>
      <c r="B2925" s="2" t="s">
        <v>24</v>
      </c>
      <c r="C2925" s="2" t="s">
        <v>27</v>
      </c>
      <c r="D2925" s="2" t="s">
        <v>27</v>
      </c>
      <c r="E2925" s="2">
        <v>119</v>
      </c>
      <c r="F2925" s="2">
        <v>138</v>
      </c>
      <c r="G2925" s="2">
        <v>421</v>
      </c>
      <c r="H2925" s="2">
        <v>1598</v>
      </c>
      <c r="I2925" s="2">
        <v>2392</v>
      </c>
      <c r="J2925" s="2">
        <v>1.23</v>
      </c>
      <c r="K2925" s="2">
        <v>4.21</v>
      </c>
      <c r="L2925" s="2">
        <v>11.51</v>
      </c>
      <c r="M2925" s="2">
        <v>14.21</v>
      </c>
      <c r="N2925" s="2">
        <v>0.40890996200000002</v>
      </c>
      <c r="O2925" s="2">
        <v>0.40268570599999998</v>
      </c>
      <c r="P2925" s="2">
        <v>1.098444972</v>
      </c>
      <c r="Q2925" s="2">
        <v>0.91703157700000004</v>
      </c>
      <c r="R2925" s="2">
        <v>0.12646136599999999</v>
      </c>
      <c r="S2925" s="2">
        <v>0.286461366</v>
      </c>
      <c r="T2925" s="2">
        <v>1.0911410909999999</v>
      </c>
      <c r="U2925" s="2">
        <v>0.87114109100000003</v>
      </c>
      <c r="V2925" s="2">
        <v>0.80526298299999999</v>
      </c>
      <c r="W2925" s="2">
        <v>0.665608808</v>
      </c>
      <c r="X2925">
        <f t="shared" si="135"/>
        <v>1</v>
      </c>
      <c r="Y2925">
        <f t="shared" si="136"/>
        <v>0</v>
      </c>
      <c r="Z2925">
        <f t="shared" si="137"/>
        <v>0</v>
      </c>
    </row>
    <row r="2926" spans="1:26" ht="15.75" customHeight="1" x14ac:dyDescent="0.2">
      <c r="A2926" s="2" t="s">
        <v>36</v>
      </c>
      <c r="B2926" s="2" t="s">
        <v>24</v>
      </c>
      <c r="C2926" s="2" t="s">
        <v>27</v>
      </c>
      <c r="D2926" s="2" t="s">
        <v>27</v>
      </c>
      <c r="E2926" s="2">
        <v>120</v>
      </c>
      <c r="F2926" s="2">
        <v>143</v>
      </c>
      <c r="G2926" s="2">
        <v>489</v>
      </c>
      <c r="H2926" s="2">
        <v>1734</v>
      </c>
      <c r="I2926" s="2">
        <v>2403</v>
      </c>
      <c r="J2926" s="2">
        <v>1.3</v>
      </c>
      <c r="K2926" s="2">
        <v>4.83</v>
      </c>
      <c r="L2926" s="2">
        <v>12.06</v>
      </c>
      <c r="M2926" s="2">
        <v>14.24</v>
      </c>
      <c r="N2926" s="2">
        <v>0.62126696699999995</v>
      </c>
      <c r="O2926" s="2">
        <v>0.50432149199999998</v>
      </c>
      <c r="P2926" s="2">
        <v>1.7068622609999999</v>
      </c>
      <c r="Q2926" s="2">
        <v>1.453236293</v>
      </c>
      <c r="R2926" s="2">
        <v>0.48616222100000001</v>
      </c>
      <c r="S2926" s="2">
        <v>0.32616222099999997</v>
      </c>
      <c r="T2926" s="2">
        <v>1.6361616889999999</v>
      </c>
      <c r="U2926" s="2">
        <v>1.4161616889999999</v>
      </c>
      <c r="V2926" s="2">
        <v>1.4178865700000001</v>
      </c>
      <c r="W2926" s="2">
        <v>1.2782323950000001</v>
      </c>
      <c r="X2926">
        <f t="shared" si="135"/>
        <v>1</v>
      </c>
      <c r="Y2926">
        <f t="shared" si="136"/>
        <v>0</v>
      </c>
      <c r="Z2926">
        <f t="shared" si="137"/>
        <v>0</v>
      </c>
    </row>
    <row r="2927" spans="1:26" ht="15.75" customHeight="1" x14ac:dyDescent="0.2">
      <c r="A2927" s="2" t="s">
        <v>36</v>
      </c>
      <c r="B2927" s="2" t="s">
        <v>24</v>
      </c>
      <c r="C2927" s="2" t="s">
        <v>32</v>
      </c>
      <c r="D2927" s="2" t="s">
        <v>33</v>
      </c>
      <c r="E2927" s="2">
        <v>118</v>
      </c>
      <c r="F2927" s="2">
        <v>131</v>
      </c>
      <c r="G2927" s="2">
        <v>642</v>
      </c>
      <c r="H2927" s="2">
        <v>1140</v>
      </c>
      <c r="I2927" s="2">
        <v>2236</v>
      </c>
      <c r="J2927" s="2">
        <v>1.1499999999999999</v>
      </c>
      <c r="K2927" s="2">
        <v>6.08</v>
      </c>
      <c r="L2927" s="2">
        <v>9.33</v>
      </c>
      <c r="M2927" s="2">
        <v>13.76</v>
      </c>
      <c r="N2927" s="2">
        <v>1.115892525</v>
      </c>
      <c r="O2927" s="2">
        <v>1.1399546819999999</v>
      </c>
      <c r="P2927" s="2">
        <v>2.055638423</v>
      </c>
      <c r="Q2927" s="2">
        <v>2.0547681550000001</v>
      </c>
      <c r="R2927" s="2">
        <v>1.742331839</v>
      </c>
      <c r="S2927" s="2">
        <v>1.5823318390000001</v>
      </c>
      <c r="T2927" s="2">
        <v>1.0908387100000001</v>
      </c>
      <c r="U2927" s="2">
        <v>1.3108387100000001</v>
      </c>
      <c r="V2927" s="2">
        <v>2.6740561870000001</v>
      </c>
      <c r="W2927" s="2">
        <v>2.5344020129999998</v>
      </c>
      <c r="X2927">
        <f t="shared" si="135"/>
        <v>1</v>
      </c>
      <c r="Y2927">
        <f t="shared" si="136"/>
        <v>0</v>
      </c>
      <c r="Z2927">
        <f t="shared" si="137"/>
        <v>1</v>
      </c>
    </row>
    <row r="2928" spans="1:26" ht="15.75" customHeight="1" x14ac:dyDescent="0.2">
      <c r="A2928" s="2" t="s">
        <v>36</v>
      </c>
      <c r="B2928" s="2" t="s">
        <v>24</v>
      </c>
      <c r="C2928" s="2" t="s">
        <v>28</v>
      </c>
      <c r="D2928" s="2" t="s">
        <v>29</v>
      </c>
      <c r="E2928" s="2">
        <v>148</v>
      </c>
      <c r="F2928" s="2">
        <v>140</v>
      </c>
      <c r="G2928" s="2">
        <v>551</v>
      </c>
      <c r="H2928" s="2">
        <v>1192</v>
      </c>
      <c r="I2928" s="2">
        <v>2199</v>
      </c>
      <c r="J2928" s="2">
        <v>1.26</v>
      </c>
      <c r="K2928" s="2">
        <v>5.35</v>
      </c>
      <c r="L2928" s="2">
        <v>9.61</v>
      </c>
      <c r="M2928" s="2">
        <v>13.65</v>
      </c>
      <c r="N2928" s="2">
        <v>1.4123544960000001</v>
      </c>
      <c r="O2928" s="2">
        <v>0.81364040800000004</v>
      </c>
      <c r="P2928" s="2">
        <v>1.2945279940000001</v>
      </c>
      <c r="Q2928" s="2">
        <v>1.3351661610000001</v>
      </c>
      <c r="R2928" s="2">
        <v>1.010260223</v>
      </c>
      <c r="S2928" s="2">
        <v>0.85026022300000004</v>
      </c>
      <c r="T2928" s="2">
        <v>0.80943005199999996</v>
      </c>
      <c r="U2928" s="2">
        <v>1.0294300519999999</v>
      </c>
      <c r="V2928" s="2">
        <v>1.941984572</v>
      </c>
      <c r="W2928" s="2">
        <v>1.802330397</v>
      </c>
      <c r="X2928">
        <f t="shared" si="135"/>
        <v>1</v>
      </c>
      <c r="Y2928">
        <f t="shared" si="136"/>
        <v>0</v>
      </c>
      <c r="Z2928">
        <f t="shared" si="137"/>
        <v>1</v>
      </c>
    </row>
    <row r="2929" spans="1:26" ht="15.75" customHeight="1" x14ac:dyDescent="0.2">
      <c r="A2929" s="2" t="s">
        <v>36</v>
      </c>
      <c r="B2929" s="2" t="s">
        <v>24</v>
      </c>
      <c r="C2929" s="2" t="s">
        <v>26</v>
      </c>
      <c r="D2929" s="2" t="s">
        <v>26</v>
      </c>
      <c r="E2929" s="2">
        <v>177</v>
      </c>
      <c r="F2929" s="2">
        <v>136</v>
      </c>
      <c r="G2929" s="2">
        <v>432</v>
      </c>
      <c r="H2929" s="2">
        <v>1260</v>
      </c>
      <c r="I2929" s="2">
        <v>2163</v>
      </c>
      <c r="J2929" s="2">
        <v>1.21</v>
      </c>
      <c r="K2929" s="2">
        <v>4.3099999999999996</v>
      </c>
      <c r="L2929" s="2">
        <v>9.9600000000000009</v>
      </c>
      <c r="M2929" s="2">
        <v>13.54</v>
      </c>
      <c r="N2929" s="2">
        <v>1.540966611</v>
      </c>
      <c r="O2929" s="2">
        <v>1.2054653289999999</v>
      </c>
      <c r="P2929" s="2">
        <v>0.45998709900000001</v>
      </c>
      <c r="Q2929" s="2">
        <v>0.70468772300000004</v>
      </c>
      <c r="R2929" s="2">
        <v>2.8060201E-2</v>
      </c>
      <c r="S2929" s="2">
        <v>0.18806020100000001</v>
      </c>
      <c r="T2929" s="2">
        <v>0.459130435</v>
      </c>
      <c r="U2929" s="2">
        <v>0.67913043500000003</v>
      </c>
      <c r="V2929" s="2">
        <v>0.90366414799999994</v>
      </c>
      <c r="W2929" s="2">
        <v>0.76400997299999995</v>
      </c>
      <c r="X2929">
        <f t="shared" si="135"/>
        <v>1</v>
      </c>
      <c r="Y2929">
        <f t="shared" si="136"/>
        <v>0</v>
      </c>
      <c r="Z2929">
        <f t="shared" si="137"/>
        <v>0</v>
      </c>
    </row>
    <row r="2930" spans="1:26" ht="15.75" customHeight="1" x14ac:dyDescent="0.2">
      <c r="A2930" s="2" t="s">
        <v>36</v>
      </c>
      <c r="B2930" s="2" t="s">
        <v>24</v>
      </c>
      <c r="C2930" s="2" t="s">
        <v>30</v>
      </c>
      <c r="D2930" s="2" t="s">
        <v>31</v>
      </c>
      <c r="E2930" s="2">
        <v>171</v>
      </c>
      <c r="F2930" s="2">
        <v>131</v>
      </c>
      <c r="G2930" s="2">
        <v>639</v>
      </c>
      <c r="H2930" s="2">
        <v>1209</v>
      </c>
      <c r="I2930" s="2">
        <v>2234</v>
      </c>
      <c r="J2930" s="2">
        <v>1.1499999999999999</v>
      </c>
      <c r="K2930" s="2">
        <v>6.06</v>
      </c>
      <c r="L2930" s="2">
        <v>9.6999999999999993</v>
      </c>
      <c r="M2930" s="2">
        <v>13.75</v>
      </c>
      <c r="N2930" s="2">
        <v>2.8887805019999999</v>
      </c>
      <c r="O2930" s="2">
        <v>2.7838732359999998</v>
      </c>
      <c r="P2930" s="2">
        <v>1.8698473369999999</v>
      </c>
      <c r="Q2930" s="2">
        <v>1.8267257560000001</v>
      </c>
      <c r="R2930" s="2">
        <v>1.724201077</v>
      </c>
      <c r="S2930" s="2">
        <v>1.5642010770000001</v>
      </c>
      <c r="T2930" s="2">
        <v>0.72350515500000001</v>
      </c>
      <c r="U2930" s="2">
        <v>0.94350515499999998</v>
      </c>
      <c r="V2930" s="2">
        <v>2.655925426</v>
      </c>
      <c r="W2930" s="2">
        <v>2.516271251</v>
      </c>
      <c r="X2930">
        <f t="shared" si="135"/>
        <v>1</v>
      </c>
      <c r="Y2930">
        <f t="shared" si="136"/>
        <v>0</v>
      </c>
      <c r="Z2930">
        <f t="shared" si="137"/>
        <v>1</v>
      </c>
    </row>
    <row r="2931" spans="1:26" ht="15.75" customHeight="1" x14ac:dyDescent="0.2">
      <c r="A2931" s="2" t="s">
        <v>36</v>
      </c>
      <c r="B2931" s="2" t="s">
        <v>24</v>
      </c>
      <c r="C2931" s="2" t="s">
        <v>27</v>
      </c>
      <c r="D2931" s="2" t="s">
        <v>27</v>
      </c>
      <c r="E2931" s="2">
        <v>149</v>
      </c>
      <c r="F2931" s="2">
        <v>140</v>
      </c>
      <c r="G2931" s="2">
        <v>408</v>
      </c>
      <c r="H2931" s="2">
        <v>1686</v>
      </c>
      <c r="I2931" s="2">
        <v>2540</v>
      </c>
      <c r="J2931" s="2">
        <v>1.25</v>
      </c>
      <c r="K2931" s="2">
        <v>4.09</v>
      </c>
      <c r="L2931" s="2">
        <v>11.87</v>
      </c>
      <c r="M2931" s="2">
        <v>14.6</v>
      </c>
      <c r="N2931" s="2">
        <v>0.14033563600000001</v>
      </c>
      <c r="O2931" s="2">
        <v>0.26156026599999999</v>
      </c>
      <c r="P2931" s="2">
        <v>1.470450778</v>
      </c>
      <c r="Q2931" s="2">
        <v>1.295734368</v>
      </c>
      <c r="R2931" s="2">
        <v>0.25070945900000002</v>
      </c>
      <c r="S2931" s="2">
        <v>0.410709459</v>
      </c>
      <c r="T2931" s="2">
        <v>1.4489203770000001</v>
      </c>
      <c r="U2931" s="2">
        <v>1.2289203769999999</v>
      </c>
      <c r="V2931" s="2">
        <v>0.68101488899999996</v>
      </c>
      <c r="W2931" s="2">
        <v>0.54136071500000005</v>
      </c>
      <c r="X2931">
        <f t="shared" si="135"/>
        <v>1</v>
      </c>
      <c r="Y2931">
        <f t="shared" si="136"/>
        <v>0</v>
      </c>
      <c r="Z2931">
        <f t="shared" si="137"/>
        <v>0</v>
      </c>
    </row>
    <row r="2932" spans="1:26" ht="15.75" customHeight="1" x14ac:dyDescent="0.2">
      <c r="A2932" s="2" t="s">
        <v>36</v>
      </c>
      <c r="B2932" s="2" t="s">
        <v>24</v>
      </c>
      <c r="C2932" s="2" t="s">
        <v>30</v>
      </c>
      <c r="D2932" s="2" t="s">
        <v>31</v>
      </c>
      <c r="E2932" s="2">
        <v>200</v>
      </c>
      <c r="F2932" s="2">
        <v>132</v>
      </c>
      <c r="G2932" s="2">
        <v>604</v>
      </c>
      <c r="H2932" s="2">
        <v>1140</v>
      </c>
      <c r="I2932" s="2">
        <v>2235</v>
      </c>
      <c r="J2932" s="2">
        <v>1.17</v>
      </c>
      <c r="K2932" s="2">
        <v>5.79</v>
      </c>
      <c r="L2932" s="2">
        <v>9.33</v>
      </c>
      <c r="M2932" s="2">
        <v>13.75</v>
      </c>
      <c r="N2932" s="2">
        <v>3.0300820129999999</v>
      </c>
      <c r="O2932" s="2">
        <v>2.9386875379999999</v>
      </c>
      <c r="P2932" s="2">
        <v>1.8142284909999999</v>
      </c>
      <c r="Q2932" s="2">
        <v>1.8392244099999999</v>
      </c>
      <c r="R2932" s="2">
        <v>1.448280255</v>
      </c>
      <c r="S2932" s="2">
        <v>1.2882802550000001</v>
      </c>
      <c r="T2932" s="2">
        <v>1.0926615770000001</v>
      </c>
      <c r="U2932" s="2">
        <v>1.3126615770000001</v>
      </c>
      <c r="V2932" s="2">
        <v>2.3800046039999998</v>
      </c>
      <c r="W2932" s="2">
        <v>2.2403504289999998</v>
      </c>
      <c r="X2932">
        <f t="shared" si="135"/>
        <v>1</v>
      </c>
      <c r="Y2932">
        <f t="shared" si="136"/>
        <v>0</v>
      </c>
      <c r="Z2932">
        <f t="shared" si="137"/>
        <v>1</v>
      </c>
    </row>
    <row r="2933" spans="1:26" ht="15.75" customHeight="1" x14ac:dyDescent="0.2">
      <c r="A2933" s="2" t="s">
        <v>36</v>
      </c>
      <c r="B2933" s="2" t="s">
        <v>24</v>
      </c>
      <c r="C2933" s="2" t="s">
        <v>26</v>
      </c>
      <c r="D2933" s="2" t="s">
        <v>26</v>
      </c>
      <c r="E2933" s="2">
        <v>177</v>
      </c>
      <c r="F2933" s="2">
        <v>150</v>
      </c>
      <c r="G2933" s="2">
        <v>438</v>
      </c>
      <c r="H2933" s="2">
        <v>969</v>
      </c>
      <c r="I2933" s="2">
        <v>2194</v>
      </c>
      <c r="J2933" s="2">
        <v>1.38</v>
      </c>
      <c r="K2933" s="2">
        <v>4.37</v>
      </c>
      <c r="L2933" s="2">
        <v>8.34</v>
      </c>
      <c r="M2933" s="2">
        <v>13.63</v>
      </c>
      <c r="N2933" s="2">
        <v>0.21592735099999999</v>
      </c>
      <c r="O2933" s="2">
        <v>0.80116109400000002</v>
      </c>
      <c r="P2933" s="2">
        <v>2.0827148059999998</v>
      </c>
      <c r="Q2933" s="2">
        <v>2.3061691780000002</v>
      </c>
      <c r="R2933" s="2">
        <v>2.9951354999999999E-2</v>
      </c>
      <c r="S2933" s="2">
        <v>0.13004864499999999</v>
      </c>
      <c r="T2933" s="2">
        <v>2.082499431</v>
      </c>
      <c r="U2933" s="2">
        <v>2.3024994310000002</v>
      </c>
      <c r="V2933" s="2">
        <v>0.96167570400000002</v>
      </c>
      <c r="W2933" s="2">
        <v>0.82202152900000003</v>
      </c>
      <c r="X2933">
        <f t="shared" si="135"/>
        <v>1</v>
      </c>
      <c r="Y2933">
        <f t="shared" si="136"/>
        <v>0</v>
      </c>
      <c r="Z2933">
        <f t="shared" si="137"/>
        <v>0</v>
      </c>
    </row>
    <row r="2934" spans="1:26" ht="15.75" customHeight="1" x14ac:dyDescent="0.2">
      <c r="A2934" s="2" t="s">
        <v>36</v>
      </c>
      <c r="B2934" s="2" t="s">
        <v>24</v>
      </c>
      <c r="C2934" s="2" t="s">
        <v>26</v>
      </c>
      <c r="D2934" s="2" t="s">
        <v>26</v>
      </c>
      <c r="E2934" s="2">
        <v>149</v>
      </c>
      <c r="F2934" s="2">
        <v>141</v>
      </c>
      <c r="G2934" s="2">
        <v>486</v>
      </c>
      <c r="H2934" s="2">
        <v>975</v>
      </c>
      <c r="I2934" s="2">
        <v>2660</v>
      </c>
      <c r="J2934" s="2">
        <v>1.27</v>
      </c>
      <c r="K2934" s="2">
        <v>4.8</v>
      </c>
      <c r="L2934" s="2">
        <v>8.3699999999999992</v>
      </c>
      <c r="M2934" s="2">
        <v>14.91</v>
      </c>
      <c r="N2934" s="2">
        <v>0.24871885799999999</v>
      </c>
      <c r="O2934" s="2">
        <v>0.55888276199999998</v>
      </c>
      <c r="P2934" s="2">
        <v>2.0968609520000001</v>
      </c>
      <c r="Q2934" s="2">
        <v>2.28557034</v>
      </c>
      <c r="R2934" s="2">
        <v>0.45985284100000001</v>
      </c>
      <c r="S2934" s="2">
        <v>0.29985284099999998</v>
      </c>
      <c r="T2934" s="2">
        <v>2.0458155379999998</v>
      </c>
      <c r="U2934" s="2">
        <v>2.265815538</v>
      </c>
      <c r="V2934" s="2">
        <v>1.39157719</v>
      </c>
      <c r="W2934" s="2">
        <v>1.251923015</v>
      </c>
      <c r="X2934">
        <f t="shared" si="135"/>
        <v>1</v>
      </c>
      <c r="Y2934">
        <f t="shared" si="136"/>
        <v>0</v>
      </c>
      <c r="Z2934">
        <f t="shared" si="137"/>
        <v>0</v>
      </c>
    </row>
    <row r="2935" spans="1:26" ht="15.75" customHeight="1" x14ac:dyDescent="0.2">
      <c r="A2935" s="2" t="s">
        <v>36</v>
      </c>
      <c r="B2935" s="2" t="s">
        <v>24</v>
      </c>
      <c r="C2935" s="2" t="s">
        <v>26</v>
      </c>
      <c r="D2935" s="2" t="s">
        <v>26</v>
      </c>
      <c r="E2935" s="2">
        <v>122</v>
      </c>
      <c r="F2935" s="2">
        <v>128</v>
      </c>
      <c r="G2935" s="2">
        <v>513</v>
      </c>
      <c r="H2935" s="2">
        <v>949</v>
      </c>
      <c r="I2935" s="2">
        <v>2542</v>
      </c>
      <c r="J2935" s="2">
        <v>1.1200000000000001</v>
      </c>
      <c r="K2935" s="2">
        <v>5.03</v>
      </c>
      <c r="L2935" s="2">
        <v>8.2200000000000006</v>
      </c>
      <c r="M2935" s="2">
        <v>14.61</v>
      </c>
      <c r="N2935" s="2">
        <v>0.52101324299999996</v>
      </c>
      <c r="O2935" s="2">
        <v>0.710531621</v>
      </c>
      <c r="P2935" s="2">
        <v>2.30776176</v>
      </c>
      <c r="Q2935" s="2">
        <v>2.4793657009999999</v>
      </c>
      <c r="R2935" s="2">
        <v>0.69147594000000001</v>
      </c>
      <c r="S2935" s="2">
        <v>0.53147593999999998</v>
      </c>
      <c r="T2935" s="2">
        <v>2.2017323559999999</v>
      </c>
      <c r="U2935" s="2">
        <v>2.4217323560000001</v>
      </c>
      <c r="V2935" s="2">
        <v>1.6232002889999999</v>
      </c>
      <c r="W2935" s="2">
        <v>1.4835461139999999</v>
      </c>
      <c r="X2935">
        <f t="shared" si="135"/>
        <v>1</v>
      </c>
      <c r="Y2935">
        <f t="shared" si="136"/>
        <v>0</v>
      </c>
      <c r="Z2935">
        <f t="shared" si="137"/>
        <v>0</v>
      </c>
    </row>
    <row r="2936" spans="1:26" ht="15.75" customHeight="1" x14ac:dyDescent="0.2">
      <c r="A2936" s="2" t="s">
        <v>36</v>
      </c>
      <c r="B2936" s="2" t="s">
        <v>24</v>
      </c>
      <c r="C2936" s="2" t="s">
        <v>25</v>
      </c>
      <c r="D2936" s="2" t="s">
        <v>25</v>
      </c>
      <c r="E2936" s="2">
        <v>147</v>
      </c>
      <c r="F2936" s="2">
        <v>134</v>
      </c>
      <c r="G2936" s="2">
        <v>617</v>
      </c>
      <c r="H2936" s="2">
        <v>1283</v>
      </c>
      <c r="I2936" s="2">
        <v>2502</v>
      </c>
      <c r="J2936" s="2">
        <v>1.19</v>
      </c>
      <c r="K2936" s="2">
        <v>5.89</v>
      </c>
      <c r="L2936" s="2">
        <v>10.08</v>
      </c>
      <c r="M2936" s="2">
        <v>14.5</v>
      </c>
      <c r="N2936" s="2">
        <v>0.358699394</v>
      </c>
      <c r="O2936" s="2">
        <v>0.37259552299999998</v>
      </c>
      <c r="P2936" s="2">
        <v>1.5840335050000001</v>
      </c>
      <c r="Q2936" s="2">
        <v>1.4964684589999999</v>
      </c>
      <c r="R2936" s="2">
        <v>1.546364812</v>
      </c>
      <c r="S2936" s="2">
        <v>1.3863648120000001</v>
      </c>
      <c r="T2936" s="2">
        <v>0.34339192099999999</v>
      </c>
      <c r="U2936" s="2">
        <v>0.56339192100000002</v>
      </c>
      <c r="V2936" s="2">
        <v>2.4780891610000002</v>
      </c>
      <c r="W2936" s="2">
        <v>2.3384349869999999</v>
      </c>
      <c r="X2936">
        <f t="shared" si="135"/>
        <v>1</v>
      </c>
      <c r="Y2936">
        <f t="shared" si="136"/>
        <v>0</v>
      </c>
      <c r="Z2936">
        <f t="shared" si="137"/>
        <v>0</v>
      </c>
    </row>
    <row r="2937" spans="1:26" ht="15.75" customHeight="1" x14ac:dyDescent="0.2">
      <c r="A2937" s="2" t="s">
        <v>36</v>
      </c>
      <c r="B2937" s="2" t="s">
        <v>24</v>
      </c>
      <c r="C2937" s="2" t="s">
        <v>25</v>
      </c>
      <c r="D2937" s="2" t="s">
        <v>25</v>
      </c>
      <c r="E2937" s="2">
        <v>185</v>
      </c>
      <c r="F2937" s="2">
        <v>134</v>
      </c>
      <c r="G2937" s="2">
        <v>554</v>
      </c>
      <c r="H2937" s="2">
        <v>1312</v>
      </c>
      <c r="I2937" s="2">
        <v>2427</v>
      </c>
      <c r="J2937" s="2">
        <v>1.19</v>
      </c>
      <c r="K2937" s="2">
        <v>5.38</v>
      </c>
      <c r="L2937" s="2">
        <v>10.220000000000001</v>
      </c>
      <c r="M2937" s="2">
        <v>14.3</v>
      </c>
      <c r="N2937" s="2">
        <v>0.33636873900000003</v>
      </c>
      <c r="O2937" s="2">
        <v>0.39032622300000003</v>
      </c>
      <c r="P2937" s="2">
        <v>1.0567536049999999</v>
      </c>
      <c r="Q2937" s="2">
        <v>0.97249575499999996</v>
      </c>
      <c r="R2937" s="2">
        <v>1.0380111380000001</v>
      </c>
      <c r="S2937" s="2">
        <v>0.87801113799999997</v>
      </c>
      <c r="T2937" s="2">
        <v>0.198144036</v>
      </c>
      <c r="U2937" s="2">
        <v>0.418144036</v>
      </c>
      <c r="V2937" s="2">
        <v>1.9697354869999999</v>
      </c>
      <c r="W2937" s="2">
        <v>1.8300813119999999</v>
      </c>
      <c r="X2937">
        <f t="shared" si="135"/>
        <v>1</v>
      </c>
      <c r="Y2937">
        <f t="shared" si="136"/>
        <v>0</v>
      </c>
      <c r="Z2937">
        <f t="shared" si="137"/>
        <v>0</v>
      </c>
    </row>
    <row r="2938" spans="1:26" ht="15.75" customHeight="1" x14ac:dyDescent="0.2">
      <c r="A2938" s="2" t="s">
        <v>36</v>
      </c>
      <c r="B2938" s="2" t="s">
        <v>24</v>
      </c>
      <c r="C2938" s="2" t="s">
        <v>25</v>
      </c>
      <c r="D2938" s="2" t="s">
        <v>25</v>
      </c>
      <c r="E2938" s="2">
        <v>137</v>
      </c>
      <c r="F2938" s="2">
        <v>127</v>
      </c>
      <c r="G2938" s="2">
        <v>606</v>
      </c>
      <c r="H2938" s="2">
        <v>1424</v>
      </c>
      <c r="I2938" s="2">
        <v>2362</v>
      </c>
      <c r="J2938" s="2">
        <v>1.1000000000000001</v>
      </c>
      <c r="K2938" s="2">
        <v>5.8</v>
      </c>
      <c r="L2938" s="2">
        <v>10.75</v>
      </c>
      <c r="M2938" s="2">
        <v>14.12</v>
      </c>
      <c r="N2938" s="2">
        <v>0.40291525500000003</v>
      </c>
      <c r="O2938" s="2">
        <v>0.35346627000000003</v>
      </c>
      <c r="P2938" s="2">
        <v>1.50169989</v>
      </c>
      <c r="Q2938" s="2">
        <v>1.309159999</v>
      </c>
      <c r="R2938" s="2">
        <v>1.464249903</v>
      </c>
      <c r="S2938" s="2">
        <v>1.3042499030000001</v>
      </c>
      <c r="T2938" s="2">
        <v>0.33327883400000002</v>
      </c>
      <c r="U2938" s="2">
        <v>0.11327883399999999</v>
      </c>
      <c r="V2938" s="2">
        <v>2.3959742510000002</v>
      </c>
      <c r="W2938" s="2">
        <v>2.2563200769999998</v>
      </c>
      <c r="X2938">
        <f t="shared" si="135"/>
        <v>1</v>
      </c>
      <c r="Y2938">
        <f t="shared" si="136"/>
        <v>0</v>
      </c>
      <c r="Z2938">
        <f t="shared" si="137"/>
        <v>0</v>
      </c>
    </row>
    <row r="2939" spans="1:26" ht="15.75" customHeight="1" x14ac:dyDescent="0.2">
      <c r="A2939" s="2" t="s">
        <v>36</v>
      </c>
      <c r="B2939" s="2" t="s">
        <v>24</v>
      </c>
      <c r="C2939" s="2" t="s">
        <v>28</v>
      </c>
      <c r="D2939" s="2" t="s">
        <v>29</v>
      </c>
      <c r="E2939" s="2">
        <v>154</v>
      </c>
      <c r="F2939" s="2">
        <v>128</v>
      </c>
      <c r="G2939" s="2">
        <v>527</v>
      </c>
      <c r="H2939" s="2">
        <v>1590</v>
      </c>
      <c r="I2939" s="2">
        <v>2258</v>
      </c>
      <c r="J2939" s="2">
        <v>1.1200000000000001</v>
      </c>
      <c r="K2939" s="2">
        <v>5.15</v>
      </c>
      <c r="L2939" s="2">
        <v>11.48</v>
      </c>
      <c r="M2939" s="2">
        <v>13.82</v>
      </c>
      <c r="N2939" s="2">
        <v>3.0961945759999998</v>
      </c>
      <c r="O2939" s="2">
        <v>2.569660941</v>
      </c>
      <c r="P2939" s="2">
        <v>1.334119437</v>
      </c>
      <c r="Q2939" s="2">
        <v>1.062194174</v>
      </c>
      <c r="R2939" s="2">
        <v>0.81108966599999999</v>
      </c>
      <c r="S2939" s="2">
        <v>0.65108966599999996</v>
      </c>
      <c r="T2939" s="2">
        <v>1.059248897</v>
      </c>
      <c r="U2939" s="2">
        <v>0.83924889700000005</v>
      </c>
      <c r="V2939" s="2">
        <v>1.742814015</v>
      </c>
      <c r="W2939" s="2">
        <v>1.60315984</v>
      </c>
      <c r="X2939">
        <f t="shared" si="135"/>
        <v>1</v>
      </c>
      <c r="Y2939">
        <f t="shared" si="136"/>
        <v>0</v>
      </c>
      <c r="Z2939">
        <f t="shared" si="137"/>
        <v>1</v>
      </c>
    </row>
    <row r="2940" spans="1:26" ht="15.75" customHeight="1" x14ac:dyDescent="0.2">
      <c r="A2940" s="2" t="s">
        <v>36</v>
      </c>
      <c r="B2940" s="2" t="s">
        <v>24</v>
      </c>
      <c r="C2940" s="2" t="s">
        <v>30</v>
      </c>
      <c r="D2940" s="2" t="s">
        <v>31</v>
      </c>
      <c r="E2940" s="2">
        <v>139</v>
      </c>
      <c r="F2940" s="2">
        <v>128</v>
      </c>
      <c r="G2940" s="2">
        <v>621</v>
      </c>
      <c r="H2940" s="2">
        <v>1079</v>
      </c>
      <c r="I2940" s="2">
        <v>2131</v>
      </c>
      <c r="J2940" s="2">
        <v>1.1200000000000001</v>
      </c>
      <c r="K2940" s="2">
        <v>5.92</v>
      </c>
      <c r="L2940" s="2">
        <v>8.99</v>
      </c>
      <c r="M2940" s="2">
        <v>13.43</v>
      </c>
      <c r="N2940" s="2">
        <v>3.3890243510000002</v>
      </c>
      <c r="O2940" s="2">
        <v>3.2993687079999998</v>
      </c>
      <c r="P2940" s="2">
        <v>2.1315332499999999</v>
      </c>
      <c r="Q2940" s="2">
        <v>2.1778413680000002</v>
      </c>
      <c r="R2940" s="2">
        <v>1.577974684</v>
      </c>
      <c r="S2940" s="2">
        <v>1.417974684</v>
      </c>
      <c r="T2940" s="2">
        <v>1.4329793770000001</v>
      </c>
      <c r="U2940" s="2">
        <v>1.6529793770000001</v>
      </c>
      <c r="V2940" s="2">
        <v>2.5096990319999999</v>
      </c>
      <c r="W2940" s="2">
        <v>2.370044858</v>
      </c>
      <c r="X2940">
        <f t="shared" si="135"/>
        <v>1</v>
      </c>
      <c r="Y2940">
        <f t="shared" si="136"/>
        <v>0</v>
      </c>
      <c r="Z2940">
        <f t="shared" si="137"/>
        <v>1</v>
      </c>
    </row>
    <row r="2941" spans="1:26" ht="15.75" customHeight="1" x14ac:dyDescent="0.2">
      <c r="A2941" s="2" t="s">
        <v>36</v>
      </c>
      <c r="B2941" s="2" t="s">
        <v>24</v>
      </c>
      <c r="C2941" s="2" t="s">
        <v>32</v>
      </c>
      <c r="D2941" s="2" t="s">
        <v>33</v>
      </c>
      <c r="E2941" s="2">
        <v>183</v>
      </c>
      <c r="F2941" s="2">
        <v>132</v>
      </c>
      <c r="G2941" s="2">
        <v>627</v>
      </c>
      <c r="H2941" s="2">
        <v>970</v>
      </c>
      <c r="I2941" s="2">
        <v>2072</v>
      </c>
      <c r="J2941" s="2">
        <v>1.1599999999999999</v>
      </c>
      <c r="K2941" s="2">
        <v>5.97</v>
      </c>
      <c r="L2941" s="2">
        <v>8.34</v>
      </c>
      <c r="M2941" s="2">
        <v>13.25</v>
      </c>
      <c r="N2941" s="2">
        <v>2.046347543</v>
      </c>
      <c r="O2941" s="2">
        <v>2.080872839</v>
      </c>
      <c r="P2941" s="2">
        <v>2.6367837120000002</v>
      </c>
      <c r="Q2941" s="2">
        <v>2.7239984160000001</v>
      </c>
      <c r="R2941" s="2">
        <v>1.625206186</v>
      </c>
      <c r="S2941" s="2">
        <v>1.4652061860000001</v>
      </c>
      <c r="T2941" s="2">
        <v>2.0763750139999999</v>
      </c>
      <c r="U2941" s="2">
        <v>2.2963750140000001</v>
      </c>
      <c r="V2941" s="2">
        <v>2.5569305340000001</v>
      </c>
      <c r="W2941" s="2">
        <v>2.4172763599999998</v>
      </c>
      <c r="X2941">
        <f t="shared" si="135"/>
        <v>1</v>
      </c>
      <c r="Y2941">
        <f t="shared" si="136"/>
        <v>0</v>
      </c>
      <c r="Z2941">
        <f t="shared" si="137"/>
        <v>1</v>
      </c>
    </row>
    <row r="2942" spans="1:26" ht="15.75" customHeight="1" x14ac:dyDescent="0.2">
      <c r="A2942" s="2" t="s">
        <v>36</v>
      </c>
      <c r="B2942" s="2" t="s">
        <v>24</v>
      </c>
      <c r="C2942" s="2" t="s">
        <v>26</v>
      </c>
      <c r="D2942" s="2" t="s">
        <v>26</v>
      </c>
      <c r="E2942" s="2">
        <v>156</v>
      </c>
      <c r="F2942" s="2">
        <v>150</v>
      </c>
      <c r="G2942" s="2">
        <v>442</v>
      </c>
      <c r="H2942" s="2">
        <v>939</v>
      </c>
      <c r="I2942" s="2">
        <v>2378</v>
      </c>
      <c r="J2942" s="2">
        <v>1.38</v>
      </c>
      <c r="K2942" s="2">
        <v>4.4000000000000004</v>
      </c>
      <c r="L2942" s="2">
        <v>8.16</v>
      </c>
      <c r="M2942" s="2">
        <v>14.17</v>
      </c>
      <c r="N2942" s="2">
        <v>0.32581720400000003</v>
      </c>
      <c r="O2942" s="2">
        <v>0.92399372400000002</v>
      </c>
      <c r="P2942" s="2">
        <v>2.2648330040000002</v>
      </c>
      <c r="Q2942" s="2">
        <v>2.4860260670000001</v>
      </c>
      <c r="R2942" s="2">
        <v>6.0360861000000002E-2</v>
      </c>
      <c r="S2942" s="2">
        <v>9.9639139000000002E-2</v>
      </c>
      <c r="T2942" s="2">
        <v>2.2640285119999999</v>
      </c>
      <c r="U2942" s="2">
        <v>2.4840285120000001</v>
      </c>
      <c r="V2942" s="2">
        <v>0.99208520899999997</v>
      </c>
      <c r="W2942" s="2">
        <v>0.85243103499999995</v>
      </c>
      <c r="X2942">
        <f t="shared" si="135"/>
        <v>1</v>
      </c>
      <c r="Y2942">
        <f t="shared" si="136"/>
        <v>0</v>
      </c>
      <c r="Z2942">
        <f t="shared" si="137"/>
        <v>0</v>
      </c>
    </row>
    <row r="2943" spans="1:26" ht="15.75" customHeight="1" x14ac:dyDescent="0.2">
      <c r="A2943" s="2" t="s">
        <v>36</v>
      </c>
      <c r="B2943" s="2" t="s">
        <v>24</v>
      </c>
      <c r="C2943" s="2" t="s">
        <v>32</v>
      </c>
      <c r="D2943" s="2" t="s">
        <v>33</v>
      </c>
      <c r="E2943" s="2">
        <v>128</v>
      </c>
      <c r="F2943" s="2">
        <v>138</v>
      </c>
      <c r="G2943" s="2">
        <v>593</v>
      </c>
      <c r="H2943" s="2">
        <v>1349</v>
      </c>
      <c r="I2943" s="2">
        <v>2236</v>
      </c>
      <c r="J2943" s="2">
        <v>1.23</v>
      </c>
      <c r="K2943" s="2">
        <v>5.69</v>
      </c>
      <c r="L2943" s="2">
        <v>10.4</v>
      </c>
      <c r="M2943" s="2">
        <v>13.76</v>
      </c>
      <c r="N2943" s="2">
        <v>3.3190504000000003E-2</v>
      </c>
      <c r="O2943" s="2">
        <v>2.7350159999999998E-2</v>
      </c>
      <c r="P2943" s="2">
        <v>1.354775912</v>
      </c>
      <c r="Q2943" s="2">
        <v>1.218535235</v>
      </c>
      <c r="R2943" s="2">
        <v>1.354625229</v>
      </c>
      <c r="S2943" s="2">
        <v>1.1946252289999999</v>
      </c>
      <c r="T2943" s="2">
        <v>2.0205500000000001E-2</v>
      </c>
      <c r="U2943" s="2">
        <v>0.24020549999999999</v>
      </c>
      <c r="V2943" s="2">
        <v>2.2863495770000002</v>
      </c>
      <c r="W2943" s="2">
        <v>2.1466954029999998</v>
      </c>
      <c r="X2943">
        <f t="shared" si="135"/>
        <v>1</v>
      </c>
      <c r="Y2943">
        <f t="shared" si="136"/>
        <v>0</v>
      </c>
      <c r="Z2943">
        <f t="shared" si="137"/>
        <v>1</v>
      </c>
    </row>
    <row r="2944" spans="1:26" ht="15.75" customHeight="1" x14ac:dyDescent="0.2">
      <c r="A2944" s="2" t="s">
        <v>36</v>
      </c>
      <c r="B2944" s="2" t="s">
        <v>24</v>
      </c>
      <c r="C2944" s="2" t="s">
        <v>28</v>
      </c>
      <c r="D2944" s="2" t="s">
        <v>29</v>
      </c>
      <c r="E2944" s="2">
        <v>160</v>
      </c>
      <c r="F2944" s="2">
        <v>140</v>
      </c>
      <c r="G2944" s="2">
        <v>558</v>
      </c>
      <c r="H2944" s="2">
        <v>1709</v>
      </c>
      <c r="I2944" s="2">
        <v>2354</v>
      </c>
      <c r="J2944" s="2">
        <v>1.26</v>
      </c>
      <c r="K2944" s="2">
        <v>5.41</v>
      </c>
      <c r="L2944" s="2">
        <v>11.96</v>
      </c>
      <c r="M2944" s="2">
        <v>14.1</v>
      </c>
      <c r="N2944" s="2">
        <v>3.617553338</v>
      </c>
      <c r="O2944" s="2">
        <v>3.0756825879999998</v>
      </c>
      <c r="P2944" s="2">
        <v>1.8715984379999999</v>
      </c>
      <c r="Q2944" s="2">
        <v>1.599640704</v>
      </c>
      <c r="R2944" s="2">
        <v>1.068452271</v>
      </c>
      <c r="S2944" s="2">
        <v>0.90845227100000003</v>
      </c>
      <c r="T2944" s="2">
        <v>1.5366491</v>
      </c>
      <c r="U2944" s="2">
        <v>1.3166491</v>
      </c>
      <c r="V2944" s="2">
        <v>2.0001766189999999</v>
      </c>
      <c r="W2944" s="2">
        <v>1.860522445</v>
      </c>
      <c r="X2944">
        <f t="shared" si="135"/>
        <v>1</v>
      </c>
      <c r="Y2944">
        <f t="shared" si="136"/>
        <v>0</v>
      </c>
      <c r="Z2944">
        <f t="shared" si="137"/>
        <v>1</v>
      </c>
    </row>
    <row r="2945" spans="1:26" ht="15.75" customHeight="1" x14ac:dyDescent="0.2">
      <c r="A2945" s="2" t="s">
        <v>36</v>
      </c>
      <c r="B2945" s="2" t="s">
        <v>24</v>
      </c>
      <c r="C2945" s="2" t="s">
        <v>32</v>
      </c>
      <c r="D2945" s="2" t="s">
        <v>33</v>
      </c>
      <c r="E2945" s="2">
        <v>150</v>
      </c>
      <c r="F2945" s="2">
        <v>128</v>
      </c>
      <c r="G2945" s="2">
        <v>653</v>
      </c>
      <c r="H2945" s="2">
        <v>1176</v>
      </c>
      <c r="I2945" s="2">
        <v>2219</v>
      </c>
      <c r="J2945" s="2">
        <v>1.1100000000000001</v>
      </c>
      <c r="K2945" s="2">
        <v>6.17</v>
      </c>
      <c r="L2945" s="2">
        <v>9.52</v>
      </c>
      <c r="M2945" s="2">
        <v>13.7</v>
      </c>
      <c r="N2945" s="2">
        <v>0.98066980000000004</v>
      </c>
      <c r="O2945" s="2">
        <v>0.99667234199999999</v>
      </c>
      <c r="P2945" s="2">
        <v>2.0407146740000002</v>
      </c>
      <c r="Q2945" s="2">
        <v>2.011777854</v>
      </c>
      <c r="R2945" s="2">
        <v>1.8325</v>
      </c>
      <c r="S2945" s="2">
        <v>1.6725000000000001</v>
      </c>
      <c r="T2945" s="2">
        <v>0.89803125299999997</v>
      </c>
      <c r="U2945" s="2">
        <v>1.1180312530000001</v>
      </c>
      <c r="V2945" s="2">
        <v>2.764224349</v>
      </c>
      <c r="W2945" s="2">
        <v>2.624570174</v>
      </c>
      <c r="X2945">
        <f t="shared" si="135"/>
        <v>1</v>
      </c>
      <c r="Y2945">
        <f t="shared" si="136"/>
        <v>0</v>
      </c>
      <c r="Z2945">
        <f t="shared" si="137"/>
        <v>1</v>
      </c>
    </row>
    <row r="2946" spans="1:26" ht="15.75" customHeight="1" x14ac:dyDescent="0.2">
      <c r="A2946" s="2" t="s">
        <v>36</v>
      </c>
      <c r="B2946" s="2" t="s">
        <v>24</v>
      </c>
      <c r="C2946" s="2" t="s">
        <v>25</v>
      </c>
      <c r="D2946" s="2" t="s">
        <v>25</v>
      </c>
      <c r="E2946" s="2">
        <v>195</v>
      </c>
      <c r="F2946" s="2">
        <v>137</v>
      </c>
      <c r="G2946" s="2">
        <v>570</v>
      </c>
      <c r="H2946" s="2">
        <v>1334</v>
      </c>
      <c r="I2946" s="2">
        <v>2476</v>
      </c>
      <c r="J2946" s="2">
        <v>1.22</v>
      </c>
      <c r="K2946" s="2">
        <v>5.51</v>
      </c>
      <c r="L2946" s="2">
        <v>10.33</v>
      </c>
      <c r="M2946" s="2">
        <v>14.44</v>
      </c>
      <c r="N2946" s="2">
        <v>0.178094367</v>
      </c>
      <c r="O2946" s="2">
        <v>0.228585816</v>
      </c>
      <c r="P2946" s="2">
        <v>1.171249744</v>
      </c>
      <c r="Q2946" s="2">
        <v>1.055299746</v>
      </c>
      <c r="R2946" s="2">
        <v>1.1674607990000001</v>
      </c>
      <c r="S2946" s="2">
        <v>1.007460799</v>
      </c>
      <c r="T2946" s="2">
        <v>9.4134197000000003E-2</v>
      </c>
      <c r="U2946" s="2">
        <v>0.314134197</v>
      </c>
      <c r="V2946" s="2">
        <v>2.099185147</v>
      </c>
      <c r="W2946" s="2">
        <v>1.9595309729999999</v>
      </c>
      <c r="X2946">
        <f t="shared" si="135"/>
        <v>1</v>
      </c>
      <c r="Y2946">
        <f t="shared" si="136"/>
        <v>0</v>
      </c>
      <c r="Z2946">
        <f t="shared" si="137"/>
        <v>0</v>
      </c>
    </row>
    <row r="2947" spans="1:26" ht="15.75" customHeight="1" x14ac:dyDescent="0.2">
      <c r="A2947" s="2" t="s">
        <v>36</v>
      </c>
      <c r="B2947" s="2" t="s">
        <v>24</v>
      </c>
      <c r="C2947" s="2" t="s">
        <v>27</v>
      </c>
      <c r="D2947" s="2" t="s">
        <v>27</v>
      </c>
      <c r="E2947" s="2">
        <v>173</v>
      </c>
      <c r="F2947" s="2">
        <v>141</v>
      </c>
      <c r="G2947" s="2">
        <v>421</v>
      </c>
      <c r="H2947" s="2">
        <v>1728</v>
      </c>
      <c r="I2947" s="2">
        <v>2366</v>
      </c>
      <c r="J2947" s="2">
        <v>1.27</v>
      </c>
      <c r="K2947" s="2">
        <v>4.21</v>
      </c>
      <c r="L2947" s="2">
        <v>12.03</v>
      </c>
      <c r="M2947" s="2">
        <v>14.13</v>
      </c>
      <c r="N2947" s="2">
        <v>0.110859598</v>
      </c>
      <c r="O2947" s="2">
        <v>0.197989533</v>
      </c>
      <c r="P2947" s="2">
        <v>1.6156498100000001</v>
      </c>
      <c r="Q2947" s="2">
        <v>1.4202759</v>
      </c>
      <c r="R2947" s="2">
        <v>0.12955060900000001</v>
      </c>
      <c r="S2947" s="2">
        <v>0.28955060900000001</v>
      </c>
      <c r="T2947" s="2">
        <v>1.6104474369999999</v>
      </c>
      <c r="U2947" s="2">
        <v>1.390447437</v>
      </c>
      <c r="V2947" s="2">
        <v>0.80217373999999997</v>
      </c>
      <c r="W2947" s="2">
        <v>0.66251956499999998</v>
      </c>
      <c r="X2947">
        <f t="shared" ref="X2947:X3010" si="138">IF(B2947="normal",1,0)</f>
        <v>1</v>
      </c>
      <c r="Y2947">
        <f t="shared" ref="Y2947:Y3010" si="139">IF(A2947="lecture",1,0)</f>
        <v>0</v>
      </c>
      <c r="Z2947">
        <f t="shared" ref="Z2947:Z3010" si="140">IF(ISNUMBER(FIND("~",D2947)),1,0)</f>
        <v>0</v>
      </c>
    </row>
    <row r="2948" spans="1:26" ht="15.75" customHeight="1" x14ac:dyDescent="0.2">
      <c r="A2948" s="2" t="s">
        <v>36</v>
      </c>
      <c r="B2948" s="2" t="s">
        <v>24</v>
      </c>
      <c r="C2948" s="2" t="s">
        <v>30</v>
      </c>
      <c r="D2948" s="2" t="s">
        <v>31</v>
      </c>
      <c r="E2948" s="2">
        <v>170</v>
      </c>
      <c r="F2948" s="2">
        <v>146</v>
      </c>
      <c r="G2948" s="2">
        <v>624</v>
      </c>
      <c r="H2948" s="2">
        <v>1160</v>
      </c>
      <c r="I2948" s="2">
        <v>2190</v>
      </c>
      <c r="J2948" s="2">
        <v>1.32</v>
      </c>
      <c r="K2948" s="2">
        <v>5.94</v>
      </c>
      <c r="L2948" s="2">
        <v>9.44</v>
      </c>
      <c r="M2948" s="2">
        <v>13.62</v>
      </c>
      <c r="N2948" s="2">
        <v>3.0222706700000002</v>
      </c>
      <c r="O2948" s="2">
        <v>2.9249377110000001</v>
      </c>
      <c r="P2948" s="2">
        <v>1.879732572</v>
      </c>
      <c r="Q2948" s="2">
        <v>1.878251211</v>
      </c>
      <c r="R2948" s="2">
        <v>1.6016178560000001</v>
      </c>
      <c r="S2948" s="2">
        <v>1.4416178559999999</v>
      </c>
      <c r="T2948" s="2">
        <v>0.98397905799999996</v>
      </c>
      <c r="U2948" s="2">
        <v>1.203979058</v>
      </c>
      <c r="V2948" s="2">
        <v>2.5333422049999998</v>
      </c>
      <c r="W2948" s="2">
        <v>2.3936880299999999</v>
      </c>
      <c r="X2948">
        <f t="shared" si="138"/>
        <v>1</v>
      </c>
      <c r="Y2948">
        <f t="shared" si="139"/>
        <v>0</v>
      </c>
      <c r="Z2948">
        <f t="shared" si="140"/>
        <v>1</v>
      </c>
    </row>
    <row r="2949" spans="1:26" ht="15.75" customHeight="1" x14ac:dyDescent="0.2">
      <c r="A2949" s="2" t="s">
        <v>36</v>
      </c>
      <c r="B2949" s="2" t="s">
        <v>24</v>
      </c>
      <c r="C2949" s="2" t="s">
        <v>25</v>
      </c>
      <c r="D2949" s="2" t="s">
        <v>25</v>
      </c>
      <c r="E2949" s="2">
        <v>171</v>
      </c>
      <c r="F2949" s="2">
        <v>129</v>
      </c>
      <c r="G2949" s="2">
        <v>581</v>
      </c>
      <c r="H2949" s="2">
        <v>1343</v>
      </c>
      <c r="I2949" s="2">
        <v>2419</v>
      </c>
      <c r="J2949" s="2">
        <v>1.1200000000000001</v>
      </c>
      <c r="K2949" s="2">
        <v>5.6</v>
      </c>
      <c r="L2949" s="2">
        <v>10.37</v>
      </c>
      <c r="M2949" s="2">
        <v>14.28</v>
      </c>
      <c r="N2949" s="2">
        <v>7.7180139999999994E-2</v>
      </c>
      <c r="O2949" s="2">
        <v>0.124030662</v>
      </c>
      <c r="P2949" s="2">
        <v>1.2638383289999999</v>
      </c>
      <c r="Q2949" s="2">
        <v>1.1355499170000001</v>
      </c>
      <c r="R2949" s="2">
        <v>1.2628226650000001</v>
      </c>
      <c r="S2949" s="2">
        <v>1.1028226649999999</v>
      </c>
      <c r="T2949" s="2">
        <v>5.0658054000000001E-2</v>
      </c>
      <c r="U2949" s="2">
        <v>0.27065805399999998</v>
      </c>
      <c r="V2949" s="2">
        <v>2.1945470139999999</v>
      </c>
      <c r="W2949" s="2">
        <v>2.0548928389999999</v>
      </c>
      <c r="X2949">
        <f t="shared" si="138"/>
        <v>1</v>
      </c>
      <c r="Y2949">
        <f t="shared" si="139"/>
        <v>0</v>
      </c>
      <c r="Z2949">
        <f t="shared" si="140"/>
        <v>0</v>
      </c>
    </row>
    <row r="2950" spans="1:26" ht="15.75" customHeight="1" x14ac:dyDescent="0.2">
      <c r="A2950" s="2" t="s">
        <v>36</v>
      </c>
      <c r="B2950" s="2" t="s">
        <v>24</v>
      </c>
      <c r="C2950" s="2" t="s">
        <v>30</v>
      </c>
      <c r="D2950" s="2" t="s">
        <v>31</v>
      </c>
      <c r="E2950" s="2">
        <v>151</v>
      </c>
      <c r="F2950" s="2">
        <v>129</v>
      </c>
      <c r="G2950" s="2">
        <v>596</v>
      </c>
      <c r="H2950" s="2">
        <v>1147</v>
      </c>
      <c r="I2950" s="2">
        <v>2143</v>
      </c>
      <c r="J2950" s="2">
        <v>1.1299999999999999</v>
      </c>
      <c r="K2950" s="2">
        <v>5.72</v>
      </c>
      <c r="L2950" s="2">
        <v>9.3699999999999992</v>
      </c>
      <c r="M2950" s="2">
        <v>13.47</v>
      </c>
      <c r="N2950" s="2">
        <v>2.958568471</v>
      </c>
      <c r="O2950" s="2">
        <v>2.8684825300000001</v>
      </c>
      <c r="P2950" s="2">
        <v>1.7335841869999999</v>
      </c>
      <c r="Q2950" s="2">
        <v>1.7608147759999999</v>
      </c>
      <c r="R2950" s="2">
        <v>1.3787896180000001</v>
      </c>
      <c r="S2950" s="2">
        <v>1.218789618</v>
      </c>
      <c r="T2950" s="2">
        <v>1.050834585</v>
      </c>
      <c r="U2950" s="2">
        <v>1.270834585</v>
      </c>
      <c r="V2950" s="2">
        <v>2.3105139669999999</v>
      </c>
      <c r="W2950" s="2">
        <v>2.1708597919999999</v>
      </c>
      <c r="X2950">
        <f t="shared" si="138"/>
        <v>1</v>
      </c>
      <c r="Y2950">
        <f t="shared" si="139"/>
        <v>0</v>
      </c>
      <c r="Z2950">
        <f t="shared" si="140"/>
        <v>1</v>
      </c>
    </row>
    <row r="2951" spans="1:26" ht="15.75" customHeight="1" x14ac:dyDescent="0.2">
      <c r="A2951" s="2" t="s">
        <v>36</v>
      </c>
      <c r="B2951" s="2" t="s">
        <v>24</v>
      </c>
      <c r="C2951" s="2" t="s">
        <v>25</v>
      </c>
      <c r="D2951" s="2" t="s">
        <v>25</v>
      </c>
      <c r="E2951" s="2">
        <v>134</v>
      </c>
      <c r="F2951" s="2">
        <v>121</v>
      </c>
      <c r="G2951" s="2">
        <v>621</v>
      </c>
      <c r="H2951" s="2">
        <v>1240</v>
      </c>
      <c r="I2951" s="2">
        <v>2301</v>
      </c>
      <c r="J2951" s="2">
        <v>1.03</v>
      </c>
      <c r="K2951" s="2">
        <v>5.92</v>
      </c>
      <c r="L2951" s="2">
        <v>9.86</v>
      </c>
      <c r="M2951" s="2">
        <v>13.95</v>
      </c>
      <c r="N2951" s="2">
        <v>0.36088946999999999</v>
      </c>
      <c r="O2951" s="2">
        <v>0.41000666499999999</v>
      </c>
      <c r="P2951" s="2">
        <v>1.902259932</v>
      </c>
      <c r="Q2951" s="2">
        <v>1.8900607359999999</v>
      </c>
      <c r="R2951" s="2">
        <v>1.7879746839999999</v>
      </c>
      <c r="S2951" s="2">
        <v>1.7079746840000001</v>
      </c>
      <c r="T2951" s="2">
        <v>0.64941464400000004</v>
      </c>
      <c r="U2951" s="2">
        <v>0.80941464399999996</v>
      </c>
      <c r="V2951" s="2">
        <v>2.6312064479999999</v>
      </c>
      <c r="W2951" s="2">
        <v>2.7102249309999999</v>
      </c>
      <c r="X2951">
        <f t="shared" si="138"/>
        <v>1</v>
      </c>
      <c r="Y2951">
        <f t="shared" si="139"/>
        <v>0</v>
      </c>
      <c r="Z2951">
        <f t="shared" si="140"/>
        <v>0</v>
      </c>
    </row>
    <row r="2952" spans="1:26" ht="15.75" customHeight="1" x14ac:dyDescent="0.2">
      <c r="A2952" s="2" t="s">
        <v>36</v>
      </c>
      <c r="B2952" s="2" t="s">
        <v>24</v>
      </c>
      <c r="C2952" s="2" t="s">
        <v>26</v>
      </c>
      <c r="D2952" s="2" t="s">
        <v>26</v>
      </c>
      <c r="E2952" s="2">
        <v>135</v>
      </c>
      <c r="F2952" s="2">
        <v>118</v>
      </c>
      <c r="G2952" s="2">
        <v>337</v>
      </c>
      <c r="H2952" s="2">
        <v>728</v>
      </c>
      <c r="I2952" s="2">
        <v>2513</v>
      </c>
      <c r="J2952" s="2">
        <v>1</v>
      </c>
      <c r="K2952" s="2">
        <v>3.41</v>
      </c>
      <c r="L2952" s="2">
        <v>6.73</v>
      </c>
      <c r="M2952" s="2">
        <v>14.53</v>
      </c>
      <c r="N2952" s="2">
        <v>0.52263586500000003</v>
      </c>
      <c r="O2952" s="2">
        <v>1.127242692</v>
      </c>
      <c r="P2952" s="2">
        <v>3.8451759989999998</v>
      </c>
      <c r="Q2952" s="2">
        <v>4.0176607439999996</v>
      </c>
      <c r="R2952" s="2">
        <v>0.72330238000000002</v>
      </c>
      <c r="S2952" s="2">
        <v>0.80330237999999998</v>
      </c>
      <c r="T2952" s="2">
        <v>3.7765344079999998</v>
      </c>
      <c r="U2952" s="2">
        <v>3.936534408</v>
      </c>
      <c r="V2952" s="2">
        <v>0.119929385</v>
      </c>
      <c r="W2952" s="2">
        <v>0.198947868</v>
      </c>
      <c r="X2952">
        <f t="shared" si="138"/>
        <v>1</v>
      </c>
      <c r="Y2952">
        <f t="shared" si="139"/>
        <v>0</v>
      </c>
      <c r="Z2952">
        <f t="shared" si="140"/>
        <v>0</v>
      </c>
    </row>
    <row r="2953" spans="1:26" ht="15.75" customHeight="1" x14ac:dyDescent="0.2">
      <c r="A2953" s="2" t="s">
        <v>36</v>
      </c>
      <c r="B2953" s="2" t="s">
        <v>24</v>
      </c>
      <c r="C2953" s="2" t="s">
        <v>27</v>
      </c>
      <c r="D2953" s="2" t="s">
        <v>27</v>
      </c>
      <c r="E2953" s="2">
        <v>204</v>
      </c>
      <c r="F2953" s="2">
        <v>120</v>
      </c>
      <c r="G2953" s="2">
        <v>355</v>
      </c>
      <c r="H2953" s="2">
        <v>1848</v>
      </c>
      <c r="I2953" s="2">
        <v>2420</v>
      </c>
      <c r="J2953" s="2">
        <v>1.01</v>
      </c>
      <c r="K2953" s="2">
        <v>3.58</v>
      </c>
      <c r="L2953" s="2">
        <v>12.48</v>
      </c>
      <c r="M2953" s="2">
        <v>14.28</v>
      </c>
      <c r="N2953" s="2">
        <v>0.11688261699999999</v>
      </c>
      <c r="O2953" s="2">
        <v>0.23215960299999999</v>
      </c>
      <c r="P2953" s="2">
        <v>2.0459979000000001</v>
      </c>
      <c r="Q2953" s="2">
        <v>1.916862624</v>
      </c>
      <c r="R2953" s="2">
        <v>0.54547941300000002</v>
      </c>
      <c r="S2953" s="2">
        <v>0.62547941299999998</v>
      </c>
      <c r="T2953" s="2">
        <v>1.971943107</v>
      </c>
      <c r="U2953" s="2">
        <v>1.8119431070000001</v>
      </c>
      <c r="V2953" s="2">
        <v>0.297752352</v>
      </c>
      <c r="W2953" s="2">
        <v>0.37677083500000003</v>
      </c>
      <c r="X2953">
        <f t="shared" si="138"/>
        <v>1</v>
      </c>
      <c r="Y2953">
        <f t="shared" si="139"/>
        <v>0</v>
      </c>
      <c r="Z2953">
        <f t="shared" si="140"/>
        <v>0</v>
      </c>
    </row>
    <row r="2954" spans="1:26" ht="15.75" customHeight="1" x14ac:dyDescent="0.2">
      <c r="A2954" s="2" t="s">
        <v>36</v>
      </c>
      <c r="B2954" s="2" t="s">
        <v>24</v>
      </c>
      <c r="C2954" s="2" t="s">
        <v>28</v>
      </c>
      <c r="D2954" s="2" t="s">
        <v>29</v>
      </c>
      <c r="E2954" s="2">
        <v>120</v>
      </c>
      <c r="F2954" s="2">
        <v>134</v>
      </c>
      <c r="G2954" s="2">
        <v>438</v>
      </c>
      <c r="H2954" s="2">
        <v>1530</v>
      </c>
      <c r="I2954" s="2">
        <v>2470</v>
      </c>
      <c r="J2954" s="2">
        <v>1.19</v>
      </c>
      <c r="K2954" s="2">
        <v>4.3600000000000003</v>
      </c>
      <c r="L2954" s="2">
        <v>11.22</v>
      </c>
      <c r="M2954" s="2">
        <v>14.42</v>
      </c>
      <c r="N2954" s="2">
        <v>4.2187339359999996</v>
      </c>
      <c r="O2954" s="2">
        <v>3.605235462</v>
      </c>
      <c r="P2954" s="2">
        <v>0.75210133099999998</v>
      </c>
      <c r="Q2954" s="2">
        <v>0.575757619</v>
      </c>
      <c r="R2954" s="2">
        <v>0.23385930799999999</v>
      </c>
      <c r="S2954" s="2">
        <v>0.153859308</v>
      </c>
      <c r="T2954" s="2">
        <v>0.71481902399999997</v>
      </c>
      <c r="U2954" s="2">
        <v>0.55481902400000005</v>
      </c>
      <c r="V2954" s="2">
        <v>1.077091072</v>
      </c>
      <c r="W2954" s="2">
        <v>1.1561095560000001</v>
      </c>
      <c r="X2954">
        <f t="shared" si="138"/>
        <v>1</v>
      </c>
      <c r="Y2954">
        <f t="shared" si="139"/>
        <v>0</v>
      </c>
      <c r="Z2954">
        <f t="shared" si="140"/>
        <v>1</v>
      </c>
    </row>
    <row r="2955" spans="1:26" ht="15.75" customHeight="1" x14ac:dyDescent="0.2">
      <c r="A2955" s="2" t="s">
        <v>36</v>
      </c>
      <c r="B2955" s="2" t="s">
        <v>24</v>
      </c>
      <c r="C2955" s="2" t="s">
        <v>30</v>
      </c>
      <c r="D2955" s="2" t="s">
        <v>31</v>
      </c>
      <c r="E2955" s="2">
        <v>215</v>
      </c>
      <c r="F2955" s="2">
        <v>125</v>
      </c>
      <c r="G2955" s="2">
        <v>593</v>
      </c>
      <c r="H2955" s="2">
        <v>1188</v>
      </c>
      <c r="I2955" s="2">
        <v>2266</v>
      </c>
      <c r="J2955" s="2">
        <v>1.07</v>
      </c>
      <c r="K2955" s="2">
        <v>5.69</v>
      </c>
      <c r="L2955" s="2">
        <v>9.59</v>
      </c>
      <c r="M2955" s="2">
        <v>13.85</v>
      </c>
      <c r="N2955" s="2">
        <v>3.5299383020000001</v>
      </c>
      <c r="O2955" s="2">
        <v>3.5555392810000002</v>
      </c>
      <c r="P2955" s="2">
        <v>1.8162680959999999</v>
      </c>
      <c r="Q2955" s="2">
        <v>1.8372942379999999</v>
      </c>
      <c r="R2955" s="2">
        <v>1.564625229</v>
      </c>
      <c r="S2955" s="2">
        <v>1.4846252289999999</v>
      </c>
      <c r="T2955" s="2">
        <v>0.92237611200000003</v>
      </c>
      <c r="U2955" s="2">
        <v>1.0823761119999999</v>
      </c>
      <c r="V2955" s="2">
        <v>2.4078569929999998</v>
      </c>
      <c r="W2955" s="2">
        <v>2.4868754759999998</v>
      </c>
      <c r="X2955">
        <f t="shared" si="138"/>
        <v>1</v>
      </c>
      <c r="Y2955">
        <f t="shared" si="139"/>
        <v>0</v>
      </c>
      <c r="Z2955">
        <f t="shared" si="140"/>
        <v>1</v>
      </c>
    </row>
    <row r="2956" spans="1:26" ht="15.75" customHeight="1" x14ac:dyDescent="0.2">
      <c r="A2956" s="2" t="s">
        <v>36</v>
      </c>
      <c r="B2956" s="2" t="s">
        <v>24</v>
      </c>
      <c r="C2956" s="2" t="s">
        <v>26</v>
      </c>
      <c r="D2956" s="2" t="s">
        <v>26</v>
      </c>
      <c r="E2956" s="2">
        <v>149</v>
      </c>
      <c r="F2956" s="2">
        <v>123</v>
      </c>
      <c r="G2956" s="2">
        <v>391</v>
      </c>
      <c r="H2956" s="2">
        <v>633</v>
      </c>
      <c r="I2956" s="2">
        <v>2825</v>
      </c>
      <c r="J2956" s="2">
        <v>1.06</v>
      </c>
      <c r="K2956" s="2">
        <v>3.93</v>
      </c>
      <c r="L2956" s="2">
        <v>6.01</v>
      </c>
      <c r="M2956" s="2">
        <v>15.3</v>
      </c>
      <c r="N2956" s="2">
        <v>1.030237117</v>
      </c>
      <c r="O2956" s="2">
        <v>1.6228851360000001</v>
      </c>
      <c r="P2956" s="2">
        <v>4.4995340840000004</v>
      </c>
      <c r="Q2956" s="2">
        <v>4.663469021</v>
      </c>
      <c r="R2956" s="2">
        <v>0.198001134</v>
      </c>
      <c r="S2956" s="2">
        <v>0.27800113399999998</v>
      </c>
      <c r="T2956" s="2">
        <v>4.4951754719999997</v>
      </c>
      <c r="U2956" s="2">
        <v>4.6551754719999998</v>
      </c>
      <c r="V2956" s="2">
        <v>0.645230631</v>
      </c>
      <c r="W2956" s="2">
        <v>0.72424911400000003</v>
      </c>
      <c r="X2956">
        <f t="shared" si="138"/>
        <v>1</v>
      </c>
      <c r="Y2956">
        <f t="shared" si="139"/>
        <v>0</v>
      </c>
      <c r="Z2956">
        <f t="shared" si="140"/>
        <v>0</v>
      </c>
    </row>
    <row r="2957" spans="1:26" ht="15.75" customHeight="1" x14ac:dyDescent="0.2">
      <c r="A2957" s="2" t="s">
        <v>36</v>
      </c>
      <c r="B2957" s="2" t="s">
        <v>24</v>
      </c>
      <c r="C2957" s="2" t="s">
        <v>28</v>
      </c>
      <c r="D2957" s="2" t="s">
        <v>29</v>
      </c>
      <c r="E2957" s="2">
        <v>240</v>
      </c>
      <c r="F2957" s="2">
        <v>144</v>
      </c>
      <c r="G2957" s="2">
        <v>430</v>
      </c>
      <c r="H2957" s="2">
        <v>1388</v>
      </c>
      <c r="I2957" s="2">
        <v>2752</v>
      </c>
      <c r="J2957" s="2">
        <v>1.3</v>
      </c>
      <c r="K2957" s="2">
        <v>4.3</v>
      </c>
      <c r="L2957" s="2">
        <v>10.58</v>
      </c>
      <c r="M2957" s="2">
        <v>15.13</v>
      </c>
      <c r="N2957" s="2">
        <v>3.5738099270000001</v>
      </c>
      <c r="O2957" s="2">
        <v>2.9604355440000001</v>
      </c>
      <c r="P2957" s="2">
        <v>0.181999087</v>
      </c>
      <c r="Q2957" s="2">
        <v>0.12261685</v>
      </c>
      <c r="R2957" s="2">
        <v>0.166622507</v>
      </c>
      <c r="S2957" s="2">
        <v>8.6622507000000001E-2</v>
      </c>
      <c r="T2957" s="2">
        <v>7.3216169999999997E-2</v>
      </c>
      <c r="U2957" s="2">
        <v>8.6783830000000006E-2</v>
      </c>
      <c r="V2957" s="2">
        <v>1.0098542720000001</v>
      </c>
      <c r="W2957" s="2">
        <v>1.0888727549999999</v>
      </c>
      <c r="X2957">
        <f t="shared" si="138"/>
        <v>1</v>
      </c>
      <c r="Y2957">
        <f t="shared" si="139"/>
        <v>0</v>
      </c>
      <c r="Z2957">
        <f t="shared" si="140"/>
        <v>1</v>
      </c>
    </row>
    <row r="2958" spans="1:26" ht="15.75" customHeight="1" x14ac:dyDescent="0.2">
      <c r="A2958" s="2" t="s">
        <v>36</v>
      </c>
      <c r="B2958" s="2" t="s">
        <v>24</v>
      </c>
      <c r="C2958" s="2" t="s">
        <v>32</v>
      </c>
      <c r="D2958" s="2" t="s">
        <v>33</v>
      </c>
      <c r="E2958" s="2">
        <v>217</v>
      </c>
      <c r="F2958" s="2">
        <v>120</v>
      </c>
      <c r="G2958" s="2">
        <v>682</v>
      </c>
      <c r="H2958" s="2">
        <v>1336</v>
      </c>
      <c r="I2958" s="2">
        <v>2892</v>
      </c>
      <c r="J2958" s="2">
        <v>1.02</v>
      </c>
      <c r="K2958" s="2">
        <v>6.39</v>
      </c>
      <c r="L2958" s="2">
        <v>10.34</v>
      </c>
      <c r="M2958" s="2">
        <v>15.45</v>
      </c>
      <c r="N2958" s="2">
        <v>0.662489828</v>
      </c>
      <c r="O2958" s="2">
        <v>0.45837133800000002</v>
      </c>
      <c r="P2958" s="2">
        <v>2.2696509100000002</v>
      </c>
      <c r="Q2958" s="2">
        <v>2.2081664000000001</v>
      </c>
      <c r="R2958" s="2">
        <v>2.2631827929999999</v>
      </c>
      <c r="S2958" s="2">
        <v>2.1831827929999998</v>
      </c>
      <c r="T2958" s="2">
        <v>0.17122762699999999</v>
      </c>
      <c r="U2958" s="2">
        <v>0.33122762700000002</v>
      </c>
      <c r="V2958" s="2">
        <v>3.106414558</v>
      </c>
      <c r="W2958" s="2">
        <v>3.185433041</v>
      </c>
      <c r="X2958">
        <f t="shared" si="138"/>
        <v>1</v>
      </c>
      <c r="Y2958">
        <f t="shared" si="139"/>
        <v>0</v>
      </c>
      <c r="Z2958">
        <f t="shared" si="140"/>
        <v>1</v>
      </c>
    </row>
    <row r="2959" spans="1:26" ht="15.75" customHeight="1" x14ac:dyDescent="0.2">
      <c r="A2959" s="2" t="s">
        <v>36</v>
      </c>
      <c r="B2959" s="2" t="s">
        <v>24</v>
      </c>
      <c r="C2959" s="2" t="s">
        <v>32</v>
      </c>
      <c r="D2959" s="2" t="s">
        <v>33</v>
      </c>
      <c r="E2959" s="2">
        <v>188</v>
      </c>
      <c r="F2959" s="2">
        <v>123</v>
      </c>
      <c r="G2959" s="2">
        <v>592</v>
      </c>
      <c r="H2959" s="2">
        <v>860</v>
      </c>
      <c r="I2959" s="2">
        <v>2458</v>
      </c>
      <c r="J2959" s="2">
        <v>1.05</v>
      </c>
      <c r="K2959" s="2">
        <v>5.69</v>
      </c>
      <c r="L2959" s="2">
        <v>7.64</v>
      </c>
      <c r="M2959" s="2">
        <v>14.39</v>
      </c>
      <c r="N2959" s="2">
        <v>2.5368969570000002</v>
      </c>
      <c r="O2959" s="2">
        <v>2.6383049189999999</v>
      </c>
      <c r="P2959" s="2">
        <v>3.2615060640000002</v>
      </c>
      <c r="Q2959" s="2">
        <v>3.3671242480000001</v>
      </c>
      <c r="R2959" s="2">
        <v>1.556557805</v>
      </c>
      <c r="S2959" s="2">
        <v>1.4765578049999999</v>
      </c>
      <c r="T2959" s="2">
        <v>2.8661035579999998</v>
      </c>
      <c r="U2959" s="2">
        <v>3.026103558</v>
      </c>
      <c r="V2959" s="2">
        <v>2.3997895699999998</v>
      </c>
      <c r="W2959" s="2">
        <v>2.4788080529999998</v>
      </c>
      <c r="X2959">
        <f t="shared" si="138"/>
        <v>1</v>
      </c>
      <c r="Y2959">
        <f t="shared" si="139"/>
        <v>0</v>
      </c>
      <c r="Z2959">
        <f t="shared" si="140"/>
        <v>1</v>
      </c>
    </row>
    <row r="2960" spans="1:26" ht="15.75" customHeight="1" x14ac:dyDescent="0.2">
      <c r="A2960" s="2" t="s">
        <v>36</v>
      </c>
      <c r="B2960" s="2" t="s">
        <v>24</v>
      </c>
      <c r="C2960" s="2" t="s">
        <v>25</v>
      </c>
      <c r="D2960" s="2" t="s">
        <v>25</v>
      </c>
      <c r="E2960" s="2">
        <v>170</v>
      </c>
      <c r="F2960" s="2">
        <v>97</v>
      </c>
      <c r="G2960" s="2">
        <v>611</v>
      </c>
      <c r="H2960" s="2">
        <v>1443</v>
      </c>
      <c r="I2960" s="2">
        <v>2359</v>
      </c>
      <c r="J2960" s="2">
        <v>0.74</v>
      </c>
      <c r="K2960" s="2">
        <v>5.84</v>
      </c>
      <c r="L2960" s="2">
        <v>10.84</v>
      </c>
      <c r="M2960" s="2">
        <v>14.11</v>
      </c>
      <c r="N2960" s="2">
        <v>0.66513353500000005</v>
      </c>
      <c r="O2960" s="2">
        <v>0.576486838</v>
      </c>
      <c r="P2960" s="2">
        <v>1.7452502240000001</v>
      </c>
      <c r="Q2960" s="2">
        <v>1.642724686</v>
      </c>
      <c r="R2960" s="2">
        <v>1.714065336</v>
      </c>
      <c r="S2960" s="2">
        <v>1.6340653359999999</v>
      </c>
      <c r="T2960" s="2">
        <v>0.32844842800000001</v>
      </c>
      <c r="U2960" s="2">
        <v>0.16844842800000001</v>
      </c>
      <c r="V2960" s="2">
        <v>2.5572971</v>
      </c>
      <c r="W2960" s="2">
        <v>2.6363155840000001</v>
      </c>
      <c r="X2960">
        <f t="shared" si="138"/>
        <v>1</v>
      </c>
      <c r="Y2960">
        <f t="shared" si="139"/>
        <v>0</v>
      </c>
      <c r="Z2960">
        <f t="shared" si="140"/>
        <v>0</v>
      </c>
    </row>
    <row r="2961" spans="1:26" ht="15.75" customHeight="1" x14ac:dyDescent="0.2">
      <c r="A2961" s="2" t="s">
        <v>36</v>
      </c>
      <c r="B2961" s="2" t="s">
        <v>24</v>
      </c>
      <c r="C2961" s="2" t="s">
        <v>32</v>
      </c>
      <c r="D2961" s="2" t="s">
        <v>33</v>
      </c>
      <c r="E2961" s="2">
        <v>162</v>
      </c>
      <c r="F2961" s="2">
        <v>128</v>
      </c>
      <c r="G2961" s="2">
        <v>588</v>
      </c>
      <c r="H2961" s="2">
        <v>932</v>
      </c>
      <c r="I2961" s="2">
        <v>2464</v>
      </c>
      <c r="J2961" s="2">
        <v>1.1100000000000001</v>
      </c>
      <c r="K2961" s="2">
        <v>5.65</v>
      </c>
      <c r="L2961" s="2">
        <v>8.11</v>
      </c>
      <c r="M2961" s="2">
        <v>14.4</v>
      </c>
      <c r="N2961" s="2">
        <v>2.0742929600000002</v>
      </c>
      <c r="O2961" s="2">
        <v>2.1808852320000001</v>
      </c>
      <c r="P2961" s="2">
        <v>2.8448642909999999</v>
      </c>
      <c r="Q2961" s="2">
        <v>2.941095491</v>
      </c>
      <c r="R2961" s="2">
        <v>1.524224781</v>
      </c>
      <c r="S2961" s="2">
        <v>1.444224781</v>
      </c>
      <c r="T2961" s="2">
        <v>2.4020806920000002</v>
      </c>
      <c r="U2961" s="2">
        <v>2.5620806919999999</v>
      </c>
      <c r="V2961" s="2">
        <v>2.3674565460000001</v>
      </c>
      <c r="W2961" s="2">
        <v>2.4464750290000001</v>
      </c>
      <c r="X2961">
        <f t="shared" si="138"/>
        <v>1</v>
      </c>
      <c r="Y2961">
        <f t="shared" si="139"/>
        <v>0</v>
      </c>
      <c r="Z2961">
        <f t="shared" si="140"/>
        <v>1</v>
      </c>
    </row>
    <row r="2962" spans="1:26" ht="15.75" customHeight="1" x14ac:dyDescent="0.2">
      <c r="A2962" s="2" t="s">
        <v>36</v>
      </c>
      <c r="B2962" s="2" t="s">
        <v>24</v>
      </c>
      <c r="C2962" s="2" t="s">
        <v>32</v>
      </c>
      <c r="D2962" s="2" t="s">
        <v>33</v>
      </c>
      <c r="E2962" s="2">
        <v>178</v>
      </c>
      <c r="F2962" s="2">
        <v>119</v>
      </c>
      <c r="G2962" s="2">
        <v>579</v>
      </c>
      <c r="H2962" s="2">
        <v>915</v>
      </c>
      <c r="I2962" s="2">
        <v>2533</v>
      </c>
      <c r="J2962" s="2">
        <v>1.01</v>
      </c>
      <c r="K2962" s="2">
        <v>5.58</v>
      </c>
      <c r="L2962" s="2">
        <v>8</v>
      </c>
      <c r="M2962" s="2">
        <v>14.58</v>
      </c>
      <c r="N2962" s="2">
        <v>2.1860797340000002</v>
      </c>
      <c r="O2962" s="2">
        <v>2.2977475209999998</v>
      </c>
      <c r="P2962" s="2">
        <v>2.8988822220000001</v>
      </c>
      <c r="Q2962" s="2">
        <v>3.0010658459999999</v>
      </c>
      <c r="R2962" s="2">
        <v>1.451102941</v>
      </c>
      <c r="S2962" s="2">
        <v>1.371102941</v>
      </c>
      <c r="T2962" s="2">
        <v>2.509545455</v>
      </c>
      <c r="U2962" s="2">
        <v>2.6695454550000002</v>
      </c>
      <c r="V2962" s="2">
        <v>2.2943347059999999</v>
      </c>
      <c r="W2962" s="2">
        <v>2.3733531889999999</v>
      </c>
      <c r="X2962">
        <f t="shared" si="138"/>
        <v>1</v>
      </c>
      <c r="Y2962">
        <f t="shared" si="139"/>
        <v>0</v>
      </c>
      <c r="Z2962">
        <f t="shared" si="140"/>
        <v>1</v>
      </c>
    </row>
    <row r="2963" spans="1:26" ht="15.75" customHeight="1" x14ac:dyDescent="0.2">
      <c r="A2963" s="2" t="s">
        <v>36</v>
      </c>
      <c r="B2963" s="2" t="s">
        <v>24</v>
      </c>
      <c r="C2963" s="2" t="s">
        <v>25</v>
      </c>
      <c r="D2963" s="2" t="s">
        <v>25</v>
      </c>
      <c r="E2963" s="2">
        <v>110</v>
      </c>
      <c r="F2963" s="2">
        <v>113</v>
      </c>
      <c r="G2963" s="2">
        <v>578</v>
      </c>
      <c r="H2963" s="2">
        <v>1373</v>
      </c>
      <c r="I2963" s="2">
        <v>2225</v>
      </c>
      <c r="J2963" s="2">
        <v>0.93</v>
      </c>
      <c r="K2963" s="2">
        <v>5.57</v>
      </c>
      <c r="L2963" s="2">
        <v>10.52</v>
      </c>
      <c r="M2963" s="2">
        <v>13.72</v>
      </c>
      <c r="N2963" s="2">
        <v>0.37954701899999999</v>
      </c>
      <c r="O2963" s="2">
        <v>0.44170890299999999</v>
      </c>
      <c r="P2963" s="2">
        <v>1.4429576129999999</v>
      </c>
      <c r="Q2963" s="2">
        <v>1.371650418</v>
      </c>
      <c r="R2963" s="2">
        <v>1.442946276</v>
      </c>
      <c r="S2963" s="2">
        <v>1.362946276</v>
      </c>
      <c r="T2963" s="2">
        <v>5.7200000000000003E-3</v>
      </c>
      <c r="U2963" s="2">
        <v>0.15428</v>
      </c>
      <c r="V2963" s="2">
        <v>2.2861780409999999</v>
      </c>
      <c r="W2963" s="2">
        <v>2.3651965239999999</v>
      </c>
      <c r="X2963">
        <f t="shared" si="138"/>
        <v>1</v>
      </c>
      <c r="Y2963">
        <f t="shared" si="139"/>
        <v>0</v>
      </c>
      <c r="Z2963">
        <f t="shared" si="140"/>
        <v>0</v>
      </c>
    </row>
    <row r="2964" spans="1:26" ht="15.75" customHeight="1" x14ac:dyDescent="0.2">
      <c r="A2964" s="2" t="s">
        <v>36</v>
      </c>
      <c r="B2964" s="2" t="s">
        <v>24</v>
      </c>
      <c r="C2964" s="2" t="s">
        <v>25</v>
      </c>
      <c r="D2964" s="2" t="s">
        <v>25</v>
      </c>
      <c r="E2964" s="2">
        <v>218</v>
      </c>
      <c r="F2964" s="2">
        <v>117</v>
      </c>
      <c r="G2964" s="2">
        <v>619</v>
      </c>
      <c r="H2964" s="2">
        <v>1231</v>
      </c>
      <c r="I2964" s="2">
        <v>2294</v>
      </c>
      <c r="J2964" s="2">
        <v>0.98</v>
      </c>
      <c r="K2964" s="2">
        <v>5.91</v>
      </c>
      <c r="L2964" s="2">
        <v>9.81</v>
      </c>
      <c r="M2964" s="2">
        <v>13.93</v>
      </c>
      <c r="N2964" s="2">
        <v>0.39817212400000002</v>
      </c>
      <c r="O2964" s="2">
        <v>0.456880703</v>
      </c>
      <c r="P2964" s="2">
        <v>1.9087563030000001</v>
      </c>
      <c r="Q2964" s="2">
        <v>1.9009442599999999</v>
      </c>
      <c r="R2964" s="2">
        <v>1.7774489529999999</v>
      </c>
      <c r="S2964" s="2">
        <v>1.6974489530000001</v>
      </c>
      <c r="T2964" s="2">
        <v>0.69571965700000005</v>
      </c>
      <c r="U2964" s="2">
        <v>0.85571965699999997</v>
      </c>
      <c r="V2964" s="2">
        <v>2.620680718</v>
      </c>
      <c r="W2964" s="2">
        <v>2.699699201</v>
      </c>
      <c r="X2964">
        <f t="shared" si="138"/>
        <v>1</v>
      </c>
      <c r="Y2964">
        <f t="shared" si="139"/>
        <v>0</v>
      </c>
      <c r="Z2964">
        <f t="shared" si="140"/>
        <v>0</v>
      </c>
    </row>
    <row r="2965" spans="1:26" ht="15.75" customHeight="1" x14ac:dyDescent="0.2">
      <c r="A2965" s="2" t="s">
        <v>36</v>
      </c>
      <c r="B2965" s="2" t="s">
        <v>24</v>
      </c>
      <c r="C2965" s="2" t="s">
        <v>27</v>
      </c>
      <c r="D2965" s="2" t="s">
        <v>27</v>
      </c>
      <c r="E2965" s="2">
        <v>171</v>
      </c>
      <c r="F2965" s="2">
        <v>137</v>
      </c>
      <c r="G2965" s="2">
        <v>322</v>
      </c>
      <c r="H2965" s="2">
        <v>1901</v>
      </c>
      <c r="I2965" s="2">
        <v>2489</v>
      </c>
      <c r="J2965" s="2">
        <v>1.22</v>
      </c>
      <c r="K2965" s="2">
        <v>3.25</v>
      </c>
      <c r="L2965" s="2">
        <v>12.67</v>
      </c>
      <c r="M2965" s="2">
        <v>14.47</v>
      </c>
      <c r="N2965" s="2">
        <v>0.48184770900000001</v>
      </c>
      <c r="O2965" s="2">
        <v>0.54644462100000002</v>
      </c>
      <c r="P2965" s="2">
        <v>2.3337501719999998</v>
      </c>
      <c r="Q2965" s="2">
        <v>2.219824456</v>
      </c>
      <c r="R2965" s="2">
        <v>0.88035792499999999</v>
      </c>
      <c r="S2965" s="2">
        <v>0.96035792499999995</v>
      </c>
      <c r="T2965" s="2">
        <v>2.1613328730000001</v>
      </c>
      <c r="U2965" s="2">
        <v>2.001332873</v>
      </c>
      <c r="V2965" s="2">
        <v>-3.7126160999999998E-2</v>
      </c>
      <c r="W2965" s="2">
        <v>4.1892322000000003E-2</v>
      </c>
      <c r="X2965">
        <f t="shared" si="138"/>
        <v>1</v>
      </c>
      <c r="Y2965">
        <f t="shared" si="139"/>
        <v>0</v>
      </c>
      <c r="Z2965">
        <f t="shared" si="140"/>
        <v>0</v>
      </c>
    </row>
    <row r="2966" spans="1:26" ht="15.75" customHeight="1" x14ac:dyDescent="0.2">
      <c r="A2966" s="2" t="s">
        <v>36</v>
      </c>
      <c r="B2966" s="2" t="s">
        <v>24</v>
      </c>
      <c r="C2966" s="2" t="s">
        <v>30</v>
      </c>
      <c r="D2966" s="2" t="s">
        <v>31</v>
      </c>
      <c r="E2966" s="2">
        <v>172</v>
      </c>
      <c r="F2966" s="2">
        <v>137</v>
      </c>
      <c r="G2966" s="2">
        <v>664</v>
      </c>
      <c r="H2966" s="2">
        <v>1421</v>
      </c>
      <c r="I2966" s="2">
        <v>2601</v>
      </c>
      <c r="J2966" s="2">
        <v>1.23</v>
      </c>
      <c r="K2966" s="2">
        <v>6.26</v>
      </c>
      <c r="L2966" s="2">
        <v>10.74</v>
      </c>
      <c r="M2966" s="2">
        <v>14.76</v>
      </c>
      <c r="N2966" s="2">
        <v>3.104268077</v>
      </c>
      <c r="O2966" s="2">
        <v>3.0837232490000002</v>
      </c>
      <c r="P2966" s="2">
        <v>2.1391285240000002</v>
      </c>
      <c r="Q2966" s="2">
        <v>2.0479611339999999</v>
      </c>
      <c r="R2966" s="2">
        <v>2.126781405</v>
      </c>
      <c r="S2966" s="2">
        <v>2.0467814049999999</v>
      </c>
      <c r="T2966" s="2">
        <v>0.22950315499999999</v>
      </c>
      <c r="U2966" s="2">
        <v>6.9503154999999997E-2</v>
      </c>
      <c r="V2966" s="2">
        <v>2.970013169</v>
      </c>
      <c r="W2966" s="2">
        <v>3.0490316530000001</v>
      </c>
      <c r="X2966">
        <f t="shared" si="138"/>
        <v>1</v>
      </c>
      <c r="Y2966">
        <f t="shared" si="139"/>
        <v>0</v>
      </c>
      <c r="Z2966">
        <f t="shared" si="140"/>
        <v>1</v>
      </c>
    </row>
    <row r="2967" spans="1:26" ht="15.75" customHeight="1" x14ac:dyDescent="0.2">
      <c r="A2967" s="2" t="s">
        <v>36</v>
      </c>
      <c r="B2967" s="2" t="s">
        <v>24</v>
      </c>
      <c r="C2967" s="2" t="s">
        <v>28</v>
      </c>
      <c r="D2967" s="2" t="s">
        <v>29</v>
      </c>
      <c r="E2967" s="2">
        <v>169</v>
      </c>
      <c r="F2967" s="2">
        <v>124</v>
      </c>
      <c r="G2967" s="2">
        <v>457</v>
      </c>
      <c r="H2967" s="2">
        <v>1096</v>
      </c>
      <c r="I2967" s="2">
        <v>2607</v>
      </c>
      <c r="J2967" s="2">
        <v>1.06</v>
      </c>
      <c r="K2967" s="2">
        <v>4.54</v>
      </c>
      <c r="L2967" s="2">
        <v>9.08</v>
      </c>
      <c r="M2967" s="2">
        <v>14.77</v>
      </c>
      <c r="N2967" s="2">
        <v>2.1637836269999999</v>
      </c>
      <c r="O2967" s="2">
        <v>1.5219477880000001</v>
      </c>
      <c r="P2967" s="2">
        <v>1.4851105040000001</v>
      </c>
      <c r="Q2967" s="2">
        <v>1.621164394</v>
      </c>
      <c r="R2967" s="2">
        <v>0.412162162</v>
      </c>
      <c r="S2967" s="2">
        <v>0.33216216199999998</v>
      </c>
      <c r="T2967" s="2">
        <v>1.426771027</v>
      </c>
      <c r="U2967" s="2">
        <v>1.5867710269999999</v>
      </c>
      <c r="V2967" s="2">
        <v>1.2553939270000001</v>
      </c>
      <c r="W2967" s="2">
        <v>1.3344124100000001</v>
      </c>
      <c r="X2967">
        <f t="shared" si="138"/>
        <v>1</v>
      </c>
      <c r="Y2967">
        <f t="shared" si="139"/>
        <v>0</v>
      </c>
      <c r="Z2967">
        <f t="shared" si="140"/>
        <v>1</v>
      </c>
    </row>
    <row r="2968" spans="1:26" ht="15.75" customHeight="1" x14ac:dyDescent="0.2">
      <c r="A2968" s="2" t="s">
        <v>36</v>
      </c>
      <c r="B2968" s="2" t="s">
        <v>24</v>
      </c>
      <c r="C2968" s="2" t="s">
        <v>28</v>
      </c>
      <c r="D2968" s="2" t="s">
        <v>29</v>
      </c>
      <c r="E2968" s="2">
        <v>203</v>
      </c>
      <c r="F2968" s="2">
        <v>119</v>
      </c>
      <c r="G2968" s="2">
        <v>456</v>
      </c>
      <c r="H2968" s="2">
        <v>1869</v>
      </c>
      <c r="I2968" s="2">
        <v>2719</v>
      </c>
      <c r="J2968" s="2">
        <v>1.01</v>
      </c>
      <c r="K2968" s="2">
        <v>4.53</v>
      </c>
      <c r="L2968" s="2">
        <v>12.56</v>
      </c>
      <c r="M2968" s="2">
        <v>15.05</v>
      </c>
      <c r="N2968" s="2">
        <v>5.5602960929999998</v>
      </c>
      <c r="O2968" s="2">
        <v>4.9457755040000002</v>
      </c>
      <c r="P2968" s="2">
        <v>2.0846009959999998</v>
      </c>
      <c r="Q2968" s="2">
        <v>1.9128935250000001</v>
      </c>
      <c r="R2968" s="2">
        <v>0.397164344</v>
      </c>
      <c r="S2968" s="2">
        <v>0.31716434399999999</v>
      </c>
      <c r="T2968" s="2">
        <v>2.0464168190000001</v>
      </c>
      <c r="U2968" s="2">
        <v>1.8864168189999999</v>
      </c>
      <c r="V2968" s="2">
        <v>1.240396109</v>
      </c>
      <c r="W2968" s="2">
        <v>1.319414592</v>
      </c>
      <c r="X2968">
        <f t="shared" si="138"/>
        <v>1</v>
      </c>
      <c r="Y2968">
        <f t="shared" si="139"/>
        <v>0</v>
      </c>
      <c r="Z2968">
        <f t="shared" si="140"/>
        <v>1</v>
      </c>
    </row>
    <row r="2969" spans="1:26" ht="15.75" customHeight="1" x14ac:dyDescent="0.2">
      <c r="A2969" s="2" t="s">
        <v>36</v>
      </c>
      <c r="B2969" s="2" t="s">
        <v>24</v>
      </c>
      <c r="C2969" s="2" t="s">
        <v>32</v>
      </c>
      <c r="D2969" s="2" t="s">
        <v>33</v>
      </c>
      <c r="E2969" s="2">
        <v>171</v>
      </c>
      <c r="F2969" s="2">
        <v>130</v>
      </c>
      <c r="G2969" s="2">
        <v>596</v>
      </c>
      <c r="H2969" s="2">
        <v>908</v>
      </c>
      <c r="I2969" s="2">
        <v>2322</v>
      </c>
      <c r="J2969" s="2">
        <v>1.1399999999999999</v>
      </c>
      <c r="K2969" s="2">
        <v>5.72</v>
      </c>
      <c r="L2969" s="2">
        <v>7.96</v>
      </c>
      <c r="M2969" s="2">
        <v>14.01</v>
      </c>
      <c r="N2969" s="2">
        <v>2.222186599</v>
      </c>
      <c r="O2969" s="2">
        <v>2.322090035</v>
      </c>
      <c r="P2969" s="2">
        <v>3.009021266</v>
      </c>
      <c r="Q2969" s="2">
        <v>3.1060901950000002</v>
      </c>
      <c r="R2969" s="2">
        <v>1.59415178</v>
      </c>
      <c r="S2969" s="2">
        <v>1.5141517799999999</v>
      </c>
      <c r="T2969" s="2">
        <v>2.5520362620000001</v>
      </c>
      <c r="U2969" s="2">
        <v>2.7120362619999998</v>
      </c>
      <c r="V2969" s="2">
        <v>2.4373835449999999</v>
      </c>
      <c r="W2969" s="2">
        <v>2.5164020279999999</v>
      </c>
      <c r="X2969">
        <f t="shared" si="138"/>
        <v>1</v>
      </c>
      <c r="Y2969">
        <f t="shared" si="139"/>
        <v>0</v>
      </c>
      <c r="Z2969">
        <f t="shared" si="140"/>
        <v>1</v>
      </c>
    </row>
    <row r="2970" spans="1:26" ht="15.75" customHeight="1" x14ac:dyDescent="0.2">
      <c r="A2970" s="2" t="s">
        <v>36</v>
      </c>
      <c r="B2970" s="2" t="s">
        <v>24</v>
      </c>
      <c r="C2970" s="2" t="s">
        <v>26</v>
      </c>
      <c r="D2970" s="2" t="s">
        <v>26</v>
      </c>
      <c r="E2970" s="2">
        <v>190</v>
      </c>
      <c r="F2970" s="2">
        <v>104</v>
      </c>
      <c r="G2970" s="2">
        <v>421</v>
      </c>
      <c r="H2970" s="2">
        <v>776</v>
      </c>
      <c r="I2970" s="2">
        <v>2725</v>
      </c>
      <c r="J2970" s="2">
        <v>0.82</v>
      </c>
      <c r="K2970" s="2">
        <v>4.21</v>
      </c>
      <c r="L2970" s="2">
        <v>7.07</v>
      </c>
      <c r="M2970" s="2">
        <v>15.06</v>
      </c>
      <c r="N2970" s="2">
        <v>0.38176491800000001</v>
      </c>
      <c r="O2970" s="2">
        <v>0.57117886900000003</v>
      </c>
      <c r="P2970" s="2">
        <v>3.4392753890000001</v>
      </c>
      <c r="Q2970" s="2">
        <v>3.598334377</v>
      </c>
      <c r="R2970" s="2">
        <v>8.0449390999999995E-2</v>
      </c>
      <c r="S2970" s="2">
        <v>4.4939099999999999E-4</v>
      </c>
      <c r="T2970" s="2">
        <v>3.4383343489999998</v>
      </c>
      <c r="U2970" s="2">
        <v>3.5983343489999999</v>
      </c>
      <c r="V2970" s="2">
        <v>0.923681156</v>
      </c>
      <c r="W2970" s="2">
        <v>1.002699639</v>
      </c>
      <c r="X2970">
        <f t="shared" si="138"/>
        <v>1</v>
      </c>
      <c r="Y2970">
        <f t="shared" si="139"/>
        <v>0</v>
      </c>
      <c r="Z2970">
        <f t="shared" si="140"/>
        <v>0</v>
      </c>
    </row>
    <row r="2971" spans="1:26" ht="15.75" customHeight="1" x14ac:dyDescent="0.2">
      <c r="A2971" s="2" t="s">
        <v>36</v>
      </c>
      <c r="B2971" s="2" t="s">
        <v>24</v>
      </c>
      <c r="C2971" s="2" t="s">
        <v>25</v>
      </c>
      <c r="D2971" s="2" t="s">
        <v>25</v>
      </c>
      <c r="E2971" s="2">
        <v>130</v>
      </c>
      <c r="F2971" s="2">
        <v>113</v>
      </c>
      <c r="G2971" s="2">
        <v>635</v>
      </c>
      <c r="H2971" s="2">
        <v>1240</v>
      </c>
      <c r="I2971" s="2">
        <v>2436</v>
      </c>
      <c r="J2971" s="2">
        <v>0.93</v>
      </c>
      <c r="K2971" s="2">
        <v>6.03</v>
      </c>
      <c r="L2971" s="2">
        <v>9.86</v>
      </c>
      <c r="M2971" s="2">
        <v>14.33</v>
      </c>
      <c r="N2971" s="2">
        <v>0.42805972599999997</v>
      </c>
      <c r="O2971" s="2">
        <v>0.421522167</v>
      </c>
      <c r="P2971" s="2">
        <v>2.0113527649999998</v>
      </c>
      <c r="Q2971" s="2">
        <v>1.995347819</v>
      </c>
      <c r="R2971" s="2">
        <v>1.903043925</v>
      </c>
      <c r="S2971" s="2">
        <v>1.8230439249999999</v>
      </c>
      <c r="T2971" s="2">
        <v>0.65112499999999995</v>
      </c>
      <c r="U2971" s="2">
        <v>0.81112499999999998</v>
      </c>
      <c r="V2971" s="2">
        <v>2.74627569</v>
      </c>
      <c r="W2971" s="2">
        <v>2.8252941730000001</v>
      </c>
      <c r="X2971">
        <f t="shared" si="138"/>
        <v>1</v>
      </c>
      <c r="Y2971">
        <f t="shared" si="139"/>
        <v>0</v>
      </c>
      <c r="Z2971">
        <f t="shared" si="140"/>
        <v>0</v>
      </c>
    </row>
    <row r="2972" spans="1:26" ht="15.75" customHeight="1" x14ac:dyDescent="0.2">
      <c r="A2972" s="2" t="s">
        <v>36</v>
      </c>
      <c r="B2972" s="2" t="s">
        <v>24</v>
      </c>
      <c r="C2972" s="2" t="s">
        <v>30</v>
      </c>
      <c r="D2972" s="2" t="s">
        <v>31</v>
      </c>
      <c r="E2972" s="2">
        <v>122</v>
      </c>
      <c r="F2972" s="2">
        <v>102</v>
      </c>
      <c r="G2972" s="2">
        <v>539</v>
      </c>
      <c r="H2972" s="2">
        <v>1048</v>
      </c>
      <c r="I2972" s="2">
        <v>2136</v>
      </c>
      <c r="J2972" s="2">
        <v>0.8</v>
      </c>
      <c r="K2972" s="2">
        <v>5.25</v>
      </c>
      <c r="L2972" s="2">
        <v>8.81</v>
      </c>
      <c r="M2972" s="2">
        <v>13.45</v>
      </c>
      <c r="N2972" s="2">
        <v>4.0033481430000002</v>
      </c>
      <c r="O2972" s="2">
        <v>4.053203881</v>
      </c>
      <c r="P2972" s="2">
        <v>2.0366563279999998</v>
      </c>
      <c r="Q2972" s="2">
        <v>2.131947405</v>
      </c>
      <c r="R2972" s="2">
        <v>1.1197438630000001</v>
      </c>
      <c r="S2972" s="2">
        <v>1.039743863</v>
      </c>
      <c r="T2972" s="2">
        <v>1.701217998</v>
      </c>
      <c r="U2972" s="2">
        <v>1.8612179980000001</v>
      </c>
      <c r="V2972" s="2">
        <v>1.9629756279999999</v>
      </c>
      <c r="W2972" s="2">
        <v>2.0419941110000002</v>
      </c>
      <c r="X2972">
        <f t="shared" si="138"/>
        <v>1</v>
      </c>
      <c r="Y2972">
        <f t="shared" si="139"/>
        <v>0</v>
      </c>
      <c r="Z2972">
        <f t="shared" si="140"/>
        <v>1</v>
      </c>
    </row>
    <row r="2973" spans="1:26" ht="15.75" customHeight="1" x14ac:dyDescent="0.2">
      <c r="A2973" s="2" t="s">
        <v>36</v>
      </c>
      <c r="B2973" s="2" t="s">
        <v>24</v>
      </c>
      <c r="C2973" s="2" t="s">
        <v>27</v>
      </c>
      <c r="D2973" s="2" t="s">
        <v>27</v>
      </c>
      <c r="E2973" s="2">
        <v>227</v>
      </c>
      <c r="F2973" s="2">
        <v>129</v>
      </c>
      <c r="G2973" s="2">
        <v>359</v>
      </c>
      <c r="H2973" s="2">
        <v>1898</v>
      </c>
      <c r="I2973" s="2">
        <v>2585</v>
      </c>
      <c r="J2973" s="2">
        <v>1.1200000000000001</v>
      </c>
      <c r="K2973" s="2">
        <v>3.62</v>
      </c>
      <c r="L2973" s="2">
        <v>12.66</v>
      </c>
      <c r="M2973" s="2">
        <v>14.72</v>
      </c>
      <c r="N2973" s="2">
        <v>0.17795667400000001</v>
      </c>
      <c r="O2973" s="2">
        <v>0.18075987199999999</v>
      </c>
      <c r="P2973" s="2">
        <v>2.2095498930000002</v>
      </c>
      <c r="Q2973" s="2">
        <v>2.0753034220000002</v>
      </c>
      <c r="R2973" s="2">
        <v>0.50633802800000005</v>
      </c>
      <c r="S2973" s="2">
        <v>0.58633802800000001</v>
      </c>
      <c r="T2973" s="2">
        <v>2.1507516199999999</v>
      </c>
      <c r="U2973" s="2">
        <v>1.9907516199999999</v>
      </c>
      <c r="V2973" s="2">
        <v>0.33689373700000003</v>
      </c>
      <c r="W2973" s="2">
        <v>0.41591222</v>
      </c>
      <c r="X2973">
        <f t="shared" si="138"/>
        <v>1</v>
      </c>
      <c r="Y2973">
        <f t="shared" si="139"/>
        <v>0</v>
      </c>
      <c r="Z2973">
        <f t="shared" si="140"/>
        <v>0</v>
      </c>
    </row>
    <row r="2974" spans="1:26" ht="15.75" customHeight="1" x14ac:dyDescent="0.2">
      <c r="A2974" s="2" t="s">
        <v>36</v>
      </c>
      <c r="B2974" s="2" t="s">
        <v>24</v>
      </c>
      <c r="C2974" s="2" t="s">
        <v>30</v>
      </c>
      <c r="D2974" s="2" t="s">
        <v>31</v>
      </c>
      <c r="E2974" s="2">
        <v>175</v>
      </c>
      <c r="F2974" s="2">
        <v>125</v>
      </c>
      <c r="G2974" s="2">
        <v>552</v>
      </c>
      <c r="H2974" s="2">
        <v>1134</v>
      </c>
      <c r="I2974" s="2">
        <v>2317</v>
      </c>
      <c r="J2974" s="2">
        <v>1.08</v>
      </c>
      <c r="K2974" s="2">
        <v>5.36</v>
      </c>
      <c r="L2974" s="2">
        <v>9.2899999999999991</v>
      </c>
      <c r="M2974" s="2">
        <v>13.99</v>
      </c>
      <c r="N2974" s="2">
        <v>3.6092132729999999</v>
      </c>
      <c r="O2974" s="2">
        <v>3.6498042320000001</v>
      </c>
      <c r="P2974" s="2">
        <v>1.7282880759999999</v>
      </c>
      <c r="Q2974" s="2">
        <v>1.7920317160000001</v>
      </c>
      <c r="R2974" s="2">
        <v>1.2285932319999999</v>
      </c>
      <c r="S2974" s="2">
        <v>1.1485932320000001</v>
      </c>
      <c r="T2974" s="2">
        <v>1.215540351</v>
      </c>
      <c r="U2974" s="2">
        <v>1.3755403509999999</v>
      </c>
      <c r="V2974" s="2">
        <v>2.0718249960000001</v>
      </c>
      <c r="W2974" s="2">
        <v>2.1508434790000002</v>
      </c>
      <c r="X2974">
        <f t="shared" si="138"/>
        <v>1</v>
      </c>
      <c r="Y2974">
        <f t="shared" si="139"/>
        <v>0</v>
      </c>
      <c r="Z2974">
        <f t="shared" si="140"/>
        <v>1</v>
      </c>
    </row>
    <row r="2975" spans="1:26" ht="15.75" customHeight="1" x14ac:dyDescent="0.2">
      <c r="A2975" s="2" t="s">
        <v>36</v>
      </c>
      <c r="B2975" s="2" t="s">
        <v>24</v>
      </c>
      <c r="C2975" s="2" t="s">
        <v>27</v>
      </c>
      <c r="D2975" s="2" t="s">
        <v>27</v>
      </c>
      <c r="E2975" s="2">
        <v>150</v>
      </c>
      <c r="F2975" s="2">
        <v>119</v>
      </c>
      <c r="G2975" s="2">
        <v>362</v>
      </c>
      <c r="H2975" s="2">
        <v>1795</v>
      </c>
      <c r="I2975" s="2">
        <v>2446</v>
      </c>
      <c r="J2975" s="2">
        <v>1.01</v>
      </c>
      <c r="K2975" s="2">
        <v>3.65</v>
      </c>
      <c r="L2975" s="2">
        <v>12.29</v>
      </c>
      <c r="M2975" s="2">
        <v>14.35</v>
      </c>
      <c r="N2975" s="2">
        <v>0.21914937500000001</v>
      </c>
      <c r="O2975" s="2">
        <v>0.33350467099999997</v>
      </c>
      <c r="P2975" s="2">
        <v>1.8389261180000001</v>
      </c>
      <c r="Q2975" s="2">
        <v>1.7092898000000001</v>
      </c>
      <c r="R2975" s="2">
        <v>0.47707047499999999</v>
      </c>
      <c r="S2975" s="2">
        <v>0.55707047499999995</v>
      </c>
      <c r="T2975" s="2">
        <v>1.7759653790000001</v>
      </c>
      <c r="U2975" s="2">
        <v>1.6159653789999999</v>
      </c>
      <c r="V2975" s="2">
        <v>0.36616128999999997</v>
      </c>
      <c r="W2975" s="2">
        <v>0.445179773</v>
      </c>
      <c r="X2975">
        <f t="shared" si="138"/>
        <v>1</v>
      </c>
      <c r="Y2975">
        <f t="shared" si="139"/>
        <v>0</v>
      </c>
      <c r="Z2975">
        <f t="shared" si="140"/>
        <v>0</v>
      </c>
    </row>
    <row r="2976" spans="1:26" ht="15.75" customHeight="1" x14ac:dyDescent="0.2">
      <c r="A2976" s="2" t="s">
        <v>36</v>
      </c>
      <c r="B2976" s="2" t="s">
        <v>24</v>
      </c>
      <c r="C2976" s="2" t="s">
        <v>26</v>
      </c>
      <c r="D2976" s="2" t="s">
        <v>26</v>
      </c>
      <c r="E2976" s="2">
        <v>141</v>
      </c>
      <c r="F2976" s="2">
        <v>123</v>
      </c>
      <c r="G2976" s="2">
        <v>359</v>
      </c>
      <c r="H2976" s="2">
        <v>880</v>
      </c>
      <c r="I2976" s="2">
        <v>2348</v>
      </c>
      <c r="J2976" s="2">
        <v>1.06</v>
      </c>
      <c r="K2976" s="2">
        <v>3.62</v>
      </c>
      <c r="L2976" s="2">
        <v>7.78</v>
      </c>
      <c r="M2976" s="2">
        <v>14.08</v>
      </c>
      <c r="N2976" s="2">
        <v>0.76565134300000004</v>
      </c>
      <c r="O2976" s="2">
        <v>0.48905572400000002</v>
      </c>
      <c r="P2976" s="2">
        <v>2.7791899230000001</v>
      </c>
      <c r="Q2976" s="2">
        <v>2.9515025069999998</v>
      </c>
      <c r="R2976" s="2">
        <v>0.50633802800000005</v>
      </c>
      <c r="S2976" s="2">
        <v>0.58633802800000001</v>
      </c>
      <c r="T2976" s="2">
        <v>2.7326760559999999</v>
      </c>
      <c r="U2976" s="2">
        <v>2.892676056</v>
      </c>
      <c r="V2976" s="2">
        <v>0.33689373700000003</v>
      </c>
      <c r="W2976" s="2">
        <v>0.41591222</v>
      </c>
      <c r="X2976">
        <f t="shared" si="138"/>
        <v>1</v>
      </c>
      <c r="Y2976">
        <f t="shared" si="139"/>
        <v>0</v>
      </c>
      <c r="Z2976">
        <f t="shared" si="140"/>
        <v>0</v>
      </c>
    </row>
    <row r="2977" spans="1:26" ht="15.75" customHeight="1" x14ac:dyDescent="0.2">
      <c r="A2977" s="2" t="s">
        <v>36</v>
      </c>
      <c r="B2977" s="2" t="s">
        <v>24</v>
      </c>
      <c r="C2977" s="2" t="s">
        <v>27</v>
      </c>
      <c r="D2977" s="2" t="s">
        <v>27</v>
      </c>
      <c r="E2977" s="2">
        <v>149</v>
      </c>
      <c r="F2977" s="2">
        <v>125</v>
      </c>
      <c r="G2977" s="2">
        <v>343</v>
      </c>
      <c r="H2977" s="2">
        <v>1891</v>
      </c>
      <c r="I2977" s="2">
        <v>2587</v>
      </c>
      <c r="J2977" s="2">
        <v>1.08</v>
      </c>
      <c r="K2977" s="2">
        <v>3.46</v>
      </c>
      <c r="L2977" s="2">
        <v>12.63</v>
      </c>
      <c r="M2977" s="2">
        <v>14.72</v>
      </c>
      <c r="N2977" s="2">
        <v>0.27555644699999998</v>
      </c>
      <c r="O2977" s="2">
        <v>0.33335067899999998</v>
      </c>
      <c r="P2977" s="2">
        <v>2.2280443449999998</v>
      </c>
      <c r="Q2977" s="2">
        <v>2.1032099440000001</v>
      </c>
      <c r="R2977" s="2">
        <v>0.67032426199999995</v>
      </c>
      <c r="S2977" s="2">
        <v>0.75032426200000002</v>
      </c>
      <c r="T2977" s="2">
        <v>2.1248169309999998</v>
      </c>
      <c r="U2977" s="2">
        <v>1.9648169310000001</v>
      </c>
      <c r="V2977" s="2">
        <v>0.17290750299999999</v>
      </c>
      <c r="W2977" s="2">
        <v>0.25192598599999999</v>
      </c>
      <c r="X2977">
        <f t="shared" si="138"/>
        <v>1</v>
      </c>
      <c r="Y2977">
        <f t="shared" si="139"/>
        <v>0</v>
      </c>
      <c r="Z2977">
        <f t="shared" si="140"/>
        <v>0</v>
      </c>
    </row>
    <row r="2978" spans="1:26" ht="15.75" customHeight="1" x14ac:dyDescent="0.2">
      <c r="A2978" s="2" t="s">
        <v>36</v>
      </c>
      <c r="B2978" s="2" t="s">
        <v>24</v>
      </c>
      <c r="C2978" s="2" t="s">
        <v>30</v>
      </c>
      <c r="D2978" s="2" t="s">
        <v>31</v>
      </c>
      <c r="E2978" s="2">
        <v>93</v>
      </c>
      <c r="F2978" s="2">
        <v>118</v>
      </c>
      <c r="G2978" s="2">
        <v>556</v>
      </c>
      <c r="H2978" s="2">
        <v>1040</v>
      </c>
      <c r="I2978" s="2">
        <v>2276</v>
      </c>
      <c r="J2978" s="2">
        <v>0.99</v>
      </c>
      <c r="K2978" s="2">
        <v>5.39</v>
      </c>
      <c r="L2978" s="2">
        <v>8.77</v>
      </c>
      <c r="M2978" s="2">
        <v>13.87</v>
      </c>
      <c r="N2978" s="2">
        <v>4.0993353780000001</v>
      </c>
      <c r="O2978" s="2">
        <v>4.1458800809999996</v>
      </c>
      <c r="P2978" s="2">
        <v>2.1525676530000002</v>
      </c>
      <c r="Q2978" s="2">
        <v>2.2409160350000001</v>
      </c>
      <c r="R2978" s="2">
        <v>1.2618590169999999</v>
      </c>
      <c r="S2978" s="2">
        <v>1.1818590170000001</v>
      </c>
      <c r="T2978" s="2">
        <v>1.743920675</v>
      </c>
      <c r="U2978" s="2">
        <v>1.903920675</v>
      </c>
      <c r="V2978" s="2">
        <v>2.105090782</v>
      </c>
      <c r="W2978" s="2">
        <v>2.184109265</v>
      </c>
      <c r="X2978">
        <f t="shared" si="138"/>
        <v>1</v>
      </c>
      <c r="Y2978">
        <f t="shared" si="139"/>
        <v>0</v>
      </c>
      <c r="Z2978">
        <f t="shared" si="140"/>
        <v>1</v>
      </c>
    </row>
    <row r="2979" spans="1:26" ht="15.75" customHeight="1" x14ac:dyDescent="0.2">
      <c r="A2979" s="2" t="s">
        <v>36</v>
      </c>
      <c r="B2979" s="2" t="s">
        <v>24</v>
      </c>
      <c r="C2979" s="2" t="s">
        <v>27</v>
      </c>
      <c r="D2979" s="2" t="s">
        <v>27</v>
      </c>
      <c r="E2979" s="2">
        <v>162</v>
      </c>
      <c r="F2979" s="2">
        <v>137</v>
      </c>
      <c r="G2979" s="2">
        <v>402</v>
      </c>
      <c r="H2979" s="2">
        <v>1833</v>
      </c>
      <c r="I2979" s="2">
        <v>2496</v>
      </c>
      <c r="J2979" s="2">
        <v>1.23</v>
      </c>
      <c r="K2979" s="2">
        <v>4.04</v>
      </c>
      <c r="L2979" s="2">
        <v>12.43</v>
      </c>
      <c r="M2979" s="2">
        <v>14.49</v>
      </c>
      <c r="N2979" s="2">
        <v>0.34407607299999998</v>
      </c>
      <c r="O2979" s="2">
        <v>0.29561453999999998</v>
      </c>
      <c r="P2979" s="2">
        <v>1.918465291</v>
      </c>
      <c r="Q2979" s="2">
        <v>1.764756905</v>
      </c>
      <c r="R2979" s="2">
        <v>9.3939607999999994E-2</v>
      </c>
      <c r="S2979" s="2">
        <v>0.173939608</v>
      </c>
      <c r="T2979" s="2">
        <v>1.9161639859999999</v>
      </c>
      <c r="U2979" s="2">
        <v>1.756163986</v>
      </c>
      <c r="V2979" s="2">
        <v>0.74929215699999996</v>
      </c>
      <c r="W2979" s="2">
        <v>0.82831063999999999</v>
      </c>
      <c r="X2979">
        <f t="shared" si="138"/>
        <v>1</v>
      </c>
      <c r="Y2979">
        <f t="shared" si="139"/>
        <v>0</v>
      </c>
      <c r="Z2979">
        <f t="shared" si="140"/>
        <v>0</v>
      </c>
    </row>
    <row r="2980" spans="1:26" ht="15.75" customHeight="1" x14ac:dyDescent="0.2">
      <c r="A2980" s="2" t="s">
        <v>36</v>
      </c>
      <c r="B2980" s="2" t="s">
        <v>24</v>
      </c>
      <c r="C2980" s="2" t="s">
        <v>26</v>
      </c>
      <c r="D2980" s="2" t="s">
        <v>26</v>
      </c>
      <c r="E2980" s="2">
        <v>236</v>
      </c>
      <c r="F2980" s="2">
        <v>136</v>
      </c>
      <c r="G2980" s="2">
        <v>377</v>
      </c>
      <c r="H2980" s="2">
        <v>825</v>
      </c>
      <c r="I2980" s="2">
        <v>2493</v>
      </c>
      <c r="J2980" s="2">
        <v>1.21</v>
      </c>
      <c r="K2980" s="2">
        <v>3.8</v>
      </c>
      <c r="L2980" s="2">
        <v>7.41</v>
      </c>
      <c r="M2980" s="2">
        <v>14.48</v>
      </c>
      <c r="N2980" s="2">
        <v>0.37103282300000001</v>
      </c>
      <c r="O2980" s="2">
        <v>0.36569209499999999</v>
      </c>
      <c r="P2980" s="2">
        <v>3.1180480820000001</v>
      </c>
      <c r="Q2980" s="2">
        <v>3.286248531</v>
      </c>
      <c r="R2980" s="2">
        <v>0.33185966900000002</v>
      </c>
      <c r="S2980" s="2">
        <v>0.41185966899999998</v>
      </c>
      <c r="T2980" s="2">
        <v>3.1003375630000001</v>
      </c>
      <c r="U2980" s="2">
        <v>3.2603375630000002</v>
      </c>
      <c r="V2980" s="2">
        <v>0.511372096</v>
      </c>
      <c r="W2980" s="2">
        <v>0.59039057900000003</v>
      </c>
      <c r="X2980">
        <f t="shared" si="138"/>
        <v>1</v>
      </c>
      <c r="Y2980">
        <f t="shared" si="139"/>
        <v>0</v>
      </c>
      <c r="Z2980">
        <f t="shared" si="140"/>
        <v>0</v>
      </c>
    </row>
    <row r="2981" spans="1:26" ht="15.75" customHeight="1" x14ac:dyDescent="0.2">
      <c r="A2981" s="2" t="s">
        <v>36</v>
      </c>
      <c r="B2981" s="2" t="s">
        <v>24</v>
      </c>
      <c r="C2981" s="2" t="s">
        <v>30</v>
      </c>
      <c r="D2981" s="2" t="s">
        <v>31</v>
      </c>
      <c r="E2981" s="2">
        <v>200</v>
      </c>
      <c r="F2981" s="2">
        <v>113</v>
      </c>
      <c r="G2981" s="2">
        <v>595</v>
      </c>
      <c r="H2981" s="2">
        <v>1001</v>
      </c>
      <c r="I2981" s="2">
        <v>2566</v>
      </c>
      <c r="J2981" s="2">
        <v>0.94</v>
      </c>
      <c r="K2981" s="2">
        <v>5.72</v>
      </c>
      <c r="L2981" s="2">
        <v>8.5299999999999994</v>
      </c>
      <c r="M2981" s="2">
        <v>14.67</v>
      </c>
      <c r="N2981" s="2">
        <v>4.4495374659999998</v>
      </c>
      <c r="O2981" s="2">
        <v>4.4906199229999997</v>
      </c>
      <c r="P2981" s="2">
        <v>2.5342798279999998</v>
      </c>
      <c r="Q2981" s="2">
        <v>2.6140581709999999</v>
      </c>
      <c r="R2981" s="2">
        <v>1.5861074879999999</v>
      </c>
      <c r="S2981" s="2">
        <v>1.506107488</v>
      </c>
      <c r="T2981" s="2">
        <v>1.9765721039999999</v>
      </c>
      <c r="U2981" s="2">
        <v>2.1365721039999999</v>
      </c>
      <c r="V2981" s="2">
        <v>2.4293392520000001</v>
      </c>
      <c r="W2981" s="2">
        <v>2.5083577350000001</v>
      </c>
      <c r="X2981">
        <f t="shared" si="138"/>
        <v>1</v>
      </c>
      <c r="Y2981">
        <f t="shared" si="139"/>
        <v>0</v>
      </c>
      <c r="Z2981">
        <f t="shared" si="140"/>
        <v>1</v>
      </c>
    </row>
    <row r="2982" spans="1:26" ht="15.75" customHeight="1" x14ac:dyDescent="0.2">
      <c r="A2982" s="2" t="s">
        <v>36</v>
      </c>
      <c r="B2982" s="2" t="s">
        <v>24</v>
      </c>
      <c r="C2982" s="2" t="s">
        <v>32</v>
      </c>
      <c r="D2982" s="2" t="s">
        <v>33</v>
      </c>
      <c r="E2982" s="2">
        <v>145</v>
      </c>
      <c r="F2982" s="2">
        <v>119</v>
      </c>
      <c r="G2982" s="2">
        <v>601</v>
      </c>
      <c r="H2982" s="2">
        <v>772</v>
      </c>
      <c r="I2982" s="2">
        <v>2364</v>
      </c>
      <c r="J2982" s="2">
        <v>1</v>
      </c>
      <c r="K2982" s="2">
        <v>5.76</v>
      </c>
      <c r="L2982" s="2">
        <v>7.05</v>
      </c>
      <c r="M2982" s="2">
        <v>14.13</v>
      </c>
      <c r="N2982" s="2">
        <v>3.131800272</v>
      </c>
      <c r="O2982" s="2">
        <v>3.2265562299999999</v>
      </c>
      <c r="P2982" s="2">
        <v>3.828146244</v>
      </c>
      <c r="Q2982" s="2">
        <v>3.941190771</v>
      </c>
      <c r="R2982" s="2">
        <v>1.634279021</v>
      </c>
      <c r="S2982" s="2">
        <v>1.5542790209999999</v>
      </c>
      <c r="T2982" s="2">
        <v>3.4617677200000001</v>
      </c>
      <c r="U2982" s="2">
        <v>3.6217677199999998</v>
      </c>
      <c r="V2982" s="2">
        <v>2.4775107859999999</v>
      </c>
      <c r="W2982" s="2">
        <v>2.5565292689999999</v>
      </c>
      <c r="X2982">
        <f t="shared" si="138"/>
        <v>1</v>
      </c>
      <c r="Y2982">
        <f t="shared" si="139"/>
        <v>0</v>
      </c>
      <c r="Z2982">
        <f t="shared" si="140"/>
        <v>1</v>
      </c>
    </row>
    <row r="2983" spans="1:26" ht="15.75" customHeight="1" x14ac:dyDescent="0.2">
      <c r="A2983" s="2" t="s">
        <v>36</v>
      </c>
      <c r="B2983" s="2" t="s">
        <v>24</v>
      </c>
      <c r="C2983" s="2" t="s">
        <v>28</v>
      </c>
      <c r="D2983" s="2" t="s">
        <v>29</v>
      </c>
      <c r="E2983" s="2">
        <v>289</v>
      </c>
      <c r="F2983" s="2">
        <v>140</v>
      </c>
      <c r="G2983" s="2">
        <v>532</v>
      </c>
      <c r="H2983" s="2">
        <v>1578</v>
      </c>
      <c r="I2983" s="2">
        <v>2840</v>
      </c>
      <c r="J2983" s="2">
        <v>1.26</v>
      </c>
      <c r="K2983" s="2">
        <v>5.2</v>
      </c>
      <c r="L2983" s="2">
        <v>11.43</v>
      </c>
      <c r="M2983" s="2">
        <v>15.33</v>
      </c>
      <c r="N2983" s="2">
        <v>4.5954643710000003</v>
      </c>
      <c r="O2983" s="2">
        <v>3.955513024</v>
      </c>
      <c r="P2983" s="2">
        <v>1.4068019519999999</v>
      </c>
      <c r="Q2983" s="2">
        <v>1.243717776</v>
      </c>
      <c r="R2983" s="2">
        <v>1.06630333</v>
      </c>
      <c r="S2983" s="2">
        <v>0.98630333000000003</v>
      </c>
      <c r="T2983" s="2">
        <v>0.917654042</v>
      </c>
      <c r="U2983" s="2">
        <v>0.75765404199999997</v>
      </c>
      <c r="V2983" s="2">
        <v>1.9095350950000001</v>
      </c>
      <c r="W2983" s="2">
        <v>1.9885535780000001</v>
      </c>
      <c r="X2983">
        <f t="shared" si="138"/>
        <v>1</v>
      </c>
      <c r="Y2983">
        <f t="shared" si="139"/>
        <v>0</v>
      </c>
      <c r="Z2983">
        <f t="shared" si="140"/>
        <v>1</v>
      </c>
    </row>
    <row r="2984" spans="1:26" ht="15.75" customHeight="1" x14ac:dyDescent="0.2">
      <c r="A2984" s="2" t="s">
        <v>36</v>
      </c>
      <c r="B2984" s="2" t="s">
        <v>24</v>
      </c>
      <c r="C2984" s="2" t="s">
        <v>28</v>
      </c>
      <c r="D2984" s="2" t="s">
        <v>29</v>
      </c>
      <c r="E2984" s="2">
        <v>220</v>
      </c>
      <c r="F2984" s="2">
        <v>129</v>
      </c>
      <c r="G2984" s="2">
        <v>516</v>
      </c>
      <c r="H2984" s="2">
        <v>1745</v>
      </c>
      <c r="I2984" s="2">
        <v>2735</v>
      </c>
      <c r="J2984" s="2">
        <v>1.1299999999999999</v>
      </c>
      <c r="K2984" s="2">
        <v>5.0599999999999996</v>
      </c>
      <c r="L2984" s="2">
        <v>12.1</v>
      </c>
      <c r="M2984" s="2">
        <v>15.09</v>
      </c>
      <c r="N2984" s="2">
        <v>5.2058025609999996</v>
      </c>
      <c r="O2984" s="2">
        <v>4.572476569</v>
      </c>
      <c r="P2984" s="2">
        <v>1.840657864</v>
      </c>
      <c r="Q2984" s="2">
        <v>1.6622047849999999</v>
      </c>
      <c r="R2984" s="2">
        <v>0.93007807200000003</v>
      </c>
      <c r="S2984" s="2">
        <v>0.85007807199999996</v>
      </c>
      <c r="T2984" s="2">
        <v>1.5883879089999999</v>
      </c>
      <c r="U2984" s="2">
        <v>1.428387909</v>
      </c>
      <c r="V2984" s="2">
        <v>1.773309837</v>
      </c>
      <c r="W2984" s="2">
        <v>1.85232832</v>
      </c>
      <c r="X2984">
        <f t="shared" si="138"/>
        <v>1</v>
      </c>
      <c r="Y2984">
        <f t="shared" si="139"/>
        <v>0</v>
      </c>
      <c r="Z2984">
        <f t="shared" si="140"/>
        <v>1</v>
      </c>
    </row>
    <row r="2985" spans="1:26" ht="15.75" customHeight="1" x14ac:dyDescent="0.2">
      <c r="A2985" s="2" t="s">
        <v>36</v>
      </c>
      <c r="B2985" s="2" t="s">
        <v>24</v>
      </c>
      <c r="C2985" s="2" t="s">
        <v>26</v>
      </c>
      <c r="D2985" s="2" t="s">
        <v>26</v>
      </c>
      <c r="E2985" s="2">
        <v>130</v>
      </c>
      <c r="F2985" s="2">
        <v>117</v>
      </c>
      <c r="G2985" s="2">
        <v>367</v>
      </c>
      <c r="H2985" s="2">
        <v>778</v>
      </c>
      <c r="I2985" s="2">
        <v>2519</v>
      </c>
      <c r="J2985" s="2">
        <v>0.98</v>
      </c>
      <c r="K2985" s="2">
        <v>3.7</v>
      </c>
      <c r="L2985" s="2">
        <v>7.09</v>
      </c>
      <c r="M2985" s="2">
        <v>14.55</v>
      </c>
      <c r="N2985" s="2">
        <v>0.142457001</v>
      </c>
      <c r="O2985" s="2">
        <v>0.67248254500000004</v>
      </c>
      <c r="P2985" s="2">
        <v>3.4518118329999998</v>
      </c>
      <c r="Q2985" s="2">
        <v>3.6211006640000001</v>
      </c>
      <c r="R2985" s="2">
        <v>0.43492836699999998</v>
      </c>
      <c r="S2985" s="2">
        <v>0.514928367</v>
      </c>
      <c r="T2985" s="2">
        <v>3.4243017170000001</v>
      </c>
      <c r="U2985" s="2">
        <v>3.5843017170000002</v>
      </c>
      <c r="V2985" s="2">
        <v>0.40830339799999998</v>
      </c>
      <c r="W2985" s="2">
        <v>0.48732188100000001</v>
      </c>
      <c r="X2985">
        <f t="shared" si="138"/>
        <v>1</v>
      </c>
      <c r="Y2985">
        <f t="shared" si="139"/>
        <v>0</v>
      </c>
      <c r="Z2985">
        <f t="shared" si="140"/>
        <v>0</v>
      </c>
    </row>
    <row r="2986" spans="1:26" ht="15.75" customHeight="1" x14ac:dyDescent="0.2">
      <c r="A2986" s="2" t="s">
        <v>36</v>
      </c>
      <c r="B2986" s="2" t="s">
        <v>24</v>
      </c>
      <c r="C2986" s="2" t="s">
        <v>25</v>
      </c>
      <c r="D2986" s="2" t="s">
        <v>25</v>
      </c>
      <c r="E2986" s="2">
        <v>151</v>
      </c>
      <c r="F2986" s="2">
        <v>114</v>
      </c>
      <c r="G2986" s="2">
        <v>638</v>
      </c>
      <c r="H2986" s="2">
        <v>1360</v>
      </c>
      <c r="I2986" s="2">
        <v>2505</v>
      </c>
      <c r="J2986" s="2">
        <v>0.94</v>
      </c>
      <c r="K2986" s="2">
        <v>6.06</v>
      </c>
      <c r="L2986" s="2">
        <v>10.45</v>
      </c>
      <c r="M2986" s="2">
        <v>14.51</v>
      </c>
      <c r="N2986" s="2">
        <v>0.41105829999999999</v>
      </c>
      <c r="O2986" s="2">
        <v>0.21773672499999999</v>
      </c>
      <c r="P2986" s="2">
        <v>1.9272345959999999</v>
      </c>
      <c r="Q2986" s="2">
        <v>1.8590121879999999</v>
      </c>
      <c r="R2986" s="2">
        <v>1.926420783</v>
      </c>
      <c r="S2986" s="2">
        <v>1.8464207829999999</v>
      </c>
      <c r="T2986" s="2">
        <v>5.6001404999999997E-2</v>
      </c>
      <c r="U2986" s="2">
        <v>0.21600140500000001</v>
      </c>
      <c r="V2986" s="2">
        <v>2.7696525470000002</v>
      </c>
      <c r="W2986" s="2">
        <v>2.8486710300000002</v>
      </c>
      <c r="X2986">
        <f t="shared" si="138"/>
        <v>1</v>
      </c>
      <c r="Y2986">
        <f t="shared" si="139"/>
        <v>0</v>
      </c>
      <c r="Z2986">
        <f t="shared" si="140"/>
        <v>0</v>
      </c>
    </row>
    <row r="2987" spans="1:26" ht="15.75" customHeight="1" x14ac:dyDescent="0.2">
      <c r="A2987" s="2" t="s">
        <v>36</v>
      </c>
      <c r="B2987" s="2" t="s">
        <v>24</v>
      </c>
      <c r="C2987" s="2" t="s">
        <v>30</v>
      </c>
      <c r="D2987" s="2" t="s">
        <v>31</v>
      </c>
      <c r="E2987" s="2">
        <v>121</v>
      </c>
      <c r="F2987" s="2">
        <v>111</v>
      </c>
      <c r="G2987" s="2">
        <v>504</v>
      </c>
      <c r="H2987" s="2">
        <v>1280</v>
      </c>
      <c r="I2987" s="2">
        <v>2189</v>
      </c>
      <c r="J2987" s="2">
        <v>0.91</v>
      </c>
      <c r="K2987" s="2">
        <v>4.96</v>
      </c>
      <c r="L2987" s="2">
        <v>10.06</v>
      </c>
      <c r="M2987" s="2">
        <v>13.62</v>
      </c>
      <c r="N2987" s="2">
        <v>2.7417244780000001</v>
      </c>
      <c r="O2987" s="2">
        <v>2.7831006490000001</v>
      </c>
      <c r="P2987" s="2">
        <v>0.93972199700000003</v>
      </c>
      <c r="Q2987" s="2">
        <v>0.96215915699999999</v>
      </c>
      <c r="R2987" s="2">
        <v>0.82674827500000003</v>
      </c>
      <c r="S2987" s="2">
        <v>0.74674827499999996</v>
      </c>
      <c r="T2987" s="2">
        <v>0.44672667399999999</v>
      </c>
      <c r="U2987" s="2">
        <v>0.60672667400000002</v>
      </c>
      <c r="V2987" s="2">
        <v>1.66998004</v>
      </c>
      <c r="W2987" s="2">
        <v>1.748998523</v>
      </c>
      <c r="X2987">
        <f t="shared" si="138"/>
        <v>1</v>
      </c>
      <c r="Y2987">
        <f t="shared" si="139"/>
        <v>0</v>
      </c>
      <c r="Z2987">
        <f t="shared" si="140"/>
        <v>1</v>
      </c>
    </row>
    <row r="2988" spans="1:26" ht="15.75" customHeight="1" x14ac:dyDescent="0.2">
      <c r="A2988" s="2" t="s">
        <v>36</v>
      </c>
      <c r="B2988" s="2" t="s">
        <v>24</v>
      </c>
      <c r="C2988" s="2" t="s">
        <v>28</v>
      </c>
      <c r="D2988" s="2" t="s">
        <v>29</v>
      </c>
      <c r="E2988" s="2">
        <v>140</v>
      </c>
      <c r="F2988" s="2">
        <v>125</v>
      </c>
      <c r="G2988" s="2">
        <v>433</v>
      </c>
      <c r="H2988" s="2">
        <v>1224</v>
      </c>
      <c r="I2988" s="2">
        <v>2496</v>
      </c>
      <c r="J2988" s="2">
        <v>1.07</v>
      </c>
      <c r="K2988" s="2">
        <v>4.32</v>
      </c>
      <c r="L2988" s="2">
        <v>9.7799999999999994</v>
      </c>
      <c r="M2988" s="2">
        <v>14.49</v>
      </c>
      <c r="N2988" s="2">
        <v>2.7800804370000001</v>
      </c>
      <c r="O2988" s="2">
        <v>2.1587644309999998</v>
      </c>
      <c r="P2988" s="2">
        <v>0.75812874699999999</v>
      </c>
      <c r="Q2988" s="2">
        <v>0.90052531199999997</v>
      </c>
      <c r="R2988" s="2">
        <v>0.19111993299999999</v>
      </c>
      <c r="S2988" s="2">
        <v>0.111119933</v>
      </c>
      <c r="T2988" s="2">
        <v>0.73364321600000004</v>
      </c>
      <c r="U2988" s="2">
        <v>0.89364321599999996</v>
      </c>
      <c r="V2988" s="2">
        <v>1.034351698</v>
      </c>
      <c r="W2988" s="2">
        <v>1.1133701810000001</v>
      </c>
      <c r="X2988">
        <f t="shared" si="138"/>
        <v>1</v>
      </c>
      <c r="Y2988">
        <f t="shared" si="139"/>
        <v>0</v>
      </c>
      <c r="Z2988">
        <f t="shared" si="140"/>
        <v>1</v>
      </c>
    </row>
    <row r="2989" spans="1:26" ht="15.75" customHeight="1" x14ac:dyDescent="0.2">
      <c r="A2989" s="2" t="s">
        <v>36</v>
      </c>
      <c r="B2989" s="2" t="s">
        <v>24</v>
      </c>
      <c r="C2989" s="2" t="s">
        <v>28</v>
      </c>
      <c r="D2989" s="2" t="s">
        <v>29</v>
      </c>
      <c r="E2989" s="2">
        <v>151</v>
      </c>
      <c r="F2989" s="2">
        <v>133</v>
      </c>
      <c r="G2989" s="2">
        <v>424</v>
      </c>
      <c r="H2989" s="2">
        <v>1600</v>
      </c>
      <c r="I2989" s="2">
        <v>2617</v>
      </c>
      <c r="J2989" s="2">
        <v>1.17</v>
      </c>
      <c r="K2989" s="2">
        <v>4.24</v>
      </c>
      <c r="L2989" s="2">
        <v>11.52</v>
      </c>
      <c r="M2989" s="2">
        <v>14.8</v>
      </c>
      <c r="N2989" s="2">
        <v>4.4996576890000002</v>
      </c>
      <c r="O2989" s="2">
        <v>3.893760908</v>
      </c>
      <c r="P2989" s="2">
        <v>1.0169295540000001</v>
      </c>
      <c r="Q2989" s="2">
        <v>0.85139579399999998</v>
      </c>
      <c r="R2989" s="2">
        <v>0.11130295</v>
      </c>
      <c r="S2989" s="2">
        <v>3.1302950000000003E-2</v>
      </c>
      <c r="T2989" s="2">
        <v>1.0108201480000001</v>
      </c>
      <c r="U2989" s="2">
        <v>0.85082014800000005</v>
      </c>
      <c r="V2989" s="2">
        <v>0.95453471499999998</v>
      </c>
      <c r="W2989" s="2">
        <v>1.0335531979999999</v>
      </c>
      <c r="X2989">
        <f t="shared" si="138"/>
        <v>1</v>
      </c>
      <c r="Y2989">
        <f t="shared" si="139"/>
        <v>0</v>
      </c>
      <c r="Z2989">
        <f t="shared" si="140"/>
        <v>1</v>
      </c>
    </row>
    <row r="2990" spans="1:26" ht="15.75" customHeight="1" x14ac:dyDescent="0.2">
      <c r="A2990" s="2" t="s">
        <v>36</v>
      </c>
      <c r="B2990" s="2" t="s">
        <v>24</v>
      </c>
      <c r="C2990" s="2" t="s">
        <v>32</v>
      </c>
      <c r="D2990" s="2" t="s">
        <v>33</v>
      </c>
      <c r="E2990" s="2">
        <v>170</v>
      </c>
      <c r="F2990" s="2">
        <v>124</v>
      </c>
      <c r="G2990" s="2">
        <v>609</v>
      </c>
      <c r="H2990" s="2">
        <v>1211</v>
      </c>
      <c r="I2990" s="2">
        <v>2463</v>
      </c>
      <c r="J2990" s="2">
        <v>1.07</v>
      </c>
      <c r="K2990" s="2">
        <v>5.83</v>
      </c>
      <c r="L2990" s="2">
        <v>9.7100000000000009</v>
      </c>
      <c r="M2990" s="2">
        <v>14.4</v>
      </c>
      <c r="N2990" s="2">
        <v>0.479032397</v>
      </c>
      <c r="O2990" s="2">
        <v>0.574568105</v>
      </c>
      <c r="P2990" s="2">
        <v>1.8760636180000001</v>
      </c>
      <c r="Q2990" s="2">
        <v>1.8807733280000001</v>
      </c>
      <c r="R2990" s="2">
        <v>1.695504087</v>
      </c>
      <c r="S2990" s="2">
        <v>1.6155040869999999</v>
      </c>
      <c r="T2990" s="2">
        <v>0.80304457500000004</v>
      </c>
      <c r="U2990" s="2">
        <v>0.96304457499999996</v>
      </c>
      <c r="V2990" s="2">
        <v>2.5387358519999998</v>
      </c>
      <c r="W2990" s="2">
        <v>2.6177543349999999</v>
      </c>
      <c r="X2990">
        <f t="shared" si="138"/>
        <v>1</v>
      </c>
      <c r="Y2990">
        <f t="shared" si="139"/>
        <v>0</v>
      </c>
      <c r="Z2990">
        <f t="shared" si="140"/>
        <v>1</v>
      </c>
    </row>
    <row r="2991" spans="1:26" ht="15.75" customHeight="1" x14ac:dyDescent="0.2">
      <c r="A2991" s="2" t="s">
        <v>36</v>
      </c>
      <c r="B2991" s="2" t="s">
        <v>24</v>
      </c>
      <c r="C2991" s="2" t="s">
        <v>25</v>
      </c>
      <c r="D2991" s="2" t="s">
        <v>25</v>
      </c>
      <c r="E2991" s="2">
        <v>170</v>
      </c>
      <c r="F2991" s="2">
        <v>125</v>
      </c>
      <c r="G2991" s="2">
        <v>595</v>
      </c>
      <c r="H2991" s="2">
        <v>1377</v>
      </c>
      <c r="I2991" s="2">
        <v>2292</v>
      </c>
      <c r="J2991" s="2">
        <v>1.08</v>
      </c>
      <c r="K2991" s="2">
        <v>5.71</v>
      </c>
      <c r="L2991" s="2">
        <v>10.53</v>
      </c>
      <c r="M2991" s="2">
        <v>13.92</v>
      </c>
      <c r="N2991" s="2">
        <v>0.354931212</v>
      </c>
      <c r="O2991" s="2">
        <v>0.34717041599999998</v>
      </c>
      <c r="P2991" s="2">
        <v>1.583592297</v>
      </c>
      <c r="Q2991" s="2">
        <v>1.509650055</v>
      </c>
      <c r="R2991" s="2">
        <v>1.583424658</v>
      </c>
      <c r="S2991" s="2">
        <v>1.5034246579999999</v>
      </c>
      <c r="T2991" s="2">
        <v>2.3041654000000002E-2</v>
      </c>
      <c r="U2991" s="2">
        <v>0.13695834600000001</v>
      </c>
      <c r="V2991" s="2">
        <v>2.4266564220000002</v>
      </c>
      <c r="W2991" s="2">
        <v>2.5056749049999998</v>
      </c>
      <c r="X2991">
        <f t="shared" si="138"/>
        <v>1</v>
      </c>
      <c r="Y2991">
        <f t="shared" si="139"/>
        <v>0</v>
      </c>
      <c r="Z2991">
        <f t="shared" si="140"/>
        <v>0</v>
      </c>
    </row>
    <row r="2992" spans="1:26" ht="15.75" customHeight="1" x14ac:dyDescent="0.2">
      <c r="A2992" s="2" t="s">
        <v>36</v>
      </c>
      <c r="B2992" s="2" t="s">
        <v>24</v>
      </c>
      <c r="C2992" s="2" t="s">
        <v>27</v>
      </c>
      <c r="D2992" s="2" t="s">
        <v>27</v>
      </c>
      <c r="E2992" s="2">
        <v>180</v>
      </c>
      <c r="F2992" s="2">
        <v>141</v>
      </c>
      <c r="G2992" s="2">
        <v>381</v>
      </c>
      <c r="H2992" s="2">
        <v>1887</v>
      </c>
      <c r="I2992" s="2">
        <v>2663</v>
      </c>
      <c r="J2992" s="2">
        <v>1.27</v>
      </c>
      <c r="K2992" s="2">
        <v>3.83</v>
      </c>
      <c r="L2992" s="2">
        <v>12.62</v>
      </c>
      <c r="M2992" s="2">
        <v>14.91</v>
      </c>
      <c r="N2992" s="2">
        <v>0.17826677099999999</v>
      </c>
      <c r="O2992" s="2">
        <v>5.1230775999999999E-2</v>
      </c>
      <c r="P2992" s="2">
        <v>2.13299276</v>
      </c>
      <c r="Q2992" s="2">
        <v>1.988429794</v>
      </c>
      <c r="R2992" s="2">
        <v>0.29984334899999998</v>
      </c>
      <c r="S2992" s="2">
        <v>0.379843349</v>
      </c>
      <c r="T2992" s="2">
        <v>2.1118125110000001</v>
      </c>
      <c r="U2992" s="2">
        <v>1.951812511</v>
      </c>
      <c r="V2992" s="2">
        <v>0.54338841500000001</v>
      </c>
      <c r="W2992" s="2">
        <v>0.62240689800000004</v>
      </c>
      <c r="X2992">
        <f t="shared" si="138"/>
        <v>1</v>
      </c>
      <c r="Y2992">
        <f t="shared" si="139"/>
        <v>0</v>
      </c>
      <c r="Z2992">
        <f t="shared" si="140"/>
        <v>0</v>
      </c>
    </row>
    <row r="2993" spans="1:26" ht="15.75" customHeight="1" x14ac:dyDescent="0.2">
      <c r="A2993" s="2" t="s">
        <v>36</v>
      </c>
      <c r="B2993" s="2" t="s">
        <v>24</v>
      </c>
      <c r="C2993" s="2" t="s">
        <v>32</v>
      </c>
      <c r="D2993" s="2" t="s">
        <v>33</v>
      </c>
      <c r="E2993" s="2">
        <v>128</v>
      </c>
      <c r="F2993" s="2">
        <v>117</v>
      </c>
      <c r="G2993" s="2">
        <v>601</v>
      </c>
      <c r="H2993" s="2">
        <v>1325</v>
      </c>
      <c r="I2993" s="2">
        <v>2325</v>
      </c>
      <c r="J2993" s="2">
        <v>0.98</v>
      </c>
      <c r="K2993" s="2">
        <v>5.76</v>
      </c>
      <c r="L2993" s="2">
        <v>10.29</v>
      </c>
      <c r="M2993" s="2">
        <v>14.02</v>
      </c>
      <c r="N2993" s="2">
        <v>0.105776012</v>
      </c>
      <c r="O2993" s="2">
        <v>0.181715764</v>
      </c>
      <c r="P2993" s="2">
        <v>1.644349252</v>
      </c>
      <c r="Q2993" s="2">
        <v>1.5959721630000001</v>
      </c>
      <c r="R2993" s="2">
        <v>1.628937777</v>
      </c>
      <c r="S2993" s="2">
        <v>1.5489377769999999</v>
      </c>
      <c r="T2993" s="2">
        <v>0.22460227299999999</v>
      </c>
      <c r="U2993" s="2">
        <v>0.38460227299999999</v>
      </c>
      <c r="V2993" s="2">
        <v>2.472169541</v>
      </c>
      <c r="W2993" s="2">
        <v>2.551188024</v>
      </c>
      <c r="X2993">
        <f t="shared" si="138"/>
        <v>1</v>
      </c>
      <c r="Y2993">
        <f t="shared" si="139"/>
        <v>0</v>
      </c>
      <c r="Z2993">
        <f t="shared" si="140"/>
        <v>1</v>
      </c>
    </row>
    <row r="2994" spans="1:26" ht="15.75" customHeight="1" x14ac:dyDescent="0.2">
      <c r="A2994" s="2" t="s">
        <v>36</v>
      </c>
      <c r="B2994" s="2" t="s">
        <v>24</v>
      </c>
      <c r="C2994" s="2" t="s">
        <v>28</v>
      </c>
      <c r="D2994" s="2" t="s">
        <v>29</v>
      </c>
      <c r="E2994" s="2">
        <v>188</v>
      </c>
      <c r="F2994" s="2">
        <v>132</v>
      </c>
      <c r="G2994" s="2">
        <v>440</v>
      </c>
      <c r="H2994" s="2">
        <v>1351</v>
      </c>
      <c r="I2994" s="2">
        <v>2600</v>
      </c>
      <c r="J2994" s="2">
        <v>1.1599999999999999</v>
      </c>
      <c r="K2994" s="2">
        <v>4.3899999999999997</v>
      </c>
      <c r="L2994" s="2">
        <v>10.41</v>
      </c>
      <c r="M2994" s="2">
        <v>14.76</v>
      </c>
      <c r="N2994" s="2">
        <v>3.4137366309999999</v>
      </c>
      <c r="O2994" s="2">
        <v>2.7937500000000002</v>
      </c>
      <c r="P2994" s="2">
        <v>0.27770136899999998</v>
      </c>
      <c r="Q2994" s="2">
        <v>0.31703695500000001</v>
      </c>
      <c r="R2994" s="2">
        <v>0.258207193</v>
      </c>
      <c r="S2994" s="2">
        <v>0.17820719300000001</v>
      </c>
      <c r="T2994" s="2">
        <v>0.10221103500000001</v>
      </c>
      <c r="U2994" s="2">
        <v>0.26221103499999998</v>
      </c>
      <c r="V2994" s="2">
        <v>1.1014389579999999</v>
      </c>
      <c r="W2994" s="2">
        <v>1.1804574409999999</v>
      </c>
      <c r="X2994">
        <f t="shared" si="138"/>
        <v>1</v>
      </c>
      <c r="Y2994">
        <f t="shared" si="139"/>
        <v>0</v>
      </c>
      <c r="Z2994">
        <f t="shared" si="140"/>
        <v>1</v>
      </c>
    </row>
    <row r="2995" spans="1:26" ht="15.75" customHeight="1" x14ac:dyDescent="0.2">
      <c r="A2995" s="2" t="s">
        <v>36</v>
      </c>
      <c r="B2995" s="2" t="s">
        <v>24</v>
      </c>
      <c r="C2995" s="2" t="s">
        <v>27</v>
      </c>
      <c r="D2995" s="2" t="s">
        <v>27</v>
      </c>
      <c r="E2995" s="2">
        <v>229</v>
      </c>
      <c r="F2995" s="2">
        <v>130</v>
      </c>
      <c r="G2995" s="2">
        <v>372</v>
      </c>
      <c r="H2995" s="2">
        <v>1867</v>
      </c>
      <c r="I2995" s="2">
        <v>2603</v>
      </c>
      <c r="J2995" s="2">
        <v>1.1399999999999999</v>
      </c>
      <c r="K2995" s="2">
        <v>3.74</v>
      </c>
      <c r="L2995" s="2">
        <v>12.55</v>
      </c>
      <c r="M2995" s="2">
        <v>14.76</v>
      </c>
      <c r="N2995" s="2">
        <v>6.5707851999999997E-2</v>
      </c>
      <c r="O2995" s="2">
        <v>6.1830416999999999E-2</v>
      </c>
      <c r="P2995" s="2">
        <v>2.0755480799999999</v>
      </c>
      <c r="Q2995" s="2">
        <v>1.9362802180000001</v>
      </c>
      <c r="R2995" s="2">
        <v>0.38649749799999999</v>
      </c>
      <c r="S2995" s="2">
        <v>0.46649749800000001</v>
      </c>
      <c r="T2995" s="2">
        <v>2.0392448390000002</v>
      </c>
      <c r="U2995" s="2">
        <v>1.8792448390000001</v>
      </c>
      <c r="V2995" s="2">
        <v>0.456734266</v>
      </c>
      <c r="W2995" s="2">
        <v>0.53575275</v>
      </c>
      <c r="X2995">
        <f t="shared" si="138"/>
        <v>1</v>
      </c>
      <c r="Y2995">
        <f t="shared" si="139"/>
        <v>0</v>
      </c>
      <c r="Z2995">
        <f t="shared" si="140"/>
        <v>0</v>
      </c>
    </row>
    <row r="2996" spans="1:26" ht="15.75" customHeight="1" x14ac:dyDescent="0.2">
      <c r="A2996" s="2" t="s">
        <v>36</v>
      </c>
      <c r="B2996" s="2" t="s">
        <v>24</v>
      </c>
      <c r="C2996" s="2" t="s">
        <v>26</v>
      </c>
      <c r="D2996" s="2" t="s">
        <v>26</v>
      </c>
      <c r="E2996" s="2">
        <v>186</v>
      </c>
      <c r="F2996" s="2">
        <v>143</v>
      </c>
      <c r="G2996" s="2">
        <v>377</v>
      </c>
      <c r="H2996" s="2">
        <v>727</v>
      </c>
      <c r="I2996" s="2">
        <v>2763</v>
      </c>
      <c r="J2996" s="2">
        <v>1.29</v>
      </c>
      <c r="K2996" s="2">
        <v>3.79</v>
      </c>
      <c r="L2996" s="2">
        <v>6.72</v>
      </c>
      <c r="M2996" s="2">
        <v>15.15</v>
      </c>
      <c r="N2996" s="2">
        <v>0.31854145</v>
      </c>
      <c r="O2996" s="2">
        <v>0.95405810499999999</v>
      </c>
      <c r="P2996" s="2">
        <v>3.8013149030000002</v>
      </c>
      <c r="Q2996" s="2">
        <v>3.9683388979999998</v>
      </c>
      <c r="R2996" s="2">
        <v>0.33827389400000002</v>
      </c>
      <c r="S2996" s="2">
        <v>0.41827389399999998</v>
      </c>
      <c r="T2996" s="2">
        <v>3.7862337180000001</v>
      </c>
      <c r="U2996" s="2">
        <v>3.9462337179999998</v>
      </c>
      <c r="V2996" s="2">
        <v>0.50495787000000003</v>
      </c>
      <c r="W2996" s="2">
        <v>0.58397635299999995</v>
      </c>
      <c r="X2996">
        <f t="shared" si="138"/>
        <v>1</v>
      </c>
      <c r="Y2996">
        <f t="shared" si="139"/>
        <v>0</v>
      </c>
      <c r="Z2996">
        <f t="shared" si="140"/>
        <v>0</v>
      </c>
    </row>
    <row r="2997" spans="1:26" ht="15.75" customHeight="1" x14ac:dyDescent="0.2">
      <c r="A2997" s="2" t="s">
        <v>36</v>
      </c>
      <c r="B2997" s="2" t="s">
        <v>24</v>
      </c>
      <c r="C2997" s="2" t="s">
        <v>27</v>
      </c>
      <c r="D2997" s="2" t="s">
        <v>27</v>
      </c>
      <c r="E2997" s="2">
        <v>150</v>
      </c>
      <c r="F2997" s="2">
        <v>96</v>
      </c>
      <c r="G2997" s="2">
        <v>343</v>
      </c>
      <c r="H2997" s="2">
        <v>1788</v>
      </c>
      <c r="I2997" s="2">
        <v>2624</v>
      </c>
      <c r="J2997" s="2">
        <v>0.73</v>
      </c>
      <c r="K2997" s="2">
        <v>3.47</v>
      </c>
      <c r="L2997" s="2">
        <v>12.26</v>
      </c>
      <c r="M2997" s="2">
        <v>14.82</v>
      </c>
      <c r="N2997" s="2">
        <v>0.336016706</v>
      </c>
      <c r="O2997" s="2">
        <v>0.46328381200000002</v>
      </c>
      <c r="P2997" s="2">
        <v>1.8703109499999999</v>
      </c>
      <c r="Q2997" s="2">
        <v>1.754055819</v>
      </c>
      <c r="R2997" s="2">
        <v>0.66371924699999996</v>
      </c>
      <c r="S2997" s="2">
        <v>0.74371924700000003</v>
      </c>
      <c r="T2997" s="2">
        <v>1.7485822289999999</v>
      </c>
      <c r="U2997" s="2">
        <v>1.588582229</v>
      </c>
      <c r="V2997" s="2">
        <v>0.17951251700000001</v>
      </c>
      <c r="W2997" s="2">
        <v>0.25853100000000001</v>
      </c>
      <c r="X2997">
        <f t="shared" si="138"/>
        <v>1</v>
      </c>
      <c r="Y2997">
        <f t="shared" si="139"/>
        <v>0</v>
      </c>
      <c r="Z2997">
        <f t="shared" si="140"/>
        <v>0</v>
      </c>
    </row>
    <row r="2998" spans="1:26" ht="15.75" customHeight="1" x14ac:dyDescent="0.2">
      <c r="A2998" s="2" t="s">
        <v>36</v>
      </c>
      <c r="B2998" s="2" t="s">
        <v>24</v>
      </c>
      <c r="C2998" s="2" t="s">
        <v>27</v>
      </c>
      <c r="D2998" s="2" t="s">
        <v>27</v>
      </c>
      <c r="E2998" s="2">
        <v>150</v>
      </c>
      <c r="F2998" s="2">
        <v>132</v>
      </c>
      <c r="G2998" s="2">
        <v>420</v>
      </c>
      <c r="H2998" s="2">
        <v>1877</v>
      </c>
      <c r="I2998" s="2">
        <v>2623</v>
      </c>
      <c r="J2998" s="2">
        <v>1.1599999999999999</v>
      </c>
      <c r="K2998" s="2">
        <v>4.2</v>
      </c>
      <c r="L2998" s="2">
        <v>12.59</v>
      </c>
      <c r="M2998" s="2">
        <v>14.81</v>
      </c>
      <c r="N2998" s="2">
        <v>0.51138696100000003</v>
      </c>
      <c r="O2998" s="2">
        <v>0.41429812199999999</v>
      </c>
      <c r="P2998" s="2">
        <v>2.0763586310000002</v>
      </c>
      <c r="Q2998" s="2">
        <v>1.9150385489999999</v>
      </c>
      <c r="R2998" s="2">
        <v>7.4268310000000004E-2</v>
      </c>
      <c r="S2998" s="2">
        <v>5.7316900000000002E-3</v>
      </c>
      <c r="T2998" s="2">
        <v>2.0750299710000002</v>
      </c>
      <c r="U2998" s="2">
        <v>1.9150299710000001</v>
      </c>
      <c r="V2998" s="2">
        <v>0.917500074</v>
      </c>
      <c r="W2998" s="2">
        <v>0.996518558</v>
      </c>
      <c r="X2998">
        <f t="shared" si="138"/>
        <v>1</v>
      </c>
      <c r="Y2998">
        <f t="shared" si="139"/>
        <v>0</v>
      </c>
      <c r="Z2998">
        <f t="shared" si="140"/>
        <v>0</v>
      </c>
    </row>
    <row r="2999" spans="1:26" ht="15.75" customHeight="1" x14ac:dyDescent="0.2">
      <c r="A2999" s="2" t="s">
        <v>36</v>
      </c>
      <c r="B2999" s="2" t="s">
        <v>24</v>
      </c>
      <c r="C2999" s="2" t="s">
        <v>32</v>
      </c>
      <c r="D2999" s="2" t="s">
        <v>33</v>
      </c>
      <c r="E2999" s="2">
        <v>93</v>
      </c>
      <c r="F2999" s="2">
        <v>117</v>
      </c>
      <c r="G2999" s="2">
        <v>544</v>
      </c>
      <c r="H2999" s="2">
        <v>849</v>
      </c>
      <c r="I2999" s="2">
        <v>2462</v>
      </c>
      <c r="J2999" s="2">
        <v>0.98</v>
      </c>
      <c r="K2999" s="2">
        <v>5.29</v>
      </c>
      <c r="L2999" s="2">
        <v>7.57</v>
      </c>
      <c r="M2999" s="2">
        <v>14.4</v>
      </c>
      <c r="N2999" s="2">
        <v>2.6485471779999998</v>
      </c>
      <c r="O2999" s="2">
        <v>2.775196309</v>
      </c>
      <c r="P2999" s="2">
        <v>3.161392287</v>
      </c>
      <c r="Q2999" s="2">
        <v>3.2833800279999998</v>
      </c>
      <c r="R2999" s="2">
        <v>1.164536741</v>
      </c>
      <c r="S2999" s="2">
        <v>1.084536741</v>
      </c>
      <c r="T2999" s="2">
        <v>2.9390909089999999</v>
      </c>
      <c r="U2999" s="2">
        <v>3.0990909090000001</v>
      </c>
      <c r="V2999" s="2">
        <v>2.0077685060000001</v>
      </c>
      <c r="W2999" s="2">
        <v>2.0867869890000001</v>
      </c>
      <c r="X2999">
        <f t="shared" si="138"/>
        <v>1</v>
      </c>
      <c r="Y2999">
        <f t="shared" si="139"/>
        <v>0</v>
      </c>
      <c r="Z2999">
        <f t="shared" si="140"/>
        <v>1</v>
      </c>
    </row>
    <row r="3000" spans="1:26" ht="15.75" customHeight="1" x14ac:dyDescent="0.2">
      <c r="A3000" s="2" t="s">
        <v>36</v>
      </c>
      <c r="B3000" s="2" t="s">
        <v>24</v>
      </c>
      <c r="C3000" s="2" t="s">
        <v>28</v>
      </c>
      <c r="D3000" s="2" t="s">
        <v>29</v>
      </c>
      <c r="E3000" s="2">
        <v>170</v>
      </c>
      <c r="F3000" s="2">
        <v>144</v>
      </c>
      <c r="G3000" s="2">
        <v>428</v>
      </c>
      <c r="H3000" s="2">
        <v>1637</v>
      </c>
      <c r="I3000" s="2">
        <v>2818</v>
      </c>
      <c r="J3000" s="2">
        <v>1.3</v>
      </c>
      <c r="K3000" s="2">
        <v>4.2699999999999996</v>
      </c>
      <c r="L3000" s="2">
        <v>11.67</v>
      </c>
      <c r="M3000" s="2">
        <v>15.28</v>
      </c>
      <c r="N3000" s="2">
        <v>4.6523212139999996</v>
      </c>
      <c r="O3000" s="2">
        <v>4.0453698100000004</v>
      </c>
      <c r="P3000" s="2">
        <v>1.1699287030000001</v>
      </c>
      <c r="Q3000" s="2">
        <v>1.003192579</v>
      </c>
      <c r="R3000" s="2">
        <v>0.14207036200000001</v>
      </c>
      <c r="S3000" s="2">
        <v>6.2070361999999997E-2</v>
      </c>
      <c r="T3000" s="2">
        <v>1.1612705029999999</v>
      </c>
      <c r="U3000" s="2">
        <v>1.001270503</v>
      </c>
      <c r="V3000" s="2">
        <v>0.985302126</v>
      </c>
      <c r="W3000" s="2">
        <v>1.0643206089999999</v>
      </c>
      <c r="X3000">
        <f t="shared" si="138"/>
        <v>1</v>
      </c>
      <c r="Y3000">
        <f t="shared" si="139"/>
        <v>0</v>
      </c>
      <c r="Z3000">
        <f t="shared" si="140"/>
        <v>1</v>
      </c>
    </row>
    <row r="3001" spans="1:26" ht="15.75" customHeight="1" x14ac:dyDescent="0.2">
      <c r="A3001" s="2" t="s">
        <v>36</v>
      </c>
      <c r="B3001" s="2" t="s">
        <v>24</v>
      </c>
      <c r="C3001" s="2" t="s">
        <v>26</v>
      </c>
      <c r="D3001" s="2" t="s">
        <v>26</v>
      </c>
      <c r="E3001" s="2">
        <v>120</v>
      </c>
      <c r="F3001" s="2">
        <v>125</v>
      </c>
      <c r="G3001" s="2">
        <v>391</v>
      </c>
      <c r="H3001" s="2">
        <v>873</v>
      </c>
      <c r="I3001" s="2">
        <v>2415</v>
      </c>
      <c r="J3001" s="2">
        <v>1.08</v>
      </c>
      <c r="K3001" s="2">
        <v>3.93</v>
      </c>
      <c r="L3001" s="2">
        <v>7.73</v>
      </c>
      <c r="M3001" s="2">
        <v>14.27</v>
      </c>
      <c r="N3001" s="2">
        <v>0.69647113400000005</v>
      </c>
      <c r="O3001" s="2">
        <v>0.189369185</v>
      </c>
      <c r="P3001" s="2">
        <v>2.7878442419999998</v>
      </c>
      <c r="Q3001" s="2">
        <v>2.9539883520000001</v>
      </c>
      <c r="R3001" s="2">
        <v>0.201169715</v>
      </c>
      <c r="S3001" s="2">
        <v>0.28116971499999999</v>
      </c>
      <c r="T3001" s="2">
        <v>2.7805766059999999</v>
      </c>
      <c r="U3001" s="2">
        <v>2.940576606</v>
      </c>
      <c r="V3001" s="2">
        <v>0.64206205000000005</v>
      </c>
      <c r="W3001" s="2">
        <v>0.72108053299999997</v>
      </c>
      <c r="X3001">
        <f t="shared" si="138"/>
        <v>1</v>
      </c>
      <c r="Y3001">
        <f t="shared" si="139"/>
        <v>0</v>
      </c>
      <c r="Z3001">
        <f t="shared" si="140"/>
        <v>0</v>
      </c>
    </row>
    <row r="3002" spans="1:26" ht="15.75" customHeight="1" x14ac:dyDescent="0.2">
      <c r="A3002" s="2" t="s">
        <v>36</v>
      </c>
      <c r="B3002" s="2" t="s">
        <v>24</v>
      </c>
      <c r="C3002" s="2" t="s">
        <v>30</v>
      </c>
      <c r="D3002" s="2" t="s">
        <v>31</v>
      </c>
      <c r="E3002" s="2">
        <v>125</v>
      </c>
      <c r="F3002" s="2">
        <v>121</v>
      </c>
      <c r="G3002" s="2">
        <v>543</v>
      </c>
      <c r="H3002" s="2">
        <v>1152</v>
      </c>
      <c r="I3002" s="2">
        <v>2444</v>
      </c>
      <c r="J3002" s="2">
        <v>1.02</v>
      </c>
      <c r="K3002" s="2">
        <v>5.28</v>
      </c>
      <c r="L3002" s="2">
        <v>9.39</v>
      </c>
      <c r="M3002" s="2">
        <v>14.35</v>
      </c>
      <c r="N3002" s="2">
        <v>3.487439459</v>
      </c>
      <c r="O3002" s="2">
        <v>3.5288441480000001</v>
      </c>
      <c r="P3002" s="2">
        <v>1.6057881220000001</v>
      </c>
      <c r="Q3002" s="2">
        <v>1.668397278</v>
      </c>
      <c r="R3002" s="2">
        <v>1.1533564199999999</v>
      </c>
      <c r="S3002" s="2">
        <v>1.0733564200000001</v>
      </c>
      <c r="T3002" s="2">
        <v>1.1172844129999999</v>
      </c>
      <c r="U3002" s="2">
        <v>1.2772844130000001</v>
      </c>
      <c r="V3002" s="2">
        <v>1.996588185</v>
      </c>
      <c r="W3002" s="2">
        <v>2.0756066679999998</v>
      </c>
      <c r="X3002">
        <f t="shared" si="138"/>
        <v>1</v>
      </c>
      <c r="Y3002">
        <f t="shared" si="139"/>
        <v>0</v>
      </c>
      <c r="Z3002">
        <f t="shared" si="140"/>
        <v>1</v>
      </c>
    </row>
    <row r="3003" spans="1:26" ht="15.75" customHeight="1" x14ac:dyDescent="0.2">
      <c r="A3003" s="2" t="s">
        <v>36</v>
      </c>
      <c r="B3003" s="2" t="s">
        <v>24</v>
      </c>
      <c r="C3003" s="2" t="s">
        <v>27</v>
      </c>
      <c r="D3003" s="2" t="s">
        <v>27</v>
      </c>
      <c r="E3003" s="2">
        <v>134</v>
      </c>
      <c r="F3003" s="2">
        <v>130</v>
      </c>
      <c r="G3003" s="2">
        <v>378</v>
      </c>
      <c r="H3003" s="2">
        <v>1832</v>
      </c>
      <c r="I3003" s="2">
        <v>2368</v>
      </c>
      <c r="J3003" s="2">
        <v>1.1399999999999999</v>
      </c>
      <c r="K3003" s="2">
        <v>3.8</v>
      </c>
      <c r="L3003" s="2">
        <v>12.42</v>
      </c>
      <c r="M3003" s="2">
        <v>14.14</v>
      </c>
      <c r="N3003" s="2">
        <v>0.12757602200000001</v>
      </c>
      <c r="O3003" s="2">
        <v>0.167873314</v>
      </c>
      <c r="P3003" s="2">
        <v>1.940543739</v>
      </c>
      <c r="Q3003" s="2">
        <v>1.7995252859999999</v>
      </c>
      <c r="R3003" s="2">
        <v>0.32865392799999998</v>
      </c>
      <c r="S3003" s="2">
        <v>0.408653928</v>
      </c>
      <c r="T3003" s="2">
        <v>1.9125105490000001</v>
      </c>
      <c r="U3003" s="2">
        <v>1.7525105489999999</v>
      </c>
      <c r="V3003" s="2">
        <v>0.51457783599999996</v>
      </c>
      <c r="W3003" s="2">
        <v>0.59359631899999998</v>
      </c>
      <c r="X3003">
        <f t="shared" si="138"/>
        <v>1</v>
      </c>
      <c r="Y3003">
        <f t="shared" si="139"/>
        <v>0</v>
      </c>
      <c r="Z3003">
        <f t="shared" si="140"/>
        <v>0</v>
      </c>
    </row>
    <row r="3004" spans="1:26" ht="15.75" customHeight="1" x14ac:dyDescent="0.2">
      <c r="A3004" s="2" t="s">
        <v>36</v>
      </c>
      <c r="B3004" s="2" t="s">
        <v>24</v>
      </c>
      <c r="C3004" s="2" t="s">
        <v>30</v>
      </c>
      <c r="D3004" s="2" t="s">
        <v>31</v>
      </c>
      <c r="E3004" s="2">
        <v>132</v>
      </c>
      <c r="F3004" s="2">
        <v>103</v>
      </c>
      <c r="G3004" s="2">
        <v>567</v>
      </c>
      <c r="H3004" s="2">
        <v>1065</v>
      </c>
      <c r="I3004" s="2">
        <v>2590</v>
      </c>
      <c r="J3004" s="2">
        <v>0.8</v>
      </c>
      <c r="K3004" s="2">
        <v>5.49</v>
      </c>
      <c r="L3004" s="2">
        <v>8.91</v>
      </c>
      <c r="M3004" s="2">
        <v>14.73</v>
      </c>
      <c r="N3004" s="2">
        <v>4.0105119770000002</v>
      </c>
      <c r="O3004" s="2">
        <v>4.0528272139999997</v>
      </c>
      <c r="P3004" s="2">
        <v>2.0978641929999999</v>
      </c>
      <c r="Q3004" s="2">
        <v>2.1745119279999998</v>
      </c>
      <c r="R3004" s="2">
        <v>1.3555401659999999</v>
      </c>
      <c r="S3004" s="2">
        <v>1.2755401660000001</v>
      </c>
      <c r="T3004" s="2">
        <v>1.6011074380000001</v>
      </c>
      <c r="U3004" s="2">
        <v>1.761107438</v>
      </c>
      <c r="V3004" s="2">
        <v>2.198771931</v>
      </c>
      <c r="W3004" s="2">
        <v>2.277790414</v>
      </c>
      <c r="X3004">
        <f t="shared" si="138"/>
        <v>1</v>
      </c>
      <c r="Y3004">
        <f t="shared" si="139"/>
        <v>0</v>
      </c>
      <c r="Z3004">
        <f t="shared" si="140"/>
        <v>1</v>
      </c>
    </row>
    <row r="3005" spans="1:26" ht="15.75" customHeight="1" x14ac:dyDescent="0.2">
      <c r="A3005" s="2" t="s">
        <v>36</v>
      </c>
      <c r="B3005" s="2" t="s">
        <v>24</v>
      </c>
      <c r="C3005" s="2" t="s">
        <v>26</v>
      </c>
      <c r="D3005" s="2" t="s">
        <v>26</v>
      </c>
      <c r="E3005" s="2">
        <v>153</v>
      </c>
      <c r="F3005" s="2">
        <v>124</v>
      </c>
      <c r="G3005" s="2">
        <v>351</v>
      </c>
      <c r="H3005" s="2">
        <v>790</v>
      </c>
      <c r="I3005" s="2">
        <v>2571</v>
      </c>
      <c r="J3005" s="2">
        <v>1.06</v>
      </c>
      <c r="K3005" s="2">
        <v>3.55</v>
      </c>
      <c r="L3005" s="2">
        <v>7.17</v>
      </c>
      <c r="M3005" s="2">
        <v>14.68</v>
      </c>
      <c r="N3005" s="2">
        <v>0.31475121</v>
      </c>
      <c r="O3005" s="2">
        <v>0.71035647300000004</v>
      </c>
      <c r="P3005" s="2">
        <v>3.3867660320000001</v>
      </c>
      <c r="Q3005" s="2">
        <v>3.5585437889999998</v>
      </c>
      <c r="R3005" s="2">
        <v>0.58475627299999999</v>
      </c>
      <c r="S3005" s="2">
        <v>0.66475627299999995</v>
      </c>
      <c r="T3005" s="2">
        <v>3.3359023149999998</v>
      </c>
      <c r="U3005" s="2">
        <v>3.4959023149999999</v>
      </c>
      <c r="V3005" s="2">
        <v>0.258475491</v>
      </c>
      <c r="W3005" s="2">
        <v>0.33749397399999997</v>
      </c>
      <c r="X3005">
        <f t="shared" si="138"/>
        <v>1</v>
      </c>
      <c r="Y3005">
        <f t="shared" si="139"/>
        <v>0</v>
      </c>
      <c r="Z3005">
        <f t="shared" si="140"/>
        <v>0</v>
      </c>
    </row>
    <row r="3006" spans="1:26" ht="15.75" customHeight="1" x14ac:dyDescent="0.2">
      <c r="A3006" s="2" t="s">
        <v>36</v>
      </c>
      <c r="B3006" s="2" t="s">
        <v>24</v>
      </c>
      <c r="C3006" s="2" t="s">
        <v>26</v>
      </c>
      <c r="D3006" s="2" t="s">
        <v>26</v>
      </c>
      <c r="E3006" s="2">
        <v>190</v>
      </c>
      <c r="F3006" s="2">
        <v>115</v>
      </c>
      <c r="G3006" s="2">
        <v>360</v>
      </c>
      <c r="H3006" s="2">
        <v>724</v>
      </c>
      <c r="I3006" s="2">
        <v>2786</v>
      </c>
      <c r="J3006" s="2">
        <v>0.96</v>
      </c>
      <c r="K3006" s="2">
        <v>3.63</v>
      </c>
      <c r="L3006" s="2">
        <v>6.7</v>
      </c>
      <c r="M3006" s="2">
        <v>15.21</v>
      </c>
      <c r="N3006" s="2">
        <v>0.39231480699999999</v>
      </c>
      <c r="O3006" s="2">
        <v>1.035033329</v>
      </c>
      <c r="P3006" s="2">
        <v>3.8387692489999998</v>
      </c>
      <c r="Q3006" s="2">
        <v>4.0082981569999996</v>
      </c>
      <c r="R3006" s="2">
        <v>0.50308233899999999</v>
      </c>
      <c r="S3006" s="2">
        <v>0.58308233899999995</v>
      </c>
      <c r="T3006" s="2">
        <v>3.8056612439999999</v>
      </c>
      <c r="U3006" s="2">
        <v>3.9656612440000001</v>
      </c>
      <c r="V3006" s="2">
        <v>0.34014942500000001</v>
      </c>
      <c r="W3006" s="2">
        <v>0.41916790799999998</v>
      </c>
      <c r="X3006">
        <f t="shared" si="138"/>
        <v>1</v>
      </c>
      <c r="Y3006">
        <f t="shared" si="139"/>
        <v>0</v>
      </c>
      <c r="Z3006">
        <f t="shared" si="140"/>
        <v>0</v>
      </c>
    </row>
    <row r="3007" spans="1:26" ht="15.75" customHeight="1" x14ac:dyDescent="0.2">
      <c r="A3007" s="2" t="s">
        <v>36</v>
      </c>
      <c r="B3007" s="2" t="s">
        <v>24</v>
      </c>
      <c r="C3007" s="2" t="s">
        <v>26</v>
      </c>
      <c r="D3007" s="2" t="s">
        <v>26</v>
      </c>
      <c r="E3007" s="2">
        <v>126</v>
      </c>
      <c r="F3007" s="2">
        <v>143</v>
      </c>
      <c r="G3007" s="2">
        <v>425</v>
      </c>
      <c r="H3007" s="2">
        <v>768</v>
      </c>
      <c r="I3007" s="2">
        <v>2311</v>
      </c>
      <c r="J3007" s="2">
        <v>1.3</v>
      </c>
      <c r="K3007" s="2">
        <v>4.24</v>
      </c>
      <c r="L3007" s="2">
        <v>7.02</v>
      </c>
      <c r="M3007" s="2">
        <v>13.98</v>
      </c>
      <c r="N3007" s="2">
        <v>0.41486415999999998</v>
      </c>
      <c r="O3007" s="2">
        <v>0.62919756000000004</v>
      </c>
      <c r="P3007" s="2">
        <v>3.4918373049999998</v>
      </c>
      <c r="Q3007" s="2">
        <v>3.650125295</v>
      </c>
      <c r="R3007" s="2">
        <v>0.11438356199999999</v>
      </c>
      <c r="S3007" s="2">
        <v>3.4383561999999999E-2</v>
      </c>
      <c r="T3007" s="2">
        <v>3.4899633479999999</v>
      </c>
      <c r="U3007" s="2">
        <v>3.649963348</v>
      </c>
      <c r="V3007" s="2">
        <v>0.95761532599999999</v>
      </c>
      <c r="W3007" s="2">
        <v>1.0366338100000001</v>
      </c>
      <c r="X3007">
        <f t="shared" si="138"/>
        <v>1</v>
      </c>
      <c r="Y3007">
        <f t="shared" si="139"/>
        <v>0</v>
      </c>
      <c r="Z3007">
        <f t="shared" si="140"/>
        <v>0</v>
      </c>
    </row>
    <row r="3008" spans="1:26" ht="15.75" customHeight="1" x14ac:dyDescent="0.2">
      <c r="A3008" s="2" t="s">
        <v>36</v>
      </c>
      <c r="B3008" s="2" t="s">
        <v>24</v>
      </c>
      <c r="C3008" s="2" t="s">
        <v>25</v>
      </c>
      <c r="D3008" s="2" t="s">
        <v>25</v>
      </c>
      <c r="E3008" s="2">
        <v>143</v>
      </c>
      <c r="F3008" s="2">
        <v>99</v>
      </c>
      <c r="G3008" s="2">
        <v>609</v>
      </c>
      <c r="H3008" s="2">
        <v>1299</v>
      </c>
      <c r="I3008" s="2">
        <v>2470</v>
      </c>
      <c r="J3008" s="2">
        <v>0.76</v>
      </c>
      <c r="K3008" s="2">
        <v>5.83</v>
      </c>
      <c r="L3008" s="2">
        <v>10.16</v>
      </c>
      <c r="M3008" s="2">
        <v>14.42</v>
      </c>
      <c r="N3008" s="2">
        <v>7.9178863000000002E-2</v>
      </c>
      <c r="O3008" s="2">
        <v>0.161459715</v>
      </c>
      <c r="P3008" s="2">
        <v>1.73203292</v>
      </c>
      <c r="Q3008" s="2">
        <v>1.6952541750000001</v>
      </c>
      <c r="R3008" s="2">
        <v>1.695504087</v>
      </c>
      <c r="S3008" s="2">
        <v>1.6155040869999999</v>
      </c>
      <c r="T3008" s="2">
        <v>0.35384166900000003</v>
      </c>
      <c r="U3008" s="2">
        <v>0.51384166899999995</v>
      </c>
      <c r="V3008" s="2">
        <v>2.5387358519999998</v>
      </c>
      <c r="W3008" s="2">
        <v>2.6177543349999999</v>
      </c>
      <c r="X3008">
        <f t="shared" si="138"/>
        <v>1</v>
      </c>
      <c r="Y3008">
        <f t="shared" si="139"/>
        <v>0</v>
      </c>
      <c r="Z3008">
        <f t="shared" si="140"/>
        <v>0</v>
      </c>
    </row>
    <row r="3009" spans="1:26" ht="15.75" customHeight="1" x14ac:dyDescent="0.2">
      <c r="A3009" s="2" t="s">
        <v>36</v>
      </c>
      <c r="B3009" s="2" t="s">
        <v>24</v>
      </c>
      <c r="C3009" s="2" t="s">
        <v>25</v>
      </c>
      <c r="D3009" s="2" t="s">
        <v>25</v>
      </c>
      <c r="E3009" s="2">
        <v>128</v>
      </c>
      <c r="F3009" s="2">
        <v>97</v>
      </c>
      <c r="G3009" s="2">
        <v>554</v>
      </c>
      <c r="H3009" s="2">
        <v>1222</v>
      </c>
      <c r="I3009" s="2">
        <v>2458</v>
      </c>
      <c r="J3009" s="2">
        <v>0.73</v>
      </c>
      <c r="K3009" s="2">
        <v>5.38</v>
      </c>
      <c r="L3009" s="2">
        <v>9.77</v>
      </c>
      <c r="M3009" s="2">
        <v>14.39</v>
      </c>
      <c r="N3009" s="2">
        <v>0.55529806400000004</v>
      </c>
      <c r="O3009" s="2">
        <v>0.75373953900000001</v>
      </c>
      <c r="P3009" s="2">
        <v>1.4520747810000001</v>
      </c>
      <c r="Q3009" s="2">
        <v>1.475930586</v>
      </c>
      <c r="R3009" s="2">
        <v>1.2480111380000001</v>
      </c>
      <c r="S3009" s="2">
        <v>1.168011138</v>
      </c>
      <c r="T3009" s="2">
        <v>0.74228658199999997</v>
      </c>
      <c r="U3009" s="2">
        <v>0.902286582</v>
      </c>
      <c r="V3009" s="2">
        <v>2.0912429019999998</v>
      </c>
      <c r="W3009" s="2">
        <v>2.1702613849999999</v>
      </c>
      <c r="X3009">
        <f t="shared" si="138"/>
        <v>1</v>
      </c>
      <c r="Y3009">
        <f t="shared" si="139"/>
        <v>0</v>
      </c>
      <c r="Z3009">
        <f t="shared" si="140"/>
        <v>0</v>
      </c>
    </row>
    <row r="3010" spans="1:26" ht="15.75" customHeight="1" x14ac:dyDescent="0.2">
      <c r="A3010" s="2" t="s">
        <v>36</v>
      </c>
      <c r="B3010" s="2" t="s">
        <v>24</v>
      </c>
      <c r="C3010" s="2" t="s">
        <v>25</v>
      </c>
      <c r="D3010" s="2" t="s">
        <v>25</v>
      </c>
      <c r="E3010" s="2">
        <v>120</v>
      </c>
      <c r="F3010" s="2">
        <v>120</v>
      </c>
      <c r="G3010" s="2">
        <v>611</v>
      </c>
      <c r="H3010" s="2">
        <v>1384</v>
      </c>
      <c r="I3010" s="2">
        <v>2403</v>
      </c>
      <c r="J3010" s="2">
        <v>1.02</v>
      </c>
      <c r="K3010" s="2">
        <v>5.84</v>
      </c>
      <c r="L3010" s="2">
        <v>10.56</v>
      </c>
      <c r="M3010" s="2">
        <v>14.24</v>
      </c>
      <c r="N3010" s="2">
        <v>0.39515770099999997</v>
      </c>
      <c r="O3010" s="2">
        <v>0.31050398400000001</v>
      </c>
      <c r="P3010" s="2">
        <v>1.7122813830000001</v>
      </c>
      <c r="Q3010" s="2">
        <v>1.634827443</v>
      </c>
      <c r="R3010" s="2">
        <v>1.7114157919999999</v>
      </c>
      <c r="S3010" s="2">
        <v>1.6314157920000001</v>
      </c>
      <c r="T3010" s="2">
        <v>5.4438240999999998E-2</v>
      </c>
      <c r="U3010" s="2">
        <v>0.10556175900000001</v>
      </c>
      <c r="V3010" s="2">
        <v>2.5546475559999999</v>
      </c>
      <c r="W3010" s="2">
        <v>2.633666039</v>
      </c>
      <c r="X3010">
        <f t="shared" si="138"/>
        <v>1</v>
      </c>
      <c r="Y3010">
        <f t="shared" si="139"/>
        <v>0</v>
      </c>
      <c r="Z3010">
        <f t="shared" si="140"/>
        <v>0</v>
      </c>
    </row>
    <row r="3011" spans="1:26" ht="15.75" customHeight="1" x14ac:dyDescent="0.2">
      <c r="A3011" s="2" t="s">
        <v>36</v>
      </c>
      <c r="B3011" s="2" t="s">
        <v>24</v>
      </c>
      <c r="C3011" s="2" t="s">
        <v>28</v>
      </c>
      <c r="D3011" s="2" t="s">
        <v>29</v>
      </c>
      <c r="E3011" s="2">
        <v>205</v>
      </c>
      <c r="F3011" s="2">
        <v>131</v>
      </c>
      <c r="G3011" s="2">
        <v>488</v>
      </c>
      <c r="H3011" s="2">
        <v>1532</v>
      </c>
      <c r="I3011" s="2">
        <v>2636</v>
      </c>
      <c r="J3011" s="2">
        <v>1.1499999999999999</v>
      </c>
      <c r="K3011" s="2">
        <v>4.8099999999999996</v>
      </c>
      <c r="L3011" s="2">
        <v>11.23</v>
      </c>
      <c r="M3011" s="2">
        <v>14.85</v>
      </c>
      <c r="N3011" s="2">
        <v>4.3060536020000004</v>
      </c>
      <c r="O3011" s="2">
        <v>3.674139915</v>
      </c>
      <c r="P3011" s="2">
        <v>0.99488670199999996</v>
      </c>
      <c r="Q3011" s="2">
        <v>0.82537369900000002</v>
      </c>
      <c r="R3011" s="2">
        <v>0.68447712400000005</v>
      </c>
      <c r="S3011" s="2">
        <v>0.60447712399999998</v>
      </c>
      <c r="T3011" s="2">
        <v>0.72200458199999995</v>
      </c>
      <c r="U3011" s="2">
        <v>0.56200458200000003</v>
      </c>
      <c r="V3011" s="2">
        <v>1.5277088889999999</v>
      </c>
      <c r="W3011" s="2">
        <v>1.6067273719999999</v>
      </c>
      <c r="X3011">
        <f t="shared" ref="X3011:X3074" si="141">IF(B3011="normal",1,0)</f>
        <v>1</v>
      </c>
      <c r="Y3011">
        <f t="shared" ref="Y3011:Y3074" si="142">IF(A3011="lecture",1,0)</f>
        <v>0</v>
      </c>
      <c r="Z3011">
        <f t="shared" ref="Z3011:Z3074" si="143">IF(ISNUMBER(FIND("~",D3011)),1,0)</f>
        <v>1</v>
      </c>
    </row>
    <row r="3012" spans="1:26" ht="15.75" customHeight="1" x14ac:dyDescent="0.2">
      <c r="A3012" s="2" t="s">
        <v>36</v>
      </c>
      <c r="B3012" s="2" t="s">
        <v>24</v>
      </c>
      <c r="C3012" s="2" t="s">
        <v>30</v>
      </c>
      <c r="D3012" s="2" t="s">
        <v>31</v>
      </c>
      <c r="E3012" s="2">
        <v>178</v>
      </c>
      <c r="F3012" s="2">
        <v>112</v>
      </c>
      <c r="G3012" s="2">
        <v>548</v>
      </c>
      <c r="H3012" s="2">
        <v>1082</v>
      </c>
      <c r="I3012" s="2">
        <v>2467</v>
      </c>
      <c r="J3012" s="2">
        <v>0.92</v>
      </c>
      <c r="K3012" s="2">
        <v>5.33</v>
      </c>
      <c r="L3012" s="2">
        <v>9.01</v>
      </c>
      <c r="M3012" s="2">
        <v>14.41</v>
      </c>
      <c r="N3012" s="2">
        <v>3.8541540460000001</v>
      </c>
      <c r="O3012" s="2">
        <v>3.899454559</v>
      </c>
      <c r="P3012" s="2">
        <v>1.9231005459999999</v>
      </c>
      <c r="Q3012" s="2">
        <v>2.004712756</v>
      </c>
      <c r="R3012" s="2">
        <v>1.200790698</v>
      </c>
      <c r="S3012" s="2">
        <v>1.120790698</v>
      </c>
      <c r="T3012" s="2">
        <v>1.502137614</v>
      </c>
      <c r="U3012" s="2">
        <v>1.6621376139999999</v>
      </c>
      <c r="V3012" s="2">
        <v>2.044022462</v>
      </c>
      <c r="W3012" s="2">
        <v>2.1230409460000002</v>
      </c>
      <c r="X3012">
        <f t="shared" si="141"/>
        <v>1</v>
      </c>
      <c r="Y3012">
        <f t="shared" si="142"/>
        <v>0</v>
      </c>
      <c r="Z3012">
        <f t="shared" si="143"/>
        <v>1</v>
      </c>
    </row>
    <row r="3013" spans="1:26" ht="15.75" customHeight="1" x14ac:dyDescent="0.2">
      <c r="A3013" s="2" t="s">
        <v>36</v>
      </c>
      <c r="B3013" s="2" t="s">
        <v>24</v>
      </c>
      <c r="C3013" s="2" t="s">
        <v>32</v>
      </c>
      <c r="D3013" s="2" t="s">
        <v>33</v>
      </c>
      <c r="E3013" s="2">
        <v>164</v>
      </c>
      <c r="F3013" s="2">
        <v>121</v>
      </c>
      <c r="G3013" s="2">
        <v>569</v>
      </c>
      <c r="H3013" s="2">
        <v>953</v>
      </c>
      <c r="I3013" s="2">
        <v>2430</v>
      </c>
      <c r="J3013" s="2">
        <v>1.03</v>
      </c>
      <c r="K3013" s="2">
        <v>5.5</v>
      </c>
      <c r="L3013" s="2">
        <v>8.24</v>
      </c>
      <c r="M3013" s="2">
        <v>14.31</v>
      </c>
      <c r="N3013" s="2">
        <v>1.954449377</v>
      </c>
      <c r="O3013" s="2">
        <v>2.0751619450000001</v>
      </c>
      <c r="P3013" s="2">
        <v>2.6529632680000002</v>
      </c>
      <c r="Q3013" s="2">
        <v>2.7525147799999998</v>
      </c>
      <c r="R3013" s="2">
        <v>1.3747232469999999</v>
      </c>
      <c r="S3013" s="2">
        <v>1.2947232470000001</v>
      </c>
      <c r="T3013" s="2">
        <v>2.2689975969999998</v>
      </c>
      <c r="U3013" s="2">
        <v>2.428997597</v>
      </c>
      <c r="V3013" s="2">
        <v>2.217955012</v>
      </c>
      <c r="W3013" s="2">
        <v>2.296973495</v>
      </c>
      <c r="X3013">
        <f t="shared" si="141"/>
        <v>1</v>
      </c>
      <c r="Y3013">
        <f t="shared" si="142"/>
        <v>0</v>
      </c>
      <c r="Z3013">
        <f t="shared" si="143"/>
        <v>1</v>
      </c>
    </row>
    <row r="3014" spans="1:26" ht="15.75" customHeight="1" x14ac:dyDescent="0.2">
      <c r="A3014" s="2" t="s">
        <v>36</v>
      </c>
      <c r="B3014" s="2" t="s">
        <v>24</v>
      </c>
      <c r="C3014" s="2" t="s">
        <v>26</v>
      </c>
      <c r="D3014" s="2" t="s">
        <v>26</v>
      </c>
      <c r="E3014" s="2">
        <v>179</v>
      </c>
      <c r="F3014" s="2">
        <v>133</v>
      </c>
      <c r="G3014" s="2">
        <v>421</v>
      </c>
      <c r="H3014" s="2">
        <v>763</v>
      </c>
      <c r="I3014" s="2">
        <v>2632</v>
      </c>
      <c r="J3014" s="2">
        <v>1.17</v>
      </c>
      <c r="K3014" s="2">
        <v>4.21</v>
      </c>
      <c r="L3014" s="2">
        <v>6.98</v>
      </c>
      <c r="M3014" s="2">
        <v>14.84</v>
      </c>
      <c r="N3014" s="2">
        <v>0.38174303700000001</v>
      </c>
      <c r="O3014" s="2">
        <v>0.65823312099999998</v>
      </c>
      <c r="P3014" s="2">
        <v>3.5285344859999999</v>
      </c>
      <c r="Q3014" s="2">
        <v>3.6876873209999999</v>
      </c>
      <c r="R3014" s="2">
        <v>7.7359283000000001E-2</v>
      </c>
      <c r="S3014" s="2">
        <v>2.6407169999999999E-3</v>
      </c>
      <c r="T3014" s="2">
        <v>3.527686375</v>
      </c>
      <c r="U3014" s="2">
        <v>3.6876863750000002</v>
      </c>
      <c r="V3014" s="2">
        <v>0.92059104800000002</v>
      </c>
      <c r="W3014" s="2">
        <v>0.99960953100000005</v>
      </c>
      <c r="X3014">
        <f t="shared" si="141"/>
        <v>1</v>
      </c>
      <c r="Y3014">
        <f t="shared" si="142"/>
        <v>0</v>
      </c>
      <c r="Z3014">
        <f t="shared" si="143"/>
        <v>0</v>
      </c>
    </row>
    <row r="3015" spans="1:26" ht="15.75" customHeight="1" x14ac:dyDescent="0.2">
      <c r="A3015" s="2" t="s">
        <v>36</v>
      </c>
      <c r="B3015" s="2" t="s">
        <v>24</v>
      </c>
      <c r="C3015" s="2" t="s">
        <v>32</v>
      </c>
      <c r="D3015" s="2" t="s">
        <v>33</v>
      </c>
      <c r="E3015" s="2">
        <v>120</v>
      </c>
      <c r="F3015" s="2">
        <v>117</v>
      </c>
      <c r="G3015" s="2">
        <v>606</v>
      </c>
      <c r="H3015" s="2">
        <v>874</v>
      </c>
      <c r="I3015" s="2">
        <v>2445</v>
      </c>
      <c r="J3015" s="2">
        <v>0.98</v>
      </c>
      <c r="K3015" s="2">
        <v>5.8</v>
      </c>
      <c r="L3015" s="2">
        <v>7.74</v>
      </c>
      <c r="M3015" s="2">
        <v>14.35</v>
      </c>
      <c r="N3015" s="2">
        <v>2.4401589619999999</v>
      </c>
      <c r="O3015" s="2">
        <v>2.533598799</v>
      </c>
      <c r="P3015" s="2">
        <v>3.2336339160000001</v>
      </c>
      <c r="Q3015" s="2">
        <v>3.3328146460000001</v>
      </c>
      <c r="R3015" s="2">
        <v>1.6689294530000001</v>
      </c>
      <c r="S3015" s="2">
        <v>1.588929453</v>
      </c>
      <c r="T3015" s="2">
        <v>2.7696683520000001</v>
      </c>
      <c r="U3015" s="2">
        <v>2.9296683520000002</v>
      </c>
      <c r="V3015" s="2">
        <v>2.5121612180000001</v>
      </c>
      <c r="W3015" s="2">
        <v>2.5911797010000002</v>
      </c>
      <c r="X3015">
        <f t="shared" si="141"/>
        <v>1</v>
      </c>
      <c r="Y3015">
        <f t="shared" si="142"/>
        <v>0</v>
      </c>
      <c r="Z3015">
        <f t="shared" si="143"/>
        <v>1</v>
      </c>
    </row>
    <row r="3016" spans="1:26" ht="15.75" customHeight="1" x14ac:dyDescent="0.2">
      <c r="A3016" s="2" t="s">
        <v>36</v>
      </c>
      <c r="B3016" s="2" t="s">
        <v>24</v>
      </c>
      <c r="C3016" s="2" t="s">
        <v>28</v>
      </c>
      <c r="D3016" s="2" t="s">
        <v>29</v>
      </c>
      <c r="E3016" s="2">
        <v>131</v>
      </c>
      <c r="F3016" s="2">
        <v>136</v>
      </c>
      <c r="G3016" s="2">
        <v>418</v>
      </c>
      <c r="H3016" s="2">
        <v>1659</v>
      </c>
      <c r="I3016" s="2">
        <v>2594</v>
      </c>
      <c r="J3016" s="2">
        <v>1.21</v>
      </c>
      <c r="K3016" s="2">
        <v>4.18</v>
      </c>
      <c r="L3016" s="2">
        <v>11.76</v>
      </c>
      <c r="M3016" s="2">
        <v>14.74</v>
      </c>
      <c r="N3016" s="2">
        <v>4.7343334090000004</v>
      </c>
      <c r="O3016" s="2">
        <v>4.1323841449999996</v>
      </c>
      <c r="P3016" s="2">
        <v>1.252393603</v>
      </c>
      <c r="Q3016" s="2">
        <v>1.091840449</v>
      </c>
      <c r="R3016" s="2">
        <v>4.9509323000000001E-2</v>
      </c>
      <c r="S3016" s="2">
        <v>3.0490677000000001E-2</v>
      </c>
      <c r="T3016" s="2">
        <v>1.251414625</v>
      </c>
      <c r="U3016" s="2">
        <v>1.0914146250000001</v>
      </c>
      <c r="V3016" s="2">
        <v>0.89274108799999996</v>
      </c>
      <c r="W3016" s="2">
        <v>0.97175957099999999</v>
      </c>
      <c r="X3016">
        <f t="shared" si="141"/>
        <v>1</v>
      </c>
      <c r="Y3016">
        <f t="shared" si="142"/>
        <v>0</v>
      </c>
      <c r="Z3016">
        <f t="shared" si="143"/>
        <v>1</v>
      </c>
    </row>
    <row r="3017" spans="1:26" ht="15.75" customHeight="1" x14ac:dyDescent="0.2">
      <c r="A3017" s="2" t="s">
        <v>36</v>
      </c>
      <c r="B3017" s="2" t="s">
        <v>24</v>
      </c>
      <c r="C3017" s="2" t="s">
        <v>32</v>
      </c>
      <c r="D3017" s="2" t="s">
        <v>33</v>
      </c>
      <c r="E3017" s="2">
        <v>132</v>
      </c>
      <c r="F3017" s="2">
        <v>127</v>
      </c>
      <c r="G3017" s="2">
        <v>594</v>
      </c>
      <c r="H3017" s="2">
        <v>820</v>
      </c>
      <c r="I3017" s="2">
        <v>2351</v>
      </c>
      <c r="J3017" s="2">
        <v>1.1100000000000001</v>
      </c>
      <c r="K3017" s="2">
        <v>5.7</v>
      </c>
      <c r="L3017" s="2">
        <v>7.38</v>
      </c>
      <c r="M3017" s="2">
        <v>14.09</v>
      </c>
      <c r="N3017" s="2">
        <v>2.8001479859999998</v>
      </c>
      <c r="O3017" s="2">
        <v>2.8994762660000002</v>
      </c>
      <c r="P3017" s="2">
        <v>3.5026655990000002</v>
      </c>
      <c r="Q3017" s="2">
        <v>3.612555317</v>
      </c>
      <c r="R3017" s="2">
        <v>1.572686333</v>
      </c>
      <c r="S3017" s="2">
        <v>1.492686333</v>
      </c>
      <c r="T3017" s="2">
        <v>3.1297482319999999</v>
      </c>
      <c r="U3017" s="2">
        <v>3.289748232</v>
      </c>
      <c r="V3017" s="2">
        <v>2.4159180980000001</v>
      </c>
      <c r="W3017" s="2">
        <v>2.4949365810000002</v>
      </c>
      <c r="X3017">
        <f t="shared" si="141"/>
        <v>1</v>
      </c>
      <c r="Y3017">
        <f t="shared" si="142"/>
        <v>0</v>
      </c>
      <c r="Z3017">
        <f t="shared" si="143"/>
        <v>1</v>
      </c>
    </row>
    <row r="3018" spans="1:26" ht="15.75" customHeight="1" x14ac:dyDescent="0.2">
      <c r="A3018" s="2" t="s">
        <v>36</v>
      </c>
      <c r="B3018" s="2" t="s">
        <v>24</v>
      </c>
      <c r="C3018" s="2" t="s">
        <v>25</v>
      </c>
      <c r="D3018" s="2" t="s">
        <v>25</v>
      </c>
      <c r="E3018" s="2">
        <v>162</v>
      </c>
      <c r="F3018" s="2">
        <v>100</v>
      </c>
      <c r="G3018" s="2">
        <v>536</v>
      </c>
      <c r="H3018" s="2">
        <v>1430</v>
      </c>
      <c r="I3018" s="2">
        <v>2297</v>
      </c>
      <c r="J3018" s="2">
        <v>0.77</v>
      </c>
      <c r="K3018" s="2">
        <v>5.23</v>
      </c>
      <c r="L3018" s="2">
        <v>10.78</v>
      </c>
      <c r="M3018" s="2">
        <v>13.94</v>
      </c>
      <c r="N3018" s="2">
        <v>0.79633522700000003</v>
      </c>
      <c r="O3018" s="2">
        <v>0.87684022500000003</v>
      </c>
      <c r="P3018" s="2">
        <v>1.1301872479999999</v>
      </c>
      <c r="Q3018" s="2">
        <v>1.023287279</v>
      </c>
      <c r="R3018" s="2">
        <v>1.097275641</v>
      </c>
      <c r="S3018" s="2">
        <v>1.0172756409999999</v>
      </c>
      <c r="T3018" s="2">
        <v>0.270757054</v>
      </c>
      <c r="U3018" s="2">
        <v>0.11075705399999999</v>
      </c>
      <c r="V3018" s="2">
        <v>1.940507406</v>
      </c>
      <c r="W3018" s="2">
        <v>2.0195258890000001</v>
      </c>
      <c r="X3018">
        <f t="shared" si="141"/>
        <v>1</v>
      </c>
      <c r="Y3018">
        <f t="shared" si="142"/>
        <v>0</v>
      </c>
      <c r="Z3018">
        <f t="shared" si="143"/>
        <v>0</v>
      </c>
    </row>
    <row r="3019" spans="1:26" ht="15.75" customHeight="1" x14ac:dyDescent="0.2">
      <c r="A3019" s="2" t="s">
        <v>36</v>
      </c>
      <c r="B3019" s="2" t="s">
        <v>24</v>
      </c>
      <c r="C3019" s="2" t="s">
        <v>27</v>
      </c>
      <c r="D3019" s="2" t="s">
        <v>27</v>
      </c>
      <c r="E3019" s="2">
        <v>125</v>
      </c>
      <c r="F3019" s="2">
        <v>128</v>
      </c>
      <c r="G3019" s="2">
        <v>366</v>
      </c>
      <c r="H3019" s="2">
        <v>1832</v>
      </c>
      <c r="I3019" s="2">
        <v>2551</v>
      </c>
      <c r="J3019" s="2">
        <v>1.1200000000000001</v>
      </c>
      <c r="K3019" s="2">
        <v>3.69</v>
      </c>
      <c r="L3019" s="2">
        <v>12.42</v>
      </c>
      <c r="M3019" s="2">
        <v>14.63</v>
      </c>
      <c r="N3019" s="2">
        <v>7.6707164999999994E-2</v>
      </c>
      <c r="O3019" s="2">
        <v>0.19308665</v>
      </c>
      <c r="P3019" s="2">
        <v>1.9632486300000001</v>
      </c>
      <c r="Q3019" s="2">
        <v>1.8286766679999999</v>
      </c>
      <c r="R3019" s="2">
        <v>0.43816449299999999</v>
      </c>
      <c r="S3019" s="2">
        <v>0.518164493</v>
      </c>
      <c r="T3019" s="2">
        <v>1.9137285749999999</v>
      </c>
      <c r="U3019" s="2">
        <v>1.753728575</v>
      </c>
      <c r="V3019" s="2">
        <v>0.40506727100000001</v>
      </c>
      <c r="W3019" s="2">
        <v>0.48408575399999998</v>
      </c>
      <c r="X3019">
        <f t="shared" si="141"/>
        <v>1</v>
      </c>
      <c r="Y3019">
        <f t="shared" si="142"/>
        <v>0</v>
      </c>
      <c r="Z3019">
        <f t="shared" si="143"/>
        <v>0</v>
      </c>
    </row>
    <row r="3020" spans="1:26" ht="15.75" customHeight="1" x14ac:dyDescent="0.2">
      <c r="A3020" s="2" t="s">
        <v>36</v>
      </c>
      <c r="B3020" s="2" t="s">
        <v>24</v>
      </c>
      <c r="C3020" s="2" t="s">
        <v>30</v>
      </c>
      <c r="D3020" s="2" t="s">
        <v>31</v>
      </c>
      <c r="E3020" s="2">
        <v>145</v>
      </c>
      <c r="F3020" s="2">
        <v>115</v>
      </c>
      <c r="G3020" s="2">
        <v>596</v>
      </c>
      <c r="H3020" s="2">
        <v>1073</v>
      </c>
      <c r="I3020" s="2">
        <v>2280</v>
      </c>
      <c r="J3020" s="2">
        <v>0.96</v>
      </c>
      <c r="K3020" s="2">
        <v>5.72</v>
      </c>
      <c r="L3020" s="2">
        <v>8.9499999999999993</v>
      </c>
      <c r="M3020" s="2">
        <v>13.89</v>
      </c>
      <c r="N3020" s="2">
        <v>4.0827591019999998</v>
      </c>
      <c r="O3020" s="2">
        <v>4.118221922</v>
      </c>
      <c r="P3020" s="2">
        <v>2.2265734849999999</v>
      </c>
      <c r="Q3020" s="2">
        <v>2.2876397900000001</v>
      </c>
      <c r="R3020" s="2">
        <v>1.5914710489999999</v>
      </c>
      <c r="S3020" s="2">
        <v>1.5114710490000001</v>
      </c>
      <c r="T3020" s="2">
        <v>1.55719279</v>
      </c>
      <c r="U3020" s="2">
        <v>1.7171927899999999</v>
      </c>
      <c r="V3020" s="2">
        <v>2.4347028129999999</v>
      </c>
      <c r="W3020" s="2">
        <v>2.5137212959999999</v>
      </c>
      <c r="X3020">
        <f t="shared" si="141"/>
        <v>1</v>
      </c>
      <c r="Y3020">
        <f t="shared" si="142"/>
        <v>0</v>
      </c>
      <c r="Z3020">
        <f t="shared" si="143"/>
        <v>1</v>
      </c>
    </row>
    <row r="3021" spans="1:26" ht="15.75" customHeight="1" x14ac:dyDescent="0.2">
      <c r="A3021" s="2" t="s">
        <v>36</v>
      </c>
      <c r="B3021" s="2" t="s">
        <v>24</v>
      </c>
      <c r="C3021" s="2" t="s">
        <v>25</v>
      </c>
      <c r="D3021" s="2" t="s">
        <v>25</v>
      </c>
      <c r="E3021" s="2">
        <v>180</v>
      </c>
      <c r="F3021" s="2">
        <v>125</v>
      </c>
      <c r="G3021" s="2">
        <v>595</v>
      </c>
      <c r="H3021" s="2">
        <v>1094</v>
      </c>
      <c r="I3021" s="2">
        <v>2292</v>
      </c>
      <c r="J3021" s="2">
        <v>1.08</v>
      </c>
      <c r="K3021" s="2">
        <v>5.71</v>
      </c>
      <c r="L3021" s="2">
        <v>9.07</v>
      </c>
      <c r="M3021" s="2">
        <v>13.92</v>
      </c>
      <c r="N3021" s="2">
        <v>1.106852315</v>
      </c>
      <c r="O3021" s="2">
        <v>1.2179279430000001</v>
      </c>
      <c r="P3021" s="2">
        <v>2.1357167810000002</v>
      </c>
      <c r="Q3021" s="2">
        <v>2.1908759579999999</v>
      </c>
      <c r="R3021" s="2">
        <v>1.580741127</v>
      </c>
      <c r="S3021" s="2">
        <v>1.500741127</v>
      </c>
      <c r="T3021" s="2">
        <v>1.436155861</v>
      </c>
      <c r="U3021" s="2">
        <v>1.596155861</v>
      </c>
      <c r="V3021" s="2">
        <v>2.4239728920000001</v>
      </c>
      <c r="W3021" s="2">
        <v>2.5029913750000001</v>
      </c>
      <c r="X3021">
        <f t="shared" si="141"/>
        <v>1</v>
      </c>
      <c r="Y3021">
        <f t="shared" si="142"/>
        <v>0</v>
      </c>
      <c r="Z3021">
        <f t="shared" si="143"/>
        <v>0</v>
      </c>
    </row>
    <row r="3022" spans="1:26" ht="15.75" customHeight="1" x14ac:dyDescent="0.2">
      <c r="A3022" s="2" t="s">
        <v>36</v>
      </c>
      <c r="B3022" s="2" t="s">
        <v>24</v>
      </c>
      <c r="C3022" s="2" t="s">
        <v>30</v>
      </c>
      <c r="D3022" s="2" t="s">
        <v>31</v>
      </c>
      <c r="E3022" s="2">
        <v>201</v>
      </c>
      <c r="F3022" s="2">
        <v>99</v>
      </c>
      <c r="G3022" s="2">
        <v>500</v>
      </c>
      <c r="H3022" s="2">
        <v>1029</v>
      </c>
      <c r="I3022" s="2">
        <v>2273</v>
      </c>
      <c r="J3022" s="2">
        <v>0.75</v>
      </c>
      <c r="K3022" s="2">
        <v>4.92</v>
      </c>
      <c r="L3022" s="2">
        <v>8.6999999999999993</v>
      </c>
      <c r="M3022" s="2">
        <v>13.87</v>
      </c>
      <c r="N3022" s="2">
        <v>3.9929708069999998</v>
      </c>
      <c r="O3022" s="2">
        <v>4.0527736389999998</v>
      </c>
      <c r="P3022" s="2">
        <v>1.976665436</v>
      </c>
      <c r="Q3022" s="2">
        <v>2.0959171479999998</v>
      </c>
      <c r="R3022" s="2">
        <v>0.78918699199999998</v>
      </c>
      <c r="S3022" s="2">
        <v>0.70918699200000002</v>
      </c>
      <c r="T3022" s="2">
        <v>1.8122886460000001</v>
      </c>
      <c r="U3022" s="2">
        <v>1.972288646</v>
      </c>
      <c r="V3022" s="2">
        <v>1.6324187569999999</v>
      </c>
      <c r="W3022" s="2">
        <v>1.71143724</v>
      </c>
      <c r="X3022">
        <f t="shared" si="141"/>
        <v>1</v>
      </c>
      <c r="Y3022">
        <f t="shared" si="142"/>
        <v>0</v>
      </c>
      <c r="Z3022">
        <f t="shared" si="143"/>
        <v>1</v>
      </c>
    </row>
    <row r="3023" spans="1:26" ht="15.75" customHeight="1" x14ac:dyDescent="0.2">
      <c r="A3023" s="2" t="s">
        <v>36</v>
      </c>
      <c r="B3023" s="2" t="s">
        <v>35</v>
      </c>
      <c r="C3023" s="2" t="s">
        <v>25</v>
      </c>
      <c r="D3023" s="2" t="s">
        <v>25</v>
      </c>
      <c r="E3023" s="2">
        <v>194</v>
      </c>
      <c r="F3023" s="2">
        <v>218</v>
      </c>
      <c r="G3023" s="2">
        <v>779</v>
      </c>
      <c r="H3023" s="2">
        <v>1470</v>
      </c>
      <c r="I3023" s="2">
        <v>2941</v>
      </c>
      <c r="J3023" s="2">
        <v>2.15</v>
      </c>
      <c r="K3023" s="2">
        <v>7.1</v>
      </c>
      <c r="L3023" s="2">
        <v>10.96</v>
      </c>
      <c r="M3023" s="2">
        <v>15.56</v>
      </c>
      <c r="N3023" s="2">
        <v>0.156962345</v>
      </c>
      <c r="O3023" s="2">
        <v>0.864691714</v>
      </c>
      <c r="P3023" s="2">
        <v>2.3997345929999998</v>
      </c>
      <c r="Q3023" s="2">
        <v>2.6012577860000001</v>
      </c>
      <c r="R3023" s="2">
        <v>2.3950419859999998</v>
      </c>
      <c r="S3023" s="2">
        <v>2.5850419859999998</v>
      </c>
      <c r="T3023" s="2">
        <v>0.15</v>
      </c>
      <c r="U3023" s="2">
        <v>0.28999999999999998</v>
      </c>
      <c r="V3023" s="2">
        <v>3.5216024109999999</v>
      </c>
      <c r="W3023" s="2">
        <v>3.532143059</v>
      </c>
      <c r="X3023">
        <f t="shared" si="141"/>
        <v>0</v>
      </c>
      <c r="Y3023">
        <f t="shared" si="142"/>
        <v>0</v>
      </c>
      <c r="Z3023">
        <f t="shared" si="143"/>
        <v>0</v>
      </c>
    </row>
    <row r="3024" spans="1:26" ht="15.75" customHeight="1" x14ac:dyDescent="0.2">
      <c r="A3024" s="2" t="s">
        <v>36</v>
      </c>
      <c r="B3024" s="2" t="s">
        <v>35</v>
      </c>
      <c r="C3024" s="2" t="s">
        <v>26</v>
      </c>
      <c r="D3024" s="2" t="s">
        <v>26</v>
      </c>
      <c r="E3024" s="2">
        <v>232</v>
      </c>
      <c r="F3024" s="2">
        <v>233</v>
      </c>
      <c r="G3024" s="2">
        <v>409</v>
      </c>
      <c r="H3024" s="2">
        <v>788</v>
      </c>
      <c r="I3024" s="2">
        <v>2849</v>
      </c>
      <c r="J3024" s="2">
        <v>2.3199999999999998</v>
      </c>
      <c r="K3024" s="2">
        <v>4.0999999999999996</v>
      </c>
      <c r="L3024" s="2">
        <v>7.16</v>
      </c>
      <c r="M3024" s="2">
        <v>15.35</v>
      </c>
      <c r="N3024" s="2">
        <v>0.17197662499999999</v>
      </c>
      <c r="O3024" s="2">
        <v>0.37008868900000003</v>
      </c>
      <c r="P3024" s="2">
        <v>3.9957907239999999</v>
      </c>
      <c r="Q3024" s="2">
        <v>4.1107533280000004</v>
      </c>
      <c r="R3024" s="2">
        <v>0.60446383299999995</v>
      </c>
      <c r="S3024" s="2">
        <v>0.414463833</v>
      </c>
      <c r="T3024" s="2">
        <v>3.9498059429999999</v>
      </c>
      <c r="U3024" s="2">
        <v>4.089805943</v>
      </c>
      <c r="V3024" s="2">
        <v>0.52209659100000005</v>
      </c>
      <c r="W3024" s="2">
        <v>0.53263723900000004</v>
      </c>
      <c r="X3024">
        <f t="shared" si="141"/>
        <v>0</v>
      </c>
      <c r="Y3024">
        <f t="shared" si="142"/>
        <v>0</v>
      </c>
      <c r="Z3024">
        <f t="shared" si="143"/>
        <v>0</v>
      </c>
    </row>
    <row r="3025" spans="1:26" ht="15.75" customHeight="1" x14ac:dyDescent="0.2">
      <c r="A3025" s="2" t="s">
        <v>36</v>
      </c>
      <c r="B3025" s="2" t="s">
        <v>35</v>
      </c>
      <c r="C3025" s="2" t="s">
        <v>27</v>
      </c>
      <c r="D3025" s="2" t="s">
        <v>27</v>
      </c>
      <c r="E3025" s="2">
        <v>218</v>
      </c>
      <c r="F3025" s="2">
        <v>226</v>
      </c>
      <c r="G3025" s="2">
        <v>433</v>
      </c>
      <c r="H3025" s="2">
        <v>2429</v>
      </c>
      <c r="I3025" s="2">
        <v>2995</v>
      </c>
      <c r="J3025" s="2">
        <v>2.2400000000000002</v>
      </c>
      <c r="K3025" s="2">
        <v>4.32</v>
      </c>
      <c r="L3025" s="2">
        <v>14.31</v>
      </c>
      <c r="M3025" s="2">
        <v>15.67</v>
      </c>
      <c r="N3025" s="2">
        <v>0.154156033</v>
      </c>
      <c r="O3025" s="2">
        <v>0.22013720000000001</v>
      </c>
      <c r="P3025" s="2">
        <v>3.2210658990000001</v>
      </c>
      <c r="Q3025" s="2">
        <v>3.0643584979999998</v>
      </c>
      <c r="R3025" s="2">
        <v>0.38193925899999998</v>
      </c>
      <c r="S3025" s="2">
        <v>0.191939259</v>
      </c>
      <c r="T3025" s="2">
        <v>3.198341434</v>
      </c>
      <c r="U3025" s="2">
        <v>3.0583414339999999</v>
      </c>
      <c r="V3025" s="2">
        <v>0.74462116599999995</v>
      </c>
      <c r="W3025" s="2">
        <v>0.75516181400000004</v>
      </c>
      <c r="X3025">
        <f t="shared" si="141"/>
        <v>0</v>
      </c>
      <c r="Y3025">
        <f t="shared" si="142"/>
        <v>0</v>
      </c>
      <c r="Z3025">
        <f t="shared" si="143"/>
        <v>0</v>
      </c>
    </row>
    <row r="3026" spans="1:26" ht="15.75" customHeight="1" x14ac:dyDescent="0.2">
      <c r="A3026" s="2" t="s">
        <v>36</v>
      </c>
      <c r="B3026" s="2" t="s">
        <v>35</v>
      </c>
      <c r="C3026" s="2" t="s">
        <v>28</v>
      </c>
      <c r="D3026" s="2" t="s">
        <v>29</v>
      </c>
      <c r="E3026" s="2">
        <v>200</v>
      </c>
      <c r="F3026" s="2">
        <v>245</v>
      </c>
      <c r="G3026" s="2">
        <v>363</v>
      </c>
      <c r="H3026" s="2">
        <v>1492</v>
      </c>
      <c r="I3026" s="2">
        <v>2844</v>
      </c>
      <c r="J3026" s="2">
        <v>2.4500000000000002</v>
      </c>
      <c r="K3026" s="2">
        <v>3.66</v>
      </c>
      <c r="L3026" s="2">
        <v>11.06</v>
      </c>
      <c r="M3026" s="2">
        <v>15.34</v>
      </c>
      <c r="N3026" s="2">
        <v>3.7826116920000001</v>
      </c>
      <c r="O3026" s="2">
        <v>3.5552500440000001</v>
      </c>
      <c r="P3026" s="2">
        <v>1.045210478</v>
      </c>
      <c r="Q3026" s="2">
        <v>0.87554875499999996</v>
      </c>
      <c r="R3026" s="2">
        <v>1.0438231920000001</v>
      </c>
      <c r="S3026" s="2">
        <v>0.85382319200000001</v>
      </c>
      <c r="T3026" s="2">
        <v>5.3833896999999999E-2</v>
      </c>
      <c r="U3026" s="2">
        <v>0.193833897</v>
      </c>
      <c r="V3026" s="2">
        <v>8.2737232999999993E-2</v>
      </c>
      <c r="W3026" s="2">
        <v>9.3277881000000007E-2</v>
      </c>
      <c r="X3026">
        <f t="shared" si="141"/>
        <v>0</v>
      </c>
      <c r="Y3026">
        <f t="shared" si="142"/>
        <v>0</v>
      </c>
      <c r="Z3026">
        <f t="shared" si="143"/>
        <v>1</v>
      </c>
    </row>
    <row r="3027" spans="1:26" ht="15.75" customHeight="1" x14ac:dyDescent="0.2">
      <c r="A3027" s="2" t="s">
        <v>36</v>
      </c>
      <c r="B3027" s="2" t="s">
        <v>35</v>
      </c>
      <c r="C3027" s="2" t="s">
        <v>30</v>
      </c>
      <c r="D3027" s="2" t="s">
        <v>31</v>
      </c>
      <c r="E3027" s="2">
        <v>214</v>
      </c>
      <c r="F3027" s="2">
        <v>231</v>
      </c>
      <c r="G3027" s="2">
        <v>707</v>
      </c>
      <c r="H3027" s="2">
        <v>1148</v>
      </c>
      <c r="I3027" s="2">
        <v>2056</v>
      </c>
      <c r="J3027" s="2">
        <v>2.2999999999999998</v>
      </c>
      <c r="K3027" s="2">
        <v>6.57</v>
      </c>
      <c r="L3027" s="2">
        <v>9.3699999999999992</v>
      </c>
      <c r="M3027" s="2">
        <v>13.19</v>
      </c>
      <c r="N3027" s="2">
        <v>5.2730134959999999</v>
      </c>
      <c r="O3027" s="2">
        <v>5.2397105990000004</v>
      </c>
      <c r="P3027" s="2">
        <v>2.5545851540000002</v>
      </c>
      <c r="Q3027" s="2">
        <v>2.7892441020000001</v>
      </c>
      <c r="R3027" s="2">
        <v>1.8746499999999999</v>
      </c>
      <c r="S3027" s="2">
        <v>2.0646499999999999</v>
      </c>
      <c r="T3027" s="2">
        <v>1.7353941020000001</v>
      </c>
      <c r="U3027" s="2">
        <v>1.875394102</v>
      </c>
      <c r="V3027" s="2">
        <v>3.001210425</v>
      </c>
      <c r="W3027" s="2">
        <v>3.0117510730000001</v>
      </c>
      <c r="X3027">
        <f t="shared" si="141"/>
        <v>0</v>
      </c>
      <c r="Y3027">
        <f t="shared" si="142"/>
        <v>0</v>
      </c>
      <c r="Z3027">
        <f t="shared" si="143"/>
        <v>1</v>
      </c>
    </row>
    <row r="3028" spans="1:26" ht="15.75" customHeight="1" x14ac:dyDescent="0.2">
      <c r="A3028" s="2" t="s">
        <v>36</v>
      </c>
      <c r="B3028" s="2" t="s">
        <v>35</v>
      </c>
      <c r="C3028" s="2" t="s">
        <v>26</v>
      </c>
      <c r="D3028" s="2" t="s">
        <v>26</v>
      </c>
      <c r="E3028" s="2">
        <v>161</v>
      </c>
      <c r="F3028" s="2">
        <v>213</v>
      </c>
      <c r="G3028" s="2">
        <v>422</v>
      </c>
      <c r="H3028" s="2">
        <v>676</v>
      </c>
      <c r="I3028" s="2">
        <v>2936</v>
      </c>
      <c r="J3028" s="2">
        <v>2.1</v>
      </c>
      <c r="K3028" s="2">
        <v>4.22</v>
      </c>
      <c r="L3028" s="2">
        <v>6.34</v>
      </c>
      <c r="M3028" s="2">
        <v>15.55</v>
      </c>
      <c r="N3028" s="2">
        <v>0.96793409900000005</v>
      </c>
      <c r="O3028" s="2">
        <v>1.1921781819999999</v>
      </c>
      <c r="P3028" s="2">
        <v>4.791252214</v>
      </c>
      <c r="Q3028" s="2">
        <v>4.915697572</v>
      </c>
      <c r="R3028" s="2">
        <v>0.48028547399999999</v>
      </c>
      <c r="S3028" s="2">
        <v>0.29028547399999999</v>
      </c>
      <c r="T3028" s="2">
        <v>4.7671190079999999</v>
      </c>
      <c r="U3028" s="2">
        <v>4.9071190079999996</v>
      </c>
      <c r="V3028" s="2">
        <v>0.64627495000000001</v>
      </c>
      <c r="W3028" s="2">
        <v>0.656815598</v>
      </c>
      <c r="X3028">
        <f t="shared" si="141"/>
        <v>0</v>
      </c>
      <c r="Y3028">
        <f t="shared" si="142"/>
        <v>0</v>
      </c>
      <c r="Z3028">
        <f t="shared" si="143"/>
        <v>0</v>
      </c>
    </row>
    <row r="3029" spans="1:26" ht="15.75" customHeight="1" x14ac:dyDescent="0.2">
      <c r="A3029" s="2" t="s">
        <v>36</v>
      </c>
      <c r="B3029" s="2" t="s">
        <v>35</v>
      </c>
      <c r="C3029" s="2" t="s">
        <v>28</v>
      </c>
      <c r="D3029" s="2" t="s">
        <v>29</v>
      </c>
      <c r="E3029" s="2">
        <v>201</v>
      </c>
      <c r="F3029" s="2">
        <v>230</v>
      </c>
      <c r="G3029" s="2">
        <v>354</v>
      </c>
      <c r="H3029" s="2">
        <v>1370</v>
      </c>
      <c r="I3029" s="2">
        <v>2562</v>
      </c>
      <c r="J3029" s="2">
        <v>2.29</v>
      </c>
      <c r="K3029" s="2">
        <v>3.57</v>
      </c>
      <c r="L3029" s="2">
        <v>10.5</v>
      </c>
      <c r="M3029" s="2">
        <v>14.66</v>
      </c>
      <c r="N3029" s="2">
        <v>3.2484099020000001</v>
      </c>
      <c r="O3029" s="2">
        <v>3.0193473380000002</v>
      </c>
      <c r="P3029" s="2">
        <v>1.279264256</v>
      </c>
      <c r="Q3029" s="2">
        <v>1.1979077469999999</v>
      </c>
      <c r="R3029" s="2">
        <v>1.1252858990000001</v>
      </c>
      <c r="S3029" s="2">
        <v>0.93528589900000003</v>
      </c>
      <c r="T3029" s="2">
        <v>0.60848063299999999</v>
      </c>
      <c r="U3029" s="2">
        <v>0.74848063300000001</v>
      </c>
      <c r="V3029" s="2">
        <v>1.2745250000000001E-3</v>
      </c>
      <c r="W3029" s="2">
        <v>1.1815173E-2</v>
      </c>
      <c r="X3029">
        <f t="shared" si="141"/>
        <v>0</v>
      </c>
      <c r="Y3029">
        <f t="shared" si="142"/>
        <v>0</v>
      </c>
      <c r="Z3029">
        <f t="shared" si="143"/>
        <v>1</v>
      </c>
    </row>
    <row r="3030" spans="1:26" ht="15.75" customHeight="1" x14ac:dyDescent="0.2">
      <c r="A3030" s="2" t="s">
        <v>36</v>
      </c>
      <c r="B3030" s="2" t="s">
        <v>35</v>
      </c>
      <c r="C3030" s="2" t="s">
        <v>32</v>
      </c>
      <c r="D3030" s="2" t="s">
        <v>33</v>
      </c>
      <c r="E3030" s="2">
        <v>227</v>
      </c>
      <c r="F3030" s="2">
        <v>231</v>
      </c>
      <c r="G3030" s="2">
        <v>492</v>
      </c>
      <c r="H3030" s="2">
        <v>1044</v>
      </c>
      <c r="I3030" s="2">
        <v>2514</v>
      </c>
      <c r="J3030" s="2">
        <v>2.2999999999999998</v>
      </c>
      <c r="K3030" s="2">
        <v>4.8499999999999996</v>
      </c>
      <c r="L3030" s="2">
        <v>8.7899999999999991</v>
      </c>
      <c r="M3030" s="2">
        <v>14.53</v>
      </c>
      <c r="N3030" s="2">
        <v>3.0673478489999999</v>
      </c>
      <c r="O3030" s="2">
        <v>2.9026370400000001</v>
      </c>
      <c r="P3030" s="2">
        <v>2.3271641810000001</v>
      </c>
      <c r="Q3030" s="2">
        <v>2.485438765</v>
      </c>
      <c r="R3030" s="2">
        <v>0.146580557</v>
      </c>
      <c r="S3030" s="2">
        <v>0.336580557</v>
      </c>
      <c r="T3030" s="2">
        <v>2.3225432760000002</v>
      </c>
      <c r="U3030" s="2">
        <v>2.4625432759999999</v>
      </c>
      <c r="V3030" s="2">
        <v>1.2731409819999999</v>
      </c>
      <c r="W3030" s="2">
        <v>1.28368163</v>
      </c>
      <c r="X3030">
        <f t="shared" si="141"/>
        <v>0</v>
      </c>
      <c r="Y3030">
        <f t="shared" si="142"/>
        <v>0</v>
      </c>
      <c r="Z3030">
        <f t="shared" si="143"/>
        <v>1</v>
      </c>
    </row>
    <row r="3031" spans="1:26" ht="15.75" customHeight="1" x14ac:dyDescent="0.2">
      <c r="A3031" s="2" t="s">
        <v>36</v>
      </c>
      <c r="B3031" s="2" t="s">
        <v>35</v>
      </c>
      <c r="C3031" s="2" t="s">
        <v>32</v>
      </c>
      <c r="D3031" s="2" t="s">
        <v>33</v>
      </c>
      <c r="E3031" s="2">
        <v>194</v>
      </c>
      <c r="F3031" s="2">
        <v>224</v>
      </c>
      <c r="G3031" s="2">
        <v>635</v>
      </c>
      <c r="H3031" s="2">
        <v>1200</v>
      </c>
      <c r="I3031" s="2">
        <v>2506</v>
      </c>
      <c r="J3031" s="2">
        <v>2.2200000000000002</v>
      </c>
      <c r="K3031" s="2">
        <v>6.03</v>
      </c>
      <c r="L3031" s="2">
        <v>9.65</v>
      </c>
      <c r="M3031" s="2">
        <v>14.51</v>
      </c>
      <c r="N3031" s="2">
        <v>1.6491546699999999</v>
      </c>
      <c r="O3031" s="2">
        <v>1.6708740660000001</v>
      </c>
      <c r="P3031" s="2">
        <v>1.9745184389999999</v>
      </c>
      <c r="Q3031" s="2">
        <v>2.206469561</v>
      </c>
      <c r="R3031" s="2">
        <v>1.33044316</v>
      </c>
      <c r="S3031" s="2">
        <v>1.5204431599999999</v>
      </c>
      <c r="T3031" s="2">
        <v>1.4589873419999999</v>
      </c>
      <c r="U3031" s="2">
        <v>1.598987342</v>
      </c>
      <c r="V3031" s="2">
        <v>2.4570035840000002</v>
      </c>
      <c r="W3031" s="2">
        <v>2.4675442329999999</v>
      </c>
      <c r="X3031">
        <f t="shared" si="141"/>
        <v>0</v>
      </c>
      <c r="Y3031">
        <f t="shared" si="142"/>
        <v>0</v>
      </c>
      <c r="Z3031">
        <f t="shared" si="143"/>
        <v>1</v>
      </c>
    </row>
    <row r="3032" spans="1:26" ht="15.75" customHeight="1" x14ac:dyDescent="0.2">
      <c r="A3032" s="2" t="s">
        <v>36</v>
      </c>
      <c r="B3032" s="2" t="s">
        <v>35</v>
      </c>
      <c r="C3032" s="2" t="s">
        <v>25</v>
      </c>
      <c r="D3032" s="2" t="s">
        <v>25</v>
      </c>
      <c r="E3032" s="2">
        <v>224</v>
      </c>
      <c r="F3032" s="2">
        <v>221</v>
      </c>
      <c r="G3032" s="2">
        <v>804</v>
      </c>
      <c r="H3032" s="2">
        <v>1516</v>
      </c>
      <c r="I3032" s="2">
        <v>3044</v>
      </c>
      <c r="J3032" s="2">
        <v>2.19</v>
      </c>
      <c r="K3032" s="2">
        <v>7.27</v>
      </c>
      <c r="L3032" s="2">
        <v>11.16</v>
      </c>
      <c r="M3032" s="2">
        <v>15.78</v>
      </c>
      <c r="N3032" s="2">
        <v>0.35117708600000003</v>
      </c>
      <c r="O3032" s="2">
        <v>0.98051482300000004</v>
      </c>
      <c r="P3032" s="2">
        <v>2.571400648</v>
      </c>
      <c r="Q3032" s="2">
        <v>2.76223843</v>
      </c>
      <c r="R3032" s="2">
        <v>2.5708597609999999</v>
      </c>
      <c r="S3032" s="2">
        <v>2.7608597609999999</v>
      </c>
      <c r="T3032" s="2">
        <v>5.2738779999999999E-2</v>
      </c>
      <c r="U3032" s="2">
        <v>8.726122E-2</v>
      </c>
      <c r="V3032" s="2">
        <v>3.697420186</v>
      </c>
      <c r="W3032" s="2">
        <v>3.7079608340000001</v>
      </c>
      <c r="X3032">
        <f t="shared" si="141"/>
        <v>0</v>
      </c>
      <c r="Y3032">
        <f t="shared" si="142"/>
        <v>0</v>
      </c>
      <c r="Z3032">
        <f t="shared" si="143"/>
        <v>0</v>
      </c>
    </row>
    <row r="3033" spans="1:26" ht="15.75" customHeight="1" x14ac:dyDescent="0.2">
      <c r="A3033" s="2" t="s">
        <v>36</v>
      </c>
      <c r="B3033" s="2" t="s">
        <v>35</v>
      </c>
      <c r="C3033" s="2" t="s">
        <v>32</v>
      </c>
      <c r="D3033" s="2" t="s">
        <v>33</v>
      </c>
      <c r="E3033" s="2">
        <v>179</v>
      </c>
      <c r="F3033" s="2">
        <v>232</v>
      </c>
      <c r="G3033" s="2">
        <v>557</v>
      </c>
      <c r="H3033" s="2">
        <v>751</v>
      </c>
      <c r="I3033" s="2">
        <v>1993</v>
      </c>
      <c r="J3033" s="2">
        <v>2.31</v>
      </c>
      <c r="K3033" s="2">
        <v>5.41</v>
      </c>
      <c r="L3033" s="2">
        <v>6.9</v>
      </c>
      <c r="M3033" s="2">
        <v>12.99</v>
      </c>
      <c r="N3033" s="2">
        <v>4.4028286129999996</v>
      </c>
      <c r="O3033" s="2">
        <v>4.4930094829999998</v>
      </c>
      <c r="P3033" s="2">
        <v>4.271797909</v>
      </c>
      <c r="Q3033" s="2">
        <v>4.4442984450000003</v>
      </c>
      <c r="R3033" s="2">
        <v>0.70568855900000005</v>
      </c>
      <c r="S3033" s="2">
        <v>0.895688559</v>
      </c>
      <c r="T3033" s="2">
        <v>4.2131058650000002</v>
      </c>
      <c r="U3033" s="2">
        <v>4.3531058649999999</v>
      </c>
      <c r="V3033" s="2">
        <v>1.832248984</v>
      </c>
      <c r="W3033" s="2">
        <v>1.8427896319999999</v>
      </c>
      <c r="X3033">
        <f t="shared" si="141"/>
        <v>0</v>
      </c>
      <c r="Y3033">
        <f t="shared" si="142"/>
        <v>0</v>
      </c>
      <c r="Z3033">
        <f t="shared" si="143"/>
        <v>1</v>
      </c>
    </row>
    <row r="3034" spans="1:26" ht="15.75" customHeight="1" x14ac:dyDescent="0.2">
      <c r="A3034" s="2" t="s">
        <v>36</v>
      </c>
      <c r="B3034" s="2" t="s">
        <v>35</v>
      </c>
      <c r="C3034" s="2" t="s">
        <v>32</v>
      </c>
      <c r="D3034" s="2" t="s">
        <v>33</v>
      </c>
      <c r="E3034" s="2">
        <v>214</v>
      </c>
      <c r="F3034" s="2">
        <v>219</v>
      </c>
      <c r="G3034" s="2">
        <v>671</v>
      </c>
      <c r="H3034" s="2">
        <v>1265</v>
      </c>
      <c r="I3034" s="2">
        <v>3578</v>
      </c>
      <c r="J3034" s="2">
        <v>2.16</v>
      </c>
      <c r="K3034" s="2">
        <v>6.31</v>
      </c>
      <c r="L3034" s="2">
        <v>9.99</v>
      </c>
      <c r="M3034" s="2">
        <v>16.79</v>
      </c>
      <c r="N3034" s="2">
        <v>1.2172043370000001</v>
      </c>
      <c r="O3034" s="2">
        <v>1.313850967</v>
      </c>
      <c r="P3034" s="2">
        <v>1.9614043290000001</v>
      </c>
      <c r="Q3034" s="2">
        <v>2.1973475040000001</v>
      </c>
      <c r="R3034" s="2">
        <v>1.607518054</v>
      </c>
      <c r="S3034" s="2">
        <v>1.797518054</v>
      </c>
      <c r="T3034" s="2">
        <v>1.123829457</v>
      </c>
      <c r="U3034" s="2">
        <v>1.2638294569999999</v>
      </c>
      <c r="V3034" s="2">
        <v>2.7340784789999999</v>
      </c>
      <c r="W3034" s="2">
        <v>2.744619127</v>
      </c>
      <c r="X3034">
        <f t="shared" si="141"/>
        <v>0</v>
      </c>
      <c r="Y3034">
        <f t="shared" si="142"/>
        <v>0</v>
      </c>
      <c r="Z3034">
        <f t="shared" si="143"/>
        <v>1</v>
      </c>
    </row>
    <row r="3035" spans="1:26" ht="15.75" customHeight="1" x14ac:dyDescent="0.2">
      <c r="A3035" s="2" t="s">
        <v>36</v>
      </c>
      <c r="B3035" s="2" t="s">
        <v>35</v>
      </c>
      <c r="C3035" s="2" t="s">
        <v>25</v>
      </c>
      <c r="D3035" s="2" t="s">
        <v>25</v>
      </c>
      <c r="E3035" s="2">
        <v>143</v>
      </c>
      <c r="F3035" s="2">
        <v>219</v>
      </c>
      <c r="G3035" s="2">
        <v>658</v>
      </c>
      <c r="H3035" s="2">
        <v>1069</v>
      </c>
      <c r="I3035" s="2">
        <v>2076</v>
      </c>
      <c r="J3035" s="2">
        <v>2.16</v>
      </c>
      <c r="K3035" s="2">
        <v>6.21</v>
      </c>
      <c r="L3035" s="2">
        <v>8.93</v>
      </c>
      <c r="M3035" s="2">
        <v>13.26</v>
      </c>
      <c r="N3035" s="2">
        <v>2.216911031</v>
      </c>
      <c r="O3035" s="2">
        <v>2.3717513440000002</v>
      </c>
      <c r="P3035" s="2">
        <v>2.6524605960000001</v>
      </c>
      <c r="Q3035" s="2">
        <v>2.8767707320000002</v>
      </c>
      <c r="R3035" s="2">
        <v>1.5108975179999999</v>
      </c>
      <c r="S3035" s="2">
        <v>1.7008975180000001</v>
      </c>
      <c r="T3035" s="2">
        <v>2.1800770420000002</v>
      </c>
      <c r="U3035" s="2">
        <v>2.3200770419999999</v>
      </c>
      <c r="V3035" s="2">
        <v>2.6374579420000002</v>
      </c>
      <c r="W3035" s="2">
        <v>2.6479985899999998</v>
      </c>
      <c r="X3035">
        <f t="shared" si="141"/>
        <v>0</v>
      </c>
      <c r="Y3035">
        <f t="shared" si="142"/>
        <v>0</v>
      </c>
      <c r="Z3035">
        <f t="shared" si="143"/>
        <v>0</v>
      </c>
    </row>
    <row r="3036" spans="1:26" ht="15.75" customHeight="1" x14ac:dyDescent="0.2">
      <c r="A3036" s="2" t="s">
        <v>36</v>
      </c>
      <c r="B3036" s="2" t="s">
        <v>35</v>
      </c>
      <c r="C3036" s="2" t="s">
        <v>25</v>
      </c>
      <c r="D3036" s="2" t="s">
        <v>25</v>
      </c>
      <c r="E3036" s="2">
        <v>209</v>
      </c>
      <c r="F3036" s="2">
        <v>214</v>
      </c>
      <c r="G3036" s="2">
        <v>787</v>
      </c>
      <c r="H3036" s="2">
        <v>1522</v>
      </c>
      <c r="I3036" s="2">
        <v>2967</v>
      </c>
      <c r="J3036" s="2">
        <v>2.11</v>
      </c>
      <c r="K3036" s="2">
        <v>7.15</v>
      </c>
      <c r="L3036" s="2">
        <v>11.19</v>
      </c>
      <c r="M3036" s="2">
        <v>15.62</v>
      </c>
      <c r="N3036" s="2">
        <v>0.26063054699999999</v>
      </c>
      <c r="O3036" s="2">
        <v>0.85584862900000003</v>
      </c>
      <c r="P3036" s="2">
        <v>2.4498594819999999</v>
      </c>
      <c r="Q3036" s="2">
        <v>2.6393021569999999</v>
      </c>
      <c r="R3036" s="2">
        <v>2.4485922329999998</v>
      </c>
      <c r="S3036" s="2">
        <v>2.6385922329999998</v>
      </c>
      <c r="T3036" s="2">
        <v>7.8788052999999997E-2</v>
      </c>
      <c r="U3036" s="2">
        <v>6.1211947000000003E-2</v>
      </c>
      <c r="V3036" s="2">
        <v>3.5751526579999999</v>
      </c>
      <c r="W3036" s="2">
        <v>3.585693306</v>
      </c>
      <c r="X3036">
        <f t="shared" si="141"/>
        <v>0</v>
      </c>
      <c r="Y3036">
        <f t="shared" si="142"/>
        <v>0</v>
      </c>
      <c r="Z3036">
        <f t="shared" si="143"/>
        <v>0</v>
      </c>
    </row>
    <row r="3037" spans="1:26" ht="15.75" customHeight="1" x14ac:dyDescent="0.2">
      <c r="A3037" s="2" t="s">
        <v>36</v>
      </c>
      <c r="B3037" s="2" t="s">
        <v>35</v>
      </c>
      <c r="C3037" s="2" t="s">
        <v>27</v>
      </c>
      <c r="D3037" s="2" t="s">
        <v>27</v>
      </c>
      <c r="E3037" s="2">
        <v>199</v>
      </c>
      <c r="F3037" s="2">
        <v>236</v>
      </c>
      <c r="G3037" s="2">
        <v>454</v>
      </c>
      <c r="H3037" s="2">
        <v>2280</v>
      </c>
      <c r="I3037" s="2">
        <v>2959</v>
      </c>
      <c r="J3037" s="2">
        <v>2.35</v>
      </c>
      <c r="K3037" s="2">
        <v>4.51</v>
      </c>
      <c r="L3037" s="2">
        <v>13.89</v>
      </c>
      <c r="M3037" s="2">
        <v>15.6</v>
      </c>
      <c r="N3037" s="2">
        <v>0.31134634700000002</v>
      </c>
      <c r="O3037" s="2">
        <v>0.29892111199999999</v>
      </c>
      <c r="P3037" s="2">
        <v>2.7832499159999999</v>
      </c>
      <c r="Q3037" s="2">
        <v>2.6366982540000001</v>
      </c>
      <c r="R3037" s="2">
        <v>0.190860378</v>
      </c>
      <c r="S3037" s="2">
        <v>8.6037799999999997E-4</v>
      </c>
      <c r="T3037" s="2">
        <v>2.7766981130000001</v>
      </c>
      <c r="U3037" s="2">
        <v>2.636698113</v>
      </c>
      <c r="V3037" s="2">
        <v>0.93570004600000001</v>
      </c>
      <c r="W3037" s="2">
        <v>0.94624069399999999</v>
      </c>
      <c r="X3037">
        <f t="shared" si="141"/>
        <v>0</v>
      </c>
      <c r="Y3037">
        <f t="shared" si="142"/>
        <v>0</v>
      </c>
      <c r="Z3037">
        <f t="shared" si="143"/>
        <v>0</v>
      </c>
    </row>
    <row r="3038" spans="1:26" ht="15.75" customHeight="1" x14ac:dyDescent="0.2">
      <c r="A3038" s="2" t="s">
        <v>36</v>
      </c>
      <c r="B3038" s="2" t="s">
        <v>35</v>
      </c>
      <c r="C3038" s="2" t="s">
        <v>30</v>
      </c>
      <c r="D3038" s="2" t="s">
        <v>31</v>
      </c>
      <c r="E3038" s="2">
        <v>180</v>
      </c>
      <c r="F3038" s="2">
        <v>217</v>
      </c>
      <c r="G3038" s="2">
        <v>455</v>
      </c>
      <c r="H3038" s="2">
        <v>1145</v>
      </c>
      <c r="I3038" s="2">
        <v>2481</v>
      </c>
      <c r="J3038" s="2">
        <v>2.14</v>
      </c>
      <c r="K3038" s="2">
        <v>4.5199999999999996</v>
      </c>
      <c r="L3038" s="2">
        <v>9.35</v>
      </c>
      <c r="M3038" s="2">
        <v>14.45</v>
      </c>
      <c r="N3038" s="2">
        <v>4.8081629389999998</v>
      </c>
      <c r="O3038" s="2">
        <v>4.7411457710000002</v>
      </c>
      <c r="P3038" s="2">
        <v>1.764144688</v>
      </c>
      <c r="Q3038" s="2">
        <v>1.895412584</v>
      </c>
      <c r="R3038" s="2">
        <v>0.17583770400000001</v>
      </c>
      <c r="S3038" s="2">
        <v>1.4162296E-2</v>
      </c>
      <c r="T3038" s="2">
        <v>1.7553596739999999</v>
      </c>
      <c r="U3038" s="2">
        <v>1.895359674</v>
      </c>
      <c r="V3038" s="2">
        <v>0.95072272099999999</v>
      </c>
      <c r="W3038" s="2">
        <v>0.96126336899999998</v>
      </c>
      <c r="X3038">
        <f t="shared" si="141"/>
        <v>0</v>
      </c>
      <c r="Y3038">
        <f t="shared" si="142"/>
        <v>0</v>
      </c>
      <c r="Z3038">
        <f t="shared" si="143"/>
        <v>1</v>
      </c>
    </row>
    <row r="3039" spans="1:26" ht="15.75" customHeight="1" x14ac:dyDescent="0.2">
      <c r="A3039" s="2" t="s">
        <v>36</v>
      </c>
      <c r="B3039" s="2" t="s">
        <v>35</v>
      </c>
      <c r="C3039" s="2" t="s">
        <v>28</v>
      </c>
      <c r="D3039" s="2" t="s">
        <v>29</v>
      </c>
      <c r="E3039" s="2">
        <v>201</v>
      </c>
      <c r="F3039" s="2">
        <v>219</v>
      </c>
      <c r="G3039" s="2">
        <v>316</v>
      </c>
      <c r="H3039" s="2">
        <v>1178</v>
      </c>
      <c r="I3039" s="2">
        <v>1934</v>
      </c>
      <c r="J3039" s="2">
        <v>2.16</v>
      </c>
      <c r="K3039" s="2">
        <v>3.2</v>
      </c>
      <c r="L3039" s="2">
        <v>9.5299999999999994</v>
      </c>
      <c r="M3039" s="2">
        <v>12.79</v>
      </c>
      <c r="N3039" s="2">
        <v>2.4308548640000001</v>
      </c>
      <c r="O3039" s="2">
        <v>2.201496025</v>
      </c>
      <c r="P3039" s="2">
        <v>2.1796789790000002</v>
      </c>
      <c r="Q3039" s="2">
        <v>2.162572049</v>
      </c>
      <c r="R3039" s="2">
        <v>1.5043168840000001</v>
      </c>
      <c r="S3039" s="2">
        <v>1.3143168839999999</v>
      </c>
      <c r="T3039" s="2">
        <v>1.5773494100000001</v>
      </c>
      <c r="U3039" s="2">
        <v>1.71734941</v>
      </c>
      <c r="V3039" s="2">
        <v>-0.37775645899999999</v>
      </c>
      <c r="W3039" s="2">
        <v>-0.367215811</v>
      </c>
      <c r="X3039">
        <f t="shared" si="141"/>
        <v>0</v>
      </c>
      <c r="Y3039">
        <f t="shared" si="142"/>
        <v>0</v>
      </c>
      <c r="Z3039">
        <f t="shared" si="143"/>
        <v>1</v>
      </c>
    </row>
    <row r="3040" spans="1:26" ht="15.75" customHeight="1" x14ac:dyDescent="0.2">
      <c r="A3040" s="2" t="s">
        <v>36</v>
      </c>
      <c r="B3040" s="2" t="s">
        <v>35</v>
      </c>
      <c r="C3040" s="2" t="s">
        <v>28</v>
      </c>
      <c r="D3040" s="2" t="s">
        <v>29</v>
      </c>
      <c r="E3040" s="2">
        <v>200</v>
      </c>
      <c r="F3040" s="2">
        <v>230</v>
      </c>
      <c r="G3040" s="2">
        <v>318</v>
      </c>
      <c r="H3040" s="2">
        <v>1100</v>
      </c>
      <c r="I3040" s="2">
        <v>2122</v>
      </c>
      <c r="J3040" s="2">
        <v>2.2799999999999998</v>
      </c>
      <c r="K3040" s="2">
        <v>3.22</v>
      </c>
      <c r="L3040" s="2">
        <v>9.11</v>
      </c>
      <c r="M3040" s="2">
        <v>13.41</v>
      </c>
      <c r="N3040" s="2">
        <v>2.0381302830000001</v>
      </c>
      <c r="O3040" s="2">
        <v>1.811682891</v>
      </c>
      <c r="P3040" s="2">
        <v>2.4939100380000001</v>
      </c>
      <c r="Q3040" s="2">
        <v>2.5045055839999999</v>
      </c>
      <c r="R3040" s="2">
        <v>1.4840526700000001</v>
      </c>
      <c r="S3040" s="2">
        <v>1.2940526699999999</v>
      </c>
      <c r="T3040" s="2">
        <v>2.0042891379999999</v>
      </c>
      <c r="U3040" s="2">
        <v>2.144289138</v>
      </c>
      <c r="V3040" s="2">
        <v>-0.35749224600000001</v>
      </c>
      <c r="W3040" s="2">
        <v>-0.346951597</v>
      </c>
      <c r="X3040">
        <f t="shared" si="141"/>
        <v>0</v>
      </c>
      <c r="Y3040">
        <f t="shared" si="142"/>
        <v>0</v>
      </c>
      <c r="Z3040">
        <f t="shared" si="143"/>
        <v>1</v>
      </c>
    </row>
    <row r="3041" spans="1:26" ht="15.75" customHeight="1" x14ac:dyDescent="0.2">
      <c r="A3041" s="2" t="s">
        <v>36</v>
      </c>
      <c r="B3041" s="2" t="s">
        <v>35</v>
      </c>
      <c r="C3041" s="2" t="s">
        <v>32</v>
      </c>
      <c r="D3041" s="2" t="s">
        <v>33</v>
      </c>
      <c r="E3041" s="2">
        <v>210</v>
      </c>
      <c r="F3041" s="2">
        <v>212</v>
      </c>
      <c r="G3041" s="2">
        <v>750</v>
      </c>
      <c r="H3041" s="2">
        <v>1715</v>
      </c>
      <c r="I3041" s="2">
        <v>3427</v>
      </c>
      <c r="J3041" s="2">
        <v>2.09</v>
      </c>
      <c r="K3041" s="2">
        <v>6.89</v>
      </c>
      <c r="L3041" s="2">
        <v>11.98</v>
      </c>
      <c r="M3041" s="2">
        <v>16.52</v>
      </c>
      <c r="N3041" s="2">
        <v>0.96466627599999999</v>
      </c>
      <c r="O3041" s="2">
        <v>0.90053952299999995</v>
      </c>
      <c r="P3041" s="2">
        <v>2.354997091</v>
      </c>
      <c r="Q3041" s="2">
        <v>2.487683718</v>
      </c>
      <c r="R3041" s="2">
        <v>2.187356378</v>
      </c>
      <c r="S3041" s="2">
        <v>2.377356378</v>
      </c>
      <c r="T3041" s="2">
        <v>0.87263014699999997</v>
      </c>
      <c r="U3041" s="2">
        <v>0.73263014699999995</v>
      </c>
      <c r="V3041" s="2">
        <v>3.3139168030000001</v>
      </c>
      <c r="W3041" s="2">
        <v>3.3244574509999998</v>
      </c>
      <c r="X3041">
        <f t="shared" si="141"/>
        <v>0</v>
      </c>
      <c r="Y3041">
        <f t="shared" si="142"/>
        <v>0</v>
      </c>
      <c r="Z3041">
        <f t="shared" si="143"/>
        <v>1</v>
      </c>
    </row>
    <row r="3042" spans="1:26" ht="15.75" customHeight="1" x14ac:dyDescent="0.2">
      <c r="A3042" s="2" t="s">
        <v>36</v>
      </c>
      <c r="B3042" s="2" t="s">
        <v>35</v>
      </c>
      <c r="C3042" s="2" t="s">
        <v>26</v>
      </c>
      <c r="D3042" s="2" t="s">
        <v>26</v>
      </c>
      <c r="E3042" s="2">
        <v>198</v>
      </c>
      <c r="F3042" s="2">
        <v>226</v>
      </c>
      <c r="G3042" s="2">
        <v>425</v>
      </c>
      <c r="H3042" s="2">
        <v>888</v>
      </c>
      <c r="I3042" s="2">
        <v>2685</v>
      </c>
      <c r="J3042" s="2">
        <v>2.2400000000000002</v>
      </c>
      <c r="K3042" s="2">
        <v>4.24</v>
      </c>
      <c r="L3042" s="2">
        <v>7.83</v>
      </c>
      <c r="M3042" s="2">
        <v>14.97</v>
      </c>
      <c r="N3042" s="2">
        <v>0.52113046500000004</v>
      </c>
      <c r="O3042" s="2">
        <v>0.32611338099999998</v>
      </c>
      <c r="P3042" s="2">
        <v>3.3143278650000001</v>
      </c>
      <c r="Q3042" s="2">
        <v>3.4331525319999998</v>
      </c>
      <c r="R3042" s="2">
        <v>0.45561643800000001</v>
      </c>
      <c r="S3042" s="2">
        <v>0.26561643800000001</v>
      </c>
      <c r="T3042" s="2">
        <v>3.282861992</v>
      </c>
      <c r="U3042" s="2">
        <v>3.4228619920000001</v>
      </c>
      <c r="V3042" s="2">
        <v>0.67094398600000005</v>
      </c>
      <c r="W3042" s="2">
        <v>0.68148463400000003</v>
      </c>
      <c r="X3042">
        <f t="shared" si="141"/>
        <v>0</v>
      </c>
      <c r="Y3042">
        <f t="shared" si="142"/>
        <v>0</v>
      </c>
      <c r="Z3042">
        <f t="shared" si="143"/>
        <v>0</v>
      </c>
    </row>
    <row r="3043" spans="1:26" ht="15.75" customHeight="1" x14ac:dyDescent="0.2">
      <c r="A3043" s="2" t="s">
        <v>36</v>
      </c>
      <c r="B3043" s="2" t="s">
        <v>35</v>
      </c>
      <c r="C3043" s="2" t="s">
        <v>25</v>
      </c>
      <c r="D3043" s="2" t="s">
        <v>25</v>
      </c>
      <c r="E3043" s="2">
        <v>207</v>
      </c>
      <c r="F3043" s="2">
        <v>222</v>
      </c>
      <c r="G3043" s="2">
        <v>775</v>
      </c>
      <c r="H3043" s="2">
        <v>1557</v>
      </c>
      <c r="I3043" s="2">
        <v>2959</v>
      </c>
      <c r="J3043" s="2">
        <v>2.2000000000000002</v>
      </c>
      <c r="K3043" s="2">
        <v>7.07</v>
      </c>
      <c r="L3043" s="2">
        <v>11.34</v>
      </c>
      <c r="M3043" s="2">
        <v>15.6</v>
      </c>
      <c r="N3043" s="2">
        <v>0.33923338600000003</v>
      </c>
      <c r="O3043" s="2">
        <v>0.77024094799999998</v>
      </c>
      <c r="P3043" s="2">
        <v>2.3802271859999999</v>
      </c>
      <c r="Q3043" s="2">
        <v>2.5608220660000001</v>
      </c>
      <c r="R3043" s="2">
        <v>2.3693248840000001</v>
      </c>
      <c r="S3043" s="2">
        <v>2.559324884</v>
      </c>
      <c r="T3043" s="2">
        <v>0.22755450199999999</v>
      </c>
      <c r="U3043" s="2">
        <v>8.7554502000000006E-2</v>
      </c>
      <c r="V3043" s="2">
        <v>3.4958853090000002</v>
      </c>
      <c r="W3043" s="2">
        <v>3.5064259569999998</v>
      </c>
      <c r="X3043">
        <f t="shared" si="141"/>
        <v>0</v>
      </c>
      <c r="Y3043">
        <f t="shared" si="142"/>
        <v>0</v>
      </c>
      <c r="Z3043">
        <f t="shared" si="143"/>
        <v>0</v>
      </c>
    </row>
    <row r="3044" spans="1:26" ht="15.75" customHeight="1" x14ac:dyDescent="0.2">
      <c r="A3044" s="2" t="s">
        <v>36</v>
      </c>
      <c r="B3044" s="2" t="s">
        <v>35</v>
      </c>
      <c r="C3044" s="2" t="s">
        <v>30</v>
      </c>
      <c r="D3044" s="2" t="s">
        <v>31</v>
      </c>
      <c r="E3044" s="2">
        <v>213</v>
      </c>
      <c r="F3044" s="2">
        <v>218</v>
      </c>
      <c r="G3044" s="2">
        <v>575</v>
      </c>
      <c r="H3044" s="2">
        <v>1165</v>
      </c>
      <c r="I3044" s="2">
        <v>2620</v>
      </c>
      <c r="J3044" s="2">
        <v>2.16</v>
      </c>
      <c r="K3044" s="2">
        <v>5.55</v>
      </c>
      <c r="L3044" s="2">
        <v>9.4600000000000009</v>
      </c>
      <c r="M3044" s="2">
        <v>14.81</v>
      </c>
      <c r="N3044" s="2">
        <v>4.8463824180000001</v>
      </c>
      <c r="O3044" s="2">
        <v>4.7965386890000001</v>
      </c>
      <c r="P3044" s="2">
        <v>1.855214414</v>
      </c>
      <c r="Q3044" s="2">
        <v>2.069581017</v>
      </c>
      <c r="R3044" s="2">
        <v>0.85388903500000002</v>
      </c>
      <c r="S3044" s="2">
        <v>1.0438890350000001</v>
      </c>
      <c r="T3044" s="2">
        <v>1.647025816</v>
      </c>
      <c r="U3044" s="2">
        <v>1.7870258160000001</v>
      </c>
      <c r="V3044" s="2">
        <v>1.98044946</v>
      </c>
      <c r="W3044" s="2">
        <v>1.9909901080000001</v>
      </c>
      <c r="X3044">
        <f t="shared" si="141"/>
        <v>0</v>
      </c>
      <c r="Y3044">
        <f t="shared" si="142"/>
        <v>0</v>
      </c>
      <c r="Z3044">
        <f t="shared" si="143"/>
        <v>1</v>
      </c>
    </row>
    <row r="3045" spans="1:26" ht="15.75" customHeight="1" x14ac:dyDescent="0.2">
      <c r="A3045" s="2" t="s">
        <v>36</v>
      </c>
      <c r="B3045" s="2" t="s">
        <v>35</v>
      </c>
      <c r="C3045" s="2" t="s">
        <v>27</v>
      </c>
      <c r="D3045" s="2" t="s">
        <v>27</v>
      </c>
      <c r="E3045" s="2">
        <v>199</v>
      </c>
      <c r="F3045" s="2">
        <v>223</v>
      </c>
      <c r="G3045" s="2">
        <v>422</v>
      </c>
      <c r="H3045" s="2">
        <v>2421</v>
      </c>
      <c r="I3045" s="2">
        <v>3109</v>
      </c>
      <c r="J3045" s="2">
        <v>2.21</v>
      </c>
      <c r="K3045" s="2">
        <v>4.22</v>
      </c>
      <c r="L3045" s="2">
        <v>14.29</v>
      </c>
      <c r="M3045" s="2">
        <v>15.91</v>
      </c>
      <c r="N3045" s="2">
        <v>0.18598714499999999</v>
      </c>
      <c r="O3045" s="2">
        <v>0.20679243999999999</v>
      </c>
      <c r="P3045" s="2">
        <v>3.211224128</v>
      </c>
      <c r="Q3045" s="2">
        <v>3.0491253469999999</v>
      </c>
      <c r="R3045" s="2">
        <v>0.47719882499999999</v>
      </c>
      <c r="S3045" s="2">
        <v>0.28719882499999999</v>
      </c>
      <c r="T3045" s="2">
        <v>3.1755695049999999</v>
      </c>
      <c r="U3045" s="2">
        <v>3.0355695049999998</v>
      </c>
      <c r="V3045" s="2">
        <v>0.64936159999999998</v>
      </c>
      <c r="W3045" s="2">
        <v>0.65990224799999997</v>
      </c>
      <c r="X3045">
        <f t="shared" si="141"/>
        <v>0</v>
      </c>
      <c r="Y3045">
        <f t="shared" si="142"/>
        <v>0</v>
      </c>
      <c r="Z3045">
        <f t="shared" si="143"/>
        <v>0</v>
      </c>
    </row>
    <row r="3046" spans="1:26" ht="15.75" customHeight="1" x14ac:dyDescent="0.2">
      <c r="A3046" s="2" t="s">
        <v>36</v>
      </c>
      <c r="B3046" s="2" t="s">
        <v>35</v>
      </c>
      <c r="C3046" s="2" t="s">
        <v>30</v>
      </c>
      <c r="D3046" s="2" t="s">
        <v>31</v>
      </c>
      <c r="E3046" s="2">
        <v>188</v>
      </c>
      <c r="F3046" s="2">
        <v>219</v>
      </c>
      <c r="G3046" s="2">
        <v>459</v>
      </c>
      <c r="H3046" s="2">
        <v>1028</v>
      </c>
      <c r="I3046" s="2">
        <v>2046</v>
      </c>
      <c r="J3046" s="2">
        <v>2.16</v>
      </c>
      <c r="K3046" s="2">
        <v>4.5599999999999996</v>
      </c>
      <c r="L3046" s="2">
        <v>8.69</v>
      </c>
      <c r="M3046" s="2">
        <v>13.16</v>
      </c>
      <c r="N3046" s="2">
        <v>5.4717260950000002</v>
      </c>
      <c r="O3046" s="2">
        <v>5.4047795199999999</v>
      </c>
      <c r="P3046" s="2">
        <v>2.4223898840000002</v>
      </c>
      <c r="Q3046" s="2">
        <v>2.558607882</v>
      </c>
      <c r="R3046" s="2">
        <v>0.14286068599999999</v>
      </c>
      <c r="S3046" s="2">
        <v>4.7139314000000002E-2</v>
      </c>
      <c r="T3046" s="2">
        <v>2.4181736030000001</v>
      </c>
      <c r="U3046" s="2">
        <v>2.5581736030000002</v>
      </c>
      <c r="V3046" s="2">
        <v>0.98369973799999999</v>
      </c>
      <c r="W3046" s="2">
        <v>0.99424038699999995</v>
      </c>
      <c r="X3046">
        <f t="shared" si="141"/>
        <v>0</v>
      </c>
      <c r="Y3046">
        <f t="shared" si="142"/>
        <v>0</v>
      </c>
      <c r="Z3046">
        <f t="shared" si="143"/>
        <v>1</v>
      </c>
    </row>
    <row r="3047" spans="1:26" ht="15.75" customHeight="1" x14ac:dyDescent="0.2">
      <c r="A3047" s="2" t="s">
        <v>36</v>
      </c>
      <c r="B3047" s="2" t="s">
        <v>35</v>
      </c>
      <c r="C3047" s="2" t="s">
        <v>27</v>
      </c>
      <c r="D3047" s="2" t="s">
        <v>27</v>
      </c>
      <c r="E3047" s="2">
        <v>193</v>
      </c>
      <c r="F3047" s="2">
        <v>225</v>
      </c>
      <c r="G3047" s="2">
        <v>428</v>
      </c>
      <c r="H3047" s="2">
        <v>2480</v>
      </c>
      <c r="I3047" s="2">
        <v>3098</v>
      </c>
      <c r="J3047" s="2">
        <v>2.23</v>
      </c>
      <c r="K3047" s="2">
        <v>4.28</v>
      </c>
      <c r="L3047" s="2">
        <v>14.44</v>
      </c>
      <c r="M3047" s="2">
        <v>15.89</v>
      </c>
      <c r="N3047" s="2">
        <v>0.29560569799999997</v>
      </c>
      <c r="O3047" s="2">
        <v>0.35426249599999998</v>
      </c>
      <c r="P3047" s="2">
        <v>3.3606401749999999</v>
      </c>
      <c r="Q3047" s="2">
        <v>3.2024654479999999</v>
      </c>
      <c r="R3047" s="2">
        <v>0.42178646199999997</v>
      </c>
      <c r="S3047" s="2">
        <v>0.231786462</v>
      </c>
      <c r="T3047" s="2">
        <v>3.334066371</v>
      </c>
      <c r="U3047" s="2">
        <v>3.1940663709999999</v>
      </c>
      <c r="V3047" s="2">
        <v>0.70477396299999995</v>
      </c>
      <c r="W3047" s="2">
        <v>0.71531461100000004</v>
      </c>
      <c r="X3047">
        <f t="shared" si="141"/>
        <v>0</v>
      </c>
      <c r="Y3047">
        <f t="shared" si="142"/>
        <v>0</v>
      </c>
      <c r="Z3047">
        <f t="shared" si="143"/>
        <v>0</v>
      </c>
    </row>
    <row r="3048" spans="1:26" ht="15.75" customHeight="1" x14ac:dyDescent="0.2">
      <c r="A3048" s="2" t="s">
        <v>36</v>
      </c>
      <c r="B3048" s="2" t="s">
        <v>35</v>
      </c>
      <c r="C3048" s="2" t="s">
        <v>26</v>
      </c>
      <c r="D3048" s="2" t="s">
        <v>26</v>
      </c>
      <c r="E3048" s="2">
        <v>191</v>
      </c>
      <c r="F3048" s="2">
        <v>227</v>
      </c>
      <c r="G3048" s="2">
        <v>431</v>
      </c>
      <c r="H3048" s="2">
        <v>813</v>
      </c>
      <c r="I3048" s="2">
        <v>2928</v>
      </c>
      <c r="J3048" s="2">
        <v>2.25</v>
      </c>
      <c r="K3048" s="2">
        <v>4.3</v>
      </c>
      <c r="L3048" s="2">
        <v>7.33</v>
      </c>
      <c r="M3048" s="2">
        <v>15.53</v>
      </c>
      <c r="N3048" s="2">
        <v>0.121392055</v>
      </c>
      <c r="O3048" s="2">
        <v>0.27545108600000001</v>
      </c>
      <c r="P3048" s="2">
        <v>3.800869021</v>
      </c>
      <c r="Q3048" s="2">
        <v>3.9253676130000001</v>
      </c>
      <c r="R3048" s="2">
        <v>0.400312326</v>
      </c>
      <c r="S3048" s="2">
        <v>0.21031232599999999</v>
      </c>
      <c r="T3048" s="2">
        <v>3.779729535</v>
      </c>
      <c r="U3048" s="2">
        <v>3.9197295350000001</v>
      </c>
      <c r="V3048" s="2">
        <v>0.72624809899999998</v>
      </c>
      <c r="W3048" s="2">
        <v>0.73678874699999997</v>
      </c>
      <c r="X3048">
        <f t="shared" si="141"/>
        <v>0</v>
      </c>
      <c r="Y3048">
        <f t="shared" si="142"/>
        <v>0</v>
      </c>
      <c r="Z3048">
        <f t="shared" si="143"/>
        <v>0</v>
      </c>
    </row>
    <row r="3049" spans="1:26" ht="15.75" customHeight="1" x14ac:dyDescent="0.2">
      <c r="A3049" s="2" t="s">
        <v>36</v>
      </c>
      <c r="B3049" s="2" t="s">
        <v>35</v>
      </c>
      <c r="C3049" s="2" t="s">
        <v>27</v>
      </c>
      <c r="D3049" s="2" t="s">
        <v>27</v>
      </c>
      <c r="E3049" s="2">
        <v>221</v>
      </c>
      <c r="F3049" s="2">
        <v>237</v>
      </c>
      <c r="G3049" s="2">
        <v>446</v>
      </c>
      <c r="H3049" s="2">
        <v>2369</v>
      </c>
      <c r="I3049" s="2">
        <v>3035</v>
      </c>
      <c r="J3049" s="2">
        <v>2.36</v>
      </c>
      <c r="K3049" s="2">
        <v>4.4400000000000004</v>
      </c>
      <c r="L3049" s="2">
        <v>14.14</v>
      </c>
      <c r="M3049" s="2">
        <v>15.76</v>
      </c>
      <c r="N3049" s="2">
        <v>8.4836053999999994E-2</v>
      </c>
      <c r="O3049" s="2">
        <v>0.161235979</v>
      </c>
      <c r="P3049" s="2">
        <v>3.0423840919999998</v>
      </c>
      <c r="Q3049" s="2">
        <v>2.892273211</v>
      </c>
      <c r="R3049" s="2">
        <v>0.25720736900000002</v>
      </c>
      <c r="S3049" s="2">
        <v>6.7207369000000003E-2</v>
      </c>
      <c r="T3049" s="2">
        <v>3.0314922609999999</v>
      </c>
      <c r="U3049" s="2">
        <v>2.8914922609999998</v>
      </c>
      <c r="V3049" s="2">
        <v>0.86935305500000004</v>
      </c>
      <c r="W3049" s="2">
        <v>0.87989370300000003</v>
      </c>
      <c r="X3049">
        <f t="shared" si="141"/>
        <v>0</v>
      </c>
      <c r="Y3049">
        <f t="shared" si="142"/>
        <v>0</v>
      </c>
      <c r="Z3049">
        <f t="shared" si="143"/>
        <v>0</v>
      </c>
    </row>
    <row r="3050" spans="1:26" ht="15.75" customHeight="1" x14ac:dyDescent="0.2">
      <c r="A3050" s="2" t="s">
        <v>36</v>
      </c>
      <c r="B3050" s="2" t="s">
        <v>35</v>
      </c>
      <c r="C3050" s="2" t="s">
        <v>30</v>
      </c>
      <c r="D3050" s="2" t="s">
        <v>31</v>
      </c>
      <c r="E3050" s="2">
        <v>179</v>
      </c>
      <c r="F3050" s="2">
        <v>218</v>
      </c>
      <c r="G3050" s="2">
        <v>547</v>
      </c>
      <c r="H3050" s="2">
        <v>1057</v>
      </c>
      <c r="I3050" s="2">
        <v>1728</v>
      </c>
      <c r="J3050" s="2">
        <v>2.15</v>
      </c>
      <c r="K3050" s="2">
        <v>5.32</v>
      </c>
      <c r="L3050" s="2">
        <v>8.86</v>
      </c>
      <c r="M3050" s="2">
        <v>12.03</v>
      </c>
      <c r="N3050" s="2">
        <v>5.3828977040000003</v>
      </c>
      <c r="O3050" s="2">
        <v>5.3270765539999996</v>
      </c>
      <c r="P3050" s="2">
        <v>2.3302979540000002</v>
      </c>
      <c r="Q3050" s="2">
        <v>2.5198419439999999</v>
      </c>
      <c r="R3050" s="2">
        <v>0.61686170200000001</v>
      </c>
      <c r="S3050" s="2">
        <v>0.80686170199999996</v>
      </c>
      <c r="T3050" s="2">
        <v>2.2471693739999998</v>
      </c>
      <c r="U3050" s="2">
        <v>2.387169374</v>
      </c>
      <c r="V3050" s="2">
        <v>1.7434221270000001</v>
      </c>
      <c r="W3050" s="2">
        <v>1.753962775</v>
      </c>
      <c r="X3050">
        <f t="shared" si="141"/>
        <v>0</v>
      </c>
      <c r="Y3050">
        <f t="shared" si="142"/>
        <v>0</v>
      </c>
      <c r="Z3050">
        <f t="shared" si="143"/>
        <v>1</v>
      </c>
    </row>
    <row r="3051" spans="1:26" ht="15.75" customHeight="1" x14ac:dyDescent="0.2">
      <c r="A3051" s="2" t="s">
        <v>36</v>
      </c>
      <c r="B3051" s="2" t="s">
        <v>35</v>
      </c>
      <c r="C3051" s="2" t="s">
        <v>27</v>
      </c>
      <c r="D3051" s="2" t="s">
        <v>27</v>
      </c>
      <c r="E3051" s="2">
        <v>211</v>
      </c>
      <c r="F3051" s="2">
        <v>224</v>
      </c>
      <c r="G3051" s="2">
        <v>433</v>
      </c>
      <c r="H3051" s="2">
        <v>2330</v>
      </c>
      <c r="I3051" s="2">
        <v>3129</v>
      </c>
      <c r="J3051" s="2">
        <v>2.2200000000000002</v>
      </c>
      <c r="K3051" s="2">
        <v>4.32</v>
      </c>
      <c r="L3051" s="2">
        <v>14.03</v>
      </c>
      <c r="M3051" s="2">
        <v>15.95</v>
      </c>
      <c r="N3051" s="2">
        <v>0.13459567</v>
      </c>
      <c r="O3051" s="2">
        <v>6.6578464000000004E-2</v>
      </c>
      <c r="P3051" s="2">
        <v>2.9456106000000002</v>
      </c>
      <c r="Q3051" s="2">
        <v>2.7875486660000002</v>
      </c>
      <c r="R3051" s="2">
        <v>0.37888006699999999</v>
      </c>
      <c r="S3051" s="2">
        <v>0.18888006700000001</v>
      </c>
      <c r="T3051" s="2">
        <v>2.9211421909999999</v>
      </c>
      <c r="U3051" s="2">
        <v>2.7811421909999998</v>
      </c>
      <c r="V3051" s="2">
        <v>0.74768035799999999</v>
      </c>
      <c r="W3051" s="2">
        <v>0.75822100599999998</v>
      </c>
      <c r="X3051">
        <f t="shared" si="141"/>
        <v>0</v>
      </c>
      <c r="Y3051">
        <f t="shared" si="142"/>
        <v>0</v>
      </c>
      <c r="Z3051">
        <f t="shared" si="143"/>
        <v>0</v>
      </c>
    </row>
    <row r="3052" spans="1:26" ht="15.75" customHeight="1" x14ac:dyDescent="0.2">
      <c r="A3052" s="2" t="s">
        <v>36</v>
      </c>
      <c r="B3052" s="2" t="s">
        <v>35</v>
      </c>
      <c r="C3052" s="2" t="s">
        <v>26</v>
      </c>
      <c r="D3052" s="2" t="s">
        <v>26</v>
      </c>
      <c r="E3052" s="2">
        <v>182</v>
      </c>
      <c r="F3052" s="2">
        <v>226</v>
      </c>
      <c r="G3052" s="2">
        <v>425</v>
      </c>
      <c r="H3052" s="2">
        <v>871</v>
      </c>
      <c r="I3052" s="2">
        <v>2574</v>
      </c>
      <c r="J3052" s="2">
        <v>2.2400000000000002</v>
      </c>
      <c r="K3052" s="2">
        <v>4.24</v>
      </c>
      <c r="L3052" s="2">
        <v>7.72</v>
      </c>
      <c r="M3052" s="2">
        <v>14.69</v>
      </c>
      <c r="N3052" s="2">
        <v>0.41570362300000002</v>
      </c>
      <c r="O3052" s="2">
        <v>0.233282406</v>
      </c>
      <c r="P3052" s="2">
        <v>3.4197990090000001</v>
      </c>
      <c r="Q3052" s="2">
        <v>3.5392935030000001</v>
      </c>
      <c r="R3052" s="2">
        <v>0.45561643800000001</v>
      </c>
      <c r="S3052" s="2">
        <v>0.26561643800000001</v>
      </c>
      <c r="T3052" s="2">
        <v>3.3893124559999999</v>
      </c>
      <c r="U3052" s="2">
        <v>3.529312456</v>
      </c>
      <c r="V3052" s="2">
        <v>0.67094398600000005</v>
      </c>
      <c r="W3052" s="2">
        <v>0.68148463400000003</v>
      </c>
      <c r="X3052">
        <f t="shared" si="141"/>
        <v>0</v>
      </c>
      <c r="Y3052">
        <f t="shared" si="142"/>
        <v>0</v>
      </c>
      <c r="Z3052">
        <f t="shared" si="143"/>
        <v>0</v>
      </c>
    </row>
    <row r="3053" spans="1:26" ht="15.75" customHeight="1" x14ac:dyDescent="0.2">
      <c r="A3053" s="2" t="s">
        <v>36</v>
      </c>
      <c r="B3053" s="2" t="s">
        <v>35</v>
      </c>
      <c r="C3053" s="2" t="s">
        <v>30</v>
      </c>
      <c r="D3053" s="2" t="s">
        <v>31</v>
      </c>
      <c r="E3053" s="2">
        <v>216</v>
      </c>
      <c r="F3053" s="2">
        <v>220</v>
      </c>
      <c r="G3053" s="2">
        <v>662</v>
      </c>
      <c r="H3053" s="2">
        <v>1268</v>
      </c>
      <c r="I3053" s="2">
        <v>2483</v>
      </c>
      <c r="J3053" s="2">
        <v>2.1800000000000002</v>
      </c>
      <c r="K3053" s="2">
        <v>6.24</v>
      </c>
      <c r="L3053" s="2">
        <v>10</v>
      </c>
      <c r="M3053" s="2">
        <v>14.45</v>
      </c>
      <c r="N3053" s="2">
        <v>4.5649928329999998</v>
      </c>
      <c r="O3053" s="2">
        <v>4.5309560649999998</v>
      </c>
      <c r="P3053" s="2">
        <v>1.8977150169999999</v>
      </c>
      <c r="Q3053" s="2">
        <v>2.1337129670000001</v>
      </c>
      <c r="R3053" s="2">
        <v>1.5389626240000001</v>
      </c>
      <c r="S3053" s="2">
        <v>1.728962624</v>
      </c>
      <c r="T3053" s="2">
        <v>1.1103676549999999</v>
      </c>
      <c r="U3053" s="2">
        <v>1.250367655</v>
      </c>
      <c r="V3053" s="2">
        <v>2.6655230479999998</v>
      </c>
      <c r="W3053" s="2">
        <v>2.676063697</v>
      </c>
      <c r="X3053">
        <f t="shared" si="141"/>
        <v>0</v>
      </c>
      <c r="Y3053">
        <f t="shared" si="142"/>
        <v>0</v>
      </c>
      <c r="Z3053">
        <f t="shared" si="143"/>
        <v>1</v>
      </c>
    </row>
    <row r="3054" spans="1:26" ht="15.75" customHeight="1" x14ac:dyDescent="0.2">
      <c r="A3054" s="2" t="s">
        <v>36</v>
      </c>
      <c r="B3054" s="2" t="s">
        <v>35</v>
      </c>
      <c r="C3054" s="2" t="s">
        <v>32</v>
      </c>
      <c r="D3054" s="2" t="s">
        <v>33</v>
      </c>
      <c r="E3054" s="2">
        <v>192</v>
      </c>
      <c r="F3054" s="2">
        <v>223</v>
      </c>
      <c r="G3054" s="2">
        <v>691</v>
      </c>
      <c r="H3054" s="2">
        <v>1788</v>
      </c>
      <c r="I3054" s="2">
        <v>3617</v>
      </c>
      <c r="J3054" s="2">
        <v>2.21</v>
      </c>
      <c r="K3054" s="2">
        <v>6.46</v>
      </c>
      <c r="L3054" s="2">
        <v>12.26</v>
      </c>
      <c r="M3054" s="2">
        <v>16.86</v>
      </c>
      <c r="N3054" s="2">
        <v>1.335888481</v>
      </c>
      <c r="O3054" s="2">
        <v>0.97360718400000001</v>
      </c>
      <c r="P3054" s="2">
        <v>2.0993983329999999</v>
      </c>
      <c r="Q3054" s="2">
        <v>2.1927242599999999</v>
      </c>
      <c r="R3054" s="2">
        <v>1.7557042249999999</v>
      </c>
      <c r="S3054" s="2">
        <v>1.9457042250000001</v>
      </c>
      <c r="T3054" s="2">
        <v>1.1510760339999999</v>
      </c>
      <c r="U3054" s="2">
        <v>1.011076034</v>
      </c>
      <c r="V3054" s="2">
        <v>2.8822646500000002</v>
      </c>
      <c r="W3054" s="2">
        <v>2.8928052979999999</v>
      </c>
      <c r="X3054">
        <f t="shared" si="141"/>
        <v>0</v>
      </c>
      <c r="Y3054">
        <f t="shared" si="142"/>
        <v>0</v>
      </c>
      <c r="Z3054">
        <f t="shared" si="143"/>
        <v>1</v>
      </c>
    </row>
    <row r="3055" spans="1:26" ht="15.75" customHeight="1" x14ac:dyDescent="0.2">
      <c r="A3055" s="2" t="s">
        <v>36</v>
      </c>
      <c r="B3055" s="2" t="s">
        <v>35</v>
      </c>
      <c r="C3055" s="2" t="s">
        <v>28</v>
      </c>
      <c r="D3055" s="2" t="s">
        <v>29</v>
      </c>
      <c r="E3055" s="2">
        <v>208</v>
      </c>
      <c r="F3055" s="2">
        <v>231</v>
      </c>
      <c r="G3055" s="2">
        <v>355</v>
      </c>
      <c r="H3055" s="2">
        <v>1291</v>
      </c>
      <c r="I3055" s="2">
        <v>2382</v>
      </c>
      <c r="J3055" s="2">
        <v>2.29</v>
      </c>
      <c r="K3055" s="2">
        <v>3.58</v>
      </c>
      <c r="L3055" s="2">
        <v>10.119999999999999</v>
      </c>
      <c r="M3055" s="2">
        <v>14.18</v>
      </c>
      <c r="N3055" s="2">
        <v>2.8696401159999998</v>
      </c>
      <c r="O3055" s="2">
        <v>2.639973125</v>
      </c>
      <c r="P3055" s="2">
        <v>1.496220358</v>
      </c>
      <c r="Q3055" s="2">
        <v>1.465413485</v>
      </c>
      <c r="R3055" s="2">
        <v>1.1187472999999999</v>
      </c>
      <c r="S3055" s="2">
        <v>0.92874730000000005</v>
      </c>
      <c r="T3055" s="2">
        <v>0.99351891699999995</v>
      </c>
      <c r="U3055" s="2">
        <v>1.133518917</v>
      </c>
      <c r="V3055" s="2">
        <v>7.8131239999999994E-3</v>
      </c>
      <c r="W3055" s="2">
        <v>1.8353773E-2</v>
      </c>
      <c r="X3055">
        <f t="shared" si="141"/>
        <v>0</v>
      </c>
      <c r="Y3055">
        <f t="shared" si="142"/>
        <v>0</v>
      </c>
      <c r="Z3055">
        <f t="shared" si="143"/>
        <v>1</v>
      </c>
    </row>
    <row r="3056" spans="1:26" ht="15.75" customHeight="1" x14ac:dyDescent="0.2">
      <c r="A3056" s="2" t="s">
        <v>36</v>
      </c>
      <c r="B3056" s="2" t="s">
        <v>35</v>
      </c>
      <c r="C3056" s="2" t="s">
        <v>28</v>
      </c>
      <c r="D3056" s="2" t="s">
        <v>29</v>
      </c>
      <c r="E3056" s="2">
        <v>160</v>
      </c>
      <c r="F3056" s="2">
        <v>233</v>
      </c>
      <c r="G3056" s="2">
        <v>335</v>
      </c>
      <c r="H3056" s="2">
        <v>1256</v>
      </c>
      <c r="I3056" s="2">
        <v>2543</v>
      </c>
      <c r="J3056" s="2">
        <v>2.3199999999999998</v>
      </c>
      <c r="K3056" s="2">
        <v>3.38</v>
      </c>
      <c r="L3056" s="2">
        <v>9.94</v>
      </c>
      <c r="M3056" s="2">
        <v>14.61</v>
      </c>
      <c r="N3056" s="2">
        <v>2.750150176</v>
      </c>
      <c r="O3056" s="2">
        <v>2.5193076589999999</v>
      </c>
      <c r="P3056" s="2">
        <v>1.7598091039999999</v>
      </c>
      <c r="Q3056" s="2">
        <v>1.7260654099999999</v>
      </c>
      <c r="R3056" s="2">
        <v>1.3165577340000001</v>
      </c>
      <c r="S3056" s="2">
        <v>1.1265577339999999</v>
      </c>
      <c r="T3056" s="2">
        <v>1.16773448</v>
      </c>
      <c r="U3056" s="2">
        <v>1.3077344799999999</v>
      </c>
      <c r="V3056" s="2">
        <v>-0.18999731</v>
      </c>
      <c r="W3056" s="2">
        <v>-0.17945666099999999</v>
      </c>
      <c r="X3056">
        <f t="shared" si="141"/>
        <v>0</v>
      </c>
      <c r="Y3056">
        <f t="shared" si="142"/>
        <v>0</v>
      </c>
      <c r="Z3056">
        <f t="shared" si="143"/>
        <v>1</v>
      </c>
    </row>
    <row r="3057" spans="1:26" ht="15.75" customHeight="1" x14ac:dyDescent="0.2">
      <c r="A3057" s="2" t="s">
        <v>36</v>
      </c>
      <c r="B3057" s="2" t="s">
        <v>35</v>
      </c>
      <c r="C3057" s="2" t="s">
        <v>26</v>
      </c>
      <c r="D3057" s="2" t="s">
        <v>26</v>
      </c>
      <c r="E3057" s="2">
        <v>211</v>
      </c>
      <c r="F3057" s="2">
        <v>227</v>
      </c>
      <c r="G3057" s="2">
        <v>427</v>
      </c>
      <c r="H3057" s="2">
        <v>797</v>
      </c>
      <c r="I3057" s="2">
        <v>2831</v>
      </c>
      <c r="J3057" s="2">
        <v>2.25</v>
      </c>
      <c r="K3057" s="2">
        <v>4.2699999999999996</v>
      </c>
      <c r="L3057" s="2">
        <v>7.22</v>
      </c>
      <c r="M3057" s="2">
        <v>15.31</v>
      </c>
      <c r="N3057" s="2">
        <v>0.126361009</v>
      </c>
      <c r="O3057" s="2">
        <v>0.34813199500000003</v>
      </c>
      <c r="P3057" s="2">
        <v>3.9135085649999999</v>
      </c>
      <c r="Q3057" s="2">
        <v>4.0369029039999997</v>
      </c>
      <c r="R3057" s="2">
        <v>0.43100251299999998</v>
      </c>
      <c r="S3057" s="2">
        <v>0.241002513</v>
      </c>
      <c r="T3057" s="2">
        <v>3.8897025749999998</v>
      </c>
      <c r="U3057" s="2">
        <v>4.029702575</v>
      </c>
      <c r="V3057" s="2">
        <v>0.69555791099999997</v>
      </c>
      <c r="W3057" s="2">
        <v>0.70609855899999996</v>
      </c>
      <c r="X3057">
        <f t="shared" si="141"/>
        <v>0</v>
      </c>
      <c r="Y3057">
        <f t="shared" si="142"/>
        <v>0</v>
      </c>
      <c r="Z3057">
        <f t="shared" si="143"/>
        <v>0</v>
      </c>
    </row>
    <row r="3058" spans="1:26" ht="15.75" customHeight="1" x14ac:dyDescent="0.2">
      <c r="A3058" s="2" t="s">
        <v>36</v>
      </c>
      <c r="B3058" s="2" t="s">
        <v>35</v>
      </c>
      <c r="C3058" s="2" t="s">
        <v>25</v>
      </c>
      <c r="D3058" s="2" t="s">
        <v>25</v>
      </c>
      <c r="E3058" s="2">
        <v>227</v>
      </c>
      <c r="F3058" s="2">
        <v>219</v>
      </c>
      <c r="G3058" s="2">
        <v>780</v>
      </c>
      <c r="H3058" s="2">
        <v>1503</v>
      </c>
      <c r="I3058" s="2">
        <v>3054</v>
      </c>
      <c r="J3058" s="2">
        <v>2.16</v>
      </c>
      <c r="K3058" s="2">
        <v>7.1</v>
      </c>
      <c r="L3058" s="2">
        <v>11.1</v>
      </c>
      <c r="M3058" s="2">
        <v>15.8</v>
      </c>
      <c r="N3058" s="2">
        <v>0.17396076999999999</v>
      </c>
      <c r="O3058" s="2">
        <v>0.82552009999999998</v>
      </c>
      <c r="P3058" s="2">
        <v>2.4020500280000001</v>
      </c>
      <c r="Q3058" s="2">
        <v>2.5961226960000001</v>
      </c>
      <c r="R3058" s="2">
        <v>2.4020437960000001</v>
      </c>
      <c r="S3058" s="2">
        <v>2.592043796</v>
      </c>
      <c r="T3058" s="2">
        <v>5.4716979999999997E-3</v>
      </c>
      <c r="U3058" s="2">
        <v>0.14547169800000001</v>
      </c>
      <c r="V3058" s="2">
        <v>3.5286042200000001</v>
      </c>
      <c r="W3058" s="2">
        <v>3.5391448680000002</v>
      </c>
      <c r="X3058">
        <f t="shared" si="141"/>
        <v>0</v>
      </c>
      <c r="Y3058">
        <f t="shared" si="142"/>
        <v>0</v>
      </c>
      <c r="Z3058">
        <f t="shared" si="143"/>
        <v>0</v>
      </c>
    </row>
    <row r="3059" spans="1:26" ht="15.75" customHeight="1" x14ac:dyDescent="0.2">
      <c r="A3059" s="2" t="s">
        <v>36</v>
      </c>
      <c r="B3059" s="2" t="s">
        <v>35</v>
      </c>
      <c r="C3059" s="2" t="s">
        <v>30</v>
      </c>
      <c r="D3059" s="2" t="s">
        <v>31</v>
      </c>
      <c r="E3059" s="2">
        <v>205</v>
      </c>
      <c r="F3059" s="2">
        <v>215</v>
      </c>
      <c r="G3059" s="2">
        <v>608</v>
      </c>
      <c r="H3059" s="2">
        <v>1365</v>
      </c>
      <c r="I3059" s="2">
        <v>2247</v>
      </c>
      <c r="J3059" s="2">
        <v>2.12</v>
      </c>
      <c r="K3059" s="2">
        <v>5.82</v>
      </c>
      <c r="L3059" s="2">
        <v>10.48</v>
      </c>
      <c r="M3059" s="2">
        <v>13.79</v>
      </c>
      <c r="N3059" s="2">
        <v>3.9626346520000002</v>
      </c>
      <c r="O3059" s="2">
        <v>3.9244069760000002</v>
      </c>
      <c r="P3059" s="2">
        <v>1.287060688</v>
      </c>
      <c r="Q3059" s="2">
        <v>1.5216307849999999</v>
      </c>
      <c r="R3059" s="2">
        <v>1.1201946789999999</v>
      </c>
      <c r="S3059" s="2">
        <v>1.3101946790000001</v>
      </c>
      <c r="T3059" s="2">
        <v>0.63378947399999996</v>
      </c>
      <c r="U3059" s="2">
        <v>0.77378947399999998</v>
      </c>
      <c r="V3059" s="2">
        <v>2.2467551029999999</v>
      </c>
      <c r="W3059" s="2">
        <v>2.2572957520000001</v>
      </c>
      <c r="X3059">
        <f t="shared" si="141"/>
        <v>0</v>
      </c>
      <c r="Y3059">
        <f t="shared" si="142"/>
        <v>0</v>
      </c>
      <c r="Z3059">
        <f t="shared" si="143"/>
        <v>1</v>
      </c>
    </row>
    <row r="3060" spans="1:26" ht="15.75" customHeight="1" x14ac:dyDescent="0.2">
      <c r="A3060" s="2" t="s">
        <v>36</v>
      </c>
      <c r="B3060" s="2" t="s">
        <v>35</v>
      </c>
      <c r="C3060" s="2" t="s">
        <v>28</v>
      </c>
      <c r="D3060" s="2" t="s">
        <v>29</v>
      </c>
      <c r="E3060" s="2">
        <v>200</v>
      </c>
      <c r="F3060" s="2">
        <v>230</v>
      </c>
      <c r="G3060" s="2">
        <v>316</v>
      </c>
      <c r="H3060" s="2">
        <v>1150</v>
      </c>
      <c r="I3060" s="2">
        <v>2058</v>
      </c>
      <c r="J3060" s="2">
        <v>2.29</v>
      </c>
      <c r="K3060" s="2">
        <v>3.2</v>
      </c>
      <c r="L3060" s="2">
        <v>9.39</v>
      </c>
      <c r="M3060" s="2">
        <v>13.2</v>
      </c>
      <c r="N3060" s="2">
        <v>2.2970594000000002</v>
      </c>
      <c r="O3060" s="2">
        <v>2.0685182910000002</v>
      </c>
      <c r="P3060" s="2">
        <v>2.2884385599999999</v>
      </c>
      <c r="Q3060" s="2">
        <v>2.2812008330000002</v>
      </c>
      <c r="R3060" s="2">
        <v>1.5043168840000001</v>
      </c>
      <c r="S3060" s="2">
        <v>1.3143168839999999</v>
      </c>
      <c r="T3060" s="2">
        <v>1.7245236310000001</v>
      </c>
      <c r="U3060" s="2">
        <v>1.864523631</v>
      </c>
      <c r="V3060" s="2">
        <v>-0.37775645899999999</v>
      </c>
      <c r="W3060" s="2">
        <v>-0.367215811</v>
      </c>
      <c r="X3060">
        <f t="shared" si="141"/>
        <v>0</v>
      </c>
      <c r="Y3060">
        <f t="shared" si="142"/>
        <v>0</v>
      </c>
      <c r="Z3060">
        <f t="shared" si="143"/>
        <v>1</v>
      </c>
    </row>
    <row r="3061" spans="1:26" ht="15.75" customHeight="1" x14ac:dyDescent="0.2">
      <c r="A3061" s="2" t="s">
        <v>36</v>
      </c>
      <c r="B3061" s="2" t="s">
        <v>35</v>
      </c>
      <c r="C3061" s="2" t="s">
        <v>28</v>
      </c>
      <c r="D3061" s="2" t="s">
        <v>29</v>
      </c>
      <c r="E3061" s="2">
        <v>212</v>
      </c>
      <c r="F3061" s="2">
        <v>231</v>
      </c>
      <c r="G3061" s="2">
        <v>339</v>
      </c>
      <c r="H3061" s="2">
        <v>1510</v>
      </c>
      <c r="I3061" s="2">
        <v>2417</v>
      </c>
      <c r="J3061" s="2">
        <v>2.29</v>
      </c>
      <c r="K3061" s="2">
        <v>3.42</v>
      </c>
      <c r="L3061" s="2">
        <v>11.14</v>
      </c>
      <c r="M3061" s="2">
        <v>14.28</v>
      </c>
      <c r="N3061" s="2">
        <v>3.9013479790000001</v>
      </c>
      <c r="O3061" s="2">
        <v>3.6720168069999999</v>
      </c>
      <c r="P3061" s="2">
        <v>1.2803111439999999</v>
      </c>
      <c r="Q3061" s="2">
        <v>1.0959176799999999</v>
      </c>
      <c r="R3061" s="2">
        <v>1.2800348029999999</v>
      </c>
      <c r="S3061" s="2">
        <v>1.090034803</v>
      </c>
      <c r="T3061" s="2">
        <v>2.6599424E-2</v>
      </c>
      <c r="U3061" s="2">
        <v>0.113400576</v>
      </c>
      <c r="V3061" s="2">
        <v>-0.15347437799999999</v>
      </c>
      <c r="W3061" s="2">
        <v>-0.14293373000000001</v>
      </c>
      <c r="X3061">
        <f t="shared" si="141"/>
        <v>0</v>
      </c>
      <c r="Y3061">
        <f t="shared" si="142"/>
        <v>0</v>
      </c>
      <c r="Z3061">
        <f t="shared" si="143"/>
        <v>1</v>
      </c>
    </row>
    <row r="3062" spans="1:26" ht="15.75" customHeight="1" x14ac:dyDescent="0.2">
      <c r="A3062" s="2" t="s">
        <v>36</v>
      </c>
      <c r="B3062" s="2" t="s">
        <v>35</v>
      </c>
      <c r="C3062" s="2" t="s">
        <v>32</v>
      </c>
      <c r="D3062" s="2" t="s">
        <v>33</v>
      </c>
      <c r="E3062" s="2">
        <v>186</v>
      </c>
      <c r="F3062" s="2">
        <v>223</v>
      </c>
      <c r="G3062" s="2">
        <v>541</v>
      </c>
      <c r="H3062" s="2">
        <v>1176</v>
      </c>
      <c r="I3062" s="2">
        <v>2921</v>
      </c>
      <c r="J3062" s="2">
        <v>2.21</v>
      </c>
      <c r="K3062" s="2">
        <v>5.27</v>
      </c>
      <c r="L3062" s="2">
        <v>9.5299999999999994</v>
      </c>
      <c r="M3062" s="2">
        <v>15.51</v>
      </c>
      <c r="N3062" s="2">
        <v>2.2489941029999998</v>
      </c>
      <c r="O3062" s="2">
        <v>2.0520601150000002</v>
      </c>
      <c r="P3062" s="2">
        <v>1.683662099</v>
      </c>
      <c r="Q3062" s="2">
        <v>1.8842578999999999</v>
      </c>
      <c r="R3062" s="2">
        <v>0.56936425400000001</v>
      </c>
      <c r="S3062" s="2">
        <v>0.75936425399999996</v>
      </c>
      <c r="T3062" s="2">
        <v>1.584469125</v>
      </c>
      <c r="U3062" s="2">
        <v>1.7244691249999999</v>
      </c>
      <c r="V3062" s="2">
        <v>1.695924679</v>
      </c>
      <c r="W3062" s="2">
        <v>1.7064653270000001</v>
      </c>
      <c r="X3062">
        <f t="shared" si="141"/>
        <v>0</v>
      </c>
      <c r="Y3062">
        <f t="shared" si="142"/>
        <v>0</v>
      </c>
      <c r="Z3062">
        <f t="shared" si="143"/>
        <v>1</v>
      </c>
    </row>
    <row r="3063" spans="1:26" ht="15.75" customHeight="1" x14ac:dyDescent="0.2">
      <c r="A3063" s="2" t="s">
        <v>36</v>
      </c>
      <c r="B3063" s="2" t="s">
        <v>35</v>
      </c>
      <c r="C3063" s="2" t="s">
        <v>25</v>
      </c>
      <c r="D3063" s="2" t="s">
        <v>25</v>
      </c>
      <c r="E3063" s="2">
        <v>134</v>
      </c>
      <c r="F3063" s="2">
        <v>218</v>
      </c>
      <c r="G3063" s="2">
        <v>740</v>
      </c>
      <c r="H3063" s="2">
        <v>1635</v>
      </c>
      <c r="I3063" s="2">
        <v>3076</v>
      </c>
      <c r="J3063" s="2">
        <v>2.15</v>
      </c>
      <c r="K3063" s="2">
        <v>6.82</v>
      </c>
      <c r="L3063" s="2">
        <v>11.66</v>
      </c>
      <c r="M3063" s="2">
        <v>15.85</v>
      </c>
      <c r="N3063" s="2">
        <v>0.65572533300000002</v>
      </c>
      <c r="O3063" s="2">
        <v>0.62980497099999999</v>
      </c>
      <c r="P3063" s="2">
        <v>2.1862998359999999</v>
      </c>
      <c r="Q3063" s="2">
        <v>2.3420087710000002</v>
      </c>
      <c r="R3063" s="2">
        <v>2.1155229040000001</v>
      </c>
      <c r="S3063" s="2">
        <v>2.305522904</v>
      </c>
      <c r="T3063" s="2">
        <v>0.55178783399999998</v>
      </c>
      <c r="U3063" s="2">
        <v>0.41178783400000002</v>
      </c>
      <c r="V3063" s="2">
        <v>3.2420833290000002</v>
      </c>
      <c r="W3063" s="2">
        <v>3.2526239769999998</v>
      </c>
      <c r="X3063">
        <f t="shared" si="141"/>
        <v>0</v>
      </c>
      <c r="Y3063">
        <f t="shared" si="142"/>
        <v>0</v>
      </c>
      <c r="Z3063">
        <f t="shared" si="143"/>
        <v>0</v>
      </c>
    </row>
    <row r="3064" spans="1:26" ht="15.75" customHeight="1" x14ac:dyDescent="0.2">
      <c r="A3064" s="2" t="s">
        <v>36</v>
      </c>
      <c r="B3064" s="2" t="s">
        <v>35</v>
      </c>
      <c r="C3064" s="2" t="s">
        <v>27</v>
      </c>
      <c r="D3064" s="2" t="s">
        <v>27</v>
      </c>
      <c r="E3064" s="2">
        <v>191</v>
      </c>
      <c r="F3064" s="2">
        <v>220</v>
      </c>
      <c r="G3064" s="2">
        <v>425</v>
      </c>
      <c r="H3064" s="2">
        <v>2380</v>
      </c>
      <c r="I3064" s="2">
        <v>3089</v>
      </c>
      <c r="J3064" s="2">
        <v>2.1800000000000002</v>
      </c>
      <c r="K3064" s="2">
        <v>4.25</v>
      </c>
      <c r="L3064" s="2">
        <v>14.17</v>
      </c>
      <c r="M3064" s="2">
        <v>15.87</v>
      </c>
      <c r="N3064" s="2">
        <v>0.11330678499999999</v>
      </c>
      <c r="O3064" s="2">
        <v>9.3432334000000006E-2</v>
      </c>
      <c r="P3064" s="2">
        <v>3.0964350039999999</v>
      </c>
      <c r="Q3064" s="2">
        <v>2.934953691</v>
      </c>
      <c r="R3064" s="2">
        <v>0.45253668800000002</v>
      </c>
      <c r="S3064" s="2">
        <v>0.26253668800000002</v>
      </c>
      <c r="T3064" s="2">
        <v>3.063187927</v>
      </c>
      <c r="U3064" s="2">
        <v>2.9231879269999999</v>
      </c>
      <c r="V3064" s="2">
        <v>0.67402373699999996</v>
      </c>
      <c r="W3064" s="2">
        <v>0.68456438500000005</v>
      </c>
      <c r="X3064">
        <f t="shared" si="141"/>
        <v>0</v>
      </c>
      <c r="Y3064">
        <f t="shared" si="142"/>
        <v>0</v>
      </c>
      <c r="Z3064">
        <f t="shared" si="143"/>
        <v>0</v>
      </c>
    </row>
    <row r="3065" spans="1:26" ht="15.75" customHeight="1" x14ac:dyDescent="0.2">
      <c r="A3065" s="2" t="s">
        <v>36</v>
      </c>
      <c r="B3065" s="2" t="s">
        <v>35</v>
      </c>
      <c r="C3065" s="2" t="s">
        <v>32</v>
      </c>
      <c r="D3065" s="2" t="s">
        <v>33</v>
      </c>
      <c r="E3065" s="2">
        <v>177</v>
      </c>
      <c r="F3065" s="2">
        <v>224</v>
      </c>
      <c r="G3065" s="2">
        <v>388</v>
      </c>
      <c r="H3065" s="2">
        <v>758</v>
      </c>
      <c r="I3065" s="2">
        <v>1795</v>
      </c>
      <c r="J3065" s="2">
        <v>2.2200000000000002</v>
      </c>
      <c r="K3065" s="2">
        <v>3.9</v>
      </c>
      <c r="L3065" s="2">
        <v>6.95</v>
      </c>
      <c r="M3065" s="2">
        <v>12.29</v>
      </c>
      <c r="N3065" s="2">
        <v>5.0883953699999998</v>
      </c>
      <c r="O3065" s="2">
        <v>4.9702663490000001</v>
      </c>
      <c r="P3065" s="2">
        <v>4.2375749750000002</v>
      </c>
      <c r="Q3065" s="2">
        <v>4.3442681890000001</v>
      </c>
      <c r="R3065" s="2">
        <v>0.80290501199999997</v>
      </c>
      <c r="S3065" s="2">
        <v>0.61290501200000003</v>
      </c>
      <c r="T3065" s="2">
        <v>4.1608154510000004</v>
      </c>
      <c r="U3065" s="2">
        <v>4.3008154510000001</v>
      </c>
      <c r="V3065" s="2">
        <v>0.32365541199999998</v>
      </c>
      <c r="W3065" s="2">
        <v>0.33419606099999999</v>
      </c>
      <c r="X3065">
        <f t="shared" si="141"/>
        <v>0</v>
      </c>
      <c r="Y3065">
        <f t="shared" si="142"/>
        <v>0</v>
      </c>
      <c r="Z3065">
        <f t="shared" si="143"/>
        <v>1</v>
      </c>
    </row>
    <row r="3066" spans="1:26" ht="15.75" customHeight="1" x14ac:dyDescent="0.2">
      <c r="A3066" s="2" t="s">
        <v>36</v>
      </c>
      <c r="B3066" s="2" t="s">
        <v>35</v>
      </c>
      <c r="C3066" s="2" t="s">
        <v>28</v>
      </c>
      <c r="D3066" s="2" t="s">
        <v>29</v>
      </c>
      <c r="E3066" s="2">
        <v>207</v>
      </c>
      <c r="F3066" s="2">
        <v>230</v>
      </c>
      <c r="G3066" s="2">
        <v>359</v>
      </c>
      <c r="H3066" s="2">
        <v>1172</v>
      </c>
      <c r="I3066" s="2">
        <v>2405</v>
      </c>
      <c r="J3066" s="2">
        <v>2.2799999999999998</v>
      </c>
      <c r="K3066" s="2">
        <v>3.62</v>
      </c>
      <c r="L3066" s="2">
        <v>9.5</v>
      </c>
      <c r="M3066" s="2">
        <v>14.24</v>
      </c>
      <c r="N3066" s="2">
        <v>2.2617192180000001</v>
      </c>
      <c r="O3066" s="2">
        <v>2.0312622419999999</v>
      </c>
      <c r="P3066" s="2">
        <v>1.939807397</v>
      </c>
      <c r="Q3066" s="2">
        <v>1.964105634</v>
      </c>
      <c r="R3066" s="2">
        <v>1.0828522140000001</v>
      </c>
      <c r="S3066" s="2">
        <v>0.89285221400000003</v>
      </c>
      <c r="T3066" s="2">
        <v>1.60943587</v>
      </c>
      <c r="U3066" s="2">
        <v>1.7494358699999999</v>
      </c>
      <c r="V3066" s="2">
        <v>4.3708210999999997E-2</v>
      </c>
      <c r="W3066" s="2">
        <v>5.4248859000000003E-2</v>
      </c>
      <c r="X3066">
        <f t="shared" si="141"/>
        <v>0</v>
      </c>
      <c r="Y3066">
        <f t="shared" si="142"/>
        <v>0</v>
      </c>
      <c r="Z3066">
        <f t="shared" si="143"/>
        <v>1</v>
      </c>
    </row>
    <row r="3067" spans="1:26" ht="15.75" customHeight="1" x14ac:dyDescent="0.2">
      <c r="A3067" s="2" t="s">
        <v>36</v>
      </c>
      <c r="B3067" s="2" t="s">
        <v>35</v>
      </c>
      <c r="C3067" s="2" t="s">
        <v>27</v>
      </c>
      <c r="D3067" s="2" t="s">
        <v>27</v>
      </c>
      <c r="E3067" s="2">
        <v>154</v>
      </c>
      <c r="F3067" s="2">
        <v>222</v>
      </c>
      <c r="G3067" s="2">
        <v>438</v>
      </c>
      <c r="H3067" s="2">
        <v>2376</v>
      </c>
      <c r="I3067" s="2">
        <v>3091</v>
      </c>
      <c r="J3067" s="2">
        <v>2.2000000000000002</v>
      </c>
      <c r="K3067" s="2">
        <v>4.3600000000000003</v>
      </c>
      <c r="L3067" s="2">
        <v>14.16</v>
      </c>
      <c r="M3067" s="2">
        <v>15.88</v>
      </c>
      <c r="N3067" s="2">
        <v>4.3560559999999996E-3</v>
      </c>
      <c r="O3067" s="2">
        <v>0.10316054400000001</v>
      </c>
      <c r="P3067" s="2">
        <v>3.0704751259999998</v>
      </c>
      <c r="Q3067" s="2">
        <v>2.9156848929999999</v>
      </c>
      <c r="R3067" s="2">
        <v>0.33614069200000002</v>
      </c>
      <c r="S3067" s="2">
        <v>0.14614069199999999</v>
      </c>
      <c r="T3067" s="2">
        <v>3.0520201400000002</v>
      </c>
      <c r="U3067" s="2">
        <v>2.9120201400000001</v>
      </c>
      <c r="V3067" s="2">
        <v>0.79041973200000004</v>
      </c>
      <c r="W3067" s="2">
        <v>0.80096038000000003</v>
      </c>
      <c r="X3067">
        <f t="shared" si="141"/>
        <v>0</v>
      </c>
      <c r="Y3067">
        <f t="shared" si="142"/>
        <v>0</v>
      </c>
      <c r="Z3067">
        <f t="shared" si="143"/>
        <v>0</v>
      </c>
    </row>
    <row r="3068" spans="1:26" ht="15.75" customHeight="1" x14ac:dyDescent="0.2">
      <c r="A3068" s="2" t="s">
        <v>36</v>
      </c>
      <c r="B3068" s="2" t="s">
        <v>35</v>
      </c>
      <c r="C3068" s="2" t="s">
        <v>26</v>
      </c>
      <c r="D3068" s="2" t="s">
        <v>26</v>
      </c>
      <c r="E3068" s="2">
        <v>200</v>
      </c>
      <c r="F3068" s="2">
        <v>230</v>
      </c>
      <c r="G3068" s="2">
        <v>430</v>
      </c>
      <c r="H3068" s="2">
        <v>798</v>
      </c>
      <c r="I3068" s="2">
        <v>2919</v>
      </c>
      <c r="J3068" s="2">
        <v>2.2799999999999998</v>
      </c>
      <c r="K3068" s="2">
        <v>4.3</v>
      </c>
      <c r="L3068" s="2">
        <v>7.22</v>
      </c>
      <c r="M3068" s="2">
        <v>15.51</v>
      </c>
      <c r="N3068" s="2">
        <v>0.14436741</v>
      </c>
      <c r="O3068" s="2">
        <v>0.35764626399999999</v>
      </c>
      <c r="P3068" s="2">
        <v>3.9059794779999999</v>
      </c>
      <c r="Q3068" s="2">
        <v>4.0307466810000001</v>
      </c>
      <c r="R3068" s="2">
        <v>0.40337749299999998</v>
      </c>
      <c r="S3068" s="2">
        <v>0.213377493</v>
      </c>
      <c r="T3068" s="2">
        <v>3.8850948870000002</v>
      </c>
      <c r="U3068" s="2">
        <v>4.0250948869999998</v>
      </c>
      <c r="V3068" s="2">
        <v>0.72318293199999995</v>
      </c>
      <c r="W3068" s="2">
        <v>0.73372358000000004</v>
      </c>
      <c r="X3068">
        <f t="shared" si="141"/>
        <v>0</v>
      </c>
      <c r="Y3068">
        <f t="shared" si="142"/>
        <v>0</v>
      </c>
      <c r="Z3068">
        <f t="shared" si="143"/>
        <v>0</v>
      </c>
    </row>
    <row r="3069" spans="1:26" ht="15.75" customHeight="1" x14ac:dyDescent="0.2">
      <c r="A3069" s="2" t="s">
        <v>36</v>
      </c>
      <c r="B3069" s="2" t="s">
        <v>35</v>
      </c>
      <c r="C3069" s="2" t="s">
        <v>27</v>
      </c>
      <c r="D3069" s="2" t="s">
        <v>27</v>
      </c>
      <c r="E3069" s="2">
        <v>196</v>
      </c>
      <c r="F3069" s="2">
        <v>222</v>
      </c>
      <c r="G3069" s="2">
        <v>432</v>
      </c>
      <c r="H3069" s="2">
        <v>2323</v>
      </c>
      <c r="I3069" s="2">
        <v>3058</v>
      </c>
      <c r="J3069" s="2">
        <v>2.19</v>
      </c>
      <c r="K3069" s="2">
        <v>4.3099999999999996</v>
      </c>
      <c r="L3069" s="2">
        <v>14.01</v>
      </c>
      <c r="M3069" s="2">
        <v>15.81</v>
      </c>
      <c r="N3069" s="2">
        <v>0.15735112100000001</v>
      </c>
      <c r="O3069" s="2">
        <v>8.2791811000000007E-2</v>
      </c>
      <c r="P3069" s="2">
        <v>2.9260153519999998</v>
      </c>
      <c r="Q3069" s="2">
        <v>2.7672650559999998</v>
      </c>
      <c r="R3069" s="2">
        <v>0.38806020099999999</v>
      </c>
      <c r="S3069" s="2">
        <v>0.19806020099999999</v>
      </c>
      <c r="T3069" s="2">
        <v>2.90016812</v>
      </c>
      <c r="U3069" s="2">
        <v>2.7601681199999999</v>
      </c>
      <c r="V3069" s="2">
        <v>0.73850022400000004</v>
      </c>
      <c r="W3069" s="2">
        <v>0.74904087200000002</v>
      </c>
      <c r="X3069">
        <f t="shared" si="141"/>
        <v>0</v>
      </c>
      <c r="Y3069">
        <f t="shared" si="142"/>
        <v>0</v>
      </c>
      <c r="Z3069">
        <f t="shared" si="143"/>
        <v>0</v>
      </c>
    </row>
    <row r="3070" spans="1:26" ht="15.75" customHeight="1" x14ac:dyDescent="0.2">
      <c r="A3070" s="2" t="s">
        <v>36</v>
      </c>
      <c r="B3070" s="2" t="s">
        <v>35</v>
      </c>
      <c r="C3070" s="2" t="s">
        <v>27</v>
      </c>
      <c r="D3070" s="2" t="s">
        <v>27</v>
      </c>
      <c r="E3070" s="2">
        <v>211</v>
      </c>
      <c r="F3070" s="2">
        <v>236</v>
      </c>
      <c r="G3070" s="2">
        <v>454</v>
      </c>
      <c r="H3070" s="2">
        <v>2431</v>
      </c>
      <c r="I3070" s="2">
        <v>3183</v>
      </c>
      <c r="J3070" s="2">
        <v>2.35</v>
      </c>
      <c r="K3070" s="2">
        <v>4.5199999999999996</v>
      </c>
      <c r="L3070" s="2">
        <v>14.31</v>
      </c>
      <c r="M3070" s="2">
        <v>16.059999999999999</v>
      </c>
      <c r="N3070" s="2">
        <v>0.21845922500000001</v>
      </c>
      <c r="O3070" s="2">
        <v>0.31745351700000002</v>
      </c>
      <c r="P3070" s="2">
        <v>3.2091220030000001</v>
      </c>
      <c r="Q3070" s="2">
        <v>3.0637981669999999</v>
      </c>
      <c r="R3070" s="2">
        <v>0.18484882</v>
      </c>
      <c r="S3070" s="2">
        <v>5.15118E-3</v>
      </c>
      <c r="T3070" s="2">
        <v>3.203793836</v>
      </c>
      <c r="U3070" s="2">
        <v>3.0637938359999999</v>
      </c>
      <c r="V3070" s="2">
        <v>0.94171160499999995</v>
      </c>
      <c r="W3070" s="2">
        <v>0.95225225300000005</v>
      </c>
      <c r="X3070">
        <f t="shared" si="141"/>
        <v>0</v>
      </c>
      <c r="Y3070">
        <f t="shared" si="142"/>
        <v>0</v>
      </c>
      <c r="Z3070">
        <f t="shared" si="143"/>
        <v>0</v>
      </c>
    </row>
    <row r="3071" spans="1:26" ht="15.75" customHeight="1" x14ac:dyDescent="0.2">
      <c r="A3071" s="2" t="s">
        <v>36</v>
      </c>
      <c r="B3071" s="2" t="s">
        <v>35</v>
      </c>
      <c r="C3071" s="2" t="s">
        <v>32</v>
      </c>
      <c r="D3071" s="2" t="s">
        <v>33</v>
      </c>
      <c r="E3071" s="2">
        <v>181</v>
      </c>
      <c r="F3071" s="2">
        <v>210</v>
      </c>
      <c r="G3071" s="2">
        <v>577</v>
      </c>
      <c r="H3071" s="2">
        <v>982</v>
      </c>
      <c r="I3071" s="2">
        <v>2488</v>
      </c>
      <c r="J3071" s="2">
        <v>2.0699999999999998</v>
      </c>
      <c r="K3071" s="2">
        <v>5.57</v>
      </c>
      <c r="L3071" s="2">
        <v>8.42</v>
      </c>
      <c r="M3071" s="2">
        <v>14.47</v>
      </c>
      <c r="N3071" s="2">
        <v>2.9444742690000001</v>
      </c>
      <c r="O3071" s="2">
        <v>2.9721683790000002</v>
      </c>
      <c r="P3071" s="2">
        <v>2.8283844249999999</v>
      </c>
      <c r="Q3071" s="2">
        <v>3.0231896269999998</v>
      </c>
      <c r="R3071" s="2">
        <v>0.87022595899999999</v>
      </c>
      <c r="S3071" s="2">
        <v>1.0602259590000001</v>
      </c>
      <c r="T3071" s="2">
        <v>2.6911828689999999</v>
      </c>
      <c r="U3071" s="2">
        <v>2.831182869</v>
      </c>
      <c r="V3071" s="2">
        <v>1.996786384</v>
      </c>
      <c r="W3071" s="2">
        <v>2.0073270320000001</v>
      </c>
      <c r="X3071">
        <f t="shared" si="141"/>
        <v>0</v>
      </c>
      <c r="Y3071">
        <f t="shared" si="142"/>
        <v>0</v>
      </c>
      <c r="Z3071">
        <f t="shared" si="143"/>
        <v>1</v>
      </c>
    </row>
    <row r="3072" spans="1:26" ht="15.75" customHeight="1" x14ac:dyDescent="0.2">
      <c r="A3072" s="2" t="s">
        <v>36</v>
      </c>
      <c r="B3072" s="2" t="s">
        <v>35</v>
      </c>
      <c r="C3072" s="2" t="s">
        <v>28</v>
      </c>
      <c r="D3072" s="2" t="s">
        <v>29</v>
      </c>
      <c r="E3072" s="2">
        <v>232</v>
      </c>
      <c r="F3072" s="2">
        <v>236</v>
      </c>
      <c r="G3072" s="2">
        <v>335</v>
      </c>
      <c r="H3072" s="2">
        <v>1360</v>
      </c>
      <c r="I3072" s="2">
        <v>2059</v>
      </c>
      <c r="J3072" s="2">
        <v>2.35</v>
      </c>
      <c r="K3072" s="2">
        <v>3.38</v>
      </c>
      <c r="L3072" s="2">
        <v>10.45</v>
      </c>
      <c r="M3072" s="2">
        <v>13.21</v>
      </c>
      <c r="N3072" s="2">
        <v>3.2410749189999999</v>
      </c>
      <c r="O3072" s="2">
        <v>3.0106348070000002</v>
      </c>
      <c r="P3072" s="2">
        <v>1.475334202</v>
      </c>
      <c r="Q3072" s="2">
        <v>1.3839528409999999</v>
      </c>
      <c r="R3072" s="2">
        <v>1.3198837880000001</v>
      </c>
      <c r="S3072" s="2">
        <v>1.1298837879999999</v>
      </c>
      <c r="T3072" s="2">
        <v>0.65917963700000004</v>
      </c>
      <c r="U3072" s="2">
        <v>0.79917963700000005</v>
      </c>
      <c r="V3072" s="2">
        <v>-0.193323364</v>
      </c>
      <c r="W3072" s="2">
        <v>-0.18278271600000001</v>
      </c>
      <c r="X3072">
        <f t="shared" si="141"/>
        <v>0</v>
      </c>
      <c r="Y3072">
        <f t="shared" si="142"/>
        <v>0</v>
      </c>
      <c r="Z3072">
        <f t="shared" si="143"/>
        <v>1</v>
      </c>
    </row>
    <row r="3073" spans="1:26" ht="15.75" customHeight="1" x14ac:dyDescent="0.2">
      <c r="A3073" s="2" t="s">
        <v>36</v>
      </c>
      <c r="B3073" s="2" t="s">
        <v>35</v>
      </c>
      <c r="C3073" s="2" t="s">
        <v>26</v>
      </c>
      <c r="D3073" s="2" t="s">
        <v>26</v>
      </c>
      <c r="E3073" s="2">
        <v>226</v>
      </c>
      <c r="F3073" s="2">
        <v>236</v>
      </c>
      <c r="G3073" s="2">
        <v>427</v>
      </c>
      <c r="H3073" s="2">
        <v>886</v>
      </c>
      <c r="I3073" s="2">
        <v>2783</v>
      </c>
      <c r="J3073" s="2">
        <v>2.35</v>
      </c>
      <c r="K3073" s="2">
        <v>4.2699999999999996</v>
      </c>
      <c r="L3073" s="2">
        <v>7.82</v>
      </c>
      <c r="M3073" s="2">
        <v>15.2</v>
      </c>
      <c r="N3073" s="2">
        <v>0.51622346799999996</v>
      </c>
      <c r="O3073" s="2">
        <v>0.32940699899999998</v>
      </c>
      <c r="P3073" s="2">
        <v>3.3196046629999998</v>
      </c>
      <c r="Q3073" s="2">
        <v>3.439958699</v>
      </c>
      <c r="R3073" s="2">
        <v>0.43100251299999998</v>
      </c>
      <c r="S3073" s="2">
        <v>0.241002513</v>
      </c>
      <c r="T3073" s="2">
        <v>3.2915060309999999</v>
      </c>
      <c r="U3073" s="2">
        <v>3.4315060310000001</v>
      </c>
      <c r="V3073" s="2">
        <v>0.69555791099999997</v>
      </c>
      <c r="W3073" s="2">
        <v>0.70609855899999996</v>
      </c>
      <c r="X3073">
        <f t="shared" si="141"/>
        <v>0</v>
      </c>
      <c r="Y3073">
        <f t="shared" si="142"/>
        <v>0</v>
      </c>
      <c r="Z3073">
        <f t="shared" si="143"/>
        <v>0</v>
      </c>
    </row>
    <row r="3074" spans="1:26" ht="15.75" customHeight="1" x14ac:dyDescent="0.2">
      <c r="A3074" s="2" t="s">
        <v>36</v>
      </c>
      <c r="B3074" s="2" t="s">
        <v>35</v>
      </c>
      <c r="C3074" s="2" t="s">
        <v>30</v>
      </c>
      <c r="D3074" s="2" t="s">
        <v>31</v>
      </c>
      <c r="E3074" s="2">
        <v>210</v>
      </c>
      <c r="F3074" s="2">
        <v>220</v>
      </c>
      <c r="G3074" s="2">
        <v>588</v>
      </c>
      <c r="H3074" s="2">
        <v>1401</v>
      </c>
      <c r="I3074" s="2">
        <v>2868</v>
      </c>
      <c r="J3074" s="2">
        <v>2.17</v>
      </c>
      <c r="K3074" s="2">
        <v>5.66</v>
      </c>
      <c r="L3074" s="2">
        <v>10.65</v>
      </c>
      <c r="M3074" s="2">
        <v>15.4</v>
      </c>
      <c r="N3074" s="2">
        <v>3.7447188520000001</v>
      </c>
      <c r="O3074" s="2">
        <v>3.7043857349999998</v>
      </c>
      <c r="P3074" s="2">
        <v>1.063031804</v>
      </c>
      <c r="Q3074" s="2">
        <v>1.295761188</v>
      </c>
      <c r="R3074" s="2">
        <v>0.95692307700000001</v>
      </c>
      <c r="S3074" s="2">
        <v>1.1469230770000001</v>
      </c>
      <c r="T3074" s="2">
        <v>0.46296311000000001</v>
      </c>
      <c r="U3074" s="2">
        <v>0.60296311000000002</v>
      </c>
      <c r="V3074" s="2">
        <v>2.0834835009999999</v>
      </c>
      <c r="W3074" s="2">
        <v>2.0940241500000001</v>
      </c>
      <c r="X3074">
        <f t="shared" si="141"/>
        <v>0</v>
      </c>
      <c r="Y3074">
        <f t="shared" si="142"/>
        <v>0</v>
      </c>
      <c r="Z3074">
        <f t="shared" si="143"/>
        <v>1</v>
      </c>
    </row>
    <row r="3075" spans="1:26" ht="15.75" customHeight="1" x14ac:dyDescent="0.2">
      <c r="A3075" s="2" t="s">
        <v>36</v>
      </c>
      <c r="B3075" s="2" t="s">
        <v>35</v>
      </c>
      <c r="C3075" s="2" t="s">
        <v>27</v>
      </c>
      <c r="D3075" s="2" t="s">
        <v>27</v>
      </c>
      <c r="E3075" s="2">
        <v>192</v>
      </c>
      <c r="F3075" s="2">
        <v>227</v>
      </c>
      <c r="G3075" s="2">
        <v>426</v>
      </c>
      <c r="H3075" s="2">
        <v>2390</v>
      </c>
      <c r="I3075" s="2">
        <v>3063</v>
      </c>
      <c r="J3075" s="2">
        <v>2.25</v>
      </c>
      <c r="K3075" s="2">
        <v>4.25</v>
      </c>
      <c r="L3075" s="2">
        <v>14.2</v>
      </c>
      <c r="M3075" s="2">
        <v>15.82</v>
      </c>
      <c r="N3075" s="2">
        <v>0.113360698</v>
      </c>
      <c r="O3075" s="2">
        <v>0.115068462</v>
      </c>
      <c r="P3075" s="2">
        <v>3.1212502029999998</v>
      </c>
      <c r="Q3075" s="2">
        <v>2.9602891709999999</v>
      </c>
      <c r="R3075" s="2">
        <v>0.44637976800000001</v>
      </c>
      <c r="S3075" s="2">
        <v>0.25637976800000001</v>
      </c>
      <c r="T3075" s="2">
        <v>3.0891662200000001</v>
      </c>
      <c r="U3075" s="2">
        <v>2.9491662199999999</v>
      </c>
      <c r="V3075" s="2">
        <v>0.68018065599999999</v>
      </c>
      <c r="W3075" s="2">
        <v>0.69072130499999995</v>
      </c>
      <c r="X3075">
        <f t="shared" ref="X3075:X3138" si="144">IF(B3075="normal",1,0)</f>
        <v>0</v>
      </c>
      <c r="Y3075">
        <f t="shared" ref="Y3075:Y3138" si="145">IF(A3075="lecture",1,0)</f>
        <v>0</v>
      </c>
      <c r="Z3075">
        <f t="shared" ref="Z3075:Z3138" si="146">IF(ISNUMBER(FIND("~",D3075)),1,0)</f>
        <v>0</v>
      </c>
    </row>
    <row r="3076" spans="1:26" ht="15.75" customHeight="1" x14ac:dyDescent="0.2">
      <c r="A3076" s="2" t="s">
        <v>36</v>
      </c>
      <c r="B3076" s="2" t="s">
        <v>35</v>
      </c>
      <c r="C3076" s="2" t="s">
        <v>30</v>
      </c>
      <c r="D3076" s="2" t="s">
        <v>31</v>
      </c>
      <c r="E3076" s="2">
        <v>199</v>
      </c>
      <c r="F3076" s="2">
        <v>215</v>
      </c>
      <c r="G3076" s="2">
        <v>744</v>
      </c>
      <c r="H3076" s="2">
        <v>1228</v>
      </c>
      <c r="I3076" s="2">
        <v>3528</v>
      </c>
      <c r="J3076" s="2">
        <v>2.12</v>
      </c>
      <c r="K3076" s="2">
        <v>6.84</v>
      </c>
      <c r="L3076" s="2">
        <v>9.8000000000000007</v>
      </c>
      <c r="M3076" s="2">
        <v>16.71</v>
      </c>
      <c r="N3076" s="2">
        <v>5.0191655529999997</v>
      </c>
      <c r="O3076" s="2">
        <v>4.9939020689999998</v>
      </c>
      <c r="P3076" s="2">
        <v>2.5134413470000001</v>
      </c>
      <c r="Q3076" s="2">
        <v>2.7486485040000002</v>
      </c>
      <c r="R3076" s="2">
        <v>2.144320059</v>
      </c>
      <c r="S3076" s="2">
        <v>2.3343200589999999</v>
      </c>
      <c r="T3076" s="2">
        <v>1.3112127549999999</v>
      </c>
      <c r="U3076" s="2">
        <v>1.451212755</v>
      </c>
      <c r="V3076" s="2">
        <v>3.2708804840000001</v>
      </c>
      <c r="W3076" s="2">
        <v>3.2814211320000002</v>
      </c>
      <c r="X3076">
        <f t="shared" si="144"/>
        <v>0</v>
      </c>
      <c r="Y3076">
        <f t="shared" si="145"/>
        <v>0</v>
      </c>
      <c r="Z3076">
        <f t="shared" si="146"/>
        <v>1</v>
      </c>
    </row>
    <row r="3077" spans="1:26" ht="15.75" customHeight="1" x14ac:dyDescent="0.2">
      <c r="A3077" s="2" t="s">
        <v>36</v>
      </c>
      <c r="B3077" s="2" t="s">
        <v>35</v>
      </c>
      <c r="C3077" s="2" t="s">
        <v>26</v>
      </c>
      <c r="D3077" s="2" t="s">
        <v>26</v>
      </c>
      <c r="E3077" s="2">
        <v>156</v>
      </c>
      <c r="F3077" s="2">
        <v>225</v>
      </c>
      <c r="G3077" s="2">
        <v>424</v>
      </c>
      <c r="H3077" s="2">
        <v>884</v>
      </c>
      <c r="I3077" s="2">
        <v>2668</v>
      </c>
      <c r="J3077" s="2">
        <v>2.23</v>
      </c>
      <c r="K3077" s="2">
        <v>4.24</v>
      </c>
      <c r="L3077" s="2">
        <v>7.8</v>
      </c>
      <c r="M3077" s="2">
        <v>14.93</v>
      </c>
      <c r="N3077" s="2">
        <v>0.49499231199999999</v>
      </c>
      <c r="O3077" s="2">
        <v>0.30129704600000001</v>
      </c>
      <c r="P3077" s="2">
        <v>3.3404614000000001</v>
      </c>
      <c r="Q3077" s="2">
        <v>3.4592696699999999</v>
      </c>
      <c r="R3077" s="2">
        <v>0.45869705</v>
      </c>
      <c r="S3077" s="2">
        <v>0.26869704999999999</v>
      </c>
      <c r="T3077" s="2">
        <v>3.3088184269999998</v>
      </c>
      <c r="U3077" s="2">
        <v>3.448818427</v>
      </c>
      <c r="V3077" s="2">
        <v>0.66786337399999995</v>
      </c>
      <c r="W3077" s="2">
        <v>0.67840402300000002</v>
      </c>
      <c r="X3077">
        <f t="shared" si="144"/>
        <v>0</v>
      </c>
      <c r="Y3077">
        <f t="shared" si="145"/>
        <v>0</v>
      </c>
      <c r="Z3077">
        <f t="shared" si="146"/>
        <v>0</v>
      </c>
    </row>
    <row r="3078" spans="1:26" ht="15.75" customHeight="1" x14ac:dyDescent="0.2">
      <c r="A3078" s="2" t="s">
        <v>36</v>
      </c>
      <c r="B3078" s="2" t="s">
        <v>35</v>
      </c>
      <c r="C3078" s="2" t="s">
        <v>26</v>
      </c>
      <c r="D3078" s="2" t="s">
        <v>26</v>
      </c>
      <c r="E3078" s="2">
        <v>175</v>
      </c>
      <c r="F3078" s="2">
        <v>225</v>
      </c>
      <c r="G3078" s="2">
        <v>420</v>
      </c>
      <c r="H3078" s="2">
        <v>871</v>
      </c>
      <c r="I3078" s="2">
        <v>2782</v>
      </c>
      <c r="J3078" s="2">
        <v>2.23</v>
      </c>
      <c r="K3078" s="2">
        <v>4.2</v>
      </c>
      <c r="L3078" s="2">
        <v>7.72</v>
      </c>
      <c r="M3078" s="2">
        <v>15.2</v>
      </c>
      <c r="N3078" s="2">
        <v>0.411085492</v>
      </c>
      <c r="O3078" s="2">
        <v>0.21004877799999999</v>
      </c>
      <c r="P3078" s="2">
        <v>3.4262747739999999</v>
      </c>
      <c r="Q3078" s="2">
        <v>3.5430690299999998</v>
      </c>
      <c r="R3078" s="2">
        <v>0.50191623500000004</v>
      </c>
      <c r="S3078" s="2">
        <v>0.31191623499999999</v>
      </c>
      <c r="T3078" s="2">
        <v>3.3893124559999999</v>
      </c>
      <c r="U3078" s="2">
        <v>3.529312456</v>
      </c>
      <c r="V3078" s="2">
        <v>0.62464419000000004</v>
      </c>
      <c r="W3078" s="2">
        <v>0.63518483800000003</v>
      </c>
      <c r="X3078">
        <f t="shared" si="144"/>
        <v>0</v>
      </c>
      <c r="Y3078">
        <f t="shared" si="145"/>
        <v>0</v>
      </c>
      <c r="Z3078">
        <f t="shared" si="146"/>
        <v>0</v>
      </c>
    </row>
    <row r="3079" spans="1:26" ht="15.75" customHeight="1" x14ac:dyDescent="0.2">
      <c r="A3079" s="2" t="s">
        <v>36</v>
      </c>
      <c r="B3079" s="2" t="s">
        <v>35</v>
      </c>
      <c r="C3079" s="2" t="s">
        <v>26</v>
      </c>
      <c r="D3079" s="2" t="s">
        <v>26</v>
      </c>
      <c r="E3079" s="2">
        <v>171</v>
      </c>
      <c r="F3079" s="2">
        <v>226</v>
      </c>
      <c r="G3079" s="2">
        <v>355</v>
      </c>
      <c r="H3079" s="2">
        <v>539</v>
      </c>
      <c r="I3079" s="2">
        <v>3045</v>
      </c>
      <c r="J3079" s="2">
        <v>2.2400000000000002</v>
      </c>
      <c r="K3079" s="2">
        <v>3.58</v>
      </c>
      <c r="L3079" s="2">
        <v>5.26</v>
      </c>
      <c r="M3079" s="2">
        <v>15.78</v>
      </c>
      <c r="N3079" s="2">
        <v>2.1391980429999999</v>
      </c>
      <c r="O3079" s="2">
        <v>2.3345546989999999</v>
      </c>
      <c r="P3079" s="2">
        <v>5.9599648329999999</v>
      </c>
      <c r="Q3079" s="2">
        <v>6.0656656409999998</v>
      </c>
      <c r="R3079" s="2">
        <v>1.1154794130000001</v>
      </c>
      <c r="S3079" s="2">
        <v>0.92547941300000003</v>
      </c>
      <c r="T3079" s="2">
        <v>5.854646572</v>
      </c>
      <c r="U3079" s="2">
        <v>5.9946465719999997</v>
      </c>
      <c r="V3079" s="2">
        <v>1.1081011999999999E-2</v>
      </c>
      <c r="W3079" s="2">
        <v>2.1621660000000001E-2</v>
      </c>
      <c r="X3079">
        <f t="shared" si="144"/>
        <v>0</v>
      </c>
      <c r="Y3079">
        <f t="shared" si="145"/>
        <v>0</v>
      </c>
      <c r="Z3079">
        <f t="shared" si="146"/>
        <v>0</v>
      </c>
    </row>
    <row r="3080" spans="1:26" ht="15.75" customHeight="1" x14ac:dyDescent="0.2">
      <c r="A3080" s="2" t="s">
        <v>36</v>
      </c>
      <c r="B3080" s="2" t="s">
        <v>35</v>
      </c>
      <c r="C3080" s="2" t="s">
        <v>25</v>
      </c>
      <c r="D3080" s="2" t="s">
        <v>25</v>
      </c>
      <c r="E3080" s="2">
        <v>206</v>
      </c>
      <c r="F3080" s="2">
        <v>209</v>
      </c>
      <c r="G3080" s="2">
        <v>723</v>
      </c>
      <c r="H3080" s="2">
        <v>1548</v>
      </c>
      <c r="I3080" s="2">
        <v>3088</v>
      </c>
      <c r="J3080" s="2">
        <v>2.06</v>
      </c>
      <c r="K3080" s="2">
        <v>6.69</v>
      </c>
      <c r="L3080" s="2">
        <v>11.3</v>
      </c>
      <c r="M3080" s="2">
        <v>15.87</v>
      </c>
      <c r="N3080" s="2">
        <v>0.38004444100000001</v>
      </c>
      <c r="O3080" s="2">
        <v>0.39217772400000001</v>
      </c>
      <c r="P3080" s="2">
        <v>2.0011424959999999</v>
      </c>
      <c r="Q3080" s="2">
        <v>2.1827318459999998</v>
      </c>
      <c r="R3080" s="2">
        <v>1.9921769380000001</v>
      </c>
      <c r="S3080" s="2">
        <v>2.182176938</v>
      </c>
      <c r="T3080" s="2">
        <v>0.18921505299999999</v>
      </c>
      <c r="U3080" s="2">
        <v>4.9215053000000002E-2</v>
      </c>
      <c r="V3080" s="2">
        <v>3.1187373630000002</v>
      </c>
      <c r="W3080" s="2">
        <v>3.1292780109999998</v>
      </c>
      <c r="X3080">
        <f t="shared" si="144"/>
        <v>0</v>
      </c>
      <c r="Y3080">
        <f t="shared" si="145"/>
        <v>0</v>
      </c>
      <c r="Z3080">
        <f t="shared" si="146"/>
        <v>0</v>
      </c>
    </row>
    <row r="3081" spans="1:26" ht="15.75" customHeight="1" x14ac:dyDescent="0.2">
      <c r="A3081" s="2" t="s">
        <v>36</v>
      </c>
      <c r="B3081" s="2" t="s">
        <v>35</v>
      </c>
      <c r="C3081" s="2" t="s">
        <v>25</v>
      </c>
      <c r="D3081" s="2" t="s">
        <v>25</v>
      </c>
      <c r="E3081" s="2">
        <v>199</v>
      </c>
      <c r="F3081" s="2">
        <v>218</v>
      </c>
      <c r="G3081" s="2">
        <v>751</v>
      </c>
      <c r="H3081" s="2">
        <v>1453</v>
      </c>
      <c r="I3081" s="2">
        <v>3119</v>
      </c>
      <c r="J3081" s="2">
        <v>2.15</v>
      </c>
      <c r="K3081" s="2">
        <v>6.89</v>
      </c>
      <c r="L3081" s="2">
        <v>10.89</v>
      </c>
      <c r="M3081" s="2">
        <v>15.93</v>
      </c>
      <c r="N3081" s="2">
        <v>0.14577853099999999</v>
      </c>
      <c r="O3081" s="2">
        <v>0.72491775599999997</v>
      </c>
      <c r="P3081" s="2">
        <v>2.205994971</v>
      </c>
      <c r="Q3081" s="2">
        <v>2.4122547839999999</v>
      </c>
      <c r="R3081" s="2">
        <v>2.1945105759999999</v>
      </c>
      <c r="S3081" s="2">
        <v>2.3845105759999998</v>
      </c>
      <c r="T3081" s="2">
        <v>0.224804688</v>
      </c>
      <c r="U3081" s="2">
        <v>0.36480468799999999</v>
      </c>
      <c r="V3081" s="2">
        <v>3.3210709999999999</v>
      </c>
      <c r="W3081" s="2">
        <v>3.331611648</v>
      </c>
      <c r="X3081">
        <f t="shared" si="144"/>
        <v>0</v>
      </c>
      <c r="Y3081">
        <f t="shared" si="145"/>
        <v>0</v>
      </c>
      <c r="Z3081">
        <f t="shared" si="146"/>
        <v>0</v>
      </c>
    </row>
    <row r="3082" spans="1:26" ht="15.75" customHeight="1" x14ac:dyDescent="0.2">
      <c r="A3082" s="2" t="s">
        <v>36</v>
      </c>
      <c r="B3082" s="2" t="s">
        <v>35</v>
      </c>
      <c r="C3082" s="2" t="s">
        <v>25</v>
      </c>
      <c r="D3082" s="2" t="s">
        <v>25</v>
      </c>
      <c r="E3082" s="2">
        <v>215</v>
      </c>
      <c r="F3082" s="2">
        <v>219</v>
      </c>
      <c r="G3082" s="2">
        <v>793</v>
      </c>
      <c r="H3082" s="2">
        <v>1521</v>
      </c>
      <c r="I3082" s="2">
        <v>3089</v>
      </c>
      <c r="J3082" s="2">
        <v>2.16</v>
      </c>
      <c r="K3082" s="2">
        <v>7.19</v>
      </c>
      <c r="L3082" s="2">
        <v>11.19</v>
      </c>
      <c r="M3082" s="2">
        <v>15.87</v>
      </c>
      <c r="N3082" s="2">
        <v>0.295813571</v>
      </c>
      <c r="O3082" s="2">
        <v>0.902159936</v>
      </c>
      <c r="P3082" s="2">
        <v>2.4960694399999999</v>
      </c>
      <c r="Q3082" s="2">
        <v>2.6856803560000002</v>
      </c>
      <c r="R3082" s="2">
        <v>2.4949152539999999</v>
      </c>
      <c r="S3082" s="2">
        <v>2.6849152539999999</v>
      </c>
      <c r="T3082" s="2">
        <v>7.5898122999999998E-2</v>
      </c>
      <c r="U3082" s="2">
        <v>6.4101877000000002E-2</v>
      </c>
      <c r="V3082" s="2">
        <v>3.621475679</v>
      </c>
      <c r="W3082" s="2">
        <v>3.6320163270000001</v>
      </c>
      <c r="X3082">
        <f t="shared" si="144"/>
        <v>0</v>
      </c>
      <c r="Y3082">
        <f t="shared" si="145"/>
        <v>0</v>
      </c>
      <c r="Z3082">
        <f t="shared" si="146"/>
        <v>0</v>
      </c>
    </row>
    <row r="3083" spans="1:26" ht="15.75" customHeight="1" x14ac:dyDescent="0.2">
      <c r="A3083" s="2" t="s">
        <v>36</v>
      </c>
      <c r="B3083" s="2" t="s">
        <v>35</v>
      </c>
      <c r="C3083" s="2" t="s">
        <v>28</v>
      </c>
      <c r="D3083" s="2" t="s">
        <v>29</v>
      </c>
      <c r="E3083" s="2">
        <v>180</v>
      </c>
      <c r="F3083" s="2">
        <v>233</v>
      </c>
      <c r="G3083" s="2">
        <v>333</v>
      </c>
      <c r="H3083" s="2">
        <v>1206</v>
      </c>
      <c r="I3083" s="2">
        <v>2212</v>
      </c>
      <c r="J3083" s="2">
        <v>2.3199999999999998</v>
      </c>
      <c r="K3083" s="2">
        <v>3.36</v>
      </c>
      <c r="L3083" s="2">
        <v>9.68</v>
      </c>
      <c r="M3083" s="2">
        <v>13.68</v>
      </c>
      <c r="N3083" s="2">
        <v>2.5118417110000002</v>
      </c>
      <c r="O3083" s="2">
        <v>2.2810496929999999</v>
      </c>
      <c r="P3083" s="2">
        <v>1.9565071430000001</v>
      </c>
      <c r="Q3083" s="2">
        <v>1.9425952959999999</v>
      </c>
      <c r="R3083" s="2">
        <v>1.3398604249999999</v>
      </c>
      <c r="S3083" s="2">
        <v>1.149860425</v>
      </c>
      <c r="T3083" s="2">
        <v>1.4257258660000001</v>
      </c>
      <c r="U3083" s="2">
        <v>1.565725866</v>
      </c>
      <c r="V3083" s="2">
        <v>-0.21329999999999999</v>
      </c>
      <c r="W3083" s="2">
        <v>-0.202759352</v>
      </c>
      <c r="X3083">
        <f t="shared" si="144"/>
        <v>0</v>
      </c>
      <c r="Y3083">
        <f t="shared" si="145"/>
        <v>0</v>
      </c>
      <c r="Z3083">
        <f t="shared" si="146"/>
        <v>1</v>
      </c>
    </row>
    <row r="3084" spans="1:26" ht="15.75" customHeight="1" x14ac:dyDescent="0.2">
      <c r="A3084" s="2" t="s">
        <v>36</v>
      </c>
      <c r="B3084" s="2" t="s">
        <v>35</v>
      </c>
      <c r="C3084" s="2" t="s">
        <v>30</v>
      </c>
      <c r="D3084" s="2" t="s">
        <v>31</v>
      </c>
      <c r="E3084" s="2">
        <v>180</v>
      </c>
      <c r="F3084" s="2">
        <v>215</v>
      </c>
      <c r="G3084" s="2">
        <v>707</v>
      </c>
      <c r="H3084" s="2">
        <v>1068</v>
      </c>
      <c r="I3084" s="2">
        <v>2188</v>
      </c>
      <c r="J3084" s="2">
        <v>2.12</v>
      </c>
      <c r="K3084" s="2">
        <v>6.57</v>
      </c>
      <c r="L3084" s="2">
        <v>8.93</v>
      </c>
      <c r="M3084" s="2">
        <v>13.61</v>
      </c>
      <c r="N3084" s="2">
        <v>5.6831639100000002</v>
      </c>
      <c r="O3084" s="2">
        <v>5.6467209470000004</v>
      </c>
      <c r="P3084" s="2">
        <v>2.8781449860000001</v>
      </c>
      <c r="Q3084" s="2">
        <v>3.1085811410000002</v>
      </c>
      <c r="R3084" s="2">
        <v>1.8746499999999999</v>
      </c>
      <c r="S3084" s="2">
        <v>2.0646499999999999</v>
      </c>
      <c r="T3084" s="2">
        <v>2.1838969619999999</v>
      </c>
      <c r="U3084" s="2">
        <v>2.3238969620000001</v>
      </c>
      <c r="V3084" s="2">
        <v>3.001210425</v>
      </c>
      <c r="W3084" s="2">
        <v>3.0117510730000001</v>
      </c>
      <c r="X3084">
        <f t="shared" si="144"/>
        <v>0</v>
      </c>
      <c r="Y3084">
        <f t="shared" si="145"/>
        <v>0</v>
      </c>
      <c r="Z3084">
        <f t="shared" si="146"/>
        <v>1</v>
      </c>
    </row>
    <row r="3085" spans="1:26" ht="15.75" customHeight="1" x14ac:dyDescent="0.2">
      <c r="A3085" s="2" t="s">
        <v>36</v>
      </c>
      <c r="B3085" s="2" t="s">
        <v>35</v>
      </c>
      <c r="C3085" s="2" t="s">
        <v>32</v>
      </c>
      <c r="D3085" s="2" t="s">
        <v>33</v>
      </c>
      <c r="E3085" s="2">
        <v>210</v>
      </c>
      <c r="F3085" s="2">
        <v>223</v>
      </c>
      <c r="G3085" s="2">
        <v>433</v>
      </c>
      <c r="H3085" s="2">
        <v>769</v>
      </c>
      <c r="I3085" s="2">
        <v>1956</v>
      </c>
      <c r="J3085" s="2">
        <v>2.21</v>
      </c>
      <c r="K3085" s="2">
        <v>4.32</v>
      </c>
      <c r="L3085" s="2">
        <v>7.02</v>
      </c>
      <c r="M3085" s="2">
        <v>12.86</v>
      </c>
      <c r="N3085" s="2">
        <v>4.7809025209999998</v>
      </c>
      <c r="O3085" s="2">
        <v>4.7097457829999998</v>
      </c>
      <c r="P3085" s="2">
        <v>4.1025087009999996</v>
      </c>
      <c r="Q3085" s="2">
        <v>4.2293424689999997</v>
      </c>
      <c r="R3085" s="2">
        <v>0.37582172699999999</v>
      </c>
      <c r="S3085" s="2">
        <v>0.18582172699999999</v>
      </c>
      <c r="T3085" s="2">
        <v>4.0852583359999999</v>
      </c>
      <c r="U3085" s="2">
        <v>4.2252583359999996</v>
      </c>
      <c r="V3085" s="2">
        <v>0.75073869800000004</v>
      </c>
      <c r="W3085" s="2">
        <v>0.76127934600000002</v>
      </c>
      <c r="X3085">
        <f t="shared" si="144"/>
        <v>0</v>
      </c>
      <c r="Y3085">
        <f t="shared" si="145"/>
        <v>0</v>
      </c>
      <c r="Z3085">
        <f t="shared" si="146"/>
        <v>1</v>
      </c>
    </row>
    <row r="3086" spans="1:26" ht="15.75" customHeight="1" x14ac:dyDescent="0.2">
      <c r="A3086" s="2" t="s">
        <v>36</v>
      </c>
      <c r="B3086" s="2" t="s">
        <v>35</v>
      </c>
      <c r="C3086" s="2" t="s">
        <v>26</v>
      </c>
      <c r="D3086" s="2" t="s">
        <v>26</v>
      </c>
      <c r="E3086" s="2">
        <v>173</v>
      </c>
      <c r="F3086" s="2">
        <v>225</v>
      </c>
      <c r="G3086" s="2">
        <v>424</v>
      </c>
      <c r="H3086" s="2">
        <v>971</v>
      </c>
      <c r="I3086" s="2">
        <v>2837</v>
      </c>
      <c r="J3086" s="2">
        <v>2.23</v>
      </c>
      <c r="K3086" s="2">
        <v>4.24</v>
      </c>
      <c r="L3086" s="2">
        <v>8.35</v>
      </c>
      <c r="M3086" s="2">
        <v>15.33</v>
      </c>
      <c r="N3086" s="2">
        <v>1.043586476</v>
      </c>
      <c r="O3086" s="2">
        <v>0.83220791999999999</v>
      </c>
      <c r="P3086" s="2">
        <v>2.7960966410000001</v>
      </c>
      <c r="Q3086" s="2">
        <v>2.9106445879999998</v>
      </c>
      <c r="R3086" s="2">
        <v>0.45869705</v>
      </c>
      <c r="S3086" s="2">
        <v>0.26869704999999999</v>
      </c>
      <c r="T3086" s="2">
        <v>2.7582156260000001</v>
      </c>
      <c r="U3086" s="2">
        <v>2.8982156259999998</v>
      </c>
      <c r="V3086" s="2">
        <v>0.66786337399999995</v>
      </c>
      <c r="W3086" s="2">
        <v>0.67840402300000002</v>
      </c>
      <c r="X3086">
        <f t="shared" si="144"/>
        <v>0</v>
      </c>
      <c r="Y3086">
        <f t="shared" si="145"/>
        <v>0</v>
      </c>
      <c r="Z3086">
        <f t="shared" si="146"/>
        <v>0</v>
      </c>
    </row>
    <row r="3087" spans="1:26" ht="15.75" customHeight="1" x14ac:dyDescent="0.2">
      <c r="A3087" s="2" t="s">
        <v>36</v>
      </c>
      <c r="B3087" s="2" t="s">
        <v>35</v>
      </c>
      <c r="C3087" s="2" t="s">
        <v>32</v>
      </c>
      <c r="D3087" s="2" t="s">
        <v>33</v>
      </c>
      <c r="E3087" s="2">
        <v>187</v>
      </c>
      <c r="F3087" s="2">
        <v>217</v>
      </c>
      <c r="G3087" s="2">
        <v>608</v>
      </c>
      <c r="H3087" s="2">
        <v>1006</v>
      </c>
      <c r="I3087" s="2">
        <v>2349</v>
      </c>
      <c r="J3087" s="2">
        <v>2.14</v>
      </c>
      <c r="K3087" s="2">
        <v>5.82</v>
      </c>
      <c r="L3087" s="2">
        <v>8.57</v>
      </c>
      <c r="M3087" s="2">
        <v>14.09</v>
      </c>
      <c r="N3087" s="2">
        <v>2.7033028309999998</v>
      </c>
      <c r="O3087" s="2">
        <v>2.776897366</v>
      </c>
      <c r="P3087" s="2">
        <v>2.7792464899999998</v>
      </c>
      <c r="Q3087" s="2">
        <v>2.9861483440000001</v>
      </c>
      <c r="R3087" s="2">
        <v>1.1175389410000001</v>
      </c>
      <c r="S3087" s="2">
        <v>1.307538941</v>
      </c>
      <c r="T3087" s="2">
        <v>2.544664569</v>
      </c>
      <c r="U3087" s="2">
        <v>2.6846645690000002</v>
      </c>
      <c r="V3087" s="2">
        <v>2.2440993649999998</v>
      </c>
      <c r="W3087" s="2">
        <v>2.254640014</v>
      </c>
      <c r="X3087">
        <f t="shared" si="144"/>
        <v>0</v>
      </c>
      <c r="Y3087">
        <f t="shared" si="145"/>
        <v>0</v>
      </c>
      <c r="Z3087">
        <f t="shared" si="146"/>
        <v>1</v>
      </c>
    </row>
    <row r="3088" spans="1:26" ht="15.75" customHeight="1" x14ac:dyDescent="0.2">
      <c r="A3088" s="2" t="s">
        <v>36</v>
      </c>
      <c r="B3088" s="2" t="s">
        <v>35</v>
      </c>
      <c r="C3088" s="2" t="s">
        <v>28</v>
      </c>
      <c r="D3088" s="2" t="s">
        <v>29</v>
      </c>
      <c r="E3088" s="2">
        <v>179</v>
      </c>
      <c r="F3088" s="2">
        <v>234</v>
      </c>
      <c r="G3088" s="2">
        <v>347</v>
      </c>
      <c r="H3088" s="2">
        <v>1369</v>
      </c>
      <c r="I3088" s="2">
        <v>2664</v>
      </c>
      <c r="J3088" s="2">
        <v>2.33</v>
      </c>
      <c r="K3088" s="2">
        <v>3.51</v>
      </c>
      <c r="L3088" s="2">
        <v>10.5</v>
      </c>
      <c r="M3088" s="2">
        <v>14.92</v>
      </c>
      <c r="N3088" s="2">
        <v>3.257310532</v>
      </c>
      <c r="O3088" s="2">
        <v>3.0276731890000002</v>
      </c>
      <c r="P3088" s="2">
        <v>1.342415344</v>
      </c>
      <c r="Q3088" s="2">
        <v>1.2552673729999999</v>
      </c>
      <c r="R3088" s="2">
        <v>1.1941693149999999</v>
      </c>
      <c r="S3088" s="2">
        <v>1.004169315</v>
      </c>
      <c r="T3088" s="2">
        <v>0.61321986399999995</v>
      </c>
      <c r="U3088" s="2">
        <v>0.75321986399999996</v>
      </c>
      <c r="V3088" s="2">
        <v>-6.7608891000000004E-2</v>
      </c>
      <c r="W3088" s="2">
        <v>-5.7068241999999998E-2</v>
      </c>
      <c r="X3088">
        <f t="shared" si="144"/>
        <v>0</v>
      </c>
      <c r="Y3088">
        <f t="shared" si="145"/>
        <v>0</v>
      </c>
      <c r="Z3088">
        <f t="shared" si="146"/>
        <v>1</v>
      </c>
    </row>
    <row r="3089" spans="1:26" ht="15.75" customHeight="1" x14ac:dyDescent="0.2">
      <c r="A3089" s="2" t="s">
        <v>36</v>
      </c>
      <c r="B3089" s="2" t="s">
        <v>35</v>
      </c>
      <c r="C3089" s="2" t="s">
        <v>32</v>
      </c>
      <c r="D3089" s="2" t="s">
        <v>33</v>
      </c>
      <c r="E3089" s="2">
        <v>197</v>
      </c>
      <c r="F3089" s="2">
        <v>223</v>
      </c>
      <c r="G3089" s="2">
        <v>460</v>
      </c>
      <c r="H3089" s="2">
        <v>870</v>
      </c>
      <c r="I3089" s="2">
        <v>1896</v>
      </c>
      <c r="J3089" s="2">
        <v>2.21</v>
      </c>
      <c r="K3089" s="2">
        <v>4.57</v>
      </c>
      <c r="L3089" s="2">
        <v>7.71</v>
      </c>
      <c r="M3089" s="2">
        <v>12.65</v>
      </c>
      <c r="N3089" s="2">
        <v>4.0775166949999999</v>
      </c>
      <c r="O3089" s="2">
        <v>3.9850350649999999</v>
      </c>
      <c r="P3089" s="2">
        <v>3.4006930519999998</v>
      </c>
      <c r="Q3089" s="2">
        <v>3.5385015229999999</v>
      </c>
      <c r="R3089" s="2">
        <v>0.13388429800000001</v>
      </c>
      <c r="S3089" s="2">
        <v>5.6115702000000003E-2</v>
      </c>
      <c r="T3089" s="2">
        <v>3.398056537</v>
      </c>
      <c r="U3089" s="2">
        <v>3.5380565370000001</v>
      </c>
      <c r="V3089" s="2">
        <v>0.99267612699999996</v>
      </c>
      <c r="W3089" s="2">
        <v>1.0032167750000001</v>
      </c>
      <c r="X3089">
        <f t="shared" si="144"/>
        <v>0</v>
      </c>
      <c r="Y3089">
        <f t="shared" si="145"/>
        <v>0</v>
      </c>
      <c r="Z3089">
        <f t="shared" si="146"/>
        <v>1</v>
      </c>
    </row>
    <row r="3090" spans="1:26" ht="15.75" customHeight="1" x14ac:dyDescent="0.2">
      <c r="A3090" s="2" t="s">
        <v>36</v>
      </c>
      <c r="B3090" s="2" t="s">
        <v>35</v>
      </c>
      <c r="C3090" s="2" t="s">
        <v>25</v>
      </c>
      <c r="D3090" s="2" t="s">
        <v>25</v>
      </c>
      <c r="E3090" s="2">
        <v>156</v>
      </c>
      <c r="F3090" s="2">
        <v>212</v>
      </c>
      <c r="G3090" s="2">
        <v>724</v>
      </c>
      <c r="H3090" s="2">
        <v>1661</v>
      </c>
      <c r="I3090" s="2">
        <v>2908</v>
      </c>
      <c r="J3090" s="2">
        <v>2.09</v>
      </c>
      <c r="K3090" s="2">
        <v>6.7</v>
      </c>
      <c r="L3090" s="2">
        <v>11.77</v>
      </c>
      <c r="M3090" s="2">
        <v>15.48</v>
      </c>
      <c r="N3090" s="2">
        <v>0.78766402899999999</v>
      </c>
      <c r="O3090" s="2">
        <v>0.61436711499999996</v>
      </c>
      <c r="P3090" s="2">
        <v>2.1045757040000002</v>
      </c>
      <c r="Q3090" s="2">
        <v>2.2496325439999998</v>
      </c>
      <c r="R3090" s="2">
        <v>1.9994758420000001</v>
      </c>
      <c r="S3090" s="2">
        <v>2.1894758419999998</v>
      </c>
      <c r="T3090" s="2">
        <v>0.656761186</v>
      </c>
      <c r="U3090" s="2">
        <v>0.51676118599999998</v>
      </c>
      <c r="V3090" s="2">
        <v>3.1260362659999998</v>
      </c>
      <c r="W3090" s="2">
        <v>3.1365769139999999</v>
      </c>
      <c r="X3090">
        <f t="shared" si="144"/>
        <v>0</v>
      </c>
      <c r="Y3090">
        <f t="shared" si="145"/>
        <v>0</v>
      </c>
      <c r="Z3090">
        <f t="shared" si="146"/>
        <v>0</v>
      </c>
    </row>
    <row r="3091" spans="1:26" ht="15.75" customHeight="1" x14ac:dyDescent="0.2">
      <c r="A3091" s="2" t="s">
        <v>36</v>
      </c>
      <c r="B3091" s="2" t="s">
        <v>35</v>
      </c>
      <c r="C3091" s="2" t="s">
        <v>27</v>
      </c>
      <c r="D3091" s="2" t="s">
        <v>27</v>
      </c>
      <c r="E3091" s="2">
        <v>195</v>
      </c>
      <c r="F3091" s="2">
        <v>232</v>
      </c>
      <c r="G3091" s="2">
        <v>451</v>
      </c>
      <c r="H3091" s="2">
        <v>2294</v>
      </c>
      <c r="I3091" s="2">
        <v>3025</v>
      </c>
      <c r="J3091" s="2">
        <v>2.31</v>
      </c>
      <c r="K3091" s="2">
        <v>4.49</v>
      </c>
      <c r="L3091" s="2">
        <v>13.93</v>
      </c>
      <c r="M3091" s="2">
        <v>15.74</v>
      </c>
      <c r="N3091" s="2">
        <v>0.26316203500000002</v>
      </c>
      <c r="O3091" s="2">
        <v>0.253270675</v>
      </c>
      <c r="P3091" s="2">
        <v>2.8266365109999998</v>
      </c>
      <c r="Q3091" s="2">
        <v>2.678568667</v>
      </c>
      <c r="R3091" s="2">
        <v>0.21493985900000001</v>
      </c>
      <c r="S3091" s="2">
        <v>2.4939859000000002E-2</v>
      </c>
      <c r="T3091" s="2">
        <v>2.8184525580000002</v>
      </c>
      <c r="U3091" s="2">
        <v>2.678452558</v>
      </c>
      <c r="V3091" s="2">
        <v>0.91162056599999997</v>
      </c>
      <c r="W3091" s="2">
        <v>0.92216121399999995</v>
      </c>
      <c r="X3091">
        <f t="shared" si="144"/>
        <v>0</v>
      </c>
      <c r="Y3091">
        <f t="shared" si="145"/>
        <v>0</v>
      </c>
      <c r="Z3091">
        <f t="shared" si="146"/>
        <v>0</v>
      </c>
    </row>
    <row r="3092" spans="1:26" ht="15.75" customHeight="1" x14ac:dyDescent="0.2">
      <c r="A3092" s="2" t="s">
        <v>36</v>
      </c>
      <c r="B3092" s="2" t="s">
        <v>35</v>
      </c>
      <c r="C3092" s="2" t="s">
        <v>30</v>
      </c>
      <c r="D3092" s="2" t="s">
        <v>31</v>
      </c>
      <c r="E3092" s="2">
        <v>188</v>
      </c>
      <c r="F3092" s="2">
        <v>225</v>
      </c>
      <c r="G3092" s="2">
        <v>326</v>
      </c>
      <c r="H3092" s="2">
        <v>958</v>
      </c>
      <c r="I3092" s="2">
        <v>1492</v>
      </c>
      <c r="J3092" s="2">
        <v>2.23</v>
      </c>
      <c r="K3092" s="2">
        <v>3.29</v>
      </c>
      <c r="L3092" s="2">
        <v>8.27</v>
      </c>
      <c r="M3092" s="2">
        <v>11.06</v>
      </c>
      <c r="N3092" s="2">
        <v>5.9859553669999999</v>
      </c>
      <c r="O3092" s="2">
        <v>5.9048711340000004</v>
      </c>
      <c r="P3092" s="2">
        <v>3.1694216690000001</v>
      </c>
      <c r="Q3092" s="2">
        <v>3.2189482310000002</v>
      </c>
      <c r="R3092" s="2">
        <v>1.4067016619999999</v>
      </c>
      <c r="S3092" s="2">
        <v>1.216701662</v>
      </c>
      <c r="T3092" s="2">
        <v>2.8401450929999998</v>
      </c>
      <c r="U3092" s="2">
        <v>2.980145093</v>
      </c>
      <c r="V3092" s="2">
        <v>-0.28014123800000001</v>
      </c>
      <c r="W3092" s="2">
        <v>-0.26960058999999997</v>
      </c>
      <c r="X3092">
        <f t="shared" si="144"/>
        <v>0</v>
      </c>
      <c r="Y3092">
        <f t="shared" si="145"/>
        <v>0</v>
      </c>
      <c r="Z3092">
        <f t="shared" si="146"/>
        <v>1</v>
      </c>
    </row>
    <row r="3093" spans="1:26" ht="15.75" customHeight="1" x14ac:dyDescent="0.2">
      <c r="A3093" s="2" t="s">
        <v>36</v>
      </c>
      <c r="B3093" s="2" t="s">
        <v>35</v>
      </c>
      <c r="C3093" s="2" t="s">
        <v>25</v>
      </c>
      <c r="D3093" s="2" t="s">
        <v>25</v>
      </c>
      <c r="E3093" s="2">
        <v>196</v>
      </c>
      <c r="F3093" s="2">
        <v>214</v>
      </c>
      <c r="G3093" s="2">
        <v>790</v>
      </c>
      <c r="H3093" s="2">
        <v>1435</v>
      </c>
      <c r="I3093" s="2">
        <v>3040</v>
      </c>
      <c r="J3093" s="2">
        <v>2.11</v>
      </c>
      <c r="K3093" s="2">
        <v>7.17</v>
      </c>
      <c r="L3093" s="2">
        <v>10.8</v>
      </c>
      <c r="M3093" s="2">
        <v>15.77</v>
      </c>
      <c r="N3093" s="2">
        <v>0.31200797600000002</v>
      </c>
      <c r="O3093" s="2">
        <v>1.0047197649999999</v>
      </c>
      <c r="P3093" s="2">
        <v>2.4910779980000002</v>
      </c>
      <c r="Q3093" s="2">
        <v>2.699461968</v>
      </c>
      <c r="R3093" s="2">
        <v>2.4717818180000002</v>
      </c>
      <c r="S3093" s="2">
        <v>2.6617818180000001</v>
      </c>
      <c r="T3093" s="2">
        <v>0.309457973</v>
      </c>
      <c r="U3093" s="2">
        <v>0.44945797300000001</v>
      </c>
      <c r="V3093" s="2">
        <v>3.5983422429999998</v>
      </c>
      <c r="W3093" s="2">
        <v>3.6088828909999999</v>
      </c>
      <c r="X3093">
        <f t="shared" si="144"/>
        <v>0</v>
      </c>
      <c r="Y3093">
        <f t="shared" si="145"/>
        <v>0</v>
      </c>
      <c r="Z3093">
        <f t="shared" si="146"/>
        <v>0</v>
      </c>
    </row>
    <row r="3094" spans="1:26" ht="15.75" customHeight="1" x14ac:dyDescent="0.2">
      <c r="A3094" s="2" t="s">
        <v>36</v>
      </c>
      <c r="B3094" s="2" t="s">
        <v>35</v>
      </c>
      <c r="C3094" s="2" t="s">
        <v>30</v>
      </c>
      <c r="D3094" s="2" t="s">
        <v>31</v>
      </c>
      <c r="E3094" s="2">
        <v>213</v>
      </c>
      <c r="F3094" s="2">
        <v>227</v>
      </c>
      <c r="G3094" s="2">
        <v>420</v>
      </c>
      <c r="H3094" s="2">
        <v>1041</v>
      </c>
      <c r="I3094" s="2">
        <v>2076</v>
      </c>
      <c r="J3094" s="2">
        <v>2.25</v>
      </c>
      <c r="K3094" s="2">
        <v>4.2</v>
      </c>
      <c r="L3094" s="2">
        <v>8.77</v>
      </c>
      <c r="M3094" s="2">
        <v>13.26</v>
      </c>
      <c r="N3094" s="2">
        <v>5.3905176020000001</v>
      </c>
      <c r="O3094" s="2">
        <v>5.3188795630000003</v>
      </c>
      <c r="P3094" s="2">
        <v>2.3913516590000001</v>
      </c>
      <c r="Q3094" s="2">
        <v>2.4976385790000002</v>
      </c>
      <c r="R3094" s="2">
        <v>0.50191623500000004</v>
      </c>
      <c r="S3094" s="2">
        <v>0.31191623499999999</v>
      </c>
      <c r="T3094" s="2">
        <v>2.338085295</v>
      </c>
      <c r="U3094" s="2">
        <v>2.4780852950000001</v>
      </c>
      <c r="V3094" s="2">
        <v>0.62464419000000004</v>
      </c>
      <c r="W3094" s="2">
        <v>0.63518483800000003</v>
      </c>
      <c r="X3094">
        <f t="shared" si="144"/>
        <v>0</v>
      </c>
      <c r="Y3094">
        <f t="shared" si="145"/>
        <v>0</v>
      </c>
      <c r="Z3094">
        <f t="shared" si="146"/>
        <v>1</v>
      </c>
    </row>
    <row r="3095" spans="1:26" ht="15.75" customHeight="1" x14ac:dyDescent="0.2">
      <c r="A3095" s="2" t="s">
        <v>36</v>
      </c>
      <c r="B3095" s="2" t="s">
        <v>35</v>
      </c>
      <c r="C3095" s="2" t="s">
        <v>25</v>
      </c>
      <c r="D3095" s="2" t="s">
        <v>25</v>
      </c>
      <c r="E3095" s="2">
        <v>236</v>
      </c>
      <c r="F3095" s="2">
        <v>212</v>
      </c>
      <c r="G3095" s="2">
        <v>782</v>
      </c>
      <c r="H3095" s="2">
        <v>1394</v>
      </c>
      <c r="I3095" s="2">
        <v>3011</v>
      </c>
      <c r="J3095" s="2">
        <v>2.09</v>
      </c>
      <c r="K3095" s="2">
        <v>7.11</v>
      </c>
      <c r="L3095" s="2">
        <v>10.61</v>
      </c>
      <c r="M3095" s="2">
        <v>15.71</v>
      </c>
      <c r="N3095" s="2">
        <v>0.46871554500000001</v>
      </c>
      <c r="O3095" s="2">
        <v>0.55931949800000003</v>
      </c>
      <c r="P3095" s="2">
        <v>2.7660976129999999</v>
      </c>
      <c r="Q3095" s="2">
        <v>2.7344732440000001</v>
      </c>
      <c r="R3095" s="2">
        <v>2.693702128</v>
      </c>
      <c r="S3095" s="2">
        <v>2.6437021280000002</v>
      </c>
      <c r="T3095" s="2">
        <v>0.62870092399999999</v>
      </c>
      <c r="U3095" s="2">
        <v>0.69870092399999995</v>
      </c>
      <c r="V3095" s="2">
        <v>4.0305373250000001</v>
      </c>
      <c r="W3095" s="2">
        <v>4.0459349290000004</v>
      </c>
      <c r="X3095">
        <f t="shared" si="144"/>
        <v>0</v>
      </c>
      <c r="Y3095">
        <f t="shared" si="145"/>
        <v>0</v>
      </c>
      <c r="Z3095">
        <f t="shared" si="146"/>
        <v>0</v>
      </c>
    </row>
    <row r="3096" spans="1:26" ht="15.75" customHeight="1" x14ac:dyDescent="0.2">
      <c r="A3096" s="2" t="s">
        <v>36</v>
      </c>
      <c r="B3096" s="2" t="s">
        <v>35</v>
      </c>
      <c r="C3096" s="2" t="s">
        <v>26</v>
      </c>
      <c r="D3096" s="2" t="s">
        <v>26</v>
      </c>
      <c r="E3096" s="2">
        <v>195</v>
      </c>
      <c r="F3096" s="2">
        <v>207</v>
      </c>
      <c r="G3096" s="2">
        <v>403</v>
      </c>
      <c r="H3096" s="2">
        <v>927</v>
      </c>
      <c r="I3096" s="2">
        <v>2713</v>
      </c>
      <c r="J3096" s="2">
        <v>2.0299999999999998</v>
      </c>
      <c r="K3096" s="2">
        <v>4.04</v>
      </c>
      <c r="L3096" s="2">
        <v>8.08</v>
      </c>
      <c r="M3096" s="2">
        <v>15.04</v>
      </c>
      <c r="N3096" s="2">
        <v>0.30441279999999998</v>
      </c>
      <c r="O3096" s="2">
        <v>0.23662228299999999</v>
      </c>
      <c r="P3096" s="2">
        <v>3.186392932</v>
      </c>
      <c r="Q3096" s="2">
        <v>3.2621278290000002</v>
      </c>
      <c r="R3096" s="2">
        <v>0.38080135399999998</v>
      </c>
      <c r="S3096" s="2">
        <v>0.43080135400000003</v>
      </c>
      <c r="T3096" s="2">
        <v>3.163556582</v>
      </c>
      <c r="U3096" s="2">
        <v>3.2335565819999998</v>
      </c>
      <c r="V3096" s="2">
        <v>0.95603384300000005</v>
      </c>
      <c r="W3096" s="2">
        <v>0.97143144699999995</v>
      </c>
      <c r="X3096">
        <f t="shared" si="144"/>
        <v>0</v>
      </c>
      <c r="Y3096">
        <f t="shared" si="145"/>
        <v>0</v>
      </c>
      <c r="Z3096">
        <f t="shared" si="146"/>
        <v>0</v>
      </c>
    </row>
    <row r="3097" spans="1:26" ht="15.75" customHeight="1" x14ac:dyDescent="0.2">
      <c r="A3097" s="2" t="s">
        <v>36</v>
      </c>
      <c r="B3097" s="2" t="s">
        <v>35</v>
      </c>
      <c r="C3097" s="2" t="s">
        <v>27</v>
      </c>
      <c r="D3097" s="2" t="s">
        <v>27</v>
      </c>
      <c r="E3097" s="2">
        <v>204</v>
      </c>
      <c r="F3097" s="2">
        <v>231</v>
      </c>
      <c r="G3097" s="2">
        <v>407</v>
      </c>
      <c r="H3097" s="2">
        <v>2064</v>
      </c>
      <c r="I3097" s="2">
        <v>2755</v>
      </c>
      <c r="J3097" s="2">
        <v>2.29</v>
      </c>
      <c r="K3097" s="2">
        <v>4.08</v>
      </c>
      <c r="L3097" s="2">
        <v>13.22</v>
      </c>
      <c r="M3097" s="2">
        <v>15.14</v>
      </c>
      <c r="N3097" s="2">
        <v>0.29174876599999999</v>
      </c>
      <c r="O3097" s="2">
        <v>0.34114590099999997</v>
      </c>
      <c r="P3097" s="2">
        <v>2.009889861</v>
      </c>
      <c r="Q3097" s="2">
        <v>1.9504170460000001</v>
      </c>
      <c r="R3097" s="2">
        <v>0.34321126800000001</v>
      </c>
      <c r="S3097" s="2">
        <v>0.393211268</v>
      </c>
      <c r="T3097" s="2">
        <v>1.9803694810000001</v>
      </c>
      <c r="U3097" s="2">
        <v>1.910369481</v>
      </c>
      <c r="V3097" s="2">
        <v>0.99362393000000004</v>
      </c>
      <c r="W3097" s="2">
        <v>1.0090215330000001</v>
      </c>
      <c r="X3097">
        <f t="shared" si="144"/>
        <v>0</v>
      </c>
      <c r="Y3097">
        <f t="shared" si="145"/>
        <v>0</v>
      </c>
      <c r="Z3097">
        <f t="shared" si="146"/>
        <v>0</v>
      </c>
    </row>
    <row r="3098" spans="1:26" ht="15.75" customHeight="1" x14ac:dyDescent="0.2">
      <c r="A3098" s="2" t="s">
        <v>36</v>
      </c>
      <c r="B3098" s="2" t="s">
        <v>35</v>
      </c>
      <c r="C3098" s="2" t="s">
        <v>28</v>
      </c>
      <c r="D3098" s="2" t="s">
        <v>29</v>
      </c>
      <c r="E3098" s="2">
        <v>185</v>
      </c>
      <c r="F3098" s="2">
        <v>228</v>
      </c>
      <c r="G3098" s="2">
        <v>457</v>
      </c>
      <c r="H3098" s="2">
        <v>971</v>
      </c>
      <c r="I3098" s="2">
        <v>2728</v>
      </c>
      <c r="J3098" s="2">
        <v>2.2599999999999998</v>
      </c>
      <c r="K3098" s="2">
        <v>4.54</v>
      </c>
      <c r="L3098" s="2">
        <v>8.35</v>
      </c>
      <c r="M3098" s="2">
        <v>15.07</v>
      </c>
      <c r="N3098" s="2">
        <v>0.81033477399999998</v>
      </c>
      <c r="O3098" s="2">
        <v>0.72548205899999996</v>
      </c>
      <c r="P3098" s="2">
        <v>2.8887611390000001</v>
      </c>
      <c r="Q3098" s="2">
        <v>2.9570575699999999</v>
      </c>
      <c r="R3098" s="2">
        <v>0.122162162</v>
      </c>
      <c r="S3098" s="2">
        <v>7.2162162000000002E-2</v>
      </c>
      <c r="T3098" s="2">
        <v>2.8861769389999998</v>
      </c>
      <c r="U3098" s="2">
        <v>2.9561769390000001</v>
      </c>
      <c r="V3098" s="2">
        <v>1.4589973599999999</v>
      </c>
      <c r="W3098" s="2">
        <v>1.4743949629999999</v>
      </c>
      <c r="X3098">
        <f t="shared" si="144"/>
        <v>0</v>
      </c>
      <c r="Y3098">
        <f t="shared" si="145"/>
        <v>0</v>
      </c>
      <c r="Z3098">
        <f t="shared" si="146"/>
        <v>1</v>
      </c>
    </row>
    <row r="3099" spans="1:26" ht="15.75" customHeight="1" x14ac:dyDescent="0.2">
      <c r="A3099" s="2" t="s">
        <v>36</v>
      </c>
      <c r="B3099" s="2" t="s">
        <v>35</v>
      </c>
      <c r="C3099" s="2" t="s">
        <v>30</v>
      </c>
      <c r="D3099" s="2" t="s">
        <v>31</v>
      </c>
      <c r="E3099" s="2">
        <v>233</v>
      </c>
      <c r="F3099" s="2">
        <v>217</v>
      </c>
      <c r="G3099" s="2">
        <v>547</v>
      </c>
      <c r="H3099" s="2">
        <v>1207</v>
      </c>
      <c r="I3099" s="2">
        <v>2900</v>
      </c>
      <c r="J3099" s="2">
        <v>2.14</v>
      </c>
      <c r="K3099" s="2">
        <v>5.32</v>
      </c>
      <c r="L3099" s="2">
        <v>9.69</v>
      </c>
      <c r="M3099" s="2">
        <v>15.47</v>
      </c>
      <c r="N3099" s="2">
        <v>3.9822272889999999</v>
      </c>
      <c r="O3099" s="2">
        <v>3.9940505690000001</v>
      </c>
      <c r="P3099" s="2">
        <v>1.791191897</v>
      </c>
      <c r="Q3099" s="2">
        <v>1.8284283720000001</v>
      </c>
      <c r="R3099" s="2">
        <v>0.89686170200000004</v>
      </c>
      <c r="S3099" s="2">
        <v>0.84686170199999999</v>
      </c>
      <c r="T3099" s="2">
        <v>1.5504862129999999</v>
      </c>
      <c r="U3099" s="2">
        <v>1.620486213</v>
      </c>
      <c r="V3099" s="2">
        <v>2.2336969</v>
      </c>
      <c r="W3099" s="2">
        <v>2.2490945029999998</v>
      </c>
      <c r="X3099">
        <f t="shared" si="144"/>
        <v>0</v>
      </c>
      <c r="Y3099">
        <f t="shared" si="145"/>
        <v>0</v>
      </c>
      <c r="Z3099">
        <f t="shared" si="146"/>
        <v>1</v>
      </c>
    </row>
    <row r="3100" spans="1:26" ht="15.75" customHeight="1" x14ac:dyDescent="0.2">
      <c r="A3100" s="2" t="s">
        <v>36</v>
      </c>
      <c r="B3100" s="2" t="s">
        <v>35</v>
      </c>
      <c r="C3100" s="2" t="s">
        <v>26</v>
      </c>
      <c r="D3100" s="2" t="s">
        <v>26</v>
      </c>
      <c r="E3100" s="2">
        <v>173</v>
      </c>
      <c r="F3100" s="2">
        <v>203</v>
      </c>
      <c r="G3100" s="2">
        <v>375</v>
      </c>
      <c r="H3100" s="2">
        <v>739</v>
      </c>
      <c r="I3100" s="2">
        <v>2819</v>
      </c>
      <c r="J3100" s="2">
        <v>1.98</v>
      </c>
      <c r="K3100" s="2">
        <v>3.77</v>
      </c>
      <c r="L3100" s="2">
        <v>6.81</v>
      </c>
      <c r="M3100" s="2">
        <v>15.28</v>
      </c>
      <c r="N3100" s="2">
        <v>0.98685347899999998</v>
      </c>
      <c r="O3100" s="2">
        <v>1.0586831910000001</v>
      </c>
      <c r="P3100" s="2">
        <v>4.4739891600000004</v>
      </c>
      <c r="Q3100" s="2">
        <v>4.5506588710000004</v>
      </c>
      <c r="R3100" s="2">
        <v>0.64753854899999996</v>
      </c>
      <c r="S3100" s="2">
        <v>0.69753854900000001</v>
      </c>
      <c r="T3100" s="2">
        <v>4.4268807109999999</v>
      </c>
      <c r="U3100" s="2">
        <v>4.4968807110000002</v>
      </c>
      <c r="V3100" s="2">
        <v>0.68929664800000001</v>
      </c>
      <c r="W3100" s="2">
        <v>0.70469425200000002</v>
      </c>
      <c r="X3100">
        <f t="shared" si="144"/>
        <v>0</v>
      </c>
      <c r="Y3100">
        <f t="shared" si="145"/>
        <v>0</v>
      </c>
      <c r="Z3100">
        <f t="shared" si="146"/>
        <v>0</v>
      </c>
    </row>
    <row r="3101" spans="1:26" ht="15.75" customHeight="1" x14ac:dyDescent="0.2">
      <c r="A3101" s="2" t="s">
        <v>36</v>
      </c>
      <c r="B3101" s="2" t="s">
        <v>35</v>
      </c>
      <c r="C3101" s="2" t="s">
        <v>28</v>
      </c>
      <c r="D3101" s="2" t="s">
        <v>29</v>
      </c>
      <c r="E3101" s="2">
        <v>210</v>
      </c>
      <c r="F3101" s="2">
        <v>234</v>
      </c>
      <c r="G3101" s="2">
        <v>427</v>
      </c>
      <c r="H3101" s="2">
        <v>1097</v>
      </c>
      <c r="I3101" s="2">
        <v>2775</v>
      </c>
      <c r="J3101" s="2">
        <v>2.33</v>
      </c>
      <c r="K3101" s="2">
        <v>4.26</v>
      </c>
      <c r="L3101" s="2">
        <v>9.09</v>
      </c>
      <c r="M3101" s="2">
        <v>15.18</v>
      </c>
      <c r="N3101" s="2">
        <v>1.341216591</v>
      </c>
      <c r="O3101" s="2">
        <v>1.270376892</v>
      </c>
      <c r="P3101" s="2">
        <v>2.1568776879999998</v>
      </c>
      <c r="Q3101" s="2">
        <v>2.2307838869999999</v>
      </c>
      <c r="R3101" s="2">
        <v>0.15715083799999999</v>
      </c>
      <c r="S3101" s="2">
        <v>0.207150838</v>
      </c>
      <c r="T3101" s="2">
        <v>2.1511450380000001</v>
      </c>
      <c r="U3101" s="2">
        <v>2.221145038</v>
      </c>
      <c r="V3101" s="2">
        <v>1.17968436</v>
      </c>
      <c r="W3101" s="2">
        <v>1.195081963</v>
      </c>
      <c r="X3101">
        <f t="shared" si="144"/>
        <v>0</v>
      </c>
      <c r="Y3101">
        <f t="shared" si="145"/>
        <v>0</v>
      </c>
      <c r="Z3101">
        <f t="shared" si="146"/>
        <v>1</v>
      </c>
    </row>
    <row r="3102" spans="1:26" ht="15.75" customHeight="1" x14ac:dyDescent="0.2">
      <c r="A3102" s="2" t="s">
        <v>36</v>
      </c>
      <c r="B3102" s="2" t="s">
        <v>35</v>
      </c>
      <c r="C3102" s="2" t="s">
        <v>32</v>
      </c>
      <c r="D3102" s="2" t="s">
        <v>33</v>
      </c>
      <c r="E3102" s="2">
        <v>182</v>
      </c>
      <c r="F3102" s="2">
        <v>220</v>
      </c>
      <c r="G3102" s="2">
        <v>457</v>
      </c>
      <c r="H3102" s="2">
        <v>906</v>
      </c>
      <c r="I3102" s="2">
        <v>2639</v>
      </c>
      <c r="J3102" s="2">
        <v>2.1800000000000002</v>
      </c>
      <c r="K3102" s="2">
        <v>4.54</v>
      </c>
      <c r="L3102" s="2">
        <v>7.95</v>
      </c>
      <c r="M3102" s="2">
        <v>14.85</v>
      </c>
      <c r="N3102" s="2">
        <v>4.0541713990000003</v>
      </c>
      <c r="O3102" s="2">
        <v>4.1429245520000002</v>
      </c>
      <c r="P3102" s="2">
        <v>3.2969762619999998</v>
      </c>
      <c r="Q3102" s="2">
        <v>3.365532816</v>
      </c>
      <c r="R3102" s="2">
        <v>0.119164253</v>
      </c>
      <c r="S3102" s="2">
        <v>6.9164252999999995E-2</v>
      </c>
      <c r="T3102" s="2">
        <v>3.2948220519999998</v>
      </c>
      <c r="U3102" s="2">
        <v>3.3648220520000001</v>
      </c>
      <c r="V3102" s="2">
        <v>1.4559994510000001</v>
      </c>
      <c r="W3102" s="2">
        <v>1.4713970540000001</v>
      </c>
      <c r="X3102">
        <f t="shared" si="144"/>
        <v>0</v>
      </c>
      <c r="Y3102">
        <f t="shared" si="145"/>
        <v>0</v>
      </c>
      <c r="Z3102">
        <f t="shared" si="146"/>
        <v>1</v>
      </c>
    </row>
    <row r="3103" spans="1:26" ht="15.75" customHeight="1" x14ac:dyDescent="0.2">
      <c r="A3103" s="2" t="s">
        <v>36</v>
      </c>
      <c r="B3103" s="2" t="s">
        <v>35</v>
      </c>
      <c r="C3103" s="2" t="s">
        <v>32</v>
      </c>
      <c r="D3103" s="2" t="s">
        <v>33</v>
      </c>
      <c r="E3103" s="2">
        <v>197</v>
      </c>
      <c r="F3103" s="2">
        <v>225</v>
      </c>
      <c r="G3103" s="2">
        <v>580</v>
      </c>
      <c r="H3103" s="2">
        <v>1502</v>
      </c>
      <c r="I3103" s="2">
        <v>3019</v>
      </c>
      <c r="J3103" s="2">
        <v>2.23</v>
      </c>
      <c r="K3103" s="2">
        <v>5.59</v>
      </c>
      <c r="L3103" s="2">
        <v>11.1</v>
      </c>
      <c r="M3103" s="2">
        <v>15.73</v>
      </c>
      <c r="N3103" s="2">
        <v>1.5208802320000001</v>
      </c>
      <c r="O3103" s="2">
        <v>1.5523193909999999</v>
      </c>
      <c r="P3103" s="2">
        <v>1.177587612</v>
      </c>
      <c r="Q3103" s="2">
        <v>1.1387567970000001</v>
      </c>
      <c r="R3103" s="2">
        <v>1.1692531829999999</v>
      </c>
      <c r="S3103" s="2">
        <v>1.1192531830000001</v>
      </c>
      <c r="T3103" s="2">
        <v>0.13985556099999999</v>
      </c>
      <c r="U3103" s="2">
        <v>0.209855561</v>
      </c>
      <c r="V3103" s="2">
        <v>2.50608838</v>
      </c>
      <c r="W3103" s="2">
        <v>2.5214859839999999</v>
      </c>
      <c r="X3103">
        <f t="shared" si="144"/>
        <v>0</v>
      </c>
      <c r="Y3103">
        <f t="shared" si="145"/>
        <v>0</v>
      </c>
      <c r="Z3103">
        <f t="shared" si="146"/>
        <v>1</v>
      </c>
    </row>
    <row r="3104" spans="1:26" ht="15.75" customHeight="1" x14ac:dyDescent="0.2">
      <c r="A3104" s="2" t="s">
        <v>36</v>
      </c>
      <c r="B3104" s="2" t="s">
        <v>35</v>
      </c>
      <c r="C3104" s="2" t="s">
        <v>25</v>
      </c>
      <c r="D3104" s="2" t="s">
        <v>25</v>
      </c>
      <c r="E3104" s="2">
        <v>213</v>
      </c>
      <c r="F3104" s="2">
        <v>228</v>
      </c>
      <c r="G3104" s="2">
        <v>791</v>
      </c>
      <c r="H3104" s="2">
        <v>1478</v>
      </c>
      <c r="I3104" s="2">
        <v>2363</v>
      </c>
      <c r="J3104" s="2">
        <v>2.2599999999999998</v>
      </c>
      <c r="K3104" s="2">
        <v>7.18</v>
      </c>
      <c r="L3104" s="2">
        <v>11</v>
      </c>
      <c r="M3104" s="2">
        <v>14.13</v>
      </c>
      <c r="N3104" s="2">
        <v>0.107358458</v>
      </c>
      <c r="O3104" s="2">
        <v>0.17811318100000001</v>
      </c>
      <c r="P3104" s="2">
        <v>2.767222464</v>
      </c>
      <c r="Q3104" s="2">
        <v>2.724607872</v>
      </c>
      <c r="R3104" s="2">
        <v>2.7564129909999999</v>
      </c>
      <c r="S3104" s="2">
        <v>2.7064129910000001</v>
      </c>
      <c r="T3104" s="2">
        <v>0.24435136700000001</v>
      </c>
      <c r="U3104" s="2">
        <v>0.31435136699999999</v>
      </c>
      <c r="V3104" s="2">
        <v>4.0932481879999996</v>
      </c>
      <c r="W3104" s="2">
        <v>4.1086457919999999</v>
      </c>
      <c r="X3104">
        <f t="shared" si="144"/>
        <v>0</v>
      </c>
      <c r="Y3104">
        <f t="shared" si="145"/>
        <v>0</v>
      </c>
      <c r="Z3104">
        <f t="shared" si="146"/>
        <v>0</v>
      </c>
    </row>
    <row r="3105" spans="1:26" ht="15.75" customHeight="1" x14ac:dyDescent="0.2">
      <c r="A3105" s="2" t="s">
        <v>36</v>
      </c>
      <c r="B3105" s="2" t="s">
        <v>35</v>
      </c>
      <c r="C3105" s="2" t="s">
        <v>32</v>
      </c>
      <c r="D3105" s="2" t="s">
        <v>33</v>
      </c>
      <c r="E3105" s="2">
        <v>177</v>
      </c>
      <c r="F3105" s="2">
        <v>243</v>
      </c>
      <c r="G3105" s="2">
        <v>477</v>
      </c>
      <c r="H3105" s="2">
        <v>920</v>
      </c>
      <c r="I3105" s="2">
        <v>2741</v>
      </c>
      <c r="J3105" s="2">
        <v>2.4300000000000002</v>
      </c>
      <c r="K3105" s="2">
        <v>4.72</v>
      </c>
      <c r="L3105" s="2">
        <v>8.0299999999999994</v>
      </c>
      <c r="M3105" s="2">
        <v>15.1</v>
      </c>
      <c r="N3105" s="2">
        <v>3.872969619</v>
      </c>
      <c r="O3105" s="2">
        <v>3.9624062680000001</v>
      </c>
      <c r="P3105" s="2">
        <v>3.2194774439999998</v>
      </c>
      <c r="Q3105" s="2">
        <v>3.2850378249999999</v>
      </c>
      <c r="R3105" s="2">
        <v>0.29758719700000003</v>
      </c>
      <c r="S3105" s="2">
        <v>0.24758719700000001</v>
      </c>
      <c r="T3105" s="2">
        <v>3.2056944440000001</v>
      </c>
      <c r="U3105" s="2">
        <v>3.275694444</v>
      </c>
      <c r="V3105" s="2">
        <v>1.6344223950000001</v>
      </c>
      <c r="W3105" s="2">
        <v>1.6498199979999999</v>
      </c>
      <c r="X3105">
        <f t="shared" si="144"/>
        <v>0</v>
      </c>
      <c r="Y3105">
        <f t="shared" si="145"/>
        <v>0</v>
      </c>
      <c r="Z3105">
        <f t="shared" si="146"/>
        <v>1</v>
      </c>
    </row>
    <row r="3106" spans="1:26" ht="15.75" customHeight="1" x14ac:dyDescent="0.2">
      <c r="A3106" s="2" t="s">
        <v>36</v>
      </c>
      <c r="B3106" s="2" t="s">
        <v>35</v>
      </c>
      <c r="C3106" s="2" t="s">
        <v>32</v>
      </c>
      <c r="D3106" s="2" t="s">
        <v>33</v>
      </c>
      <c r="E3106" s="2">
        <v>194</v>
      </c>
      <c r="F3106" s="2">
        <v>206</v>
      </c>
      <c r="G3106" s="2">
        <v>651</v>
      </c>
      <c r="H3106" s="2">
        <v>1393</v>
      </c>
      <c r="I3106" s="2">
        <v>3225</v>
      </c>
      <c r="J3106" s="2">
        <v>2.02</v>
      </c>
      <c r="K3106" s="2">
        <v>6.16</v>
      </c>
      <c r="L3106" s="2">
        <v>10.61</v>
      </c>
      <c r="M3106" s="2">
        <v>16.149999999999999</v>
      </c>
      <c r="N3106" s="2">
        <v>1.0640028669999999</v>
      </c>
      <c r="O3106" s="2">
        <v>1.1329093109999999</v>
      </c>
      <c r="P3106" s="2">
        <v>1.848966997</v>
      </c>
      <c r="Q3106" s="2">
        <v>1.8278515790000001</v>
      </c>
      <c r="R3106" s="2">
        <v>1.7370998209999999</v>
      </c>
      <c r="S3106" s="2">
        <v>1.6870998210000001</v>
      </c>
      <c r="T3106" s="2">
        <v>0.63337442799999999</v>
      </c>
      <c r="U3106" s="2">
        <v>0.70337442800000005</v>
      </c>
      <c r="V3106" s="2">
        <v>3.0739350189999999</v>
      </c>
      <c r="W3106" s="2">
        <v>3.0893326220000001</v>
      </c>
      <c r="X3106">
        <f t="shared" si="144"/>
        <v>0</v>
      </c>
      <c r="Y3106">
        <f t="shared" si="145"/>
        <v>0</v>
      </c>
      <c r="Z3106">
        <f t="shared" si="146"/>
        <v>1</v>
      </c>
    </row>
    <row r="3107" spans="1:26" ht="15.75" customHeight="1" x14ac:dyDescent="0.2">
      <c r="A3107" s="2" t="s">
        <v>36</v>
      </c>
      <c r="B3107" s="2" t="s">
        <v>35</v>
      </c>
      <c r="C3107" s="2" t="s">
        <v>25</v>
      </c>
      <c r="D3107" s="2" t="s">
        <v>25</v>
      </c>
      <c r="E3107" s="2">
        <v>122</v>
      </c>
      <c r="F3107" s="2">
        <v>233</v>
      </c>
      <c r="G3107" s="2">
        <v>747</v>
      </c>
      <c r="H3107" s="2">
        <v>1542</v>
      </c>
      <c r="I3107" s="2">
        <v>2486</v>
      </c>
      <c r="J3107" s="2">
        <v>2.3199999999999998</v>
      </c>
      <c r="K3107" s="2">
        <v>6.87</v>
      </c>
      <c r="L3107" s="2">
        <v>11.28</v>
      </c>
      <c r="M3107" s="2">
        <v>14.46</v>
      </c>
      <c r="N3107" s="2">
        <v>0.31333246199999998</v>
      </c>
      <c r="O3107" s="2">
        <v>0.29406304700000002</v>
      </c>
      <c r="P3107" s="2">
        <v>2.4461329470000002</v>
      </c>
      <c r="Q3107" s="2">
        <v>2.3960976299999999</v>
      </c>
      <c r="R3107" s="2">
        <v>2.4458620689999999</v>
      </c>
      <c r="S3107" s="2">
        <v>2.3958620690000001</v>
      </c>
      <c r="T3107" s="2">
        <v>3.6402398000000002E-2</v>
      </c>
      <c r="U3107" s="2">
        <v>3.3597601999999997E-2</v>
      </c>
      <c r="V3107" s="2">
        <v>3.7826972670000001</v>
      </c>
      <c r="W3107" s="2">
        <v>3.7980948699999999</v>
      </c>
      <c r="X3107">
        <f t="shared" si="144"/>
        <v>0</v>
      </c>
      <c r="Y3107">
        <f t="shared" si="145"/>
        <v>0</v>
      </c>
      <c r="Z3107">
        <f t="shared" si="146"/>
        <v>0</v>
      </c>
    </row>
    <row r="3108" spans="1:26" ht="15.75" customHeight="1" x14ac:dyDescent="0.2">
      <c r="A3108" s="2" t="s">
        <v>36</v>
      </c>
      <c r="B3108" s="2" t="s">
        <v>35</v>
      </c>
      <c r="C3108" s="2" t="s">
        <v>25</v>
      </c>
      <c r="D3108" s="2" t="s">
        <v>25</v>
      </c>
      <c r="E3108" s="2">
        <v>259</v>
      </c>
      <c r="F3108" s="2">
        <v>218</v>
      </c>
      <c r="G3108" s="2">
        <v>826</v>
      </c>
      <c r="H3108" s="2">
        <v>1465</v>
      </c>
      <c r="I3108" s="2">
        <v>3026</v>
      </c>
      <c r="J3108" s="2">
        <v>2.16</v>
      </c>
      <c r="K3108" s="2">
        <v>7.42</v>
      </c>
      <c r="L3108" s="2">
        <v>10.94</v>
      </c>
      <c r="M3108" s="2">
        <v>15.74</v>
      </c>
      <c r="N3108" s="2">
        <v>0.33852407099999998</v>
      </c>
      <c r="O3108" s="2">
        <v>0.36208679399999999</v>
      </c>
      <c r="P3108" s="2">
        <v>3.011803725</v>
      </c>
      <c r="Q3108" s="2">
        <v>2.9700603000000001</v>
      </c>
      <c r="R3108" s="2">
        <v>2.99643652</v>
      </c>
      <c r="S3108" s="2">
        <v>2.9464365199999998</v>
      </c>
      <c r="T3108" s="2">
        <v>0.30385828300000001</v>
      </c>
      <c r="U3108" s="2">
        <v>0.37385828300000001</v>
      </c>
      <c r="V3108" s="2">
        <v>4.3332717179999998</v>
      </c>
      <c r="W3108" s="2">
        <v>4.348669321</v>
      </c>
      <c r="X3108">
        <f t="shared" si="144"/>
        <v>0</v>
      </c>
      <c r="Y3108">
        <f t="shared" si="145"/>
        <v>0</v>
      </c>
      <c r="Z3108">
        <f t="shared" si="146"/>
        <v>0</v>
      </c>
    </row>
    <row r="3109" spans="1:26" ht="15.75" customHeight="1" x14ac:dyDescent="0.2">
      <c r="A3109" s="2" t="s">
        <v>36</v>
      </c>
      <c r="B3109" s="2" t="s">
        <v>35</v>
      </c>
      <c r="C3109" s="2" t="s">
        <v>27</v>
      </c>
      <c r="D3109" s="2" t="s">
        <v>27</v>
      </c>
      <c r="E3109" s="2">
        <v>206</v>
      </c>
      <c r="F3109" s="2">
        <v>232</v>
      </c>
      <c r="G3109" s="2">
        <v>402</v>
      </c>
      <c r="H3109" s="2">
        <v>2218</v>
      </c>
      <c r="I3109" s="2">
        <v>2895</v>
      </c>
      <c r="J3109" s="2">
        <v>2.31</v>
      </c>
      <c r="K3109" s="2">
        <v>4.04</v>
      </c>
      <c r="L3109" s="2">
        <v>13.7</v>
      </c>
      <c r="M3109" s="2">
        <v>15.46</v>
      </c>
      <c r="N3109" s="2">
        <v>0.23851864</v>
      </c>
      <c r="O3109" s="2">
        <v>0.25305440400000001</v>
      </c>
      <c r="P3109" s="2">
        <v>2.4935251709999999</v>
      </c>
      <c r="Q3109" s="2">
        <v>2.4328031619999999</v>
      </c>
      <c r="R3109" s="2">
        <v>0.38393960799999999</v>
      </c>
      <c r="S3109" s="2">
        <v>0.43393960799999998</v>
      </c>
      <c r="T3109" s="2">
        <v>2.4637893900000001</v>
      </c>
      <c r="U3109" s="2">
        <v>2.3937893899999998</v>
      </c>
      <c r="V3109" s="2">
        <v>0.95289559000000001</v>
      </c>
      <c r="W3109" s="2">
        <v>0.96829319300000005</v>
      </c>
      <c r="X3109">
        <f t="shared" si="144"/>
        <v>0</v>
      </c>
      <c r="Y3109">
        <f t="shared" si="145"/>
        <v>0</v>
      </c>
      <c r="Z3109">
        <f t="shared" si="146"/>
        <v>0</v>
      </c>
    </row>
    <row r="3110" spans="1:26" ht="15.75" customHeight="1" x14ac:dyDescent="0.2">
      <c r="A3110" s="2" t="s">
        <v>36</v>
      </c>
      <c r="B3110" s="2" t="s">
        <v>35</v>
      </c>
      <c r="C3110" s="2" t="s">
        <v>30</v>
      </c>
      <c r="D3110" s="2" t="s">
        <v>31</v>
      </c>
      <c r="E3110" s="2">
        <v>180</v>
      </c>
      <c r="F3110" s="2">
        <v>203</v>
      </c>
      <c r="G3110" s="2">
        <v>571</v>
      </c>
      <c r="H3110" s="2">
        <v>1217</v>
      </c>
      <c r="I3110" s="2">
        <v>3224</v>
      </c>
      <c r="J3110" s="2">
        <v>1.98</v>
      </c>
      <c r="K3110" s="2">
        <v>5.52</v>
      </c>
      <c r="L3110" s="2">
        <v>9.74</v>
      </c>
      <c r="M3110" s="2">
        <v>16.14</v>
      </c>
      <c r="N3110" s="2">
        <v>3.9953022840000001</v>
      </c>
      <c r="O3110" s="2">
        <v>4.0037178109999996</v>
      </c>
      <c r="P3110" s="2">
        <v>1.856153841</v>
      </c>
      <c r="Q3110" s="2">
        <v>1.8849132930000001</v>
      </c>
      <c r="R3110" s="2">
        <v>1.0956691249999999</v>
      </c>
      <c r="S3110" s="2">
        <v>1.0456691250000001</v>
      </c>
      <c r="T3110" s="2">
        <v>1.498271087</v>
      </c>
      <c r="U3110" s="2">
        <v>1.5682710870000001</v>
      </c>
      <c r="V3110" s="2">
        <v>2.4325043229999999</v>
      </c>
      <c r="W3110" s="2">
        <v>2.4479019260000001</v>
      </c>
      <c r="X3110">
        <f t="shared" si="144"/>
        <v>0</v>
      </c>
      <c r="Y3110">
        <f t="shared" si="145"/>
        <v>0</v>
      </c>
      <c r="Z3110">
        <f t="shared" si="146"/>
        <v>1</v>
      </c>
    </row>
    <row r="3111" spans="1:26" ht="15.75" customHeight="1" x14ac:dyDescent="0.2">
      <c r="A3111" s="2" t="s">
        <v>36</v>
      </c>
      <c r="B3111" s="2" t="s">
        <v>35</v>
      </c>
      <c r="C3111" s="2" t="s">
        <v>28</v>
      </c>
      <c r="D3111" s="2" t="s">
        <v>29</v>
      </c>
      <c r="E3111" s="2">
        <v>182</v>
      </c>
      <c r="F3111" s="2">
        <v>221</v>
      </c>
      <c r="G3111" s="2">
        <v>359</v>
      </c>
      <c r="H3111" s="2">
        <v>1001</v>
      </c>
      <c r="I3111" s="2">
        <v>2557</v>
      </c>
      <c r="J3111" s="2">
        <v>2.19</v>
      </c>
      <c r="K3111" s="2">
        <v>3.62</v>
      </c>
      <c r="L3111" s="2">
        <v>8.5299999999999994</v>
      </c>
      <c r="M3111" s="2">
        <v>14.65</v>
      </c>
      <c r="N3111" s="2">
        <v>0.827403687</v>
      </c>
      <c r="O3111" s="2">
        <v>0.80198867900000004</v>
      </c>
      <c r="P3111" s="2">
        <v>2.8232085410000001</v>
      </c>
      <c r="Q3111" s="2">
        <v>2.9046067020000002</v>
      </c>
      <c r="R3111" s="2">
        <v>0.79633802799999998</v>
      </c>
      <c r="S3111" s="2">
        <v>0.84633802800000002</v>
      </c>
      <c r="T3111" s="2">
        <v>2.7085701420000001</v>
      </c>
      <c r="U3111" s="2">
        <v>2.778570142</v>
      </c>
      <c r="V3111" s="2">
        <v>0.540497169</v>
      </c>
      <c r="W3111" s="2">
        <v>0.55589477300000001</v>
      </c>
      <c r="X3111">
        <f t="shared" si="144"/>
        <v>0</v>
      </c>
      <c r="Y3111">
        <f t="shared" si="145"/>
        <v>0</v>
      </c>
      <c r="Z3111">
        <f t="shared" si="146"/>
        <v>1</v>
      </c>
    </row>
    <row r="3112" spans="1:26" ht="15.75" customHeight="1" x14ac:dyDescent="0.2">
      <c r="A3112" s="2" t="s">
        <v>36</v>
      </c>
      <c r="B3112" s="2" t="s">
        <v>35</v>
      </c>
      <c r="C3112" s="2" t="s">
        <v>28</v>
      </c>
      <c r="D3112" s="2" t="s">
        <v>29</v>
      </c>
      <c r="E3112" s="2">
        <v>223</v>
      </c>
      <c r="F3112" s="2">
        <v>230</v>
      </c>
      <c r="G3112" s="2">
        <v>349</v>
      </c>
      <c r="H3112" s="2">
        <v>1109</v>
      </c>
      <c r="I3112" s="2">
        <v>2734</v>
      </c>
      <c r="J3112" s="2">
        <v>2.29</v>
      </c>
      <c r="K3112" s="2">
        <v>3.52</v>
      </c>
      <c r="L3112" s="2">
        <v>9.16</v>
      </c>
      <c r="M3112" s="2">
        <v>15.08</v>
      </c>
      <c r="N3112" s="2">
        <v>1.448107131</v>
      </c>
      <c r="O3112" s="2">
        <v>1.4118096680000001</v>
      </c>
      <c r="P3112" s="2">
        <v>2.2703633679999999</v>
      </c>
      <c r="Q3112" s="2">
        <v>2.3545275860000001</v>
      </c>
      <c r="R3112" s="2">
        <v>0.90101646000000002</v>
      </c>
      <c r="S3112" s="2">
        <v>0.95101645999999995</v>
      </c>
      <c r="T3112" s="2">
        <v>2.0839191829999999</v>
      </c>
      <c r="U3112" s="2">
        <v>2.1539191830000002</v>
      </c>
      <c r="V3112" s="2">
        <v>0.43581873799999998</v>
      </c>
      <c r="W3112" s="2">
        <v>0.45121634100000002</v>
      </c>
      <c r="X3112">
        <f t="shared" si="144"/>
        <v>0</v>
      </c>
      <c r="Y3112">
        <f t="shared" si="145"/>
        <v>0</v>
      </c>
      <c r="Z3112">
        <f t="shared" si="146"/>
        <v>1</v>
      </c>
    </row>
    <row r="3113" spans="1:26" ht="15.75" customHeight="1" x14ac:dyDescent="0.2">
      <c r="A3113" s="2" t="s">
        <v>36</v>
      </c>
      <c r="B3113" s="2" t="s">
        <v>35</v>
      </c>
      <c r="C3113" s="2" t="s">
        <v>32</v>
      </c>
      <c r="D3113" s="2" t="s">
        <v>33</v>
      </c>
      <c r="E3113" s="2">
        <v>217</v>
      </c>
      <c r="F3113" s="2">
        <v>215</v>
      </c>
      <c r="G3113" s="2">
        <v>626</v>
      </c>
      <c r="H3113" s="2">
        <v>1618</v>
      </c>
      <c r="I3113" s="2">
        <v>3158</v>
      </c>
      <c r="J3113" s="2">
        <v>2.12</v>
      </c>
      <c r="K3113" s="2">
        <v>5.96</v>
      </c>
      <c r="L3113" s="2">
        <v>11.59</v>
      </c>
      <c r="M3113" s="2">
        <v>16.010000000000002</v>
      </c>
      <c r="N3113" s="2">
        <v>1.2589875159999999</v>
      </c>
      <c r="O3113" s="2">
        <v>1.253328631</v>
      </c>
      <c r="P3113" s="2">
        <v>1.5797590509999999</v>
      </c>
      <c r="Q3113" s="2">
        <v>1.51648147</v>
      </c>
      <c r="R3113" s="2">
        <v>1.5399690640000001</v>
      </c>
      <c r="S3113" s="2">
        <v>1.4899690640000001</v>
      </c>
      <c r="T3113" s="2">
        <v>0.35232647</v>
      </c>
      <c r="U3113" s="2">
        <v>0.28232647</v>
      </c>
      <c r="V3113" s="2">
        <v>2.8768042619999998</v>
      </c>
      <c r="W3113" s="2">
        <v>2.8922018650000001</v>
      </c>
      <c r="X3113">
        <f t="shared" si="144"/>
        <v>0</v>
      </c>
      <c r="Y3113">
        <f t="shared" si="145"/>
        <v>0</v>
      </c>
      <c r="Z3113">
        <f t="shared" si="146"/>
        <v>1</v>
      </c>
    </row>
    <row r="3114" spans="1:26" ht="15.75" customHeight="1" x14ac:dyDescent="0.2">
      <c r="A3114" s="2" t="s">
        <v>36</v>
      </c>
      <c r="B3114" s="2" t="s">
        <v>35</v>
      </c>
      <c r="C3114" s="2" t="s">
        <v>26</v>
      </c>
      <c r="D3114" s="2" t="s">
        <v>26</v>
      </c>
      <c r="E3114" s="2">
        <v>189</v>
      </c>
      <c r="F3114" s="2">
        <v>223</v>
      </c>
      <c r="G3114" s="2">
        <v>400</v>
      </c>
      <c r="H3114" s="2">
        <v>935</v>
      </c>
      <c r="I3114" s="2">
        <v>2771</v>
      </c>
      <c r="J3114" s="2">
        <v>2.21</v>
      </c>
      <c r="K3114" s="2">
        <v>4.01</v>
      </c>
      <c r="L3114" s="2">
        <v>8.1300000000000008</v>
      </c>
      <c r="M3114" s="2">
        <v>15.17</v>
      </c>
      <c r="N3114" s="2">
        <v>0.349159055</v>
      </c>
      <c r="O3114" s="2">
        <v>0.28738655899999999</v>
      </c>
      <c r="P3114" s="2">
        <v>3.140008522</v>
      </c>
      <c r="Q3114" s="2">
        <v>3.2161803280000001</v>
      </c>
      <c r="R3114" s="2">
        <v>0.40907755299999998</v>
      </c>
      <c r="S3114" s="2">
        <v>0.45907755300000003</v>
      </c>
      <c r="T3114" s="2">
        <v>3.1132473510000001</v>
      </c>
      <c r="U3114" s="2">
        <v>3.1832473509999999</v>
      </c>
      <c r="V3114" s="2">
        <v>0.92775764400000005</v>
      </c>
      <c r="W3114" s="2">
        <v>0.94315524799999995</v>
      </c>
      <c r="X3114">
        <f t="shared" si="144"/>
        <v>0</v>
      </c>
      <c r="Y3114">
        <f t="shared" si="145"/>
        <v>0</v>
      </c>
      <c r="Z3114">
        <f t="shared" si="146"/>
        <v>0</v>
      </c>
    </row>
    <row r="3115" spans="1:26" ht="15.75" customHeight="1" x14ac:dyDescent="0.2">
      <c r="A3115" s="2" t="s">
        <v>36</v>
      </c>
      <c r="B3115" s="2" t="s">
        <v>35</v>
      </c>
      <c r="C3115" s="2" t="s">
        <v>25</v>
      </c>
      <c r="D3115" s="2" t="s">
        <v>25</v>
      </c>
      <c r="E3115" s="2">
        <v>252</v>
      </c>
      <c r="F3115" s="2">
        <v>202</v>
      </c>
      <c r="G3115" s="2">
        <v>781</v>
      </c>
      <c r="H3115" s="2">
        <v>1457</v>
      </c>
      <c r="I3115" s="2">
        <v>2947</v>
      </c>
      <c r="J3115" s="2">
        <v>1.98</v>
      </c>
      <c r="K3115" s="2">
        <v>7.11</v>
      </c>
      <c r="L3115" s="2">
        <v>10.9</v>
      </c>
      <c r="M3115" s="2">
        <v>15.57</v>
      </c>
      <c r="N3115" s="2">
        <v>0.179815488</v>
      </c>
      <c r="O3115" s="2">
        <v>0.27183164900000001</v>
      </c>
      <c r="P3115" s="2">
        <v>2.708109753</v>
      </c>
      <c r="Q3115" s="2">
        <v>2.6683623249999999</v>
      </c>
      <c r="R3115" s="2">
        <v>2.6867088300000002</v>
      </c>
      <c r="S3115" s="2">
        <v>2.6367088299999999</v>
      </c>
      <c r="T3115" s="2">
        <v>0.33978536599999998</v>
      </c>
      <c r="U3115" s="2">
        <v>0.40978536599999998</v>
      </c>
      <c r="V3115" s="2">
        <v>4.0235440279999999</v>
      </c>
      <c r="W3115" s="2">
        <v>4.0389416310000001</v>
      </c>
      <c r="X3115">
        <f t="shared" si="144"/>
        <v>0</v>
      </c>
      <c r="Y3115">
        <f t="shared" si="145"/>
        <v>0</v>
      </c>
      <c r="Z3115">
        <f t="shared" si="146"/>
        <v>0</v>
      </c>
    </row>
    <row r="3116" spans="1:26" ht="15.75" customHeight="1" x14ac:dyDescent="0.2">
      <c r="A3116" s="2" t="s">
        <v>36</v>
      </c>
      <c r="B3116" s="2" t="s">
        <v>35</v>
      </c>
      <c r="C3116" s="2" t="s">
        <v>30</v>
      </c>
      <c r="D3116" s="2" t="s">
        <v>31</v>
      </c>
      <c r="E3116" s="2">
        <v>225</v>
      </c>
      <c r="F3116" s="2">
        <v>193</v>
      </c>
      <c r="G3116" s="2">
        <v>632</v>
      </c>
      <c r="H3116" s="2">
        <v>1239</v>
      </c>
      <c r="I3116" s="2">
        <v>2999</v>
      </c>
      <c r="J3116" s="2">
        <v>1.88</v>
      </c>
      <c r="K3116" s="2">
        <v>6.01</v>
      </c>
      <c r="L3116" s="2">
        <v>9.85</v>
      </c>
      <c r="M3116" s="2">
        <v>15.68</v>
      </c>
      <c r="N3116" s="2">
        <v>4.0885531679999998</v>
      </c>
      <c r="O3116" s="2">
        <v>4.0887148279999996</v>
      </c>
      <c r="P3116" s="2">
        <v>2.1091659909999998</v>
      </c>
      <c r="Q3116" s="2">
        <v>2.119220619</v>
      </c>
      <c r="R3116" s="2">
        <v>1.589612961</v>
      </c>
      <c r="S3116" s="2">
        <v>1.539612961</v>
      </c>
      <c r="T3116" s="2">
        <v>1.3862582059999999</v>
      </c>
      <c r="U3116" s="2">
        <v>1.456258206</v>
      </c>
      <c r="V3116" s="2">
        <v>2.926448159</v>
      </c>
      <c r="W3116" s="2">
        <v>2.9418457619999998</v>
      </c>
      <c r="X3116">
        <f t="shared" si="144"/>
        <v>0</v>
      </c>
      <c r="Y3116">
        <f t="shared" si="145"/>
        <v>0</v>
      </c>
      <c r="Z3116">
        <f t="shared" si="146"/>
        <v>1</v>
      </c>
    </row>
    <row r="3117" spans="1:26" ht="15.75" customHeight="1" x14ac:dyDescent="0.2">
      <c r="A3117" s="2" t="s">
        <v>36</v>
      </c>
      <c r="B3117" s="2" t="s">
        <v>35</v>
      </c>
      <c r="C3117" s="2" t="s">
        <v>27</v>
      </c>
      <c r="D3117" s="2" t="s">
        <v>27</v>
      </c>
      <c r="E3117" s="2">
        <v>178</v>
      </c>
      <c r="F3117" s="2">
        <v>172</v>
      </c>
      <c r="G3117" s="2">
        <v>403</v>
      </c>
      <c r="H3117" s="2">
        <v>2202</v>
      </c>
      <c r="I3117" s="2">
        <v>2572</v>
      </c>
      <c r="J3117" s="2">
        <v>1.64</v>
      </c>
      <c r="K3117" s="2">
        <v>4.04</v>
      </c>
      <c r="L3117" s="2">
        <v>13.65</v>
      </c>
      <c r="M3117" s="2">
        <v>14.69</v>
      </c>
      <c r="N3117" s="2">
        <v>0.19606950300000001</v>
      </c>
      <c r="O3117" s="2">
        <v>0.21948414599999999</v>
      </c>
      <c r="P3117" s="2">
        <v>2.4442806340000001</v>
      </c>
      <c r="Q3117" s="2">
        <v>2.3836876889999998</v>
      </c>
      <c r="R3117" s="2">
        <v>0.38080135399999998</v>
      </c>
      <c r="S3117" s="2">
        <v>0.43080135400000003</v>
      </c>
      <c r="T3117" s="2">
        <v>2.4144353679999999</v>
      </c>
      <c r="U3117" s="2">
        <v>2.3444353680000001</v>
      </c>
      <c r="V3117" s="2">
        <v>0.95603384300000005</v>
      </c>
      <c r="W3117" s="2">
        <v>0.97143144699999995</v>
      </c>
      <c r="X3117">
        <f t="shared" si="144"/>
        <v>0</v>
      </c>
      <c r="Y3117">
        <f t="shared" si="145"/>
        <v>0</v>
      </c>
      <c r="Z3117">
        <f t="shared" si="146"/>
        <v>0</v>
      </c>
    </row>
    <row r="3118" spans="1:26" ht="15.75" customHeight="1" x14ac:dyDescent="0.2">
      <c r="A3118" s="2" t="s">
        <v>36</v>
      </c>
      <c r="B3118" s="2" t="s">
        <v>35</v>
      </c>
      <c r="C3118" s="2" t="s">
        <v>30</v>
      </c>
      <c r="D3118" s="2" t="s">
        <v>31</v>
      </c>
      <c r="E3118" s="2">
        <v>197</v>
      </c>
      <c r="F3118" s="2">
        <v>202</v>
      </c>
      <c r="G3118" s="2">
        <v>618</v>
      </c>
      <c r="H3118" s="2">
        <v>1190</v>
      </c>
      <c r="I3118" s="2">
        <v>2731</v>
      </c>
      <c r="J3118" s="2">
        <v>1.97</v>
      </c>
      <c r="K3118" s="2">
        <v>5.9</v>
      </c>
      <c r="L3118" s="2">
        <v>9.6</v>
      </c>
      <c r="M3118" s="2">
        <v>15.08</v>
      </c>
      <c r="N3118" s="2">
        <v>4.2693048029999998</v>
      </c>
      <c r="O3118" s="2">
        <v>4.2728251520000002</v>
      </c>
      <c r="P3118" s="2">
        <v>2.207014203</v>
      </c>
      <c r="Q3118" s="2">
        <v>2.2271556380000002</v>
      </c>
      <c r="R3118" s="2">
        <v>1.476912335</v>
      </c>
      <c r="S3118" s="2">
        <v>1.4269123349999999</v>
      </c>
      <c r="T3118" s="2">
        <v>1.640012697</v>
      </c>
      <c r="U3118" s="2">
        <v>1.710012697</v>
      </c>
      <c r="V3118" s="2">
        <v>2.8137475329999999</v>
      </c>
      <c r="W3118" s="2">
        <v>2.8291451360000002</v>
      </c>
      <c r="X3118">
        <f t="shared" si="144"/>
        <v>0</v>
      </c>
      <c r="Y3118">
        <f t="shared" si="145"/>
        <v>0</v>
      </c>
      <c r="Z3118">
        <f t="shared" si="146"/>
        <v>1</v>
      </c>
    </row>
    <row r="3119" spans="1:26" ht="15.75" customHeight="1" x14ac:dyDescent="0.2">
      <c r="A3119" s="2" t="s">
        <v>36</v>
      </c>
      <c r="B3119" s="2" t="s">
        <v>35</v>
      </c>
      <c r="C3119" s="2" t="s">
        <v>27</v>
      </c>
      <c r="D3119" s="2" t="s">
        <v>27</v>
      </c>
      <c r="E3119" s="2">
        <v>176</v>
      </c>
      <c r="F3119" s="2">
        <v>170</v>
      </c>
      <c r="G3119" s="2">
        <v>374</v>
      </c>
      <c r="H3119" s="2">
        <v>2281</v>
      </c>
      <c r="I3119" s="2">
        <v>2982</v>
      </c>
      <c r="J3119" s="2">
        <v>1.61</v>
      </c>
      <c r="K3119" s="2">
        <v>3.77</v>
      </c>
      <c r="L3119" s="2">
        <v>13.89</v>
      </c>
      <c r="M3119" s="2">
        <v>15.65</v>
      </c>
      <c r="N3119" s="2">
        <v>0.551120312</v>
      </c>
      <c r="O3119" s="2">
        <v>0.57602527400000003</v>
      </c>
      <c r="P3119" s="2">
        <v>2.7274176099999998</v>
      </c>
      <c r="Q3119" s="2">
        <v>2.672166083</v>
      </c>
      <c r="R3119" s="2">
        <v>0.65075253499999997</v>
      </c>
      <c r="S3119" s="2">
        <v>0.70075253500000001</v>
      </c>
      <c r="T3119" s="2">
        <v>2.6486464390000002</v>
      </c>
      <c r="U3119" s="2">
        <v>2.5786464389999999</v>
      </c>
      <c r="V3119" s="2">
        <v>0.68608266299999998</v>
      </c>
      <c r="W3119" s="2">
        <v>0.70148026600000002</v>
      </c>
      <c r="X3119">
        <f t="shared" si="144"/>
        <v>0</v>
      </c>
      <c r="Y3119">
        <f t="shared" si="145"/>
        <v>0</v>
      </c>
      <c r="Z3119">
        <f t="shared" si="146"/>
        <v>0</v>
      </c>
    </row>
    <row r="3120" spans="1:26" ht="15.75" customHeight="1" x14ac:dyDescent="0.2">
      <c r="A3120" s="2" t="s">
        <v>36</v>
      </c>
      <c r="B3120" s="2" t="s">
        <v>35</v>
      </c>
      <c r="C3120" s="2" t="s">
        <v>26</v>
      </c>
      <c r="D3120" s="2" t="s">
        <v>26</v>
      </c>
      <c r="E3120" s="2">
        <v>217</v>
      </c>
      <c r="F3120" s="2">
        <v>222</v>
      </c>
      <c r="G3120" s="2">
        <v>393</v>
      </c>
      <c r="H3120" s="2">
        <v>870</v>
      </c>
      <c r="I3120" s="2">
        <v>2747</v>
      </c>
      <c r="J3120" s="2">
        <v>2.19</v>
      </c>
      <c r="K3120" s="2">
        <v>3.95</v>
      </c>
      <c r="L3120" s="2">
        <v>7.71</v>
      </c>
      <c r="M3120" s="2">
        <v>15.12</v>
      </c>
      <c r="N3120" s="2">
        <v>7.3659906999999997E-2</v>
      </c>
      <c r="O3120" s="2">
        <v>0.15399885299999999</v>
      </c>
      <c r="P3120" s="2">
        <v>3.561680462</v>
      </c>
      <c r="Q3120" s="2">
        <v>3.637914103</v>
      </c>
      <c r="R3120" s="2">
        <v>0.47217169599999997</v>
      </c>
      <c r="S3120" s="2">
        <v>0.52217169600000002</v>
      </c>
      <c r="T3120" s="2">
        <v>3.5302438450000002</v>
      </c>
      <c r="U3120" s="2">
        <v>3.6002438450000001</v>
      </c>
      <c r="V3120" s="2">
        <v>0.86466350199999997</v>
      </c>
      <c r="W3120" s="2">
        <v>0.88006110500000001</v>
      </c>
      <c r="X3120">
        <f t="shared" si="144"/>
        <v>0</v>
      </c>
      <c r="Y3120">
        <f t="shared" si="145"/>
        <v>0</v>
      </c>
      <c r="Z3120">
        <f t="shared" si="146"/>
        <v>0</v>
      </c>
    </row>
    <row r="3121" spans="1:26" ht="15.75" customHeight="1" x14ac:dyDescent="0.2">
      <c r="A3121" s="2" t="s">
        <v>36</v>
      </c>
      <c r="B3121" s="2" t="s">
        <v>35</v>
      </c>
      <c r="C3121" s="2" t="s">
        <v>27</v>
      </c>
      <c r="D3121" s="2" t="s">
        <v>27</v>
      </c>
      <c r="E3121" s="2">
        <v>205</v>
      </c>
      <c r="F3121" s="2">
        <v>252</v>
      </c>
      <c r="G3121" s="2">
        <v>431</v>
      </c>
      <c r="H3121" s="2">
        <v>2203</v>
      </c>
      <c r="I3121" s="2">
        <v>2867</v>
      </c>
      <c r="J3121" s="2">
        <v>2.5299999999999998</v>
      </c>
      <c r="K3121" s="2">
        <v>4.3</v>
      </c>
      <c r="L3121" s="2">
        <v>13.66</v>
      </c>
      <c r="M3121" s="2">
        <v>15.39</v>
      </c>
      <c r="N3121" s="2">
        <v>0.212542595</v>
      </c>
      <c r="O3121" s="2">
        <v>0.15197376800000001</v>
      </c>
      <c r="P3121" s="2">
        <v>2.4203097859999998</v>
      </c>
      <c r="Q3121" s="2">
        <v>2.3534185170000002</v>
      </c>
      <c r="R3121" s="2">
        <v>0.117248013</v>
      </c>
      <c r="S3121" s="2">
        <v>0.167248013</v>
      </c>
      <c r="T3121" s="2">
        <v>2.417468172</v>
      </c>
      <c r="U3121" s="2">
        <v>2.3474681720000001</v>
      </c>
      <c r="V3121" s="2">
        <v>1.2195871840000001</v>
      </c>
      <c r="W3121" s="2">
        <v>1.234984788</v>
      </c>
      <c r="X3121">
        <f t="shared" si="144"/>
        <v>0</v>
      </c>
      <c r="Y3121">
        <f t="shared" si="145"/>
        <v>0</v>
      </c>
      <c r="Z3121">
        <f t="shared" si="146"/>
        <v>0</v>
      </c>
    </row>
    <row r="3122" spans="1:26" ht="15.75" customHeight="1" x14ac:dyDescent="0.2">
      <c r="A3122" s="2" t="s">
        <v>36</v>
      </c>
      <c r="B3122" s="2" t="s">
        <v>35</v>
      </c>
      <c r="C3122" s="2" t="s">
        <v>30</v>
      </c>
      <c r="D3122" s="2" t="s">
        <v>31</v>
      </c>
      <c r="E3122" s="2">
        <v>197</v>
      </c>
      <c r="F3122" s="2">
        <v>203</v>
      </c>
      <c r="G3122" s="2">
        <v>496</v>
      </c>
      <c r="H3122" s="2">
        <v>1127</v>
      </c>
      <c r="I3122" s="2">
        <v>2774</v>
      </c>
      <c r="J3122" s="2">
        <v>1.99</v>
      </c>
      <c r="K3122" s="2">
        <v>4.8899999999999997</v>
      </c>
      <c r="L3122" s="2">
        <v>9.26</v>
      </c>
      <c r="M3122" s="2">
        <v>15.18</v>
      </c>
      <c r="N3122" s="2">
        <v>4.3059279889999997</v>
      </c>
      <c r="O3122" s="2">
        <v>4.3258390369999997</v>
      </c>
      <c r="P3122" s="2">
        <v>2.0383488559999998</v>
      </c>
      <c r="Q3122" s="2">
        <v>2.0960210969999999</v>
      </c>
      <c r="R3122" s="2">
        <v>0.46730085500000001</v>
      </c>
      <c r="S3122" s="2">
        <v>0.41730085500000003</v>
      </c>
      <c r="T3122" s="2">
        <v>1.9840604749999999</v>
      </c>
      <c r="U3122" s="2">
        <v>2.054060475</v>
      </c>
      <c r="V3122" s="2">
        <v>1.804136052</v>
      </c>
      <c r="W3122" s="2">
        <v>1.8195336559999999</v>
      </c>
      <c r="X3122">
        <f t="shared" si="144"/>
        <v>0</v>
      </c>
      <c r="Y3122">
        <f t="shared" si="145"/>
        <v>0</v>
      </c>
      <c r="Z3122">
        <f t="shared" si="146"/>
        <v>1</v>
      </c>
    </row>
    <row r="3123" spans="1:26" ht="15.75" customHeight="1" x14ac:dyDescent="0.2">
      <c r="A3123" s="2" t="s">
        <v>36</v>
      </c>
      <c r="B3123" s="2" t="s">
        <v>35</v>
      </c>
      <c r="C3123" s="2" t="s">
        <v>27</v>
      </c>
      <c r="D3123" s="2" t="s">
        <v>27</v>
      </c>
      <c r="E3123" s="2">
        <v>200</v>
      </c>
      <c r="F3123" s="2">
        <v>184</v>
      </c>
      <c r="G3123" s="2">
        <v>415</v>
      </c>
      <c r="H3123" s="2">
        <v>2171</v>
      </c>
      <c r="I3123" s="2">
        <v>2926</v>
      </c>
      <c r="J3123" s="2">
        <v>1.77</v>
      </c>
      <c r="K3123" s="2">
        <v>4.1500000000000004</v>
      </c>
      <c r="L3123" s="2">
        <v>13.56</v>
      </c>
      <c r="M3123" s="2">
        <v>15.53</v>
      </c>
      <c r="N3123" s="2">
        <v>6.0279837000000003E-2</v>
      </c>
      <c r="O3123" s="2">
        <v>7.4575937999999994E-2</v>
      </c>
      <c r="P3123" s="2">
        <v>2.3351674130000002</v>
      </c>
      <c r="Q3123" s="2">
        <v>2.2721116449999998</v>
      </c>
      <c r="R3123" s="2">
        <v>0.26841100499999998</v>
      </c>
      <c r="S3123" s="2">
        <v>0.31841100500000002</v>
      </c>
      <c r="T3123" s="2">
        <v>2.3196901479999998</v>
      </c>
      <c r="U3123" s="2">
        <v>2.249690148</v>
      </c>
      <c r="V3123" s="2">
        <v>1.068424193</v>
      </c>
      <c r="W3123" s="2">
        <v>1.0838217960000001</v>
      </c>
      <c r="X3123">
        <f t="shared" si="144"/>
        <v>0</v>
      </c>
      <c r="Y3123">
        <f t="shared" si="145"/>
        <v>0</v>
      </c>
      <c r="Z3123">
        <f t="shared" si="146"/>
        <v>0</v>
      </c>
    </row>
    <row r="3124" spans="1:26" ht="15.75" customHeight="1" x14ac:dyDescent="0.2">
      <c r="A3124" s="2" t="s">
        <v>36</v>
      </c>
      <c r="B3124" s="2" t="s">
        <v>35</v>
      </c>
      <c r="C3124" s="2" t="s">
        <v>26</v>
      </c>
      <c r="D3124" s="2" t="s">
        <v>26</v>
      </c>
      <c r="E3124" s="2">
        <v>223</v>
      </c>
      <c r="F3124" s="2">
        <v>196</v>
      </c>
      <c r="G3124" s="2">
        <v>380</v>
      </c>
      <c r="H3124" s="2">
        <v>944</v>
      </c>
      <c r="I3124" s="2">
        <v>2773</v>
      </c>
      <c r="J3124" s="2">
        <v>1.9</v>
      </c>
      <c r="K3124" s="2">
        <v>3.82</v>
      </c>
      <c r="L3124" s="2">
        <v>8.19</v>
      </c>
      <c r="M3124" s="2">
        <v>15.18</v>
      </c>
      <c r="N3124" s="2">
        <v>0.430684393</v>
      </c>
      <c r="O3124" s="2">
        <v>0.40202760300000001</v>
      </c>
      <c r="P3124" s="2">
        <v>3.1125451339999999</v>
      </c>
      <c r="Q3124" s="2">
        <v>3.1910261119999999</v>
      </c>
      <c r="R3124" s="2">
        <v>0.59623931600000002</v>
      </c>
      <c r="S3124" s="2">
        <v>0.64623931599999995</v>
      </c>
      <c r="T3124" s="2">
        <v>3.054903581</v>
      </c>
      <c r="U3124" s="2">
        <v>3.1249035809999999</v>
      </c>
      <c r="V3124" s="2">
        <v>0.74059588099999996</v>
      </c>
      <c r="W3124" s="2">
        <v>0.75599348499999997</v>
      </c>
      <c r="X3124">
        <f t="shared" si="144"/>
        <v>0</v>
      </c>
      <c r="Y3124">
        <f t="shared" si="145"/>
        <v>0</v>
      </c>
      <c r="Z3124">
        <f t="shared" si="146"/>
        <v>0</v>
      </c>
    </row>
    <row r="3125" spans="1:26" ht="15.75" customHeight="1" x14ac:dyDescent="0.2">
      <c r="A3125" s="2" t="s">
        <v>36</v>
      </c>
      <c r="B3125" s="2" t="s">
        <v>35</v>
      </c>
      <c r="C3125" s="2" t="s">
        <v>30</v>
      </c>
      <c r="D3125" s="2" t="s">
        <v>31</v>
      </c>
      <c r="E3125" s="2">
        <v>210</v>
      </c>
      <c r="F3125" s="2">
        <v>211</v>
      </c>
      <c r="G3125" s="2">
        <v>689</v>
      </c>
      <c r="H3125" s="2">
        <v>1177</v>
      </c>
      <c r="I3125" s="2">
        <v>3233</v>
      </c>
      <c r="J3125" s="2">
        <v>2.08</v>
      </c>
      <c r="K3125" s="2">
        <v>6.44</v>
      </c>
      <c r="L3125" s="2">
        <v>9.5299999999999994</v>
      </c>
      <c r="M3125" s="2">
        <v>16.16</v>
      </c>
      <c r="N3125" s="2">
        <v>4.5820738329999999</v>
      </c>
      <c r="O3125" s="2">
        <v>4.5786760260000001</v>
      </c>
      <c r="P3125" s="2">
        <v>2.6508050989999998</v>
      </c>
      <c r="Q3125" s="2">
        <v>2.6592519509999999</v>
      </c>
      <c r="R3125" s="2">
        <v>2.023231408</v>
      </c>
      <c r="S3125" s="2">
        <v>1.973231408</v>
      </c>
      <c r="T3125" s="2">
        <v>1.7126886290000001</v>
      </c>
      <c r="U3125" s="2">
        <v>1.7826886289999999</v>
      </c>
      <c r="V3125" s="2">
        <v>3.3600666060000002</v>
      </c>
      <c r="W3125" s="2">
        <v>3.375464209</v>
      </c>
      <c r="X3125">
        <f t="shared" si="144"/>
        <v>0</v>
      </c>
      <c r="Y3125">
        <f t="shared" si="145"/>
        <v>0</v>
      </c>
      <c r="Z3125">
        <f t="shared" si="146"/>
        <v>1</v>
      </c>
    </row>
    <row r="3126" spans="1:26" ht="15.75" customHeight="1" x14ac:dyDescent="0.2">
      <c r="A3126" s="2" t="s">
        <v>36</v>
      </c>
      <c r="B3126" s="2" t="s">
        <v>35</v>
      </c>
      <c r="C3126" s="2" t="s">
        <v>32</v>
      </c>
      <c r="D3126" s="2" t="s">
        <v>33</v>
      </c>
      <c r="E3126" s="2">
        <v>168</v>
      </c>
      <c r="F3126" s="2">
        <v>196</v>
      </c>
      <c r="G3126" s="2">
        <v>485</v>
      </c>
      <c r="H3126" s="2">
        <v>1194</v>
      </c>
      <c r="I3126" s="2">
        <v>2925</v>
      </c>
      <c r="J3126" s="2">
        <v>1.9</v>
      </c>
      <c r="K3126" s="2">
        <v>4.79</v>
      </c>
      <c r="L3126" s="2">
        <v>9.6199999999999992</v>
      </c>
      <c r="M3126" s="2">
        <v>15.52</v>
      </c>
      <c r="N3126" s="2">
        <v>2.7415332719999999</v>
      </c>
      <c r="O3126" s="2">
        <v>2.8155584519999999</v>
      </c>
      <c r="P3126" s="2">
        <v>1.664276621</v>
      </c>
      <c r="Q3126" s="2">
        <v>1.72256882</v>
      </c>
      <c r="R3126" s="2">
        <v>0.37106870199999997</v>
      </c>
      <c r="S3126" s="2">
        <v>0.32106870199999998</v>
      </c>
      <c r="T3126" s="2">
        <v>1.6223824120000001</v>
      </c>
      <c r="U3126" s="2">
        <v>1.6923824119999999</v>
      </c>
      <c r="V3126" s="2">
        <v>1.7079039</v>
      </c>
      <c r="W3126" s="2">
        <v>1.7233015030000001</v>
      </c>
      <c r="X3126">
        <f t="shared" si="144"/>
        <v>0</v>
      </c>
      <c r="Y3126">
        <f t="shared" si="145"/>
        <v>0</v>
      </c>
      <c r="Z3126">
        <f t="shared" si="146"/>
        <v>1</v>
      </c>
    </row>
    <row r="3127" spans="1:26" ht="15.75" customHeight="1" x14ac:dyDescent="0.2">
      <c r="A3127" s="2" t="s">
        <v>36</v>
      </c>
      <c r="B3127" s="2" t="s">
        <v>35</v>
      </c>
      <c r="C3127" s="2" t="s">
        <v>28</v>
      </c>
      <c r="D3127" s="2" t="s">
        <v>29</v>
      </c>
      <c r="E3127" s="2">
        <v>170</v>
      </c>
      <c r="F3127" s="2">
        <v>219</v>
      </c>
      <c r="G3127" s="2">
        <v>382</v>
      </c>
      <c r="H3127" s="2">
        <v>1069</v>
      </c>
      <c r="I3127" s="2">
        <v>2711</v>
      </c>
      <c r="J3127" s="2">
        <v>2.16</v>
      </c>
      <c r="K3127" s="2">
        <v>3.84</v>
      </c>
      <c r="L3127" s="2">
        <v>8.93</v>
      </c>
      <c r="M3127" s="2">
        <v>15.03</v>
      </c>
      <c r="N3127" s="2">
        <v>1.160716842</v>
      </c>
      <c r="O3127" s="2">
        <v>1.1096225150000001</v>
      </c>
      <c r="P3127" s="2">
        <v>2.3773579050000002</v>
      </c>
      <c r="Q3127" s="2">
        <v>2.457603116</v>
      </c>
      <c r="R3127" s="2">
        <v>0.57706234000000001</v>
      </c>
      <c r="S3127" s="2">
        <v>0.62706234000000005</v>
      </c>
      <c r="T3127" s="2">
        <v>2.306258803</v>
      </c>
      <c r="U3127" s="2">
        <v>2.3762588029999998</v>
      </c>
      <c r="V3127" s="2">
        <v>0.75977285800000005</v>
      </c>
      <c r="W3127" s="2">
        <v>0.77517046099999998</v>
      </c>
      <c r="X3127">
        <f t="shared" si="144"/>
        <v>0</v>
      </c>
      <c r="Y3127">
        <f t="shared" si="145"/>
        <v>0</v>
      </c>
      <c r="Z3127">
        <f t="shared" si="146"/>
        <v>1</v>
      </c>
    </row>
    <row r="3128" spans="1:26" ht="15.75" customHeight="1" x14ac:dyDescent="0.2">
      <c r="A3128" s="2" t="s">
        <v>36</v>
      </c>
      <c r="B3128" s="2" t="s">
        <v>35</v>
      </c>
      <c r="C3128" s="2" t="s">
        <v>28</v>
      </c>
      <c r="D3128" s="2" t="s">
        <v>29</v>
      </c>
      <c r="E3128" s="2">
        <v>200</v>
      </c>
      <c r="F3128" s="2">
        <v>219</v>
      </c>
      <c r="G3128" s="2">
        <v>368</v>
      </c>
      <c r="H3128" s="2">
        <v>1095</v>
      </c>
      <c r="I3128" s="2">
        <v>2820</v>
      </c>
      <c r="J3128" s="2">
        <v>2.16</v>
      </c>
      <c r="K3128" s="2">
        <v>3.7</v>
      </c>
      <c r="L3128" s="2">
        <v>9.08</v>
      </c>
      <c r="M3128" s="2">
        <v>15.29</v>
      </c>
      <c r="N3128" s="2">
        <v>1.3244276269999999</v>
      </c>
      <c r="O3128" s="2">
        <v>1.2796185710000001</v>
      </c>
      <c r="P3128" s="2">
        <v>2.2776137429999999</v>
      </c>
      <c r="Q3128" s="2">
        <v>2.3599116549999999</v>
      </c>
      <c r="R3128" s="2">
        <v>0.71522554800000004</v>
      </c>
      <c r="S3128" s="2">
        <v>0.76522554799999998</v>
      </c>
      <c r="T3128" s="2">
        <v>2.1624006979999999</v>
      </c>
      <c r="U3128" s="2">
        <v>2.2324006980000002</v>
      </c>
      <c r="V3128" s="2">
        <v>0.62160965000000001</v>
      </c>
      <c r="W3128" s="2">
        <v>0.63700725300000005</v>
      </c>
      <c r="X3128">
        <f t="shared" si="144"/>
        <v>0</v>
      </c>
      <c r="Y3128">
        <f t="shared" si="145"/>
        <v>0</v>
      </c>
      <c r="Z3128">
        <f t="shared" si="146"/>
        <v>1</v>
      </c>
    </row>
    <row r="3129" spans="1:26" ht="15.75" customHeight="1" x14ac:dyDescent="0.2">
      <c r="A3129" s="2" t="s">
        <v>36</v>
      </c>
      <c r="B3129" s="2" t="s">
        <v>35</v>
      </c>
      <c r="C3129" s="2" t="s">
        <v>26</v>
      </c>
      <c r="D3129" s="2" t="s">
        <v>26</v>
      </c>
      <c r="E3129" s="2">
        <v>208</v>
      </c>
      <c r="F3129" s="2">
        <v>231</v>
      </c>
      <c r="G3129" s="2">
        <v>400</v>
      </c>
      <c r="H3129" s="2">
        <v>836</v>
      </c>
      <c r="I3129" s="2">
        <v>2726</v>
      </c>
      <c r="J3129" s="2">
        <v>2.2999999999999998</v>
      </c>
      <c r="K3129" s="2">
        <v>4.0199999999999996</v>
      </c>
      <c r="L3129" s="2">
        <v>7.49</v>
      </c>
      <c r="M3129" s="2">
        <v>15.07</v>
      </c>
      <c r="N3129" s="2">
        <v>0.29761695700000002</v>
      </c>
      <c r="O3129" s="2">
        <v>0.35407934800000002</v>
      </c>
      <c r="P3129" s="2">
        <v>3.7753960630000001</v>
      </c>
      <c r="Q3129" s="2">
        <v>3.8505626839999998</v>
      </c>
      <c r="R3129" s="2">
        <v>0.402787742</v>
      </c>
      <c r="S3129" s="2">
        <v>0.45278774199999999</v>
      </c>
      <c r="T3129" s="2">
        <v>3.7538483550000001</v>
      </c>
      <c r="U3129" s="2">
        <v>3.823848355</v>
      </c>
      <c r="V3129" s="2">
        <v>0.93404745600000005</v>
      </c>
      <c r="W3129" s="2">
        <v>0.94944505899999998</v>
      </c>
      <c r="X3129">
        <f t="shared" si="144"/>
        <v>0</v>
      </c>
      <c r="Y3129">
        <f t="shared" si="145"/>
        <v>0</v>
      </c>
      <c r="Z3129">
        <f t="shared" si="146"/>
        <v>0</v>
      </c>
    </row>
    <row r="3130" spans="1:26" ht="15.75" customHeight="1" x14ac:dyDescent="0.2">
      <c r="A3130" s="2" t="s">
        <v>36</v>
      </c>
      <c r="B3130" s="2" t="s">
        <v>35</v>
      </c>
      <c r="C3130" s="2" t="s">
        <v>25</v>
      </c>
      <c r="D3130" s="2" t="s">
        <v>25</v>
      </c>
      <c r="E3130" s="2">
        <v>258</v>
      </c>
      <c r="F3130" s="2">
        <v>198</v>
      </c>
      <c r="G3130" s="2">
        <v>752</v>
      </c>
      <c r="H3130" s="2">
        <v>1444</v>
      </c>
      <c r="I3130" s="2">
        <v>3050</v>
      </c>
      <c r="J3130" s="2">
        <v>1.93</v>
      </c>
      <c r="K3130" s="2">
        <v>6.9</v>
      </c>
      <c r="L3130" s="2">
        <v>10.84</v>
      </c>
      <c r="M3130" s="2">
        <v>15.79</v>
      </c>
      <c r="N3130" s="2">
        <v>0.31443249099999998</v>
      </c>
      <c r="O3130" s="2">
        <v>0.40343388499999999</v>
      </c>
      <c r="P3130" s="2">
        <v>2.512977733</v>
      </c>
      <c r="Q3130" s="2">
        <v>2.4758153530000002</v>
      </c>
      <c r="R3130" s="2">
        <v>2.4816594959999998</v>
      </c>
      <c r="S3130" s="2">
        <v>2.431659496</v>
      </c>
      <c r="T3130" s="2">
        <v>0.39550376999999998</v>
      </c>
      <c r="U3130" s="2">
        <v>0.46550376999999998</v>
      </c>
      <c r="V3130" s="2">
        <v>3.818494694</v>
      </c>
      <c r="W3130" s="2">
        <v>3.8338922969999998</v>
      </c>
      <c r="X3130">
        <f t="shared" si="144"/>
        <v>0</v>
      </c>
      <c r="Y3130">
        <f t="shared" si="145"/>
        <v>0</v>
      </c>
      <c r="Z3130">
        <f t="shared" si="146"/>
        <v>0</v>
      </c>
    </row>
    <row r="3131" spans="1:26" ht="15.75" customHeight="1" x14ac:dyDescent="0.2">
      <c r="A3131" s="2" t="s">
        <v>36</v>
      </c>
      <c r="B3131" s="2" t="s">
        <v>35</v>
      </c>
      <c r="C3131" s="2" t="s">
        <v>30</v>
      </c>
      <c r="D3131" s="2" t="s">
        <v>31</v>
      </c>
      <c r="E3131" s="2">
        <v>222</v>
      </c>
      <c r="F3131" s="2">
        <v>191</v>
      </c>
      <c r="G3131" s="2">
        <v>644</v>
      </c>
      <c r="H3131" s="2">
        <v>1300</v>
      </c>
      <c r="I3131" s="2">
        <v>3287</v>
      </c>
      <c r="J3131" s="2">
        <v>1.85</v>
      </c>
      <c r="K3131" s="2">
        <v>6.1</v>
      </c>
      <c r="L3131" s="2">
        <v>10.16</v>
      </c>
      <c r="M3131" s="2">
        <v>16.27</v>
      </c>
      <c r="N3131" s="2">
        <v>3.8617992609999998</v>
      </c>
      <c r="O3131" s="2">
        <v>3.8581699889999999</v>
      </c>
      <c r="P3131" s="2">
        <v>1.9969630169999999</v>
      </c>
      <c r="Q3131" s="2">
        <v>1.994558517</v>
      </c>
      <c r="R3131" s="2">
        <v>1.6804301079999999</v>
      </c>
      <c r="S3131" s="2">
        <v>1.6304301080000001</v>
      </c>
      <c r="T3131" s="2">
        <v>1.078895706</v>
      </c>
      <c r="U3131" s="2">
        <v>1.148895706</v>
      </c>
      <c r="V3131" s="2">
        <v>3.017265305</v>
      </c>
      <c r="W3131" s="2">
        <v>3.0326629079999998</v>
      </c>
      <c r="X3131">
        <f t="shared" si="144"/>
        <v>0</v>
      </c>
      <c r="Y3131">
        <f t="shared" si="145"/>
        <v>0</v>
      </c>
      <c r="Z3131">
        <f t="shared" si="146"/>
        <v>1</v>
      </c>
    </row>
    <row r="3132" spans="1:26" ht="15.75" customHeight="1" x14ac:dyDescent="0.2">
      <c r="A3132" s="2" t="s">
        <v>36</v>
      </c>
      <c r="B3132" s="2" t="s">
        <v>35</v>
      </c>
      <c r="C3132" s="2" t="s">
        <v>28</v>
      </c>
      <c r="D3132" s="2" t="s">
        <v>29</v>
      </c>
      <c r="E3132" s="2">
        <v>181</v>
      </c>
      <c r="F3132" s="2">
        <v>234</v>
      </c>
      <c r="G3132" s="2">
        <v>415</v>
      </c>
      <c r="H3132" s="2">
        <v>1094</v>
      </c>
      <c r="I3132" s="2">
        <v>2815</v>
      </c>
      <c r="J3132" s="2">
        <v>2.33</v>
      </c>
      <c r="K3132" s="2">
        <v>4.16</v>
      </c>
      <c r="L3132" s="2">
        <v>9.08</v>
      </c>
      <c r="M3132" s="2">
        <v>15.28</v>
      </c>
      <c r="N3132" s="2">
        <v>1.30926086</v>
      </c>
      <c r="O3132" s="2">
        <v>1.24231293</v>
      </c>
      <c r="P3132" s="2">
        <v>2.1801028950000001</v>
      </c>
      <c r="Q3132" s="2">
        <v>2.2559848410000001</v>
      </c>
      <c r="R3132" s="2">
        <v>0.26220039299999998</v>
      </c>
      <c r="S3132" s="2">
        <v>0.31220039300000002</v>
      </c>
      <c r="T3132" s="2">
        <v>2.1642780749999999</v>
      </c>
      <c r="U3132" s="2">
        <v>2.2342780750000002</v>
      </c>
      <c r="V3132" s="2">
        <v>1.0746348050000001</v>
      </c>
      <c r="W3132" s="2">
        <v>1.0900324079999999</v>
      </c>
      <c r="X3132">
        <f t="shared" si="144"/>
        <v>0</v>
      </c>
      <c r="Y3132">
        <f t="shared" si="145"/>
        <v>0</v>
      </c>
      <c r="Z3132">
        <f t="shared" si="146"/>
        <v>1</v>
      </c>
    </row>
    <row r="3133" spans="1:26" ht="15.75" customHeight="1" x14ac:dyDescent="0.2">
      <c r="A3133" s="2" t="s">
        <v>36</v>
      </c>
      <c r="B3133" s="2" t="s">
        <v>35</v>
      </c>
      <c r="C3133" s="2" t="s">
        <v>28</v>
      </c>
      <c r="D3133" s="2" t="s">
        <v>29</v>
      </c>
      <c r="E3133" s="2">
        <v>188</v>
      </c>
      <c r="F3133" s="2">
        <v>216</v>
      </c>
      <c r="G3133" s="2">
        <v>369</v>
      </c>
      <c r="H3133" s="2">
        <v>1073</v>
      </c>
      <c r="I3133" s="2">
        <v>2880</v>
      </c>
      <c r="J3133" s="2">
        <v>2.13</v>
      </c>
      <c r="K3133" s="2">
        <v>3.71</v>
      </c>
      <c r="L3133" s="2">
        <v>8.9499999999999993</v>
      </c>
      <c r="M3133" s="2">
        <v>15.42</v>
      </c>
      <c r="N3133" s="2">
        <v>1.202182702</v>
      </c>
      <c r="O3133" s="2">
        <v>1.1585083490000001</v>
      </c>
      <c r="P3133" s="2">
        <v>2.3917185399999998</v>
      </c>
      <c r="Q3133" s="2">
        <v>2.4735017830000001</v>
      </c>
      <c r="R3133" s="2">
        <v>0.70553106200000004</v>
      </c>
      <c r="S3133" s="2">
        <v>0.75553106199999998</v>
      </c>
      <c r="T3133" s="2">
        <v>2.2852884929999999</v>
      </c>
      <c r="U3133" s="2">
        <v>2.3552884930000002</v>
      </c>
      <c r="V3133" s="2">
        <v>0.63130413500000004</v>
      </c>
      <c r="W3133" s="2">
        <v>0.64670173900000005</v>
      </c>
      <c r="X3133">
        <f t="shared" si="144"/>
        <v>0</v>
      </c>
      <c r="Y3133">
        <f t="shared" si="145"/>
        <v>0</v>
      </c>
      <c r="Z3133">
        <f t="shared" si="146"/>
        <v>1</v>
      </c>
    </row>
    <row r="3134" spans="1:26" ht="15.75" customHeight="1" x14ac:dyDescent="0.2">
      <c r="A3134" s="2" t="s">
        <v>36</v>
      </c>
      <c r="B3134" s="2" t="s">
        <v>35</v>
      </c>
      <c r="C3134" s="2" t="s">
        <v>32</v>
      </c>
      <c r="D3134" s="2" t="s">
        <v>33</v>
      </c>
      <c r="E3134" s="2">
        <v>251</v>
      </c>
      <c r="F3134" s="2">
        <v>198</v>
      </c>
      <c r="G3134" s="2">
        <v>607</v>
      </c>
      <c r="H3134" s="2">
        <v>1174</v>
      </c>
      <c r="I3134" s="2">
        <v>3236</v>
      </c>
      <c r="J3134" s="2">
        <v>1.93</v>
      </c>
      <c r="K3134" s="2">
        <v>5.81</v>
      </c>
      <c r="L3134" s="2">
        <v>9.51</v>
      </c>
      <c r="M3134" s="2">
        <v>16.170000000000002</v>
      </c>
      <c r="N3134" s="2">
        <v>2.034583477</v>
      </c>
      <c r="O3134" s="2">
        <v>2.1233101940000001</v>
      </c>
      <c r="P3134" s="2">
        <v>2.218248043</v>
      </c>
      <c r="Q3134" s="2">
        <v>2.2428940879999999</v>
      </c>
      <c r="R3134" s="2">
        <v>1.3922253959999999</v>
      </c>
      <c r="S3134" s="2">
        <v>1.3422253959999999</v>
      </c>
      <c r="T3134" s="2">
        <v>1.7269432039999999</v>
      </c>
      <c r="U3134" s="2">
        <v>1.796943204</v>
      </c>
      <c r="V3134" s="2">
        <v>2.7290605939999999</v>
      </c>
      <c r="W3134" s="2">
        <v>2.7444581970000002</v>
      </c>
      <c r="X3134">
        <f t="shared" si="144"/>
        <v>0</v>
      </c>
      <c r="Y3134">
        <f t="shared" si="145"/>
        <v>0</v>
      </c>
      <c r="Z3134">
        <f t="shared" si="146"/>
        <v>1</v>
      </c>
    </row>
    <row r="3135" spans="1:26" ht="15.75" customHeight="1" x14ac:dyDescent="0.2">
      <c r="A3135" s="2" t="s">
        <v>36</v>
      </c>
      <c r="B3135" s="2" t="s">
        <v>35</v>
      </c>
      <c r="C3135" s="2" t="s">
        <v>25</v>
      </c>
      <c r="D3135" s="2" t="s">
        <v>25</v>
      </c>
      <c r="E3135" s="2">
        <v>187</v>
      </c>
      <c r="F3135" s="2">
        <v>228</v>
      </c>
      <c r="G3135" s="2">
        <v>719</v>
      </c>
      <c r="H3135" s="2">
        <v>1613</v>
      </c>
      <c r="I3135" s="2">
        <v>2908</v>
      </c>
      <c r="J3135" s="2">
        <v>2.27</v>
      </c>
      <c r="K3135" s="2">
        <v>6.67</v>
      </c>
      <c r="L3135" s="2">
        <v>11.57</v>
      </c>
      <c r="M3135" s="2">
        <v>15.49</v>
      </c>
      <c r="N3135" s="2">
        <v>0.66399393100000004</v>
      </c>
      <c r="O3135" s="2">
        <v>0.62273600900000003</v>
      </c>
      <c r="P3135" s="2">
        <v>2.2699471939999998</v>
      </c>
      <c r="Q3135" s="2">
        <v>2.2110819689999999</v>
      </c>
      <c r="R3135" s="2">
        <v>2.2453676749999998</v>
      </c>
      <c r="S3135" s="2">
        <v>2.195367675</v>
      </c>
      <c r="T3135" s="2">
        <v>0.33314301699999999</v>
      </c>
      <c r="U3135" s="2">
        <v>0.26314301699999998</v>
      </c>
      <c r="V3135" s="2">
        <v>3.5822028719999999</v>
      </c>
      <c r="W3135" s="2">
        <v>3.5976004750000001</v>
      </c>
      <c r="X3135">
        <f t="shared" si="144"/>
        <v>0</v>
      </c>
      <c r="Y3135">
        <f t="shared" si="145"/>
        <v>0</v>
      </c>
      <c r="Z3135">
        <f t="shared" si="146"/>
        <v>0</v>
      </c>
    </row>
    <row r="3136" spans="1:26" ht="15.75" customHeight="1" x14ac:dyDescent="0.2">
      <c r="A3136" s="2" t="s">
        <v>36</v>
      </c>
      <c r="B3136" s="2" t="s">
        <v>35</v>
      </c>
      <c r="C3136" s="2" t="s">
        <v>27</v>
      </c>
      <c r="D3136" s="2" t="s">
        <v>27</v>
      </c>
      <c r="E3136" s="2">
        <v>176</v>
      </c>
      <c r="F3136" s="2">
        <v>222</v>
      </c>
      <c r="G3136" s="2">
        <v>397</v>
      </c>
      <c r="H3136" s="2">
        <v>2218</v>
      </c>
      <c r="I3136" s="2">
        <v>2999</v>
      </c>
      <c r="J3136" s="2">
        <v>2.2000000000000002</v>
      </c>
      <c r="K3136" s="2">
        <v>3.98</v>
      </c>
      <c r="L3136" s="2">
        <v>13.7</v>
      </c>
      <c r="M3136" s="2">
        <v>15.68</v>
      </c>
      <c r="N3136" s="2">
        <v>0.26944770299999998</v>
      </c>
      <c r="O3136" s="2">
        <v>0.29364262699999999</v>
      </c>
      <c r="P3136" s="2">
        <v>2.5013309000000001</v>
      </c>
      <c r="Q3136" s="2">
        <v>2.441927272</v>
      </c>
      <c r="R3136" s="2">
        <v>0.43742574299999998</v>
      </c>
      <c r="S3136" s="2">
        <v>0.48742574300000002</v>
      </c>
      <c r="T3136" s="2">
        <v>2.462786022</v>
      </c>
      <c r="U3136" s="2">
        <v>2.3927860220000001</v>
      </c>
      <c r="V3136" s="2">
        <v>0.89940945500000002</v>
      </c>
      <c r="W3136" s="2">
        <v>0.91480705799999995</v>
      </c>
      <c r="X3136">
        <f t="shared" si="144"/>
        <v>0</v>
      </c>
      <c r="Y3136">
        <f t="shared" si="145"/>
        <v>0</v>
      </c>
      <c r="Z3136">
        <f t="shared" si="146"/>
        <v>0</v>
      </c>
    </row>
    <row r="3137" spans="1:26" ht="15.75" customHeight="1" x14ac:dyDescent="0.2">
      <c r="A3137" s="2" t="s">
        <v>36</v>
      </c>
      <c r="B3137" s="2" t="s">
        <v>35</v>
      </c>
      <c r="C3137" s="2" t="s">
        <v>32</v>
      </c>
      <c r="D3137" s="2" t="s">
        <v>33</v>
      </c>
      <c r="E3137" s="2">
        <v>195</v>
      </c>
      <c r="F3137" s="2">
        <v>239</v>
      </c>
      <c r="G3137" s="2">
        <v>532</v>
      </c>
      <c r="H3137" s="2">
        <v>1016</v>
      </c>
      <c r="I3137" s="2">
        <v>2812</v>
      </c>
      <c r="J3137" s="2">
        <v>2.38</v>
      </c>
      <c r="K3137" s="2">
        <v>5.2</v>
      </c>
      <c r="L3137" s="2">
        <v>8.6199999999999992</v>
      </c>
      <c r="M3137" s="2">
        <v>15.27</v>
      </c>
      <c r="N3137" s="2">
        <v>3.11443279</v>
      </c>
      <c r="O3137" s="2">
        <v>3.2040280370000001</v>
      </c>
      <c r="P3137" s="2">
        <v>2.7298320629999999</v>
      </c>
      <c r="Q3137" s="2">
        <v>2.783549904</v>
      </c>
      <c r="R3137" s="2">
        <v>0.77630332999999996</v>
      </c>
      <c r="S3137" s="2">
        <v>0.72630333000000002</v>
      </c>
      <c r="T3137" s="2">
        <v>2.617123656</v>
      </c>
      <c r="U3137" s="2">
        <v>2.6871236559999998</v>
      </c>
      <c r="V3137" s="2">
        <v>2.1131385279999999</v>
      </c>
      <c r="W3137" s="2">
        <v>2.1285361310000002</v>
      </c>
      <c r="X3137">
        <f t="shared" si="144"/>
        <v>0</v>
      </c>
      <c r="Y3137">
        <f t="shared" si="145"/>
        <v>0</v>
      </c>
      <c r="Z3137">
        <f t="shared" si="146"/>
        <v>1</v>
      </c>
    </row>
    <row r="3138" spans="1:26" ht="15.75" customHeight="1" x14ac:dyDescent="0.2">
      <c r="A3138" s="2" t="s">
        <v>36</v>
      </c>
      <c r="B3138" s="2" t="s">
        <v>35</v>
      </c>
      <c r="C3138" s="2" t="s">
        <v>28</v>
      </c>
      <c r="D3138" s="2" t="s">
        <v>29</v>
      </c>
      <c r="E3138" s="2">
        <v>164</v>
      </c>
      <c r="F3138" s="2">
        <v>234</v>
      </c>
      <c r="G3138" s="2">
        <v>362</v>
      </c>
      <c r="H3138" s="2">
        <v>1109</v>
      </c>
      <c r="I3138" s="2">
        <v>2642</v>
      </c>
      <c r="J3138" s="2">
        <v>2.33</v>
      </c>
      <c r="K3138" s="2">
        <v>3.65</v>
      </c>
      <c r="L3138" s="2">
        <v>9.16</v>
      </c>
      <c r="M3138" s="2">
        <v>14.86</v>
      </c>
      <c r="N3138" s="2">
        <v>1.415421037</v>
      </c>
      <c r="O3138" s="2">
        <v>1.3726222969999999</v>
      </c>
      <c r="P3138" s="2">
        <v>2.2211209200000002</v>
      </c>
      <c r="Q3138" s="2">
        <v>2.3042619700000002</v>
      </c>
      <c r="R3138" s="2">
        <v>0.77356783900000003</v>
      </c>
      <c r="S3138" s="2">
        <v>0.82356783899999997</v>
      </c>
      <c r="T3138" s="2">
        <v>2.0820593029999999</v>
      </c>
      <c r="U3138" s="2">
        <v>2.1520593030000001</v>
      </c>
      <c r="V3138" s="2">
        <v>0.56326735800000005</v>
      </c>
      <c r="W3138" s="2">
        <v>0.57866496199999995</v>
      </c>
      <c r="X3138">
        <f t="shared" si="144"/>
        <v>0</v>
      </c>
      <c r="Y3138">
        <f t="shared" si="145"/>
        <v>0</v>
      </c>
      <c r="Z3138">
        <f t="shared" si="146"/>
        <v>1</v>
      </c>
    </row>
    <row r="3139" spans="1:26" ht="15.75" customHeight="1" x14ac:dyDescent="0.2">
      <c r="A3139" s="2" t="s">
        <v>36</v>
      </c>
      <c r="B3139" s="2" t="s">
        <v>35</v>
      </c>
      <c r="C3139" s="2" t="s">
        <v>27</v>
      </c>
      <c r="D3139" s="2" t="s">
        <v>27</v>
      </c>
      <c r="E3139" s="2">
        <v>192</v>
      </c>
      <c r="F3139" s="2">
        <v>157</v>
      </c>
      <c r="G3139" s="2">
        <v>415</v>
      </c>
      <c r="H3139" s="2">
        <v>2189</v>
      </c>
      <c r="I3139" s="2">
        <v>2799</v>
      </c>
      <c r="J3139" s="2">
        <v>1.46</v>
      </c>
      <c r="K3139" s="2">
        <v>4.1500000000000004</v>
      </c>
      <c r="L3139" s="2">
        <v>13.61</v>
      </c>
      <c r="M3139" s="2">
        <v>15.24</v>
      </c>
      <c r="N3139" s="2">
        <v>0.114998314</v>
      </c>
      <c r="O3139" s="2">
        <v>0.10709197600000001</v>
      </c>
      <c r="P3139" s="2">
        <v>2.3896489910000001</v>
      </c>
      <c r="Q3139" s="2">
        <v>2.326342667</v>
      </c>
      <c r="R3139" s="2">
        <v>0.26530526300000001</v>
      </c>
      <c r="S3139" s="2">
        <v>0.315305263</v>
      </c>
      <c r="T3139" s="2">
        <v>2.3748758740000002</v>
      </c>
      <c r="U3139" s="2">
        <v>2.3048758739999999</v>
      </c>
      <c r="V3139" s="2">
        <v>1.071529934</v>
      </c>
      <c r="W3139" s="2">
        <v>1.0869275380000001</v>
      </c>
      <c r="X3139">
        <f t="shared" ref="X3139:X3202" si="147">IF(B3139="normal",1,0)</f>
        <v>0</v>
      </c>
      <c r="Y3139">
        <f t="shared" ref="Y3139:Y3202" si="148">IF(A3139="lecture",1,0)</f>
        <v>0</v>
      </c>
      <c r="Z3139">
        <f t="shared" ref="Z3139:Z3202" si="149">IF(ISNUMBER(FIND("~",D3139)),1,0)</f>
        <v>0</v>
      </c>
    </row>
    <row r="3140" spans="1:26" ht="15.75" customHeight="1" x14ac:dyDescent="0.2">
      <c r="A3140" s="2" t="s">
        <v>36</v>
      </c>
      <c r="B3140" s="2" t="s">
        <v>35</v>
      </c>
      <c r="C3140" s="2" t="s">
        <v>26</v>
      </c>
      <c r="D3140" s="2" t="s">
        <v>26</v>
      </c>
      <c r="E3140" s="2">
        <v>211</v>
      </c>
      <c r="F3140" s="2">
        <v>243</v>
      </c>
      <c r="G3140" s="2">
        <v>396</v>
      </c>
      <c r="H3140" s="2">
        <v>864</v>
      </c>
      <c r="I3140" s="2">
        <v>2703</v>
      </c>
      <c r="J3140" s="2">
        <v>2.4300000000000002</v>
      </c>
      <c r="K3140" s="2">
        <v>3.97</v>
      </c>
      <c r="L3140" s="2">
        <v>7.67</v>
      </c>
      <c r="M3140" s="2">
        <v>15.01</v>
      </c>
      <c r="N3140" s="2">
        <v>0.10535686399999999</v>
      </c>
      <c r="O3140" s="2">
        <v>0.17482656999999999</v>
      </c>
      <c r="P3140" s="2">
        <v>3.5932094530000001</v>
      </c>
      <c r="Q3140" s="2">
        <v>3.6691125389999999</v>
      </c>
      <c r="R3140" s="2">
        <v>0.446891184</v>
      </c>
      <c r="S3140" s="2">
        <v>0.49689118399999999</v>
      </c>
      <c r="T3140" s="2">
        <v>3.5653109879999998</v>
      </c>
      <c r="U3140" s="2">
        <v>3.6353109880000001</v>
      </c>
      <c r="V3140" s="2">
        <v>0.88994401300000003</v>
      </c>
      <c r="W3140" s="2">
        <v>0.90534161700000004</v>
      </c>
      <c r="X3140">
        <f t="shared" si="147"/>
        <v>0</v>
      </c>
      <c r="Y3140">
        <f t="shared" si="148"/>
        <v>0</v>
      </c>
      <c r="Z3140">
        <f t="shared" si="149"/>
        <v>0</v>
      </c>
    </row>
    <row r="3141" spans="1:26" ht="15.75" customHeight="1" x14ac:dyDescent="0.2">
      <c r="A3141" s="2" t="s">
        <v>36</v>
      </c>
      <c r="B3141" s="2" t="s">
        <v>35</v>
      </c>
      <c r="C3141" s="2" t="s">
        <v>27</v>
      </c>
      <c r="D3141" s="2" t="s">
        <v>27</v>
      </c>
      <c r="E3141" s="2">
        <v>191</v>
      </c>
      <c r="F3141" s="2">
        <v>217</v>
      </c>
      <c r="G3141" s="2">
        <v>395</v>
      </c>
      <c r="H3141" s="2">
        <v>2371</v>
      </c>
      <c r="I3141" s="2">
        <v>2982</v>
      </c>
      <c r="J3141" s="2">
        <v>2.14</v>
      </c>
      <c r="K3141" s="2">
        <v>3.96</v>
      </c>
      <c r="L3141" s="2">
        <v>14.15</v>
      </c>
      <c r="M3141" s="2">
        <v>15.65</v>
      </c>
      <c r="N3141" s="2">
        <v>0.67623551699999995</v>
      </c>
      <c r="O3141" s="2">
        <v>0.66823077900000005</v>
      </c>
      <c r="P3141" s="2">
        <v>2.9427003859999998</v>
      </c>
      <c r="Q3141" s="2">
        <v>2.8819313580000001</v>
      </c>
      <c r="R3141" s="2">
        <v>0.45636466599999997</v>
      </c>
      <c r="S3141" s="2">
        <v>0.50636466599999996</v>
      </c>
      <c r="T3141" s="2">
        <v>2.907097668</v>
      </c>
      <c r="U3141" s="2">
        <v>2.8370976680000002</v>
      </c>
      <c r="V3141" s="2">
        <v>0.88047053200000003</v>
      </c>
      <c r="W3141" s="2">
        <v>0.89586813499999995</v>
      </c>
      <c r="X3141">
        <f t="shared" si="147"/>
        <v>0</v>
      </c>
      <c r="Y3141">
        <f t="shared" si="148"/>
        <v>0</v>
      </c>
      <c r="Z3141">
        <f t="shared" si="149"/>
        <v>0</v>
      </c>
    </row>
    <row r="3142" spans="1:26" ht="15.75" customHeight="1" x14ac:dyDescent="0.2">
      <c r="A3142" s="2" t="s">
        <v>36</v>
      </c>
      <c r="B3142" s="2" t="s">
        <v>35</v>
      </c>
      <c r="C3142" s="2" t="s">
        <v>27</v>
      </c>
      <c r="D3142" s="2" t="s">
        <v>27</v>
      </c>
      <c r="E3142" s="2">
        <v>200</v>
      </c>
      <c r="F3142" s="2">
        <v>222</v>
      </c>
      <c r="G3142" s="2">
        <v>427</v>
      </c>
      <c r="H3142" s="2">
        <v>2138</v>
      </c>
      <c r="I3142" s="2">
        <v>3003</v>
      </c>
      <c r="J3142" s="2">
        <v>2.2000000000000002</v>
      </c>
      <c r="K3142" s="2">
        <v>4.2699999999999996</v>
      </c>
      <c r="L3142" s="2">
        <v>13.46</v>
      </c>
      <c r="M3142" s="2">
        <v>15.69</v>
      </c>
      <c r="N3142" s="2">
        <v>0.116701893</v>
      </c>
      <c r="O3142" s="2">
        <v>8.6842536999999997E-2</v>
      </c>
      <c r="P3142" s="2">
        <v>2.223433649</v>
      </c>
      <c r="Q3142" s="2">
        <v>2.1576828830000001</v>
      </c>
      <c r="R3142" s="2">
        <v>0.151002513</v>
      </c>
      <c r="S3142" s="2">
        <v>0.20100251299999999</v>
      </c>
      <c r="T3142" s="2">
        <v>2.218300122</v>
      </c>
      <c r="U3142" s="2">
        <v>2.1483001220000002</v>
      </c>
      <c r="V3142" s="2">
        <v>1.185832684</v>
      </c>
      <c r="W3142" s="2">
        <v>1.2012302880000001</v>
      </c>
      <c r="X3142">
        <f t="shared" si="147"/>
        <v>0</v>
      </c>
      <c r="Y3142">
        <f t="shared" si="148"/>
        <v>0</v>
      </c>
      <c r="Z3142">
        <f t="shared" si="149"/>
        <v>0</v>
      </c>
    </row>
    <row r="3143" spans="1:26" ht="15.75" customHeight="1" x14ac:dyDescent="0.2">
      <c r="A3143" s="2" t="s">
        <v>36</v>
      </c>
      <c r="B3143" s="2" t="s">
        <v>35</v>
      </c>
      <c r="C3143" s="2" t="s">
        <v>32</v>
      </c>
      <c r="D3143" s="2" t="s">
        <v>33</v>
      </c>
      <c r="E3143" s="2">
        <v>197</v>
      </c>
      <c r="F3143" s="2">
        <v>207</v>
      </c>
      <c r="G3143" s="2">
        <v>609</v>
      </c>
      <c r="H3143" s="2">
        <v>1267</v>
      </c>
      <c r="I3143" s="2">
        <v>3365</v>
      </c>
      <c r="J3143" s="2">
        <v>2.0299999999999998</v>
      </c>
      <c r="K3143" s="2">
        <v>5.83</v>
      </c>
      <c r="L3143" s="2">
        <v>10</v>
      </c>
      <c r="M3143" s="2">
        <v>16.41</v>
      </c>
      <c r="N3143" s="2">
        <v>1.6795118760000001</v>
      </c>
      <c r="O3143" s="2">
        <v>1.7611356410000001</v>
      </c>
      <c r="P3143" s="2">
        <v>1.8756673109999999</v>
      </c>
      <c r="Q3143" s="2">
        <v>1.886495252</v>
      </c>
      <c r="R3143" s="2">
        <v>1.405504087</v>
      </c>
      <c r="S3143" s="2">
        <v>1.3555040869999999</v>
      </c>
      <c r="T3143" s="2">
        <v>1.2420491629999999</v>
      </c>
      <c r="U3143" s="2">
        <v>1.312049163</v>
      </c>
      <c r="V3143" s="2">
        <v>2.7423392849999999</v>
      </c>
      <c r="W3143" s="2">
        <v>2.7577368880000002</v>
      </c>
      <c r="X3143">
        <f t="shared" si="147"/>
        <v>0</v>
      </c>
      <c r="Y3143">
        <f t="shared" si="148"/>
        <v>0</v>
      </c>
      <c r="Z3143">
        <f t="shared" si="149"/>
        <v>1</v>
      </c>
    </row>
    <row r="3144" spans="1:26" ht="15.75" customHeight="1" x14ac:dyDescent="0.2">
      <c r="A3144" s="2" t="s">
        <v>36</v>
      </c>
      <c r="B3144" s="2" t="s">
        <v>35</v>
      </c>
      <c r="C3144" s="2" t="s">
        <v>28</v>
      </c>
      <c r="D3144" s="2" t="s">
        <v>29</v>
      </c>
      <c r="E3144" s="2">
        <v>225</v>
      </c>
      <c r="F3144" s="2">
        <v>195</v>
      </c>
      <c r="G3144" s="2">
        <v>362</v>
      </c>
      <c r="H3144" s="2">
        <v>986</v>
      </c>
      <c r="I3144" s="2">
        <v>2663</v>
      </c>
      <c r="J3144" s="2">
        <v>1.9</v>
      </c>
      <c r="K3144" s="2">
        <v>3.65</v>
      </c>
      <c r="L3144" s="2">
        <v>8.44</v>
      </c>
      <c r="M3144" s="2">
        <v>14.91</v>
      </c>
      <c r="N3144" s="2">
        <v>0.73599145499999996</v>
      </c>
      <c r="O3144" s="2">
        <v>0.71301160299999999</v>
      </c>
      <c r="P3144" s="2">
        <v>2.9038814670000002</v>
      </c>
      <c r="Q3144" s="2">
        <v>2.9848178070000002</v>
      </c>
      <c r="R3144" s="2">
        <v>0.77356783900000003</v>
      </c>
      <c r="S3144" s="2">
        <v>0.82356783899999997</v>
      </c>
      <c r="T3144" s="2">
        <v>2.79894987</v>
      </c>
      <c r="U3144" s="2">
        <v>2.8689498699999998</v>
      </c>
      <c r="V3144" s="2">
        <v>0.56326735800000005</v>
      </c>
      <c r="W3144" s="2">
        <v>0.57866496199999995</v>
      </c>
      <c r="X3144">
        <f t="shared" si="147"/>
        <v>0</v>
      </c>
      <c r="Y3144">
        <f t="shared" si="148"/>
        <v>0</v>
      </c>
      <c r="Z3144">
        <f t="shared" si="149"/>
        <v>1</v>
      </c>
    </row>
    <row r="3145" spans="1:26" ht="15.75" customHeight="1" x14ac:dyDescent="0.2">
      <c r="A3145" s="2" t="s">
        <v>36</v>
      </c>
      <c r="B3145" s="2" t="s">
        <v>35</v>
      </c>
      <c r="C3145" s="2" t="s">
        <v>26</v>
      </c>
      <c r="D3145" s="2" t="s">
        <v>26</v>
      </c>
      <c r="E3145" s="2">
        <v>218</v>
      </c>
      <c r="F3145" s="2">
        <v>190</v>
      </c>
      <c r="G3145" s="2">
        <v>384</v>
      </c>
      <c r="H3145" s="2">
        <v>940</v>
      </c>
      <c r="I3145" s="2">
        <v>2683</v>
      </c>
      <c r="J3145" s="2">
        <v>1.84</v>
      </c>
      <c r="K3145" s="2">
        <v>3.86</v>
      </c>
      <c r="L3145" s="2">
        <v>8.16</v>
      </c>
      <c r="M3145" s="2">
        <v>14.96</v>
      </c>
      <c r="N3145" s="2">
        <v>0.39515966499999999</v>
      </c>
      <c r="O3145" s="2">
        <v>0.36150349799999998</v>
      </c>
      <c r="P3145" s="2">
        <v>3.1299876929999999</v>
      </c>
      <c r="Q3145" s="2">
        <v>3.207989317</v>
      </c>
      <c r="R3145" s="2">
        <v>0.55791808899999995</v>
      </c>
      <c r="S3145" s="2">
        <v>0.60791808899999999</v>
      </c>
      <c r="T3145" s="2">
        <v>3.0798620689999998</v>
      </c>
      <c r="U3145" s="2">
        <v>3.1498620690000001</v>
      </c>
      <c r="V3145" s="2">
        <v>0.778917109</v>
      </c>
      <c r="W3145" s="2">
        <v>0.79431471200000003</v>
      </c>
      <c r="X3145">
        <f t="shared" si="147"/>
        <v>0</v>
      </c>
      <c r="Y3145">
        <f t="shared" si="148"/>
        <v>0</v>
      </c>
      <c r="Z3145">
        <f t="shared" si="149"/>
        <v>0</v>
      </c>
    </row>
    <row r="3146" spans="1:26" ht="15.75" customHeight="1" x14ac:dyDescent="0.2">
      <c r="A3146" s="2" t="s">
        <v>36</v>
      </c>
      <c r="B3146" s="2" t="s">
        <v>35</v>
      </c>
      <c r="C3146" s="2" t="s">
        <v>30</v>
      </c>
      <c r="D3146" s="2" t="s">
        <v>31</v>
      </c>
      <c r="E3146" s="2">
        <v>229</v>
      </c>
      <c r="F3146" s="2">
        <v>172</v>
      </c>
      <c r="G3146" s="2">
        <v>512</v>
      </c>
      <c r="H3146" s="2">
        <v>1217</v>
      </c>
      <c r="I3146" s="2">
        <v>2966</v>
      </c>
      <c r="J3146" s="2">
        <v>1.63</v>
      </c>
      <c r="K3146" s="2">
        <v>5.0199999999999996</v>
      </c>
      <c r="L3146" s="2">
        <v>9.74</v>
      </c>
      <c r="M3146" s="2">
        <v>15.61</v>
      </c>
      <c r="N3146" s="2">
        <v>3.855414992</v>
      </c>
      <c r="O3146" s="2">
        <v>3.871823783</v>
      </c>
      <c r="P3146" s="2">
        <v>1.6139493279999999</v>
      </c>
      <c r="Q3146" s="2">
        <v>1.661923295</v>
      </c>
      <c r="R3146" s="2">
        <v>0.60001348600000004</v>
      </c>
      <c r="S3146" s="2">
        <v>0.550013486</v>
      </c>
      <c r="T3146" s="2">
        <v>1.498271087</v>
      </c>
      <c r="U3146" s="2">
        <v>1.5682710870000001</v>
      </c>
      <c r="V3146" s="2">
        <v>1.9368486840000001</v>
      </c>
      <c r="W3146" s="2">
        <v>1.9522462869999999</v>
      </c>
      <c r="X3146">
        <f t="shared" si="147"/>
        <v>0</v>
      </c>
      <c r="Y3146">
        <f t="shared" si="148"/>
        <v>0</v>
      </c>
      <c r="Z3146">
        <f t="shared" si="149"/>
        <v>1</v>
      </c>
    </row>
    <row r="3147" spans="1:26" ht="15.75" customHeight="1" x14ac:dyDescent="0.2">
      <c r="A3147" s="2" t="s">
        <v>36</v>
      </c>
      <c r="B3147" s="2" t="s">
        <v>35</v>
      </c>
      <c r="C3147" s="2" t="s">
        <v>27</v>
      </c>
      <c r="D3147" s="2" t="s">
        <v>27</v>
      </c>
      <c r="E3147" s="2">
        <v>166</v>
      </c>
      <c r="F3147" s="2">
        <v>230</v>
      </c>
      <c r="G3147" s="2">
        <v>442</v>
      </c>
      <c r="H3147" s="2">
        <v>1675</v>
      </c>
      <c r="I3147" s="2">
        <v>2763</v>
      </c>
      <c r="J3147" s="2">
        <v>2.29</v>
      </c>
      <c r="K3147" s="2">
        <v>4.4000000000000004</v>
      </c>
      <c r="L3147" s="2">
        <v>11.83</v>
      </c>
      <c r="M3147" s="2">
        <v>15.15</v>
      </c>
      <c r="N3147" s="2">
        <v>1.6918465789999999</v>
      </c>
      <c r="O3147" s="2">
        <v>1.7142003020000001</v>
      </c>
      <c r="P3147" s="2">
        <v>0.58564388999999994</v>
      </c>
      <c r="Q3147" s="2">
        <v>0.51999870199999998</v>
      </c>
      <c r="R3147" s="2">
        <v>1.9639139E-2</v>
      </c>
      <c r="S3147" s="2">
        <v>6.9639139000000003E-2</v>
      </c>
      <c r="T3147" s="2">
        <v>0.58531450600000001</v>
      </c>
      <c r="U3147" s="2">
        <v>0.51531450599999995</v>
      </c>
      <c r="V3147" s="2">
        <v>1.3171960579999999</v>
      </c>
      <c r="W3147" s="2">
        <v>1.332593661</v>
      </c>
      <c r="X3147">
        <f t="shared" si="147"/>
        <v>0</v>
      </c>
      <c r="Y3147">
        <f t="shared" si="148"/>
        <v>0</v>
      </c>
      <c r="Z3147">
        <f t="shared" si="149"/>
        <v>0</v>
      </c>
    </row>
    <row r="3148" spans="1:26" ht="15.75" customHeight="1" x14ac:dyDescent="0.2">
      <c r="A3148" s="2" t="s">
        <v>36</v>
      </c>
      <c r="B3148" s="2" t="s">
        <v>35</v>
      </c>
      <c r="C3148" s="2" t="s">
        <v>30</v>
      </c>
      <c r="D3148" s="2" t="s">
        <v>31</v>
      </c>
      <c r="E3148" s="2">
        <v>219</v>
      </c>
      <c r="F3148" s="2">
        <v>207</v>
      </c>
      <c r="G3148" s="2">
        <v>631</v>
      </c>
      <c r="H3148" s="2">
        <v>1235</v>
      </c>
      <c r="I3148" s="2">
        <v>3306</v>
      </c>
      <c r="J3148" s="2">
        <v>2.0299999999999998</v>
      </c>
      <c r="K3148" s="2">
        <v>6</v>
      </c>
      <c r="L3148" s="2">
        <v>9.83</v>
      </c>
      <c r="M3148" s="2">
        <v>16.3</v>
      </c>
      <c r="N3148" s="2">
        <v>4.1033869730000001</v>
      </c>
      <c r="O3148" s="2">
        <v>4.1038127600000003</v>
      </c>
      <c r="P3148" s="2">
        <v>2.11688754</v>
      </c>
      <c r="Q3148" s="2">
        <v>2.1277662099999999</v>
      </c>
      <c r="R3148" s="2">
        <v>1.5817905839999999</v>
      </c>
      <c r="S3148" s="2">
        <v>1.5317905839999999</v>
      </c>
      <c r="T3148" s="2">
        <v>1.4068231609999999</v>
      </c>
      <c r="U3148" s="2">
        <v>1.476823161</v>
      </c>
      <c r="V3148" s="2">
        <v>2.9186257819999999</v>
      </c>
      <c r="W3148" s="2">
        <v>2.9340233850000002</v>
      </c>
      <c r="X3148">
        <f t="shared" si="147"/>
        <v>0</v>
      </c>
      <c r="Y3148">
        <f t="shared" si="148"/>
        <v>0</v>
      </c>
      <c r="Z3148">
        <f t="shared" si="149"/>
        <v>1</v>
      </c>
    </row>
    <row r="3149" spans="1:26" ht="15.75" customHeight="1" x14ac:dyDescent="0.2">
      <c r="A3149" s="2" t="s">
        <v>36</v>
      </c>
      <c r="B3149" s="2" t="s">
        <v>35</v>
      </c>
      <c r="C3149" s="2" t="s">
        <v>26</v>
      </c>
      <c r="D3149" s="2" t="s">
        <v>26</v>
      </c>
      <c r="E3149" s="2">
        <v>219</v>
      </c>
      <c r="F3149" s="2">
        <v>225</v>
      </c>
      <c r="G3149" s="2">
        <v>386</v>
      </c>
      <c r="H3149" s="2">
        <v>918</v>
      </c>
      <c r="I3149" s="2">
        <v>2608</v>
      </c>
      <c r="J3149" s="2">
        <v>2.23</v>
      </c>
      <c r="K3149" s="2">
        <v>3.88</v>
      </c>
      <c r="L3149" s="2">
        <v>8.02</v>
      </c>
      <c r="M3149" s="2">
        <v>14.78</v>
      </c>
      <c r="N3149" s="2">
        <v>0.25544509199999998</v>
      </c>
      <c r="O3149" s="2">
        <v>0.23316867599999999</v>
      </c>
      <c r="P3149" s="2">
        <v>3.2652504769999999</v>
      </c>
      <c r="Q3149" s="2">
        <v>3.3427548159999998</v>
      </c>
      <c r="R3149" s="2">
        <v>0.538806479</v>
      </c>
      <c r="S3149" s="2">
        <v>0.58880647900000005</v>
      </c>
      <c r="T3149" s="2">
        <v>3.2204888220000001</v>
      </c>
      <c r="U3149" s="2">
        <v>3.2904888219999999</v>
      </c>
      <c r="V3149" s="2">
        <v>0.79802871799999997</v>
      </c>
      <c r="W3149" s="2">
        <v>0.81342632199999998</v>
      </c>
      <c r="X3149">
        <f t="shared" si="147"/>
        <v>0</v>
      </c>
      <c r="Y3149">
        <f t="shared" si="148"/>
        <v>0</v>
      </c>
      <c r="Z3149">
        <f t="shared" si="149"/>
        <v>0</v>
      </c>
    </row>
    <row r="3150" spans="1:26" ht="15.75" customHeight="1" x14ac:dyDescent="0.2">
      <c r="A3150" s="2" t="s">
        <v>36</v>
      </c>
      <c r="B3150" s="2" t="s">
        <v>35</v>
      </c>
      <c r="C3150" s="2" t="s">
        <v>26</v>
      </c>
      <c r="D3150" s="2" t="s">
        <v>26</v>
      </c>
      <c r="E3150" s="2">
        <v>229</v>
      </c>
      <c r="F3150" s="2">
        <v>227</v>
      </c>
      <c r="G3150" s="2">
        <v>409</v>
      </c>
      <c r="H3150" s="2">
        <v>851</v>
      </c>
      <c r="I3150" s="2">
        <v>2724</v>
      </c>
      <c r="J3150" s="2">
        <v>2.2599999999999998</v>
      </c>
      <c r="K3150" s="2">
        <v>4.0999999999999996</v>
      </c>
      <c r="L3150" s="2">
        <v>7.59</v>
      </c>
      <c r="M3150" s="2">
        <v>15.06</v>
      </c>
      <c r="N3150" s="2">
        <v>0.22884944600000001</v>
      </c>
      <c r="O3150" s="2">
        <v>0.25974810100000001</v>
      </c>
      <c r="P3150" s="2">
        <v>3.6657323769999999</v>
      </c>
      <c r="Q3150" s="2">
        <v>3.7401374949999999</v>
      </c>
      <c r="R3150" s="2">
        <v>0.32446383299999998</v>
      </c>
      <c r="S3150" s="2">
        <v>0.37446383300000002</v>
      </c>
      <c r="T3150" s="2">
        <v>3.6513445579999999</v>
      </c>
      <c r="U3150" s="2">
        <v>3.7213445580000002</v>
      </c>
      <c r="V3150" s="2">
        <v>1.0123713640000001</v>
      </c>
      <c r="W3150" s="2">
        <v>1.0277689679999999</v>
      </c>
      <c r="X3150">
        <f t="shared" si="147"/>
        <v>0</v>
      </c>
      <c r="Y3150">
        <f t="shared" si="148"/>
        <v>0</v>
      </c>
      <c r="Z3150">
        <f t="shared" si="149"/>
        <v>0</v>
      </c>
    </row>
    <row r="3151" spans="1:26" ht="15.75" customHeight="1" x14ac:dyDescent="0.2">
      <c r="A3151" s="2" t="s">
        <v>36</v>
      </c>
      <c r="B3151" s="2" t="s">
        <v>35</v>
      </c>
      <c r="C3151" s="2" t="s">
        <v>26</v>
      </c>
      <c r="D3151" s="2" t="s">
        <v>26</v>
      </c>
      <c r="E3151" s="2">
        <v>183</v>
      </c>
      <c r="F3151" s="2">
        <v>235</v>
      </c>
      <c r="G3151" s="2">
        <v>413</v>
      </c>
      <c r="H3151" s="2">
        <v>768</v>
      </c>
      <c r="I3151" s="2">
        <v>2874</v>
      </c>
      <c r="J3151" s="2">
        <v>2.34</v>
      </c>
      <c r="K3151" s="2">
        <v>4.1399999999999997</v>
      </c>
      <c r="L3151" s="2">
        <v>7.02</v>
      </c>
      <c r="M3151" s="2">
        <v>15.41</v>
      </c>
      <c r="N3151" s="2">
        <v>0.78019128800000004</v>
      </c>
      <c r="O3151" s="2">
        <v>0.82912652200000003</v>
      </c>
      <c r="P3151" s="2">
        <v>4.2318539250000002</v>
      </c>
      <c r="Q3151" s="2">
        <v>4.30528829</v>
      </c>
      <c r="R3151" s="2">
        <v>0.283952802</v>
      </c>
      <c r="S3151" s="2">
        <v>0.33395280199999999</v>
      </c>
      <c r="T3151" s="2">
        <v>4.2223167159999999</v>
      </c>
      <c r="U3151" s="2">
        <v>4.2923167160000002</v>
      </c>
      <c r="V3151" s="2">
        <v>1.0528823949999999</v>
      </c>
      <c r="W3151" s="2">
        <v>1.068279999</v>
      </c>
      <c r="X3151">
        <f t="shared" si="147"/>
        <v>0</v>
      </c>
      <c r="Y3151">
        <f t="shared" si="148"/>
        <v>0</v>
      </c>
      <c r="Z3151">
        <f t="shared" si="149"/>
        <v>0</v>
      </c>
    </row>
    <row r="3152" spans="1:26" ht="15.75" customHeight="1" x14ac:dyDescent="0.2">
      <c r="A3152" s="2" t="s">
        <v>36</v>
      </c>
      <c r="B3152" s="2" t="s">
        <v>35</v>
      </c>
      <c r="C3152" s="2" t="s">
        <v>25</v>
      </c>
      <c r="D3152" s="2" t="s">
        <v>25</v>
      </c>
      <c r="E3152" s="2">
        <v>276</v>
      </c>
      <c r="F3152" s="2">
        <v>209</v>
      </c>
      <c r="G3152" s="2">
        <v>775</v>
      </c>
      <c r="H3152" s="2">
        <v>1473</v>
      </c>
      <c r="I3152" s="2">
        <v>2957</v>
      </c>
      <c r="J3152" s="2">
        <v>2.0499999999999998</v>
      </c>
      <c r="K3152" s="2">
        <v>7.07</v>
      </c>
      <c r="L3152" s="2">
        <v>10.97</v>
      </c>
      <c r="M3152" s="2">
        <v>15.59</v>
      </c>
      <c r="N3152" s="2">
        <v>0.11496345600000001</v>
      </c>
      <c r="O3152" s="2">
        <v>0.20973267700000001</v>
      </c>
      <c r="P3152" s="2">
        <v>2.660376667</v>
      </c>
      <c r="Q3152" s="2">
        <v>2.618707959</v>
      </c>
      <c r="R3152" s="2">
        <v>2.646983547</v>
      </c>
      <c r="S3152" s="2">
        <v>2.5969835469999998</v>
      </c>
      <c r="T3152" s="2">
        <v>0.26661229199999997</v>
      </c>
      <c r="U3152" s="2">
        <v>0.33661229199999998</v>
      </c>
      <c r="V3152" s="2">
        <v>3.9838187440000001</v>
      </c>
      <c r="W3152" s="2">
        <v>3.999216348</v>
      </c>
      <c r="X3152">
        <f t="shared" si="147"/>
        <v>0</v>
      </c>
      <c r="Y3152">
        <f t="shared" si="148"/>
        <v>0</v>
      </c>
      <c r="Z3152">
        <f t="shared" si="149"/>
        <v>0</v>
      </c>
    </row>
    <row r="3153" spans="1:26" ht="15.75" customHeight="1" x14ac:dyDescent="0.2">
      <c r="A3153" s="2" t="s">
        <v>36</v>
      </c>
      <c r="B3153" s="2" t="s">
        <v>35</v>
      </c>
      <c r="C3153" s="2" t="s">
        <v>25</v>
      </c>
      <c r="D3153" s="2" t="s">
        <v>25</v>
      </c>
      <c r="E3153" s="2">
        <v>261</v>
      </c>
      <c r="F3153" s="2">
        <v>202</v>
      </c>
      <c r="G3153" s="2">
        <v>793</v>
      </c>
      <c r="H3153" s="2">
        <v>1466</v>
      </c>
      <c r="I3153" s="2">
        <v>3013</v>
      </c>
      <c r="J3153" s="2">
        <v>1.97</v>
      </c>
      <c r="K3153" s="2">
        <v>7.19</v>
      </c>
      <c r="L3153" s="2">
        <v>10.94</v>
      </c>
      <c r="M3153" s="2">
        <v>15.71</v>
      </c>
      <c r="N3153" s="2">
        <v>0.160852523</v>
      </c>
      <c r="O3153" s="2">
        <v>0.23482803599999999</v>
      </c>
      <c r="P3153" s="2">
        <v>2.7864227029999999</v>
      </c>
      <c r="Q3153" s="2">
        <v>2.7452568670000002</v>
      </c>
      <c r="R3153" s="2">
        <v>2.7702930490000002</v>
      </c>
      <c r="S3153" s="2">
        <v>2.7202930489999999</v>
      </c>
      <c r="T3153" s="2">
        <v>0.29937919600000001</v>
      </c>
      <c r="U3153" s="2">
        <v>0.36937919600000002</v>
      </c>
      <c r="V3153" s="2">
        <v>4.1071282470000003</v>
      </c>
      <c r="W3153" s="2">
        <v>4.1225258499999997</v>
      </c>
      <c r="X3153">
        <f t="shared" si="147"/>
        <v>0</v>
      </c>
      <c r="Y3153">
        <f t="shared" si="148"/>
        <v>0</v>
      </c>
      <c r="Z3153">
        <f t="shared" si="149"/>
        <v>0</v>
      </c>
    </row>
    <row r="3154" spans="1:26" ht="15.75" customHeight="1" x14ac:dyDescent="0.2">
      <c r="A3154" s="2" t="s">
        <v>36</v>
      </c>
      <c r="B3154" s="2" t="s">
        <v>35</v>
      </c>
      <c r="C3154" s="2" t="s">
        <v>25</v>
      </c>
      <c r="D3154" s="2" t="s">
        <v>25</v>
      </c>
      <c r="E3154" s="2">
        <v>254</v>
      </c>
      <c r="F3154" s="2">
        <v>217</v>
      </c>
      <c r="G3154" s="2">
        <v>818</v>
      </c>
      <c r="H3154" s="2">
        <v>1553</v>
      </c>
      <c r="I3154" s="2">
        <v>2835</v>
      </c>
      <c r="J3154" s="2">
        <v>2.14</v>
      </c>
      <c r="K3154" s="2">
        <v>7.36</v>
      </c>
      <c r="L3154" s="2">
        <v>11.32</v>
      </c>
      <c r="M3154" s="2">
        <v>15.32</v>
      </c>
      <c r="N3154" s="2">
        <v>0.35205176599999999</v>
      </c>
      <c r="O3154" s="2">
        <v>0.271790068</v>
      </c>
      <c r="P3154" s="2">
        <v>2.9455575390000002</v>
      </c>
      <c r="Q3154" s="2">
        <v>2.8944081650000002</v>
      </c>
      <c r="R3154" s="2">
        <v>2.9443772500000001</v>
      </c>
      <c r="S3154" s="2">
        <v>2.8943772499999998</v>
      </c>
      <c r="T3154" s="2">
        <v>8.3377609000000005E-2</v>
      </c>
      <c r="U3154" s="2">
        <v>1.3377609E-2</v>
      </c>
      <c r="V3154" s="2">
        <v>4.2812124469999997</v>
      </c>
      <c r="W3154" s="2">
        <v>4.296610051</v>
      </c>
      <c r="X3154">
        <f t="shared" si="147"/>
        <v>0</v>
      </c>
      <c r="Y3154">
        <f t="shared" si="148"/>
        <v>0</v>
      </c>
      <c r="Z3154">
        <f t="shared" si="149"/>
        <v>0</v>
      </c>
    </row>
    <row r="3155" spans="1:26" ht="15.75" customHeight="1" x14ac:dyDescent="0.2">
      <c r="A3155" s="2" t="s">
        <v>36</v>
      </c>
      <c r="B3155" s="2" t="s">
        <v>35</v>
      </c>
      <c r="C3155" s="2" t="s">
        <v>28</v>
      </c>
      <c r="D3155" s="2" t="s">
        <v>29</v>
      </c>
      <c r="E3155" s="2">
        <v>169</v>
      </c>
      <c r="F3155" s="2">
        <v>233</v>
      </c>
      <c r="G3155" s="2">
        <v>333</v>
      </c>
      <c r="H3155" s="2">
        <v>1097</v>
      </c>
      <c r="I3155" s="2">
        <v>2835</v>
      </c>
      <c r="J3155" s="2">
        <v>2.3199999999999998</v>
      </c>
      <c r="K3155" s="2">
        <v>3.37</v>
      </c>
      <c r="L3155" s="2">
        <v>9.09</v>
      </c>
      <c r="M3155" s="2">
        <v>15.32</v>
      </c>
      <c r="N3155" s="2">
        <v>1.4411622900000001</v>
      </c>
      <c r="O3155" s="2">
        <v>1.414026121</v>
      </c>
      <c r="P3155" s="2">
        <v>2.3951305430000001</v>
      </c>
      <c r="Q3155" s="2">
        <v>2.4800262879999999</v>
      </c>
      <c r="R3155" s="2">
        <v>1.053197674</v>
      </c>
      <c r="S3155" s="2">
        <v>1.103197674</v>
      </c>
      <c r="T3155" s="2">
        <v>2.1511450380000001</v>
      </c>
      <c r="U3155" s="2">
        <v>2.221145038</v>
      </c>
      <c r="V3155" s="2">
        <v>0.283637523</v>
      </c>
      <c r="W3155" s="2">
        <v>0.29903512700000001</v>
      </c>
      <c r="X3155">
        <f t="shared" si="147"/>
        <v>0</v>
      </c>
      <c r="Y3155">
        <f t="shared" si="148"/>
        <v>0</v>
      </c>
      <c r="Z3155">
        <f t="shared" si="149"/>
        <v>1</v>
      </c>
    </row>
    <row r="3156" spans="1:26" ht="15.75" customHeight="1" x14ac:dyDescent="0.2">
      <c r="A3156" s="2" t="s">
        <v>36</v>
      </c>
      <c r="B3156" s="2" t="s">
        <v>35</v>
      </c>
      <c r="C3156" s="2" t="s">
        <v>30</v>
      </c>
      <c r="D3156" s="2" t="s">
        <v>31</v>
      </c>
      <c r="E3156" s="2">
        <v>220</v>
      </c>
      <c r="F3156" s="2">
        <v>211</v>
      </c>
      <c r="G3156" s="2">
        <v>591</v>
      </c>
      <c r="H3156" s="2">
        <v>1171</v>
      </c>
      <c r="I3156" s="2">
        <v>2756</v>
      </c>
      <c r="J3156" s="2">
        <v>2.08</v>
      </c>
      <c r="K3156" s="2">
        <v>5.68</v>
      </c>
      <c r="L3156" s="2">
        <v>9.5</v>
      </c>
      <c r="M3156" s="2">
        <v>15.14</v>
      </c>
      <c r="N3156" s="2">
        <v>4.2796695869999999</v>
      </c>
      <c r="O3156" s="2">
        <v>4.2869484499999997</v>
      </c>
      <c r="P3156" s="2">
        <v>2.148403214</v>
      </c>
      <c r="Q3156" s="2">
        <v>2.1773743479999998</v>
      </c>
      <c r="R3156" s="2">
        <v>1.2584840559999999</v>
      </c>
      <c r="S3156" s="2">
        <v>1.2084840560000001</v>
      </c>
      <c r="T3156" s="2">
        <v>1.7412220570000001</v>
      </c>
      <c r="U3156" s="2">
        <v>1.8112220569999999</v>
      </c>
      <c r="V3156" s="2">
        <v>2.5953192540000001</v>
      </c>
      <c r="W3156" s="2">
        <v>2.6107168569999999</v>
      </c>
      <c r="X3156">
        <f t="shared" si="147"/>
        <v>0</v>
      </c>
      <c r="Y3156">
        <f t="shared" si="148"/>
        <v>0</v>
      </c>
      <c r="Z3156">
        <f t="shared" si="149"/>
        <v>1</v>
      </c>
    </row>
    <row r="3157" spans="1:26" ht="15.75" customHeight="1" x14ac:dyDescent="0.2">
      <c r="A3157" s="2" t="s">
        <v>36</v>
      </c>
      <c r="B3157" s="2" t="s">
        <v>35</v>
      </c>
      <c r="C3157" s="2" t="s">
        <v>32</v>
      </c>
      <c r="D3157" s="2" t="s">
        <v>33</v>
      </c>
      <c r="E3157" s="2">
        <v>213</v>
      </c>
      <c r="F3157" s="2">
        <v>197</v>
      </c>
      <c r="G3157" s="2">
        <v>334</v>
      </c>
      <c r="H3157" s="2">
        <v>896</v>
      </c>
      <c r="I3157" s="2">
        <v>2931</v>
      </c>
      <c r="J3157" s="2">
        <v>1.92</v>
      </c>
      <c r="K3157" s="2">
        <v>3.37</v>
      </c>
      <c r="L3157" s="2">
        <v>7.88</v>
      </c>
      <c r="M3157" s="2">
        <v>15.54</v>
      </c>
      <c r="N3157" s="2">
        <v>4.917490785</v>
      </c>
      <c r="O3157" s="2">
        <v>4.9990344059999998</v>
      </c>
      <c r="P3157" s="2">
        <v>3.5162246910000001</v>
      </c>
      <c r="Q3157" s="2">
        <v>3.5980344780000002</v>
      </c>
      <c r="R3157" s="2">
        <v>1.046538797</v>
      </c>
      <c r="S3157" s="2">
        <v>1.096538797</v>
      </c>
      <c r="T3157" s="2">
        <v>3.3568724470000002</v>
      </c>
      <c r="U3157" s="2">
        <v>3.426872447</v>
      </c>
      <c r="V3157" s="2">
        <v>0.29029640099999998</v>
      </c>
      <c r="W3157" s="2">
        <v>0.30569400400000002</v>
      </c>
      <c r="X3157">
        <f t="shared" si="147"/>
        <v>0</v>
      </c>
      <c r="Y3157">
        <f t="shared" si="148"/>
        <v>0</v>
      </c>
      <c r="Z3157">
        <f t="shared" si="149"/>
        <v>1</v>
      </c>
    </row>
    <row r="3158" spans="1:26" ht="15.75" customHeight="1" x14ac:dyDescent="0.2">
      <c r="A3158" s="2" t="s">
        <v>36</v>
      </c>
      <c r="B3158" s="2" t="s">
        <v>35</v>
      </c>
      <c r="C3158" s="2" t="s">
        <v>26</v>
      </c>
      <c r="D3158" s="2" t="s">
        <v>26</v>
      </c>
      <c r="E3158" s="2">
        <v>206</v>
      </c>
      <c r="F3158" s="2">
        <v>209</v>
      </c>
      <c r="G3158" s="2">
        <v>406</v>
      </c>
      <c r="H3158" s="2">
        <v>1002</v>
      </c>
      <c r="I3158" s="2">
        <v>2734</v>
      </c>
      <c r="J3158" s="2">
        <v>2.0499999999999998</v>
      </c>
      <c r="K3158" s="2">
        <v>4.07</v>
      </c>
      <c r="L3158" s="2">
        <v>8.5399999999999991</v>
      </c>
      <c r="M3158" s="2">
        <v>15.09</v>
      </c>
      <c r="N3158" s="2">
        <v>0.76365987099999999</v>
      </c>
      <c r="O3158" s="2">
        <v>0.698424877</v>
      </c>
      <c r="P3158" s="2">
        <v>2.725481432</v>
      </c>
      <c r="Q3158" s="2">
        <v>2.8016547890000001</v>
      </c>
      <c r="R3158" s="2">
        <v>0.35259687200000001</v>
      </c>
      <c r="S3158" s="2">
        <v>0.40259687199999999</v>
      </c>
      <c r="T3158" s="2">
        <v>2.702577378</v>
      </c>
      <c r="U3158" s="2">
        <v>2.7725773779999998</v>
      </c>
      <c r="V3158" s="2">
        <v>0.98423832600000005</v>
      </c>
      <c r="W3158" s="2">
        <v>0.99963592899999998</v>
      </c>
      <c r="X3158">
        <f t="shared" si="147"/>
        <v>0</v>
      </c>
      <c r="Y3158">
        <f t="shared" si="148"/>
        <v>0</v>
      </c>
      <c r="Z3158">
        <f t="shared" si="149"/>
        <v>0</v>
      </c>
    </row>
    <row r="3159" spans="1:26" ht="15.75" customHeight="1" x14ac:dyDescent="0.2">
      <c r="A3159" s="2" t="s">
        <v>36</v>
      </c>
      <c r="B3159" s="2" t="s">
        <v>35</v>
      </c>
      <c r="C3159" s="2" t="s">
        <v>32</v>
      </c>
      <c r="D3159" s="2" t="s">
        <v>33</v>
      </c>
      <c r="E3159" s="2">
        <v>189</v>
      </c>
      <c r="F3159" s="2">
        <v>233</v>
      </c>
      <c r="G3159" s="2">
        <v>406</v>
      </c>
      <c r="H3159" s="2">
        <v>1016</v>
      </c>
      <c r="I3159" s="2">
        <v>2566</v>
      </c>
      <c r="J3159" s="2">
        <v>2.3199999999999998</v>
      </c>
      <c r="K3159" s="2">
        <v>4.07</v>
      </c>
      <c r="L3159" s="2">
        <v>8.6199999999999992</v>
      </c>
      <c r="M3159" s="2">
        <v>14.67</v>
      </c>
      <c r="N3159" s="2">
        <v>3.912106391</v>
      </c>
      <c r="O3159" s="2">
        <v>3.9923389779999998</v>
      </c>
      <c r="P3159" s="2">
        <v>2.6427292250000001</v>
      </c>
      <c r="Q3159" s="2">
        <v>2.7190718390000002</v>
      </c>
      <c r="R3159" s="2">
        <v>0.35259687200000001</v>
      </c>
      <c r="S3159" s="2">
        <v>0.40259687199999999</v>
      </c>
      <c r="T3159" s="2">
        <v>2.6191016020000002</v>
      </c>
      <c r="U3159" s="2">
        <v>2.689101602</v>
      </c>
      <c r="V3159" s="2">
        <v>0.98423832600000005</v>
      </c>
      <c r="W3159" s="2">
        <v>0.99963592899999998</v>
      </c>
      <c r="X3159">
        <f t="shared" si="147"/>
        <v>0</v>
      </c>
      <c r="Y3159">
        <f t="shared" si="148"/>
        <v>0</v>
      </c>
      <c r="Z3159">
        <f t="shared" si="149"/>
        <v>1</v>
      </c>
    </row>
    <row r="3160" spans="1:26" ht="15.75" customHeight="1" x14ac:dyDescent="0.2">
      <c r="A3160" s="2" t="s">
        <v>36</v>
      </c>
      <c r="B3160" s="2" t="s">
        <v>35</v>
      </c>
      <c r="C3160" s="2" t="s">
        <v>28</v>
      </c>
      <c r="D3160" s="2" t="s">
        <v>29</v>
      </c>
      <c r="E3160" s="2">
        <v>200</v>
      </c>
      <c r="F3160" s="2">
        <v>229</v>
      </c>
      <c r="G3160" s="2">
        <v>407</v>
      </c>
      <c r="H3160" s="2">
        <v>1036</v>
      </c>
      <c r="I3160" s="2">
        <v>2712</v>
      </c>
      <c r="J3160" s="2">
        <v>2.27</v>
      </c>
      <c r="K3160" s="2">
        <v>4.08</v>
      </c>
      <c r="L3160" s="2">
        <v>8.74</v>
      </c>
      <c r="M3160" s="2">
        <v>15.03</v>
      </c>
      <c r="N3160" s="2">
        <v>0.96472466400000001</v>
      </c>
      <c r="O3160" s="2">
        <v>0.90001305799999998</v>
      </c>
      <c r="P3160" s="2">
        <v>2.5246416040000002</v>
      </c>
      <c r="Q3160" s="2">
        <v>2.6010968669999999</v>
      </c>
      <c r="R3160" s="2">
        <v>0.34321126800000001</v>
      </c>
      <c r="S3160" s="2">
        <v>0.393211268</v>
      </c>
      <c r="T3160" s="2">
        <v>2.5012039609999999</v>
      </c>
      <c r="U3160" s="2">
        <v>2.5712039610000001</v>
      </c>
      <c r="V3160" s="2">
        <v>0.99362393000000004</v>
      </c>
      <c r="W3160" s="2">
        <v>1.0090215330000001</v>
      </c>
      <c r="X3160">
        <f t="shared" si="147"/>
        <v>0</v>
      </c>
      <c r="Y3160">
        <f t="shared" si="148"/>
        <v>0</v>
      </c>
      <c r="Z3160">
        <f t="shared" si="149"/>
        <v>1</v>
      </c>
    </row>
    <row r="3161" spans="1:26" ht="15.75" customHeight="1" x14ac:dyDescent="0.2">
      <c r="A3161" s="2" t="s">
        <v>36</v>
      </c>
      <c r="B3161" s="2" t="s">
        <v>35</v>
      </c>
      <c r="C3161" s="2" t="s">
        <v>32</v>
      </c>
      <c r="D3161" s="2" t="s">
        <v>33</v>
      </c>
      <c r="E3161" s="2">
        <v>184</v>
      </c>
      <c r="F3161" s="2">
        <v>188</v>
      </c>
      <c r="G3161" s="2">
        <v>528</v>
      </c>
      <c r="H3161" s="2">
        <v>927</v>
      </c>
      <c r="I3161" s="2">
        <v>3200</v>
      </c>
      <c r="J3161" s="2">
        <v>1.82</v>
      </c>
      <c r="K3161" s="2">
        <v>5.16</v>
      </c>
      <c r="L3161" s="2">
        <v>8.08</v>
      </c>
      <c r="M3161" s="2">
        <v>16.100000000000001</v>
      </c>
      <c r="N3161" s="2">
        <v>3.5795057340000001</v>
      </c>
      <c r="O3161" s="2">
        <v>3.6713959530000002</v>
      </c>
      <c r="P3161" s="2">
        <v>3.2468104289999999</v>
      </c>
      <c r="Q3161" s="2">
        <v>3.3042129820000001</v>
      </c>
      <c r="R3161" s="2">
        <v>0.73958199400000002</v>
      </c>
      <c r="S3161" s="2">
        <v>0.68958199399999998</v>
      </c>
      <c r="T3161" s="2">
        <v>3.1614547970000002</v>
      </c>
      <c r="U3161" s="2">
        <v>3.231454797</v>
      </c>
      <c r="V3161" s="2">
        <v>2.076417191</v>
      </c>
      <c r="W3161" s="2">
        <v>2.0918147949999999</v>
      </c>
      <c r="X3161">
        <f t="shared" si="147"/>
        <v>0</v>
      </c>
      <c r="Y3161">
        <f t="shared" si="148"/>
        <v>0</v>
      </c>
      <c r="Z3161">
        <f t="shared" si="149"/>
        <v>1</v>
      </c>
    </row>
    <row r="3162" spans="1:26" ht="15.75" customHeight="1" x14ac:dyDescent="0.2">
      <c r="A3162" s="2" t="s">
        <v>36</v>
      </c>
      <c r="B3162" s="2" t="s">
        <v>35</v>
      </c>
      <c r="C3162" s="2" t="s">
        <v>25</v>
      </c>
      <c r="D3162" s="2" t="s">
        <v>25</v>
      </c>
      <c r="E3162" s="2">
        <v>249</v>
      </c>
      <c r="F3162" s="2">
        <v>212</v>
      </c>
      <c r="G3162" s="2">
        <v>771</v>
      </c>
      <c r="H3162" s="2">
        <v>1655</v>
      </c>
      <c r="I3162" s="2">
        <v>2872</v>
      </c>
      <c r="J3162" s="2">
        <v>2.08</v>
      </c>
      <c r="K3162" s="2">
        <v>7.04</v>
      </c>
      <c r="L3162" s="2">
        <v>11.74</v>
      </c>
      <c r="M3162" s="2">
        <v>15.4</v>
      </c>
      <c r="N3162" s="2">
        <v>0.66623343400000001</v>
      </c>
      <c r="O3162" s="2">
        <v>0.58113235399999996</v>
      </c>
      <c r="P3162" s="2">
        <v>2.668954963</v>
      </c>
      <c r="Q3162" s="2">
        <v>2.607341098</v>
      </c>
      <c r="R3162" s="2">
        <v>2.6211911149999998</v>
      </c>
      <c r="S3162" s="2">
        <v>2.571191115</v>
      </c>
      <c r="T3162" s="2">
        <v>0.50267060100000005</v>
      </c>
      <c r="U3162" s="2">
        <v>0.43267060099999999</v>
      </c>
      <c r="V3162" s="2">
        <v>3.958026313</v>
      </c>
      <c r="W3162" s="2">
        <v>3.9734239159999998</v>
      </c>
      <c r="X3162">
        <f t="shared" si="147"/>
        <v>0</v>
      </c>
      <c r="Y3162">
        <f t="shared" si="148"/>
        <v>0</v>
      </c>
      <c r="Z3162">
        <f t="shared" si="149"/>
        <v>0</v>
      </c>
    </row>
    <row r="3163" spans="1:26" ht="15.75" customHeight="1" x14ac:dyDescent="0.2">
      <c r="A3163" s="2" t="s">
        <v>36</v>
      </c>
      <c r="B3163" s="2" t="s">
        <v>35</v>
      </c>
      <c r="C3163" s="2" t="s">
        <v>27</v>
      </c>
      <c r="D3163" s="2" t="s">
        <v>27</v>
      </c>
      <c r="E3163" s="2">
        <v>204</v>
      </c>
      <c r="F3163" s="2">
        <v>261</v>
      </c>
      <c r="G3163" s="2">
        <v>486</v>
      </c>
      <c r="H3163" s="2">
        <v>2175</v>
      </c>
      <c r="I3163" s="2">
        <v>2903</v>
      </c>
      <c r="J3163" s="2">
        <v>2.62</v>
      </c>
      <c r="K3163" s="2">
        <v>4.79</v>
      </c>
      <c r="L3163" s="2">
        <v>13.57</v>
      </c>
      <c r="M3163" s="2">
        <v>15.47</v>
      </c>
      <c r="N3163" s="2">
        <v>0.63795746200000003</v>
      </c>
      <c r="O3163" s="2">
        <v>0.57545788600000003</v>
      </c>
      <c r="P3163" s="2">
        <v>2.3607834200000002</v>
      </c>
      <c r="Q3163" s="2">
        <v>2.2840671420000001</v>
      </c>
      <c r="R3163" s="2">
        <v>0.37399754699999999</v>
      </c>
      <c r="S3163" s="2">
        <v>0.323997547</v>
      </c>
      <c r="T3163" s="2">
        <v>2.3309706549999998</v>
      </c>
      <c r="U3163" s="2">
        <v>2.2609706549999999</v>
      </c>
      <c r="V3163" s="2">
        <v>1.710832744</v>
      </c>
      <c r="W3163" s="2">
        <v>1.7262303480000001</v>
      </c>
      <c r="X3163">
        <f t="shared" si="147"/>
        <v>0</v>
      </c>
      <c r="Y3163">
        <f t="shared" si="148"/>
        <v>0</v>
      </c>
      <c r="Z3163">
        <f t="shared" si="149"/>
        <v>0</v>
      </c>
    </row>
    <row r="3164" spans="1:26" ht="15.75" customHeight="1" x14ac:dyDescent="0.2">
      <c r="A3164" s="2" t="s">
        <v>36</v>
      </c>
      <c r="B3164" s="2" t="s">
        <v>35</v>
      </c>
      <c r="C3164" s="2" t="s">
        <v>30</v>
      </c>
      <c r="D3164" s="2" t="s">
        <v>31</v>
      </c>
      <c r="E3164" s="2">
        <v>221</v>
      </c>
      <c r="F3164" s="2">
        <v>204</v>
      </c>
      <c r="G3164" s="2">
        <v>501</v>
      </c>
      <c r="H3164" s="2">
        <v>1208</v>
      </c>
      <c r="I3164" s="2">
        <v>2346</v>
      </c>
      <c r="J3164" s="2">
        <v>1.99</v>
      </c>
      <c r="K3164" s="2">
        <v>4.92</v>
      </c>
      <c r="L3164" s="2">
        <v>9.69</v>
      </c>
      <c r="M3164" s="2">
        <v>14.08</v>
      </c>
      <c r="N3164" s="2">
        <v>3.8830910580000002</v>
      </c>
      <c r="O3164" s="2">
        <v>3.9012201879999999</v>
      </c>
      <c r="P3164" s="2">
        <v>1.6273267579999999</v>
      </c>
      <c r="Q3164" s="2">
        <v>1.6797839880000001</v>
      </c>
      <c r="R3164" s="2">
        <v>0.50497426199999995</v>
      </c>
      <c r="S3164" s="2">
        <v>0.45497426200000002</v>
      </c>
      <c r="T3164" s="2">
        <v>1.5469949489999999</v>
      </c>
      <c r="U3164" s="2">
        <v>1.616994949</v>
      </c>
      <c r="V3164" s="2">
        <v>1.841809459</v>
      </c>
      <c r="W3164" s="2">
        <v>1.8572070629999999</v>
      </c>
      <c r="X3164">
        <f t="shared" si="147"/>
        <v>0</v>
      </c>
      <c r="Y3164">
        <f t="shared" si="148"/>
        <v>0</v>
      </c>
      <c r="Z3164">
        <f t="shared" si="149"/>
        <v>1</v>
      </c>
    </row>
    <row r="3165" spans="1:26" ht="15.75" customHeight="1" x14ac:dyDescent="0.2">
      <c r="A3165" s="2" t="s">
        <v>36</v>
      </c>
      <c r="B3165" s="2" t="s">
        <v>35</v>
      </c>
      <c r="C3165" s="2" t="s">
        <v>25</v>
      </c>
      <c r="D3165" s="2" t="s">
        <v>25</v>
      </c>
      <c r="E3165" s="2">
        <v>199</v>
      </c>
      <c r="F3165" s="2">
        <v>230</v>
      </c>
      <c r="G3165" s="2">
        <v>831</v>
      </c>
      <c r="H3165" s="2">
        <v>1439</v>
      </c>
      <c r="I3165" s="2">
        <v>3003</v>
      </c>
      <c r="J3165" s="2">
        <v>2.29</v>
      </c>
      <c r="K3165" s="2">
        <v>7.45</v>
      </c>
      <c r="L3165" s="2">
        <v>10.82</v>
      </c>
      <c r="M3165" s="2">
        <v>15.69</v>
      </c>
      <c r="N3165" s="2">
        <v>0.427118673</v>
      </c>
      <c r="O3165" s="2">
        <v>0.46636215800000003</v>
      </c>
      <c r="P3165" s="2">
        <v>3.058956732</v>
      </c>
      <c r="Q3165" s="2">
        <v>3.0199572720000001</v>
      </c>
      <c r="R3165" s="2">
        <v>3.0302341140000002</v>
      </c>
      <c r="S3165" s="2">
        <v>2.9802341139999999</v>
      </c>
      <c r="T3165" s="2">
        <v>0.41820749200000001</v>
      </c>
      <c r="U3165" s="2">
        <v>0.48820749200000002</v>
      </c>
      <c r="V3165" s="2">
        <v>4.3670693109999998</v>
      </c>
      <c r="W3165" s="2">
        <v>4.3824669150000002</v>
      </c>
      <c r="X3165">
        <f t="shared" si="147"/>
        <v>0</v>
      </c>
      <c r="Y3165">
        <f t="shared" si="148"/>
        <v>0</v>
      </c>
      <c r="Z3165">
        <f t="shared" si="149"/>
        <v>0</v>
      </c>
    </row>
    <row r="3166" spans="1:26" ht="15.75" customHeight="1" x14ac:dyDescent="0.2">
      <c r="A3166" s="2" t="s">
        <v>36</v>
      </c>
      <c r="B3166" s="2" t="s">
        <v>35</v>
      </c>
      <c r="C3166" s="2" t="s">
        <v>30</v>
      </c>
      <c r="D3166" s="2" t="s">
        <v>31</v>
      </c>
      <c r="E3166" s="2">
        <v>259</v>
      </c>
      <c r="F3166" s="2">
        <v>208</v>
      </c>
      <c r="G3166" s="2">
        <v>514</v>
      </c>
      <c r="H3166" s="2">
        <v>1158</v>
      </c>
      <c r="I3166" s="2">
        <v>3259</v>
      </c>
      <c r="J3166" s="2">
        <v>2.04</v>
      </c>
      <c r="K3166" s="2">
        <v>5.04</v>
      </c>
      <c r="L3166" s="2">
        <v>9.43</v>
      </c>
      <c r="M3166" s="2">
        <v>16.21</v>
      </c>
      <c r="N3166" s="2">
        <v>4.1693437869999999</v>
      </c>
      <c r="O3166" s="2">
        <v>4.1864619379999999</v>
      </c>
      <c r="P3166" s="2">
        <v>1.918718285</v>
      </c>
      <c r="Q3166" s="2">
        <v>1.969938347</v>
      </c>
      <c r="R3166" s="2">
        <v>0.62292604100000004</v>
      </c>
      <c r="S3166" s="2">
        <v>0.572926041</v>
      </c>
      <c r="T3166" s="2">
        <v>1.814784561</v>
      </c>
      <c r="U3166" s="2">
        <v>1.884784561</v>
      </c>
      <c r="V3166" s="2">
        <v>1.959761238</v>
      </c>
      <c r="W3166" s="2">
        <v>1.9751588419999999</v>
      </c>
      <c r="X3166">
        <f t="shared" si="147"/>
        <v>0</v>
      </c>
      <c r="Y3166">
        <f t="shared" si="148"/>
        <v>0</v>
      </c>
      <c r="Z3166">
        <f t="shared" si="149"/>
        <v>1</v>
      </c>
    </row>
    <row r="3167" spans="1:26" ht="15.75" customHeight="1" x14ac:dyDescent="0.2">
      <c r="A3167" s="2" t="s">
        <v>36</v>
      </c>
      <c r="B3167" s="2" t="s">
        <v>35</v>
      </c>
      <c r="C3167" s="2" t="s">
        <v>25</v>
      </c>
      <c r="D3167" s="2" t="s">
        <v>25</v>
      </c>
      <c r="E3167" s="2">
        <v>212</v>
      </c>
      <c r="F3167" s="2">
        <v>221</v>
      </c>
      <c r="G3167" s="2">
        <v>918</v>
      </c>
      <c r="H3167" s="2">
        <v>1618</v>
      </c>
      <c r="I3167" s="2">
        <v>3003</v>
      </c>
      <c r="J3167" s="2">
        <v>2.19</v>
      </c>
      <c r="K3167" s="2">
        <v>8.02</v>
      </c>
      <c r="L3167" s="2">
        <v>11.6</v>
      </c>
      <c r="M3167" s="2">
        <v>15.69</v>
      </c>
      <c r="N3167" s="2">
        <v>0.73687359299999999</v>
      </c>
      <c r="O3167" s="2">
        <v>0.40478884500000001</v>
      </c>
      <c r="P3167" s="2">
        <v>2.9796304820000001</v>
      </c>
      <c r="Q3167" s="2">
        <v>3.0670899020000002</v>
      </c>
      <c r="R3167" s="2">
        <v>2.9216261289999998</v>
      </c>
      <c r="S3167" s="2">
        <v>3.0316261290000002</v>
      </c>
      <c r="T3167" s="2">
        <v>0.58506287800000001</v>
      </c>
      <c r="U3167" s="2">
        <v>0.46506287800000001</v>
      </c>
      <c r="V3167" s="2">
        <v>4.6683608400000001</v>
      </c>
      <c r="W3167" s="2">
        <v>4.6333937949999999</v>
      </c>
      <c r="X3167">
        <f t="shared" si="147"/>
        <v>0</v>
      </c>
      <c r="Y3167">
        <f t="shared" si="148"/>
        <v>0</v>
      </c>
      <c r="Z3167">
        <f t="shared" si="149"/>
        <v>0</v>
      </c>
    </row>
    <row r="3168" spans="1:26" ht="15.75" customHeight="1" x14ac:dyDescent="0.2">
      <c r="A3168" s="2" t="s">
        <v>36</v>
      </c>
      <c r="B3168" s="2" t="s">
        <v>35</v>
      </c>
      <c r="C3168" s="2" t="s">
        <v>26</v>
      </c>
      <c r="D3168" s="2" t="s">
        <v>26</v>
      </c>
      <c r="E3168" s="2">
        <v>219</v>
      </c>
      <c r="F3168" s="2">
        <v>231</v>
      </c>
      <c r="G3168" s="2">
        <v>466</v>
      </c>
      <c r="H3168" s="2">
        <v>1153</v>
      </c>
      <c r="I3168" s="2">
        <v>2732</v>
      </c>
      <c r="J3168" s="2">
        <v>2.2999999999999998</v>
      </c>
      <c r="K3168" s="2">
        <v>4.62</v>
      </c>
      <c r="L3168" s="2">
        <v>9.4</v>
      </c>
      <c r="M3168" s="2">
        <v>15.08</v>
      </c>
      <c r="N3168" s="2">
        <v>0.59152233499999995</v>
      </c>
      <c r="O3168" s="2">
        <v>0.66384564000000001</v>
      </c>
      <c r="P3168" s="2">
        <v>1.6827154289999999</v>
      </c>
      <c r="Q3168" s="2">
        <v>1.7716045419999999</v>
      </c>
      <c r="R3168" s="2">
        <v>0.483157895</v>
      </c>
      <c r="S3168" s="2">
        <v>0.37315789500000002</v>
      </c>
      <c r="T3168" s="2">
        <v>1.6118590699999999</v>
      </c>
      <c r="U3168" s="2">
        <v>1.7318590700000001</v>
      </c>
      <c r="V3168" s="2">
        <v>1.263576816</v>
      </c>
      <c r="W3168" s="2">
        <v>1.2286097709999999</v>
      </c>
      <c r="X3168">
        <f t="shared" si="147"/>
        <v>0</v>
      </c>
      <c r="Y3168">
        <f t="shared" si="148"/>
        <v>0</v>
      </c>
      <c r="Z3168">
        <f t="shared" si="149"/>
        <v>0</v>
      </c>
    </row>
    <row r="3169" spans="1:26" ht="15.75" customHeight="1" x14ac:dyDescent="0.2">
      <c r="A3169" s="2" t="s">
        <v>36</v>
      </c>
      <c r="B3169" s="2" t="s">
        <v>35</v>
      </c>
      <c r="C3169" s="2" t="s">
        <v>27</v>
      </c>
      <c r="D3169" s="2" t="s">
        <v>27</v>
      </c>
      <c r="E3169" s="2">
        <v>234</v>
      </c>
      <c r="F3169" s="2">
        <v>248</v>
      </c>
      <c r="G3169" s="2">
        <v>433</v>
      </c>
      <c r="H3169" s="2">
        <v>2666</v>
      </c>
      <c r="I3169" s="2">
        <v>3335</v>
      </c>
      <c r="J3169" s="2">
        <v>2.48</v>
      </c>
      <c r="K3169" s="2">
        <v>4.32</v>
      </c>
      <c r="L3169" s="2">
        <v>14.92</v>
      </c>
      <c r="M3169" s="2">
        <v>16.36</v>
      </c>
      <c r="N3169" s="2">
        <v>2.0233729559999998</v>
      </c>
      <c r="O3169" s="2">
        <v>1.969494962</v>
      </c>
      <c r="P3169" s="2">
        <v>3.9878262649999998</v>
      </c>
      <c r="Q3169" s="2">
        <v>3.8496475220000002</v>
      </c>
      <c r="R3169" s="2">
        <v>0.77582172699999996</v>
      </c>
      <c r="S3169" s="2">
        <v>0.66582172699999997</v>
      </c>
      <c r="T3169" s="2">
        <v>3.9116312409999998</v>
      </c>
      <c r="U3169" s="2">
        <v>3.7916312410000002</v>
      </c>
      <c r="V3169" s="2">
        <v>0.97091298299999995</v>
      </c>
      <c r="W3169" s="2">
        <v>0.935945939</v>
      </c>
      <c r="X3169">
        <f t="shared" si="147"/>
        <v>0</v>
      </c>
      <c r="Y3169">
        <f t="shared" si="148"/>
        <v>0</v>
      </c>
      <c r="Z3169">
        <f t="shared" si="149"/>
        <v>0</v>
      </c>
    </row>
    <row r="3170" spans="1:26" ht="15.75" customHeight="1" x14ac:dyDescent="0.2">
      <c r="A3170" s="2" t="s">
        <v>36</v>
      </c>
      <c r="B3170" s="2" t="s">
        <v>35</v>
      </c>
      <c r="C3170" s="2" t="s">
        <v>28</v>
      </c>
      <c r="D3170" s="2" t="s">
        <v>29</v>
      </c>
      <c r="E3170" s="2">
        <v>180</v>
      </c>
      <c r="F3170" s="2">
        <v>240</v>
      </c>
      <c r="G3170" s="2">
        <v>550</v>
      </c>
      <c r="H3170" s="2">
        <v>1633</v>
      </c>
      <c r="I3170" s="2">
        <v>3248</v>
      </c>
      <c r="J3170" s="2">
        <v>2.39</v>
      </c>
      <c r="K3170" s="2">
        <v>5.34</v>
      </c>
      <c r="L3170" s="2">
        <v>11.66</v>
      </c>
      <c r="M3170" s="2">
        <v>16.190000000000001</v>
      </c>
      <c r="N3170" s="2">
        <v>2.922946053</v>
      </c>
      <c r="O3170" s="2">
        <v>3.028021614</v>
      </c>
      <c r="P3170" s="2">
        <v>0.69113285700000004</v>
      </c>
      <c r="Q3170" s="2">
        <v>0.63472168399999995</v>
      </c>
      <c r="R3170" s="2">
        <v>0.24470119500000001</v>
      </c>
      <c r="S3170" s="2">
        <v>0.35470119500000002</v>
      </c>
      <c r="T3170" s="2">
        <v>0.64636363600000002</v>
      </c>
      <c r="U3170" s="2">
        <v>0.52636363600000002</v>
      </c>
      <c r="V3170" s="2">
        <v>1.991435906</v>
      </c>
      <c r="W3170" s="2">
        <v>1.9564688610000001</v>
      </c>
      <c r="X3170">
        <f t="shared" si="147"/>
        <v>0</v>
      </c>
      <c r="Y3170">
        <f t="shared" si="148"/>
        <v>0</v>
      </c>
      <c r="Z3170">
        <f t="shared" si="149"/>
        <v>1</v>
      </c>
    </row>
    <row r="3171" spans="1:26" ht="15.75" customHeight="1" x14ac:dyDescent="0.2">
      <c r="A3171" s="2" t="s">
        <v>36</v>
      </c>
      <c r="B3171" s="2" t="s">
        <v>35</v>
      </c>
      <c r="C3171" s="2" t="s">
        <v>30</v>
      </c>
      <c r="D3171" s="2" t="s">
        <v>31</v>
      </c>
      <c r="E3171" s="2">
        <v>205</v>
      </c>
      <c r="F3171" s="2">
        <v>231</v>
      </c>
      <c r="G3171" s="2">
        <v>619</v>
      </c>
      <c r="H3171" s="2">
        <v>1399</v>
      </c>
      <c r="I3171" s="2">
        <v>2440</v>
      </c>
      <c r="J3171" s="2">
        <v>2.2999999999999998</v>
      </c>
      <c r="K3171" s="2">
        <v>5.9</v>
      </c>
      <c r="L3171" s="2">
        <v>10.64</v>
      </c>
      <c r="M3171" s="2">
        <v>14.34</v>
      </c>
      <c r="N3171" s="2">
        <v>2.6204192800000001</v>
      </c>
      <c r="O3171" s="2">
        <v>2.7154481779999999</v>
      </c>
      <c r="P3171" s="2">
        <v>0.88739608699999994</v>
      </c>
      <c r="Q3171" s="2">
        <v>1.039590646</v>
      </c>
      <c r="R3171" s="2">
        <v>0.80481581999999996</v>
      </c>
      <c r="S3171" s="2">
        <v>0.91481581999999995</v>
      </c>
      <c r="T3171" s="2">
        <v>0.37382256600000002</v>
      </c>
      <c r="U3171" s="2">
        <v>0.49382256600000002</v>
      </c>
      <c r="V3171" s="2">
        <v>2.5515505300000001</v>
      </c>
      <c r="W3171" s="2">
        <v>2.516583486</v>
      </c>
      <c r="X3171">
        <f t="shared" si="147"/>
        <v>0</v>
      </c>
      <c r="Y3171">
        <f t="shared" si="148"/>
        <v>0</v>
      </c>
      <c r="Z3171">
        <f t="shared" si="149"/>
        <v>1</v>
      </c>
    </row>
    <row r="3172" spans="1:26" ht="15.75" customHeight="1" x14ac:dyDescent="0.2">
      <c r="A3172" s="2" t="s">
        <v>36</v>
      </c>
      <c r="B3172" s="2" t="s">
        <v>35</v>
      </c>
      <c r="C3172" s="2" t="s">
        <v>26</v>
      </c>
      <c r="D3172" s="2" t="s">
        <v>26</v>
      </c>
      <c r="E3172" s="2">
        <v>199</v>
      </c>
      <c r="F3172" s="2">
        <v>226</v>
      </c>
      <c r="G3172" s="2">
        <v>452</v>
      </c>
      <c r="H3172" s="2">
        <v>832</v>
      </c>
      <c r="I3172" s="2">
        <v>2968</v>
      </c>
      <c r="J3172" s="2">
        <v>2.25</v>
      </c>
      <c r="K3172" s="2">
        <v>4.49</v>
      </c>
      <c r="L3172" s="2">
        <v>7.46</v>
      </c>
      <c r="M3172" s="2">
        <v>15.62</v>
      </c>
      <c r="N3172" s="2">
        <v>1.3616951669999999</v>
      </c>
      <c r="O3172" s="2">
        <v>1.279119017</v>
      </c>
      <c r="P3172" s="2">
        <v>3.6003917520000002</v>
      </c>
      <c r="Q3172" s="2">
        <v>3.7022973850000001</v>
      </c>
      <c r="R3172" s="2">
        <v>0.60891499699999996</v>
      </c>
      <c r="S3172" s="2">
        <v>0.49891499700000003</v>
      </c>
      <c r="T3172" s="2">
        <v>3.5485269189999999</v>
      </c>
      <c r="U3172" s="2">
        <v>3.6685269190000001</v>
      </c>
      <c r="V3172" s="2">
        <v>1.1378197139999999</v>
      </c>
      <c r="W3172" s="2">
        <v>1.102852669</v>
      </c>
      <c r="X3172">
        <f t="shared" si="147"/>
        <v>0</v>
      </c>
      <c r="Y3172">
        <f t="shared" si="148"/>
        <v>0</v>
      </c>
      <c r="Z3172">
        <f t="shared" si="149"/>
        <v>0</v>
      </c>
    </row>
    <row r="3173" spans="1:26" ht="15.75" customHeight="1" x14ac:dyDescent="0.2">
      <c r="A3173" s="2" t="s">
        <v>36</v>
      </c>
      <c r="B3173" s="2" t="s">
        <v>35</v>
      </c>
      <c r="C3173" s="2" t="s">
        <v>28</v>
      </c>
      <c r="D3173" s="2" t="s">
        <v>29</v>
      </c>
      <c r="E3173" s="2">
        <v>200</v>
      </c>
      <c r="F3173" s="2">
        <v>241</v>
      </c>
      <c r="G3173" s="2">
        <v>492</v>
      </c>
      <c r="H3173" s="2">
        <v>1368</v>
      </c>
      <c r="I3173" s="2">
        <v>2584</v>
      </c>
      <c r="J3173" s="2">
        <v>2.4</v>
      </c>
      <c r="K3173" s="2">
        <v>4.8499999999999996</v>
      </c>
      <c r="L3173" s="2">
        <v>10.49</v>
      </c>
      <c r="M3173" s="2">
        <v>14.72</v>
      </c>
      <c r="N3173" s="2">
        <v>1.6892776789999999</v>
      </c>
      <c r="O3173" s="2">
        <v>1.7799003309999999</v>
      </c>
      <c r="P3173" s="2">
        <v>0.57552357700000001</v>
      </c>
      <c r="Q3173" s="2">
        <v>0.654176859</v>
      </c>
      <c r="R3173" s="2">
        <v>0.24759276899999999</v>
      </c>
      <c r="S3173" s="2">
        <v>0.137592769</v>
      </c>
      <c r="T3173" s="2">
        <v>0.51954326900000003</v>
      </c>
      <c r="U3173" s="2">
        <v>0.63954326900000003</v>
      </c>
      <c r="V3173" s="2">
        <v>1.4991419420000001</v>
      </c>
      <c r="W3173" s="2">
        <v>1.4641748969999999</v>
      </c>
      <c r="X3173">
        <f t="shared" si="147"/>
        <v>0</v>
      </c>
      <c r="Y3173">
        <f t="shared" si="148"/>
        <v>0</v>
      </c>
      <c r="Z3173">
        <f t="shared" si="149"/>
        <v>1</v>
      </c>
    </row>
    <row r="3174" spans="1:26" ht="15.75" customHeight="1" x14ac:dyDescent="0.2">
      <c r="A3174" s="2" t="s">
        <v>36</v>
      </c>
      <c r="B3174" s="2" t="s">
        <v>35</v>
      </c>
      <c r="C3174" s="2" t="s">
        <v>32</v>
      </c>
      <c r="D3174" s="2" t="s">
        <v>33</v>
      </c>
      <c r="E3174" s="2">
        <v>211</v>
      </c>
      <c r="F3174" s="2">
        <v>227</v>
      </c>
      <c r="G3174" s="2">
        <v>693</v>
      </c>
      <c r="H3174" s="2">
        <v>1004</v>
      </c>
      <c r="I3174" s="2">
        <v>2205</v>
      </c>
      <c r="J3174" s="2">
        <v>2.25</v>
      </c>
      <c r="K3174" s="2">
        <v>6.47</v>
      </c>
      <c r="L3174" s="2">
        <v>8.5500000000000007</v>
      </c>
      <c r="M3174" s="2">
        <v>13.66</v>
      </c>
      <c r="N3174" s="2">
        <v>2.7510956129999999</v>
      </c>
      <c r="O3174" s="2">
        <v>3.01091285</v>
      </c>
      <c r="P3174" s="2">
        <v>2.813120735</v>
      </c>
      <c r="Q3174" s="2">
        <v>2.9717468629999999</v>
      </c>
      <c r="R3174" s="2">
        <v>1.3706509170000001</v>
      </c>
      <c r="S3174" s="2">
        <v>1.480650917</v>
      </c>
      <c r="T3174" s="2">
        <v>2.4566164399999999</v>
      </c>
      <c r="U3174" s="2">
        <v>2.57661644</v>
      </c>
      <c r="V3174" s="2">
        <v>3.1173856280000001</v>
      </c>
      <c r="W3174" s="2">
        <v>3.0824185829999999</v>
      </c>
      <c r="X3174">
        <f t="shared" si="147"/>
        <v>0</v>
      </c>
      <c r="Y3174">
        <f t="shared" si="148"/>
        <v>0</v>
      </c>
      <c r="Z3174">
        <f t="shared" si="149"/>
        <v>1</v>
      </c>
    </row>
    <row r="3175" spans="1:26" ht="15.75" customHeight="1" x14ac:dyDescent="0.2">
      <c r="A3175" s="2" t="s">
        <v>36</v>
      </c>
      <c r="B3175" s="2" t="s">
        <v>35</v>
      </c>
      <c r="C3175" s="2" t="s">
        <v>32</v>
      </c>
      <c r="D3175" s="2" t="s">
        <v>33</v>
      </c>
      <c r="E3175" s="2">
        <v>181</v>
      </c>
      <c r="F3175" s="2">
        <v>268</v>
      </c>
      <c r="G3175" s="2">
        <v>811</v>
      </c>
      <c r="H3175" s="2">
        <v>1096</v>
      </c>
      <c r="I3175" s="2">
        <v>2642</v>
      </c>
      <c r="J3175" s="2">
        <v>2.69</v>
      </c>
      <c r="K3175" s="2">
        <v>7.31</v>
      </c>
      <c r="L3175" s="2">
        <v>9.09</v>
      </c>
      <c r="M3175" s="2">
        <v>14.86</v>
      </c>
      <c r="N3175" s="2">
        <v>1.890377406</v>
      </c>
      <c r="O3175" s="2">
        <v>2.219090376</v>
      </c>
      <c r="P3175" s="2">
        <v>2.932777298</v>
      </c>
      <c r="Q3175" s="2">
        <v>3.094568802</v>
      </c>
      <c r="R3175" s="2">
        <v>2.214311838</v>
      </c>
      <c r="S3175" s="2">
        <v>2.3243118379999999</v>
      </c>
      <c r="T3175" s="2">
        <v>1.9230199589999999</v>
      </c>
      <c r="U3175" s="2">
        <v>2.043019959</v>
      </c>
      <c r="V3175" s="2">
        <v>3.9610465490000002</v>
      </c>
      <c r="W3175" s="2">
        <v>3.9260795040000001</v>
      </c>
      <c r="X3175">
        <f t="shared" si="147"/>
        <v>0</v>
      </c>
      <c r="Y3175">
        <f t="shared" si="148"/>
        <v>0</v>
      </c>
      <c r="Z3175">
        <f t="shared" si="149"/>
        <v>1</v>
      </c>
    </row>
    <row r="3176" spans="1:26" ht="15.75" customHeight="1" x14ac:dyDescent="0.2">
      <c r="A3176" s="2" t="s">
        <v>36</v>
      </c>
      <c r="B3176" s="2" t="s">
        <v>35</v>
      </c>
      <c r="C3176" s="2" t="s">
        <v>25</v>
      </c>
      <c r="D3176" s="2" t="s">
        <v>25</v>
      </c>
      <c r="E3176" s="2">
        <v>236</v>
      </c>
      <c r="F3176" s="2">
        <v>236</v>
      </c>
      <c r="G3176" s="2">
        <v>977</v>
      </c>
      <c r="H3176" s="2">
        <v>1583</v>
      </c>
      <c r="I3176" s="2">
        <v>2290</v>
      </c>
      <c r="J3176" s="2">
        <v>2.35</v>
      </c>
      <c r="K3176" s="2">
        <v>8.39</v>
      </c>
      <c r="L3176" s="2">
        <v>11.45</v>
      </c>
      <c r="M3176" s="2">
        <v>13.92</v>
      </c>
      <c r="N3176" s="2">
        <v>0.72213756900000003</v>
      </c>
      <c r="O3176" s="2">
        <v>0.61009560500000004</v>
      </c>
      <c r="P3176" s="2">
        <v>3.3157044450000002</v>
      </c>
      <c r="Q3176" s="2">
        <v>3.4114215670000001</v>
      </c>
      <c r="R3176" s="2">
        <v>3.2863791149999999</v>
      </c>
      <c r="S3176" s="2">
        <v>3.3963791149999998</v>
      </c>
      <c r="T3176" s="2">
        <v>0.44000940700000002</v>
      </c>
      <c r="U3176" s="2">
        <v>0.32000940700000002</v>
      </c>
      <c r="V3176" s="2">
        <v>5.033113825</v>
      </c>
      <c r="W3176" s="2">
        <v>4.998146781</v>
      </c>
      <c r="X3176">
        <f t="shared" si="147"/>
        <v>0</v>
      </c>
      <c r="Y3176">
        <f t="shared" si="148"/>
        <v>0</v>
      </c>
      <c r="Z3176">
        <f t="shared" si="149"/>
        <v>0</v>
      </c>
    </row>
    <row r="3177" spans="1:26" ht="15.75" customHeight="1" x14ac:dyDescent="0.2">
      <c r="A3177" s="2" t="s">
        <v>36</v>
      </c>
      <c r="B3177" s="2" t="s">
        <v>35</v>
      </c>
      <c r="C3177" s="2" t="s">
        <v>32</v>
      </c>
      <c r="D3177" s="2" t="s">
        <v>33</v>
      </c>
      <c r="E3177" s="2">
        <v>213</v>
      </c>
      <c r="F3177" s="2">
        <v>247</v>
      </c>
      <c r="G3177" s="2">
        <v>852</v>
      </c>
      <c r="H3177" s="2">
        <v>1213</v>
      </c>
      <c r="I3177" s="2">
        <v>2600</v>
      </c>
      <c r="J3177" s="2">
        <v>2.4700000000000002</v>
      </c>
      <c r="K3177" s="2">
        <v>7.59</v>
      </c>
      <c r="L3177" s="2">
        <v>9.7200000000000006</v>
      </c>
      <c r="M3177" s="2">
        <v>14.76</v>
      </c>
      <c r="N3177" s="2">
        <v>1.203159136</v>
      </c>
      <c r="O3177" s="2">
        <v>1.5478712729999999</v>
      </c>
      <c r="P3177" s="2">
        <v>2.8082537510000001</v>
      </c>
      <c r="Q3177" s="2">
        <v>2.9616703969999998</v>
      </c>
      <c r="R3177" s="2">
        <v>2.4930867710000002</v>
      </c>
      <c r="S3177" s="2">
        <v>2.6030867710000001</v>
      </c>
      <c r="T3177" s="2">
        <v>1.2925971839999999</v>
      </c>
      <c r="U3177" s="2">
        <v>1.412597184</v>
      </c>
      <c r="V3177" s="2">
        <v>4.2398214809999999</v>
      </c>
      <c r="W3177" s="2">
        <v>4.2048544369999998</v>
      </c>
      <c r="X3177">
        <f t="shared" si="147"/>
        <v>0</v>
      </c>
      <c r="Y3177">
        <f t="shared" si="148"/>
        <v>0</v>
      </c>
      <c r="Z3177">
        <f t="shared" si="149"/>
        <v>1</v>
      </c>
    </row>
    <row r="3178" spans="1:26" ht="15.75" customHeight="1" x14ac:dyDescent="0.2">
      <c r="A3178" s="2" t="s">
        <v>36</v>
      </c>
      <c r="B3178" s="2" t="s">
        <v>35</v>
      </c>
      <c r="C3178" s="2" t="s">
        <v>32</v>
      </c>
      <c r="D3178" s="2" t="s">
        <v>33</v>
      </c>
      <c r="E3178" s="2">
        <v>182</v>
      </c>
      <c r="F3178" s="2">
        <v>230</v>
      </c>
      <c r="G3178" s="2">
        <v>714</v>
      </c>
      <c r="H3178" s="2">
        <v>1027</v>
      </c>
      <c r="I3178" s="2">
        <v>2370</v>
      </c>
      <c r="J3178" s="2">
        <v>2.2799999999999998</v>
      </c>
      <c r="K3178" s="2">
        <v>6.63</v>
      </c>
      <c r="L3178" s="2">
        <v>8.69</v>
      </c>
      <c r="M3178" s="2">
        <v>14.14</v>
      </c>
      <c r="N3178" s="2">
        <v>2.5528658499999999</v>
      </c>
      <c r="O3178" s="2">
        <v>2.8213192829999998</v>
      </c>
      <c r="P3178" s="2">
        <v>2.7801152299999998</v>
      </c>
      <c r="Q3178" s="2">
        <v>2.9409448340000002</v>
      </c>
      <c r="R3178" s="2">
        <v>1.528691099</v>
      </c>
      <c r="S3178" s="2">
        <v>1.6386910990000001</v>
      </c>
      <c r="T3178" s="2">
        <v>2.3220990960000001</v>
      </c>
      <c r="U3178" s="2">
        <v>2.4420990960000002</v>
      </c>
      <c r="V3178" s="2">
        <v>3.2754258100000002</v>
      </c>
      <c r="W3178" s="2">
        <v>3.2404587660000002</v>
      </c>
      <c r="X3178">
        <f t="shared" si="147"/>
        <v>0</v>
      </c>
      <c r="Y3178">
        <f t="shared" si="148"/>
        <v>0</v>
      </c>
      <c r="Z3178">
        <f t="shared" si="149"/>
        <v>1</v>
      </c>
    </row>
    <row r="3179" spans="1:26" ht="15.75" customHeight="1" x14ac:dyDescent="0.2">
      <c r="A3179" s="2" t="s">
        <v>36</v>
      </c>
      <c r="B3179" s="2" t="s">
        <v>35</v>
      </c>
      <c r="C3179" s="2" t="s">
        <v>25</v>
      </c>
      <c r="D3179" s="2" t="s">
        <v>25</v>
      </c>
      <c r="E3179" s="2">
        <v>127</v>
      </c>
      <c r="F3179" s="2">
        <v>251</v>
      </c>
      <c r="G3179" s="2">
        <v>886</v>
      </c>
      <c r="H3179" s="2">
        <v>1815</v>
      </c>
      <c r="I3179" s="2">
        <v>2757</v>
      </c>
      <c r="J3179" s="2">
        <v>2.52</v>
      </c>
      <c r="K3179" s="2">
        <v>7.81</v>
      </c>
      <c r="L3179" s="2">
        <v>12.36</v>
      </c>
      <c r="M3179" s="2">
        <v>15.14</v>
      </c>
      <c r="N3179" s="2">
        <v>1.5069554590000001</v>
      </c>
      <c r="O3179" s="2">
        <v>1.108884559</v>
      </c>
      <c r="P3179" s="2">
        <v>3.0308713749999998</v>
      </c>
      <c r="Q3179" s="2">
        <v>3.0799461099999998</v>
      </c>
      <c r="R3179" s="2">
        <v>2.7141689119999999</v>
      </c>
      <c r="S3179" s="2">
        <v>2.8241689120000002</v>
      </c>
      <c r="T3179" s="2">
        <v>1.348876722</v>
      </c>
      <c r="U3179" s="2">
        <v>1.2288767220000001</v>
      </c>
      <c r="V3179" s="2">
        <v>4.460903622</v>
      </c>
      <c r="W3179" s="2">
        <v>4.425936578</v>
      </c>
      <c r="X3179">
        <f t="shared" si="147"/>
        <v>0</v>
      </c>
      <c r="Y3179">
        <f t="shared" si="148"/>
        <v>0</v>
      </c>
      <c r="Z3179">
        <f t="shared" si="149"/>
        <v>0</v>
      </c>
    </row>
    <row r="3180" spans="1:26" ht="15.75" customHeight="1" x14ac:dyDescent="0.2">
      <c r="A3180" s="2" t="s">
        <v>36</v>
      </c>
      <c r="B3180" s="2" t="s">
        <v>35</v>
      </c>
      <c r="C3180" s="2" t="s">
        <v>25</v>
      </c>
      <c r="D3180" s="2" t="s">
        <v>25</v>
      </c>
      <c r="E3180" s="2">
        <v>200</v>
      </c>
      <c r="F3180" s="2">
        <v>253</v>
      </c>
      <c r="G3180" s="2">
        <v>973</v>
      </c>
      <c r="H3180" s="2">
        <v>1561</v>
      </c>
      <c r="I3180" s="2">
        <v>2716</v>
      </c>
      <c r="J3180" s="2">
        <v>2.54</v>
      </c>
      <c r="K3180" s="2">
        <v>8.3699999999999992</v>
      </c>
      <c r="L3180" s="2">
        <v>11.36</v>
      </c>
      <c r="M3180" s="2">
        <v>15.04</v>
      </c>
      <c r="N3180" s="2">
        <v>0.63577987499999999</v>
      </c>
      <c r="O3180" s="2">
        <v>0.56631447599999996</v>
      </c>
      <c r="P3180" s="2">
        <v>3.2844649239999999</v>
      </c>
      <c r="Q3180" s="2">
        <v>3.3836923830000001</v>
      </c>
      <c r="R3180" s="2">
        <v>3.266045455</v>
      </c>
      <c r="S3180" s="2">
        <v>3.3760454549999999</v>
      </c>
      <c r="T3180" s="2">
        <v>0.34735706199999999</v>
      </c>
      <c r="U3180" s="2">
        <v>0.227357062</v>
      </c>
      <c r="V3180" s="2">
        <v>5.0127801649999997</v>
      </c>
      <c r="W3180" s="2">
        <v>4.9778131209999996</v>
      </c>
      <c r="X3180">
        <f t="shared" si="147"/>
        <v>0</v>
      </c>
      <c r="Y3180">
        <f t="shared" si="148"/>
        <v>0</v>
      </c>
      <c r="Z3180">
        <f t="shared" si="149"/>
        <v>0</v>
      </c>
    </row>
    <row r="3181" spans="1:26" ht="15.75" customHeight="1" x14ac:dyDescent="0.2">
      <c r="A3181" s="2" t="s">
        <v>36</v>
      </c>
      <c r="B3181" s="2" t="s">
        <v>35</v>
      </c>
      <c r="C3181" s="2" t="s">
        <v>27</v>
      </c>
      <c r="D3181" s="2" t="s">
        <v>27</v>
      </c>
      <c r="E3181" s="2">
        <v>200</v>
      </c>
      <c r="F3181" s="2">
        <v>241</v>
      </c>
      <c r="G3181" s="2">
        <v>480</v>
      </c>
      <c r="H3181" s="2">
        <v>2131</v>
      </c>
      <c r="I3181" s="2">
        <v>2860</v>
      </c>
      <c r="J3181" s="2">
        <v>2.41</v>
      </c>
      <c r="K3181" s="2">
        <v>4.74</v>
      </c>
      <c r="L3181" s="2">
        <v>13.44</v>
      </c>
      <c r="M3181" s="2">
        <v>15.38</v>
      </c>
      <c r="N3181" s="2">
        <v>0.52936744899999999</v>
      </c>
      <c r="O3181" s="2">
        <v>0.53299342100000002</v>
      </c>
      <c r="P3181" s="2">
        <v>2.4517196929999998</v>
      </c>
      <c r="Q3181" s="2">
        <v>2.3187082129999999</v>
      </c>
      <c r="R3181" s="2">
        <v>0.358844104</v>
      </c>
      <c r="S3181" s="2">
        <v>0.24884410400000001</v>
      </c>
      <c r="T3181" s="2">
        <v>2.4253165490000002</v>
      </c>
      <c r="U3181" s="2">
        <v>2.305316549</v>
      </c>
      <c r="V3181" s="2">
        <v>1.387890606</v>
      </c>
      <c r="W3181" s="2">
        <v>1.352923562</v>
      </c>
      <c r="X3181">
        <f t="shared" si="147"/>
        <v>0</v>
      </c>
      <c r="Y3181">
        <f t="shared" si="148"/>
        <v>0</v>
      </c>
      <c r="Z3181">
        <f t="shared" si="149"/>
        <v>0</v>
      </c>
    </row>
    <row r="3182" spans="1:26" ht="15.75" customHeight="1" x14ac:dyDescent="0.2">
      <c r="A3182" s="2" t="s">
        <v>36</v>
      </c>
      <c r="B3182" s="2" t="s">
        <v>35</v>
      </c>
      <c r="C3182" s="2" t="s">
        <v>30</v>
      </c>
      <c r="D3182" s="2" t="s">
        <v>31</v>
      </c>
      <c r="E3182" s="2">
        <v>229</v>
      </c>
      <c r="F3182" s="2">
        <v>223</v>
      </c>
      <c r="G3182" s="2">
        <v>690</v>
      </c>
      <c r="H3182" s="2">
        <v>1338</v>
      </c>
      <c r="I3182" s="2">
        <v>2466</v>
      </c>
      <c r="J3182" s="2">
        <v>2.21</v>
      </c>
      <c r="K3182" s="2">
        <v>6.45</v>
      </c>
      <c r="L3182" s="2">
        <v>10.35</v>
      </c>
      <c r="M3182" s="2">
        <v>14.41</v>
      </c>
      <c r="N3182" s="2">
        <v>3.1607223040000001</v>
      </c>
      <c r="O3182" s="2">
        <v>3.2637583669999999</v>
      </c>
      <c r="P3182" s="2">
        <v>1.5076853509999999</v>
      </c>
      <c r="Q3182" s="2">
        <v>1.660382257</v>
      </c>
      <c r="R3182" s="2">
        <v>1.353210917</v>
      </c>
      <c r="S3182" s="2">
        <v>1.4632109170000001</v>
      </c>
      <c r="T3182" s="2">
        <v>0.66478216899999998</v>
      </c>
      <c r="U3182" s="2">
        <v>0.78478216899999997</v>
      </c>
      <c r="V3182" s="2">
        <v>3.0999456269999999</v>
      </c>
      <c r="W3182" s="2">
        <v>3.0649785829999998</v>
      </c>
      <c r="X3182">
        <f t="shared" si="147"/>
        <v>0</v>
      </c>
      <c r="Y3182">
        <f t="shared" si="148"/>
        <v>0</v>
      </c>
      <c r="Z3182">
        <f t="shared" si="149"/>
        <v>1</v>
      </c>
    </row>
    <row r="3183" spans="1:26" ht="15.75" customHeight="1" x14ac:dyDescent="0.2">
      <c r="A3183" s="2" t="s">
        <v>36</v>
      </c>
      <c r="B3183" s="2" t="s">
        <v>35</v>
      </c>
      <c r="C3183" s="2" t="s">
        <v>28</v>
      </c>
      <c r="D3183" s="2" t="s">
        <v>29</v>
      </c>
      <c r="E3183" s="2">
        <v>170</v>
      </c>
      <c r="F3183" s="2">
        <v>215</v>
      </c>
      <c r="G3183" s="2">
        <v>597</v>
      </c>
      <c r="H3183" s="2">
        <v>1320</v>
      </c>
      <c r="I3183" s="2">
        <v>2430</v>
      </c>
      <c r="J3183" s="2">
        <v>2.12</v>
      </c>
      <c r="K3183" s="2">
        <v>5.73</v>
      </c>
      <c r="L3183" s="2">
        <v>10.26</v>
      </c>
      <c r="M3183" s="2">
        <v>14.31</v>
      </c>
      <c r="N3183" s="2">
        <v>1.78815222</v>
      </c>
      <c r="O3183" s="2">
        <v>1.9345357009999999</v>
      </c>
      <c r="P3183" s="2">
        <v>0.98089058500000004</v>
      </c>
      <c r="Q3183" s="2">
        <v>1.143536584</v>
      </c>
      <c r="R3183" s="2">
        <v>0.62951114600000002</v>
      </c>
      <c r="S3183" s="2">
        <v>0.73951114600000001</v>
      </c>
      <c r="T3183" s="2">
        <v>0.75223803199999995</v>
      </c>
      <c r="U3183" s="2">
        <v>0.87223803200000005</v>
      </c>
      <c r="V3183" s="2">
        <v>2.3762458560000002</v>
      </c>
      <c r="W3183" s="2">
        <v>2.3412788120000001</v>
      </c>
      <c r="X3183">
        <f t="shared" si="147"/>
        <v>0</v>
      </c>
      <c r="Y3183">
        <f t="shared" si="148"/>
        <v>0</v>
      </c>
      <c r="Z3183">
        <f t="shared" si="149"/>
        <v>1</v>
      </c>
    </row>
    <row r="3184" spans="1:26" ht="15.75" customHeight="1" x14ac:dyDescent="0.2">
      <c r="A3184" s="2" t="s">
        <v>36</v>
      </c>
      <c r="B3184" s="2" t="s">
        <v>35</v>
      </c>
      <c r="C3184" s="2" t="s">
        <v>28</v>
      </c>
      <c r="D3184" s="2" t="s">
        <v>29</v>
      </c>
      <c r="E3184" s="2">
        <v>214</v>
      </c>
      <c r="F3184" s="2">
        <v>210</v>
      </c>
      <c r="G3184" s="2">
        <v>472</v>
      </c>
      <c r="H3184" s="2">
        <v>1578</v>
      </c>
      <c r="I3184" s="2">
        <v>2878</v>
      </c>
      <c r="J3184" s="2">
        <v>2.06</v>
      </c>
      <c r="K3184" s="2">
        <v>4.67</v>
      </c>
      <c r="L3184" s="2">
        <v>11.43</v>
      </c>
      <c r="M3184" s="2">
        <v>15.42</v>
      </c>
      <c r="N3184" s="2">
        <v>2.617662728</v>
      </c>
      <c r="O3184" s="2">
        <v>2.691469245</v>
      </c>
      <c r="P3184" s="2">
        <v>0.59711376299999996</v>
      </c>
      <c r="Q3184" s="2">
        <v>0.43465425699999999</v>
      </c>
      <c r="R3184" s="2">
        <v>0.42674342100000001</v>
      </c>
      <c r="S3184" s="2">
        <v>0.31674342100000002</v>
      </c>
      <c r="T3184" s="2">
        <v>0.417654042</v>
      </c>
      <c r="U3184" s="2">
        <v>0.29765404200000001</v>
      </c>
      <c r="V3184" s="2">
        <v>1.3199912890000001</v>
      </c>
      <c r="W3184" s="2">
        <v>1.285024245</v>
      </c>
      <c r="X3184">
        <f t="shared" si="147"/>
        <v>0</v>
      </c>
      <c r="Y3184">
        <f t="shared" si="148"/>
        <v>0</v>
      </c>
      <c r="Z3184">
        <f t="shared" si="149"/>
        <v>1</v>
      </c>
    </row>
    <row r="3185" spans="1:26" ht="15.75" customHeight="1" x14ac:dyDescent="0.2">
      <c r="A3185" s="2" t="s">
        <v>36</v>
      </c>
      <c r="B3185" s="2" t="s">
        <v>35</v>
      </c>
      <c r="C3185" s="2" t="s">
        <v>32</v>
      </c>
      <c r="D3185" s="2" t="s">
        <v>33</v>
      </c>
      <c r="E3185" s="2">
        <v>218</v>
      </c>
      <c r="F3185" s="2">
        <v>238</v>
      </c>
      <c r="G3185" s="2">
        <v>598</v>
      </c>
      <c r="H3185" s="2">
        <v>979</v>
      </c>
      <c r="I3185" s="2">
        <v>2029</v>
      </c>
      <c r="J3185" s="2">
        <v>2.37</v>
      </c>
      <c r="K3185" s="2">
        <v>5.74</v>
      </c>
      <c r="L3185" s="2">
        <v>8.4</v>
      </c>
      <c r="M3185" s="2">
        <v>13.11</v>
      </c>
      <c r="N3185" s="2">
        <v>3.3200312030000001</v>
      </c>
      <c r="O3185" s="2">
        <v>3.521744392</v>
      </c>
      <c r="P3185" s="2">
        <v>2.684200326</v>
      </c>
      <c r="Q3185" s="2">
        <v>2.8279788180000001</v>
      </c>
      <c r="R3185" s="2">
        <v>0.63754495700000002</v>
      </c>
      <c r="S3185" s="2">
        <v>0.74754495700000001</v>
      </c>
      <c r="T3185" s="2">
        <v>2.6073871629999998</v>
      </c>
      <c r="U3185" s="2">
        <v>2.7273871629999999</v>
      </c>
      <c r="V3185" s="2">
        <v>2.3842796669999999</v>
      </c>
      <c r="W3185" s="2">
        <v>2.3493126229999999</v>
      </c>
      <c r="X3185">
        <f t="shared" si="147"/>
        <v>0</v>
      </c>
      <c r="Y3185">
        <f t="shared" si="148"/>
        <v>0</v>
      </c>
      <c r="Z3185">
        <f t="shared" si="149"/>
        <v>1</v>
      </c>
    </row>
    <row r="3186" spans="1:26" ht="15.75" customHeight="1" x14ac:dyDescent="0.2">
      <c r="A3186" s="2" t="s">
        <v>36</v>
      </c>
      <c r="B3186" s="2" t="s">
        <v>35</v>
      </c>
      <c r="C3186" s="2" t="s">
        <v>26</v>
      </c>
      <c r="D3186" s="2" t="s">
        <v>26</v>
      </c>
      <c r="E3186" s="2">
        <v>203</v>
      </c>
      <c r="F3186" s="2">
        <v>241</v>
      </c>
      <c r="G3186" s="2">
        <v>444</v>
      </c>
      <c r="H3186" s="2">
        <v>1088</v>
      </c>
      <c r="I3186" s="2">
        <v>2800</v>
      </c>
      <c r="J3186" s="2">
        <v>2.41</v>
      </c>
      <c r="K3186" s="2">
        <v>4.42</v>
      </c>
      <c r="L3186" s="2">
        <v>9.0399999999999991</v>
      </c>
      <c r="M3186" s="2">
        <v>15.24</v>
      </c>
      <c r="N3186" s="2">
        <v>0.344668162</v>
      </c>
      <c r="O3186" s="2">
        <v>0.317187145</v>
      </c>
      <c r="P3186" s="2">
        <v>2.0853456540000002</v>
      </c>
      <c r="Q3186" s="2">
        <v>2.1677584630000002</v>
      </c>
      <c r="R3186" s="2">
        <v>0.67840266199999999</v>
      </c>
      <c r="S3186" s="2">
        <v>0.568402662</v>
      </c>
      <c r="T3186" s="2">
        <v>1.9719118449999999</v>
      </c>
      <c r="U3186" s="2">
        <v>2.0919118449999998</v>
      </c>
      <c r="V3186" s="2">
        <v>1.068332048</v>
      </c>
      <c r="W3186" s="2">
        <v>1.033365004</v>
      </c>
      <c r="X3186">
        <f t="shared" si="147"/>
        <v>0</v>
      </c>
      <c r="Y3186">
        <f t="shared" si="148"/>
        <v>0</v>
      </c>
      <c r="Z3186">
        <f t="shared" si="149"/>
        <v>0</v>
      </c>
    </row>
    <row r="3187" spans="1:26" ht="15.75" customHeight="1" x14ac:dyDescent="0.2">
      <c r="A3187" s="2" t="s">
        <v>36</v>
      </c>
      <c r="B3187" s="2" t="s">
        <v>35</v>
      </c>
      <c r="C3187" s="2" t="s">
        <v>25</v>
      </c>
      <c r="D3187" s="2" t="s">
        <v>25</v>
      </c>
      <c r="E3187" s="2">
        <v>193</v>
      </c>
      <c r="F3187" s="2">
        <v>227</v>
      </c>
      <c r="G3187" s="2">
        <v>874</v>
      </c>
      <c r="H3187" s="2">
        <v>1514</v>
      </c>
      <c r="I3187" s="2">
        <v>2318</v>
      </c>
      <c r="J3187" s="2">
        <v>2.25</v>
      </c>
      <c r="K3187" s="2">
        <v>7.74</v>
      </c>
      <c r="L3187" s="2">
        <v>11.16</v>
      </c>
      <c r="M3187" s="2">
        <v>14</v>
      </c>
      <c r="N3187" s="2">
        <v>0.37424599200000003</v>
      </c>
      <c r="O3187" s="2">
        <v>0.11741552099999999</v>
      </c>
      <c r="P3187" s="2">
        <v>2.644336902</v>
      </c>
      <c r="Q3187" s="2">
        <v>2.7504497369999998</v>
      </c>
      <c r="R3187" s="2">
        <v>2.6403316480000001</v>
      </c>
      <c r="S3187" s="2">
        <v>2.750331648</v>
      </c>
      <c r="T3187" s="2">
        <v>0.145486904</v>
      </c>
      <c r="U3187" s="2">
        <v>2.5486904000000001E-2</v>
      </c>
      <c r="V3187" s="2">
        <v>4.3870663580000002</v>
      </c>
      <c r="W3187" s="2">
        <v>4.3520993140000002</v>
      </c>
      <c r="X3187">
        <f t="shared" si="147"/>
        <v>0</v>
      </c>
      <c r="Y3187">
        <f t="shared" si="148"/>
        <v>0</v>
      </c>
      <c r="Z3187">
        <f t="shared" si="149"/>
        <v>0</v>
      </c>
    </row>
    <row r="3188" spans="1:26" ht="15.75" customHeight="1" x14ac:dyDescent="0.2">
      <c r="A3188" s="2" t="s">
        <v>36</v>
      </c>
      <c r="B3188" s="2" t="s">
        <v>35</v>
      </c>
      <c r="C3188" s="2" t="s">
        <v>30</v>
      </c>
      <c r="D3188" s="2" t="s">
        <v>31</v>
      </c>
      <c r="E3188" s="2">
        <v>222</v>
      </c>
      <c r="F3188" s="2">
        <v>236</v>
      </c>
      <c r="G3188" s="2">
        <v>698</v>
      </c>
      <c r="H3188" s="2">
        <v>1241</v>
      </c>
      <c r="I3188" s="2">
        <v>2247</v>
      </c>
      <c r="J3188" s="2">
        <v>2.35</v>
      </c>
      <c r="K3188" s="2">
        <v>6.51</v>
      </c>
      <c r="L3188" s="2">
        <v>9.8699999999999992</v>
      </c>
      <c r="M3188" s="2">
        <v>13.79</v>
      </c>
      <c r="N3188" s="2">
        <v>3.590668494</v>
      </c>
      <c r="O3188" s="2">
        <v>3.6886777720000001</v>
      </c>
      <c r="P3188" s="2">
        <v>1.814283976</v>
      </c>
      <c r="Q3188" s="2">
        <v>1.9754739050000001</v>
      </c>
      <c r="R3188" s="2">
        <v>1.4079192270000001</v>
      </c>
      <c r="S3188" s="2">
        <v>1.5179192269999999</v>
      </c>
      <c r="T3188" s="2">
        <v>1.144285714</v>
      </c>
      <c r="U3188" s="2">
        <v>1.2642857139999999</v>
      </c>
      <c r="V3188" s="2">
        <v>3.154653938</v>
      </c>
      <c r="W3188" s="2">
        <v>3.1196868929999999</v>
      </c>
      <c r="X3188">
        <f t="shared" si="147"/>
        <v>0</v>
      </c>
      <c r="Y3188">
        <f t="shared" si="148"/>
        <v>0</v>
      </c>
      <c r="Z3188">
        <f t="shared" si="149"/>
        <v>1</v>
      </c>
    </row>
    <row r="3189" spans="1:26" ht="15.75" customHeight="1" x14ac:dyDescent="0.2">
      <c r="A3189" s="2" t="s">
        <v>36</v>
      </c>
      <c r="B3189" s="2" t="s">
        <v>35</v>
      </c>
      <c r="C3189" s="2" t="s">
        <v>27</v>
      </c>
      <c r="D3189" s="2" t="s">
        <v>27</v>
      </c>
      <c r="E3189" s="2">
        <v>236</v>
      </c>
      <c r="F3189" s="2">
        <v>236</v>
      </c>
      <c r="G3189" s="2">
        <v>465</v>
      </c>
      <c r="H3189" s="2">
        <v>2030</v>
      </c>
      <c r="I3189" s="2">
        <v>2840</v>
      </c>
      <c r="J3189" s="2">
        <v>2.35</v>
      </c>
      <c r="K3189" s="2">
        <v>4.6100000000000003</v>
      </c>
      <c r="L3189" s="2">
        <v>13.11</v>
      </c>
      <c r="M3189" s="2">
        <v>15.33</v>
      </c>
      <c r="N3189" s="2">
        <v>0.189461403</v>
      </c>
      <c r="O3189" s="2">
        <v>0.18403109000000001</v>
      </c>
      <c r="P3189" s="2">
        <v>2.1559849799999999</v>
      </c>
      <c r="Q3189" s="2">
        <v>2.0156222079999999</v>
      </c>
      <c r="R3189" s="2">
        <v>0.49209238399999999</v>
      </c>
      <c r="S3189" s="2">
        <v>0.38209238400000001</v>
      </c>
      <c r="T3189" s="2">
        <v>2.0990751109999999</v>
      </c>
      <c r="U3189" s="2">
        <v>1.979075111</v>
      </c>
      <c r="V3189" s="2">
        <v>1.2546423259999999</v>
      </c>
      <c r="W3189" s="2">
        <v>1.2196752820000001</v>
      </c>
      <c r="X3189">
        <f t="shared" si="147"/>
        <v>0</v>
      </c>
      <c r="Y3189">
        <f t="shared" si="148"/>
        <v>0</v>
      </c>
      <c r="Z3189">
        <f t="shared" si="149"/>
        <v>0</v>
      </c>
    </row>
    <row r="3190" spans="1:26" ht="15.75" customHeight="1" x14ac:dyDescent="0.2">
      <c r="A3190" s="2" t="s">
        <v>36</v>
      </c>
      <c r="B3190" s="2" t="s">
        <v>35</v>
      </c>
      <c r="C3190" s="2" t="s">
        <v>30</v>
      </c>
      <c r="D3190" s="2" t="s">
        <v>31</v>
      </c>
      <c r="E3190" s="2">
        <v>180</v>
      </c>
      <c r="F3190" s="2">
        <v>235</v>
      </c>
      <c r="G3190" s="2">
        <v>618</v>
      </c>
      <c r="H3190" s="2">
        <v>1303</v>
      </c>
      <c r="I3190" s="2">
        <v>2471</v>
      </c>
      <c r="J3190" s="2">
        <v>2.34</v>
      </c>
      <c r="K3190" s="2">
        <v>5.89</v>
      </c>
      <c r="L3190" s="2">
        <v>10.18</v>
      </c>
      <c r="M3190" s="2">
        <v>14.42</v>
      </c>
      <c r="N3190" s="2">
        <v>3.0240219270000002</v>
      </c>
      <c r="O3190" s="2">
        <v>3.1122225910000001</v>
      </c>
      <c r="P3190" s="2">
        <v>1.150572283</v>
      </c>
      <c r="Q3190" s="2">
        <v>1.3133319670000001</v>
      </c>
      <c r="R3190" s="2">
        <v>0.79427647700000004</v>
      </c>
      <c r="S3190" s="2">
        <v>0.90427647700000002</v>
      </c>
      <c r="T3190" s="2">
        <v>0.832431052</v>
      </c>
      <c r="U3190" s="2">
        <v>0.952431052</v>
      </c>
      <c r="V3190" s="2">
        <v>2.5410111880000001</v>
      </c>
      <c r="W3190" s="2">
        <v>2.506044143</v>
      </c>
      <c r="X3190">
        <f t="shared" si="147"/>
        <v>0</v>
      </c>
      <c r="Y3190">
        <f t="shared" si="148"/>
        <v>0</v>
      </c>
      <c r="Z3190">
        <f t="shared" si="149"/>
        <v>1</v>
      </c>
    </row>
    <row r="3191" spans="1:26" ht="15.75" customHeight="1" x14ac:dyDescent="0.2">
      <c r="A3191" s="2" t="s">
        <v>36</v>
      </c>
      <c r="B3191" s="2" t="s">
        <v>35</v>
      </c>
      <c r="C3191" s="2" t="s">
        <v>27</v>
      </c>
      <c r="D3191" s="2" t="s">
        <v>27</v>
      </c>
      <c r="E3191" s="2">
        <v>249</v>
      </c>
      <c r="F3191" s="2">
        <v>231</v>
      </c>
      <c r="G3191" s="2">
        <v>447</v>
      </c>
      <c r="H3191" s="2">
        <v>2215</v>
      </c>
      <c r="I3191" s="2">
        <v>2969</v>
      </c>
      <c r="J3191" s="2">
        <v>2.29</v>
      </c>
      <c r="K3191" s="2">
        <v>4.45</v>
      </c>
      <c r="L3191" s="2">
        <v>13.69</v>
      </c>
      <c r="M3191" s="2">
        <v>15.62</v>
      </c>
      <c r="N3191" s="2">
        <v>0.79409215600000005</v>
      </c>
      <c r="O3191" s="2">
        <v>0.736748403</v>
      </c>
      <c r="P3191" s="2">
        <v>2.7633051810000002</v>
      </c>
      <c r="Q3191" s="2">
        <v>2.621849444</v>
      </c>
      <c r="R3191" s="2">
        <v>0.65418282500000002</v>
      </c>
      <c r="S3191" s="2">
        <v>0.54418282500000004</v>
      </c>
      <c r="T3191" s="2">
        <v>2.6847533129999999</v>
      </c>
      <c r="U3191" s="2">
        <v>2.5647533130000002</v>
      </c>
      <c r="V3191" s="2">
        <v>1.092551885</v>
      </c>
      <c r="W3191" s="2">
        <v>1.0575848409999999</v>
      </c>
      <c r="X3191">
        <f t="shared" si="147"/>
        <v>0</v>
      </c>
      <c r="Y3191">
        <f t="shared" si="148"/>
        <v>0</v>
      </c>
      <c r="Z3191">
        <f t="shared" si="149"/>
        <v>0</v>
      </c>
    </row>
    <row r="3192" spans="1:26" ht="15.75" customHeight="1" x14ac:dyDescent="0.2">
      <c r="A3192" s="2" t="s">
        <v>36</v>
      </c>
      <c r="B3192" s="2" t="s">
        <v>35</v>
      </c>
      <c r="C3192" s="2" t="s">
        <v>26</v>
      </c>
      <c r="D3192" s="2" t="s">
        <v>26</v>
      </c>
      <c r="E3192" s="2">
        <v>289</v>
      </c>
      <c r="F3192" s="2">
        <v>204</v>
      </c>
      <c r="G3192" s="2">
        <v>452</v>
      </c>
      <c r="H3192" s="2">
        <v>1026</v>
      </c>
      <c r="I3192" s="2">
        <v>2728</v>
      </c>
      <c r="J3192" s="2">
        <v>2</v>
      </c>
      <c r="K3192" s="2">
        <v>4.49</v>
      </c>
      <c r="L3192" s="2">
        <v>8.68</v>
      </c>
      <c r="M3192" s="2">
        <v>15.07</v>
      </c>
      <c r="N3192" s="2">
        <v>0.22709362599999999</v>
      </c>
      <c r="O3192" s="2">
        <v>6.8215306000000003E-2</v>
      </c>
      <c r="P3192" s="2">
        <v>2.404407623</v>
      </c>
      <c r="Q3192" s="2">
        <v>2.4963896010000002</v>
      </c>
      <c r="R3192" s="2">
        <v>0.60891499699999996</v>
      </c>
      <c r="S3192" s="2">
        <v>0.49891499700000003</v>
      </c>
      <c r="T3192" s="2">
        <v>2.326026342</v>
      </c>
      <c r="U3192" s="2">
        <v>2.4460263420000001</v>
      </c>
      <c r="V3192" s="2">
        <v>1.1378197139999999</v>
      </c>
      <c r="W3192" s="2">
        <v>1.102852669</v>
      </c>
      <c r="X3192">
        <f t="shared" si="147"/>
        <v>0</v>
      </c>
      <c r="Y3192">
        <f t="shared" si="148"/>
        <v>0</v>
      </c>
      <c r="Z3192">
        <f t="shared" si="149"/>
        <v>0</v>
      </c>
    </row>
    <row r="3193" spans="1:26" ht="15.75" customHeight="1" x14ac:dyDescent="0.2">
      <c r="A3193" s="2" t="s">
        <v>36</v>
      </c>
      <c r="B3193" s="2" t="s">
        <v>35</v>
      </c>
      <c r="C3193" s="2" t="s">
        <v>27</v>
      </c>
      <c r="D3193" s="2" t="s">
        <v>27</v>
      </c>
      <c r="E3193" s="2">
        <v>209</v>
      </c>
      <c r="F3193" s="2">
        <v>242</v>
      </c>
      <c r="G3193" s="2">
        <v>470</v>
      </c>
      <c r="H3193" s="2">
        <v>1500</v>
      </c>
      <c r="I3193" s="2">
        <v>2523</v>
      </c>
      <c r="J3193" s="2">
        <v>2.41</v>
      </c>
      <c r="K3193" s="2">
        <v>4.6500000000000004</v>
      </c>
      <c r="L3193" s="2">
        <v>11.09</v>
      </c>
      <c r="M3193" s="2">
        <v>14.56</v>
      </c>
      <c r="N3193" s="2">
        <v>1.827456763</v>
      </c>
      <c r="O3193" s="2">
        <v>1.8733854910000001</v>
      </c>
      <c r="P3193" s="2">
        <v>0.45509517599999999</v>
      </c>
      <c r="Q3193" s="2">
        <v>0.33953392199999999</v>
      </c>
      <c r="R3193" s="2">
        <v>0.44749348300000003</v>
      </c>
      <c r="S3193" s="2">
        <v>0.33749348299999998</v>
      </c>
      <c r="T3193" s="2">
        <v>8.2832370000000002E-2</v>
      </c>
      <c r="U3193" s="2">
        <v>3.716763E-2</v>
      </c>
      <c r="V3193" s="2">
        <v>1.299241227</v>
      </c>
      <c r="W3193" s="2">
        <v>1.2642741829999999</v>
      </c>
      <c r="X3193">
        <f t="shared" si="147"/>
        <v>0</v>
      </c>
      <c r="Y3193">
        <f t="shared" si="148"/>
        <v>0</v>
      </c>
      <c r="Z3193">
        <f t="shared" si="149"/>
        <v>0</v>
      </c>
    </row>
    <row r="3194" spans="1:26" ht="15.75" customHeight="1" x14ac:dyDescent="0.2">
      <c r="A3194" s="2" t="s">
        <v>36</v>
      </c>
      <c r="B3194" s="2" t="s">
        <v>35</v>
      </c>
      <c r="C3194" s="2" t="s">
        <v>30</v>
      </c>
      <c r="D3194" s="2" t="s">
        <v>31</v>
      </c>
      <c r="E3194" s="2">
        <v>165</v>
      </c>
      <c r="F3194" s="2">
        <v>246</v>
      </c>
      <c r="G3194" s="2">
        <v>773</v>
      </c>
      <c r="H3194" s="2">
        <v>1307</v>
      </c>
      <c r="I3194" s="2">
        <v>2176</v>
      </c>
      <c r="J3194" s="2">
        <v>2.46</v>
      </c>
      <c r="K3194" s="2">
        <v>7.05</v>
      </c>
      <c r="L3194" s="2">
        <v>10.199999999999999</v>
      </c>
      <c r="M3194" s="2">
        <v>13.58</v>
      </c>
      <c r="N3194" s="2">
        <v>3.6513434760000001</v>
      </c>
      <c r="O3194" s="2">
        <v>3.76165233</v>
      </c>
      <c r="P3194" s="2">
        <v>2.115282616</v>
      </c>
      <c r="Q3194" s="2">
        <v>2.2639823319999999</v>
      </c>
      <c r="R3194" s="2">
        <v>1.952923527</v>
      </c>
      <c r="S3194" s="2">
        <v>2.0629235270000001</v>
      </c>
      <c r="T3194" s="2">
        <v>0.81271781300000001</v>
      </c>
      <c r="U3194" s="2">
        <v>0.93271781300000001</v>
      </c>
      <c r="V3194" s="2">
        <v>3.699658238</v>
      </c>
      <c r="W3194" s="2">
        <v>3.6646911929999999</v>
      </c>
      <c r="X3194">
        <f t="shared" si="147"/>
        <v>0</v>
      </c>
      <c r="Y3194">
        <f t="shared" si="148"/>
        <v>0</v>
      </c>
      <c r="Z3194">
        <f t="shared" si="149"/>
        <v>1</v>
      </c>
    </row>
    <row r="3195" spans="1:26" ht="15.75" customHeight="1" x14ac:dyDescent="0.2">
      <c r="A3195" s="2" t="s">
        <v>36</v>
      </c>
      <c r="B3195" s="2" t="s">
        <v>35</v>
      </c>
      <c r="C3195" s="2" t="s">
        <v>27</v>
      </c>
      <c r="D3195" s="2" t="s">
        <v>27</v>
      </c>
      <c r="E3195" s="2">
        <v>230</v>
      </c>
      <c r="F3195" s="2">
        <v>241</v>
      </c>
      <c r="G3195" s="2">
        <v>505</v>
      </c>
      <c r="H3195" s="2">
        <v>1380</v>
      </c>
      <c r="I3195" s="2">
        <v>2594</v>
      </c>
      <c r="J3195" s="2">
        <v>2.41</v>
      </c>
      <c r="K3195" s="2">
        <v>4.96</v>
      </c>
      <c r="L3195" s="2">
        <v>10.55</v>
      </c>
      <c r="M3195" s="2">
        <v>14.74</v>
      </c>
      <c r="N3195" s="2">
        <v>2.3958540469999998</v>
      </c>
      <c r="O3195" s="2">
        <v>2.455202602</v>
      </c>
      <c r="P3195" s="2">
        <v>0.48129871299999999</v>
      </c>
      <c r="Q3195" s="2">
        <v>0.58189384799999999</v>
      </c>
      <c r="R3195" s="2">
        <v>0.137484787</v>
      </c>
      <c r="S3195" s="2">
        <v>2.7484787E-2</v>
      </c>
      <c r="T3195" s="2">
        <v>0.46124438699999998</v>
      </c>
      <c r="U3195" s="2">
        <v>0.58124438700000003</v>
      </c>
      <c r="V3195" s="2">
        <v>1.6092499229999999</v>
      </c>
      <c r="W3195" s="2">
        <v>1.5742828790000001</v>
      </c>
      <c r="X3195">
        <f t="shared" si="147"/>
        <v>0</v>
      </c>
      <c r="Y3195">
        <f t="shared" si="148"/>
        <v>0</v>
      </c>
      <c r="Z3195">
        <f t="shared" si="149"/>
        <v>0</v>
      </c>
    </row>
    <row r="3196" spans="1:26" ht="15.75" customHeight="1" x14ac:dyDescent="0.2">
      <c r="A3196" s="2" t="s">
        <v>36</v>
      </c>
      <c r="B3196" s="2" t="s">
        <v>35</v>
      </c>
      <c r="C3196" s="2" t="s">
        <v>26</v>
      </c>
      <c r="D3196" s="2" t="s">
        <v>26</v>
      </c>
      <c r="E3196" s="2">
        <v>268</v>
      </c>
      <c r="F3196" s="2">
        <v>223</v>
      </c>
      <c r="G3196" s="2">
        <v>453</v>
      </c>
      <c r="H3196" s="2">
        <v>1005</v>
      </c>
      <c r="I3196" s="2">
        <v>3004</v>
      </c>
      <c r="J3196" s="2">
        <v>2.21</v>
      </c>
      <c r="K3196" s="2">
        <v>4.5</v>
      </c>
      <c r="L3196" s="2">
        <v>8.56</v>
      </c>
      <c r="M3196" s="2">
        <v>15.69</v>
      </c>
      <c r="N3196" s="2">
        <v>0.31002887499999998</v>
      </c>
      <c r="O3196" s="2">
        <v>0.186569177</v>
      </c>
      <c r="P3196" s="2">
        <v>2.5261503959999998</v>
      </c>
      <c r="Q3196" s="2">
        <v>2.6202543519999999</v>
      </c>
      <c r="R3196" s="2">
        <v>0.59687525900000005</v>
      </c>
      <c r="S3196" s="2">
        <v>0.486875259</v>
      </c>
      <c r="T3196" s="2">
        <v>2.4546233420000001</v>
      </c>
      <c r="U3196" s="2">
        <v>2.5746233420000002</v>
      </c>
      <c r="V3196" s="2">
        <v>1.149859451</v>
      </c>
      <c r="W3196" s="2">
        <v>1.1148924069999999</v>
      </c>
      <c r="X3196">
        <f t="shared" si="147"/>
        <v>0</v>
      </c>
      <c r="Y3196">
        <f t="shared" si="148"/>
        <v>0</v>
      </c>
      <c r="Z3196">
        <f t="shared" si="149"/>
        <v>0</v>
      </c>
    </row>
    <row r="3197" spans="1:26" ht="15.75" customHeight="1" x14ac:dyDescent="0.2">
      <c r="A3197" s="2" t="s">
        <v>36</v>
      </c>
      <c r="B3197" s="2" t="s">
        <v>35</v>
      </c>
      <c r="C3197" s="2" t="s">
        <v>30</v>
      </c>
      <c r="D3197" s="2" t="s">
        <v>31</v>
      </c>
      <c r="E3197" s="2">
        <v>199</v>
      </c>
      <c r="F3197" s="2">
        <v>228</v>
      </c>
      <c r="G3197" s="2">
        <v>551</v>
      </c>
      <c r="H3197" s="2">
        <v>1270</v>
      </c>
      <c r="I3197" s="2">
        <v>2636</v>
      </c>
      <c r="J3197" s="2">
        <v>2.2599999999999998</v>
      </c>
      <c r="K3197" s="2">
        <v>5.35</v>
      </c>
      <c r="L3197" s="2">
        <v>10.01</v>
      </c>
      <c r="M3197" s="2">
        <v>14.85</v>
      </c>
      <c r="N3197" s="2">
        <v>2.999556503</v>
      </c>
      <c r="O3197" s="2">
        <v>3.069520652</v>
      </c>
      <c r="P3197" s="2">
        <v>1.030167031</v>
      </c>
      <c r="Q3197" s="2">
        <v>1.1760434710000001</v>
      </c>
      <c r="R3197" s="2">
        <v>0.25303862999999999</v>
      </c>
      <c r="S3197" s="2">
        <v>0.36303862999999997</v>
      </c>
      <c r="T3197" s="2">
        <v>0.99860681100000004</v>
      </c>
      <c r="U3197" s="2">
        <v>1.118606811</v>
      </c>
      <c r="V3197" s="2">
        <v>1.99977334</v>
      </c>
      <c r="W3197" s="2">
        <v>1.9648062959999999</v>
      </c>
      <c r="X3197">
        <f t="shared" si="147"/>
        <v>0</v>
      </c>
      <c r="Y3197">
        <f t="shared" si="148"/>
        <v>0</v>
      </c>
      <c r="Z3197">
        <f t="shared" si="149"/>
        <v>1</v>
      </c>
    </row>
    <row r="3198" spans="1:26" ht="15.75" customHeight="1" x14ac:dyDescent="0.2">
      <c r="A3198" s="2" t="s">
        <v>36</v>
      </c>
      <c r="B3198" s="2" t="s">
        <v>35</v>
      </c>
      <c r="C3198" s="2" t="s">
        <v>32</v>
      </c>
      <c r="D3198" s="2" t="s">
        <v>33</v>
      </c>
      <c r="E3198" s="2">
        <v>198</v>
      </c>
      <c r="F3198" s="2">
        <v>259</v>
      </c>
      <c r="G3198" s="2">
        <v>674</v>
      </c>
      <c r="H3198" s="2">
        <v>946</v>
      </c>
      <c r="I3198" s="2">
        <v>2378</v>
      </c>
      <c r="J3198" s="2">
        <v>2.6</v>
      </c>
      <c r="K3198" s="2">
        <v>6.33</v>
      </c>
      <c r="L3198" s="2">
        <v>8.1999999999999993</v>
      </c>
      <c r="M3198" s="2">
        <v>14.17</v>
      </c>
      <c r="N3198" s="2">
        <v>3.1282032950000001</v>
      </c>
      <c r="O3198" s="2">
        <v>3.3933087089999998</v>
      </c>
      <c r="P3198" s="2">
        <v>3.068749425</v>
      </c>
      <c r="Q3198" s="2">
        <v>3.2231683229999999</v>
      </c>
      <c r="R3198" s="2">
        <v>1.2277407920000001</v>
      </c>
      <c r="S3198" s="2">
        <v>1.337740792</v>
      </c>
      <c r="T3198" s="2">
        <v>2.8124501030000002</v>
      </c>
      <c r="U3198" s="2">
        <v>2.9324501029999999</v>
      </c>
      <c r="V3198" s="2">
        <v>2.9744755029999999</v>
      </c>
      <c r="W3198" s="2">
        <v>2.9395084580000002</v>
      </c>
      <c r="X3198">
        <f t="shared" si="147"/>
        <v>0</v>
      </c>
      <c r="Y3198">
        <f t="shared" si="148"/>
        <v>0</v>
      </c>
      <c r="Z3198">
        <f t="shared" si="149"/>
        <v>1</v>
      </c>
    </row>
    <row r="3199" spans="1:26" ht="15.75" customHeight="1" x14ac:dyDescent="0.2">
      <c r="A3199" s="2" t="s">
        <v>36</v>
      </c>
      <c r="B3199" s="2" t="s">
        <v>35</v>
      </c>
      <c r="C3199" s="2" t="s">
        <v>28</v>
      </c>
      <c r="D3199" s="2" t="s">
        <v>29</v>
      </c>
      <c r="E3199" s="2">
        <v>215</v>
      </c>
      <c r="F3199" s="2">
        <v>261</v>
      </c>
      <c r="G3199" s="2">
        <v>540</v>
      </c>
      <c r="H3199" s="2">
        <v>1337</v>
      </c>
      <c r="I3199" s="2">
        <v>2383</v>
      </c>
      <c r="J3199" s="2">
        <v>2.62</v>
      </c>
      <c r="K3199" s="2">
        <v>5.26</v>
      </c>
      <c r="L3199" s="2">
        <v>10.34</v>
      </c>
      <c r="M3199" s="2">
        <v>14.18</v>
      </c>
      <c r="N3199" s="2">
        <v>1.640953551</v>
      </c>
      <c r="O3199" s="2">
        <v>1.7635084860000001</v>
      </c>
      <c r="P3199" s="2">
        <v>0.68621989000000005</v>
      </c>
      <c r="Q3199" s="2">
        <v>0.83268225900000004</v>
      </c>
      <c r="R3199" s="2">
        <v>0.16376216499999999</v>
      </c>
      <c r="S3199" s="2">
        <v>0.273762165</v>
      </c>
      <c r="T3199" s="2">
        <v>0.66639304499999996</v>
      </c>
      <c r="U3199" s="2">
        <v>0.78639304499999996</v>
      </c>
      <c r="V3199" s="2">
        <v>1.910496875</v>
      </c>
      <c r="W3199" s="2">
        <v>1.8755298309999999</v>
      </c>
      <c r="X3199">
        <f t="shared" si="147"/>
        <v>0</v>
      </c>
      <c r="Y3199">
        <f t="shared" si="148"/>
        <v>0</v>
      </c>
      <c r="Z3199">
        <f t="shared" si="149"/>
        <v>1</v>
      </c>
    </row>
    <row r="3200" spans="1:26" ht="15.75" customHeight="1" x14ac:dyDescent="0.2">
      <c r="A3200" s="2" t="s">
        <v>36</v>
      </c>
      <c r="B3200" s="2" t="s">
        <v>35</v>
      </c>
      <c r="C3200" s="2" t="s">
        <v>28</v>
      </c>
      <c r="D3200" s="2" t="s">
        <v>29</v>
      </c>
      <c r="E3200" s="2">
        <v>177</v>
      </c>
      <c r="F3200" s="2">
        <v>235</v>
      </c>
      <c r="G3200" s="2">
        <v>574</v>
      </c>
      <c r="H3200" s="2">
        <v>1512</v>
      </c>
      <c r="I3200" s="2">
        <v>2809</v>
      </c>
      <c r="J3200" s="2">
        <v>2.34</v>
      </c>
      <c r="K3200" s="2">
        <v>5.55</v>
      </c>
      <c r="L3200" s="2">
        <v>11.15</v>
      </c>
      <c r="M3200" s="2">
        <v>15.26</v>
      </c>
      <c r="N3200" s="2">
        <v>2.4919821299999998</v>
      </c>
      <c r="O3200" s="2">
        <v>2.6123240170000002</v>
      </c>
      <c r="P3200" s="2">
        <v>0.46622498499999998</v>
      </c>
      <c r="Q3200" s="2">
        <v>0.55596405000000004</v>
      </c>
      <c r="R3200" s="2">
        <v>0.44571090400000002</v>
      </c>
      <c r="S3200" s="2">
        <v>0.55571090400000001</v>
      </c>
      <c r="T3200" s="2">
        <v>0.13677546300000001</v>
      </c>
      <c r="U3200" s="2">
        <v>1.6775463000000001E-2</v>
      </c>
      <c r="V3200" s="2">
        <v>2.1924456139999999</v>
      </c>
      <c r="W3200" s="2">
        <v>2.1574785699999999</v>
      </c>
      <c r="X3200">
        <f t="shared" si="147"/>
        <v>0</v>
      </c>
      <c r="Y3200">
        <f t="shared" si="148"/>
        <v>0</v>
      </c>
      <c r="Z3200">
        <f t="shared" si="149"/>
        <v>1</v>
      </c>
    </row>
    <row r="3201" spans="1:26" ht="15.75" customHeight="1" x14ac:dyDescent="0.2">
      <c r="A3201" s="2" t="s">
        <v>36</v>
      </c>
      <c r="B3201" s="2" t="s">
        <v>35</v>
      </c>
      <c r="C3201" s="2" t="s">
        <v>26</v>
      </c>
      <c r="D3201" s="2" t="s">
        <v>26</v>
      </c>
      <c r="E3201" s="2">
        <v>211</v>
      </c>
      <c r="F3201" s="2">
        <v>244</v>
      </c>
      <c r="G3201" s="2">
        <v>501</v>
      </c>
      <c r="H3201" s="2">
        <v>1043</v>
      </c>
      <c r="I3201" s="2">
        <v>2921</v>
      </c>
      <c r="J3201" s="2">
        <v>2.44</v>
      </c>
      <c r="K3201" s="2">
        <v>4.93</v>
      </c>
      <c r="L3201" s="2">
        <v>8.7799999999999994</v>
      </c>
      <c r="M3201" s="2">
        <v>15.51</v>
      </c>
      <c r="N3201" s="2">
        <v>0.25214701499999997</v>
      </c>
      <c r="O3201" s="2">
        <v>0.40312029100000002</v>
      </c>
      <c r="P3201" s="2">
        <v>2.2328493709999999</v>
      </c>
      <c r="Q3201" s="2">
        <v>2.3471739280000001</v>
      </c>
      <c r="R3201" s="2">
        <v>0.16924160299999999</v>
      </c>
      <c r="S3201" s="2">
        <v>5.9241602999999997E-2</v>
      </c>
      <c r="T3201" s="2">
        <v>2.226426193</v>
      </c>
      <c r="U3201" s="2">
        <v>2.3464261930000001</v>
      </c>
      <c r="V3201" s="2">
        <v>1.577493107</v>
      </c>
      <c r="W3201" s="2">
        <v>1.5425260629999999</v>
      </c>
      <c r="X3201">
        <f t="shared" si="147"/>
        <v>0</v>
      </c>
      <c r="Y3201">
        <f t="shared" si="148"/>
        <v>0</v>
      </c>
      <c r="Z3201">
        <f t="shared" si="149"/>
        <v>0</v>
      </c>
    </row>
    <row r="3202" spans="1:26" ht="15.75" customHeight="1" x14ac:dyDescent="0.2">
      <c r="A3202" s="2" t="s">
        <v>36</v>
      </c>
      <c r="B3202" s="2" t="s">
        <v>35</v>
      </c>
      <c r="C3202" s="2" t="s">
        <v>25</v>
      </c>
      <c r="D3202" s="2" t="s">
        <v>25</v>
      </c>
      <c r="E3202" s="2">
        <v>227</v>
      </c>
      <c r="F3202" s="2">
        <v>255</v>
      </c>
      <c r="G3202" s="2">
        <v>848</v>
      </c>
      <c r="H3202" s="2">
        <v>1272</v>
      </c>
      <c r="I3202" s="2">
        <v>2244</v>
      </c>
      <c r="J3202" s="2">
        <v>2.56</v>
      </c>
      <c r="K3202" s="2">
        <v>7.57</v>
      </c>
      <c r="L3202" s="2">
        <v>10.02</v>
      </c>
      <c r="M3202" s="2">
        <v>13.78</v>
      </c>
      <c r="N3202" s="2">
        <v>0.92811129199999998</v>
      </c>
      <c r="O3202" s="2">
        <v>1.2503695319999999</v>
      </c>
      <c r="P3202" s="2">
        <v>2.6586314199999999</v>
      </c>
      <c r="Q3202" s="2">
        <v>2.806203768</v>
      </c>
      <c r="R3202" s="2">
        <v>2.468688427</v>
      </c>
      <c r="S3202" s="2">
        <v>2.5786884269999999</v>
      </c>
      <c r="T3202" s="2">
        <v>0.98686294699999999</v>
      </c>
      <c r="U3202" s="2">
        <v>1.106862947</v>
      </c>
      <c r="V3202" s="2">
        <v>4.2154231380000002</v>
      </c>
      <c r="W3202" s="2">
        <v>4.1804560930000001</v>
      </c>
      <c r="X3202">
        <f t="shared" si="147"/>
        <v>0</v>
      </c>
      <c r="Y3202">
        <f t="shared" si="148"/>
        <v>0</v>
      </c>
      <c r="Z3202">
        <f t="shared" si="149"/>
        <v>0</v>
      </c>
    </row>
    <row r="3203" spans="1:26" ht="15.75" customHeight="1" x14ac:dyDescent="0.2">
      <c r="A3203" s="2" t="s">
        <v>36</v>
      </c>
      <c r="B3203" s="2" t="s">
        <v>35</v>
      </c>
      <c r="C3203" s="2" t="s">
        <v>30</v>
      </c>
      <c r="D3203" s="2" t="s">
        <v>31</v>
      </c>
      <c r="E3203" s="2">
        <v>233</v>
      </c>
      <c r="F3203" s="2">
        <v>234</v>
      </c>
      <c r="G3203" s="2">
        <v>612</v>
      </c>
      <c r="H3203" s="2">
        <v>1407</v>
      </c>
      <c r="I3203" s="2">
        <v>2425</v>
      </c>
      <c r="J3203" s="2">
        <v>2.33</v>
      </c>
      <c r="K3203" s="2">
        <v>5.85</v>
      </c>
      <c r="L3203" s="2">
        <v>10.67</v>
      </c>
      <c r="M3203" s="2">
        <v>14.3</v>
      </c>
      <c r="N3203" s="2">
        <v>2.5597414999999999</v>
      </c>
      <c r="O3203" s="2">
        <v>2.6537558620000001</v>
      </c>
      <c r="P3203" s="2">
        <v>0.819095354</v>
      </c>
      <c r="Q3203" s="2">
        <v>0.97081975399999998</v>
      </c>
      <c r="R3203" s="2">
        <v>0.74671419299999997</v>
      </c>
      <c r="S3203" s="2">
        <v>0.85671419299999996</v>
      </c>
      <c r="T3203" s="2">
        <v>0.336652807</v>
      </c>
      <c r="U3203" s="2">
        <v>0.45665280699999999</v>
      </c>
      <c r="V3203" s="2">
        <v>2.493448903</v>
      </c>
      <c r="W3203" s="2">
        <v>2.4584818589999999</v>
      </c>
      <c r="X3203">
        <f t="shared" ref="X3203:X3266" si="150">IF(B3203="normal",1,0)</f>
        <v>0</v>
      </c>
      <c r="Y3203">
        <f t="shared" ref="Y3203:Y3266" si="151">IF(A3203="lecture",1,0)</f>
        <v>0</v>
      </c>
      <c r="Z3203">
        <f t="shared" ref="Z3203:Z3266" si="152">IF(ISNUMBER(FIND("~",D3203)),1,0)</f>
        <v>1</v>
      </c>
    </row>
    <row r="3204" spans="1:26" ht="15.75" customHeight="1" x14ac:dyDescent="0.2">
      <c r="A3204" s="2" t="s">
        <v>36</v>
      </c>
      <c r="B3204" s="2" t="s">
        <v>35</v>
      </c>
      <c r="C3204" s="2" t="s">
        <v>28</v>
      </c>
      <c r="D3204" s="2" t="s">
        <v>29</v>
      </c>
      <c r="E3204" s="2">
        <v>212</v>
      </c>
      <c r="F3204" s="2">
        <v>159</v>
      </c>
      <c r="G3204" s="2">
        <v>594</v>
      </c>
      <c r="H3204" s="2">
        <v>1442</v>
      </c>
      <c r="I3204" s="2">
        <v>2595</v>
      </c>
      <c r="J3204" s="2">
        <v>1.48</v>
      </c>
      <c r="K3204" s="2">
        <v>5.7</v>
      </c>
      <c r="L3204" s="2">
        <v>10.84</v>
      </c>
      <c r="M3204" s="2">
        <v>14.74</v>
      </c>
      <c r="N3204" s="2">
        <v>2.268969953</v>
      </c>
      <c r="O3204" s="2">
        <v>2.4012475370000002</v>
      </c>
      <c r="P3204" s="2">
        <v>0.62746157899999999</v>
      </c>
      <c r="Q3204" s="2">
        <v>0.77116636800000005</v>
      </c>
      <c r="R3204" s="2">
        <v>0.60268633299999996</v>
      </c>
      <c r="S3204" s="2">
        <v>0.71268633299999995</v>
      </c>
      <c r="T3204" s="2">
        <v>0.17457725099999999</v>
      </c>
      <c r="U3204" s="2">
        <v>0.29457725099999998</v>
      </c>
      <c r="V3204" s="2">
        <v>2.3494210440000001</v>
      </c>
      <c r="W3204" s="2">
        <v>2.3144539989999999</v>
      </c>
      <c r="X3204">
        <f t="shared" si="150"/>
        <v>0</v>
      </c>
      <c r="Y3204">
        <f t="shared" si="151"/>
        <v>0</v>
      </c>
      <c r="Z3204">
        <f t="shared" si="152"/>
        <v>1</v>
      </c>
    </row>
    <row r="3205" spans="1:26" ht="15.75" customHeight="1" x14ac:dyDescent="0.2">
      <c r="A3205" s="2" t="s">
        <v>36</v>
      </c>
      <c r="B3205" s="2" t="s">
        <v>35</v>
      </c>
      <c r="C3205" s="2" t="s">
        <v>28</v>
      </c>
      <c r="D3205" s="2" t="s">
        <v>29</v>
      </c>
      <c r="E3205" s="2">
        <v>226</v>
      </c>
      <c r="F3205" s="2">
        <v>222</v>
      </c>
      <c r="G3205" s="2">
        <v>425</v>
      </c>
      <c r="H3205" s="2">
        <v>1076</v>
      </c>
      <c r="I3205" s="2">
        <v>2156</v>
      </c>
      <c r="J3205" s="2">
        <v>2.19</v>
      </c>
      <c r="K3205" s="2">
        <v>4.25</v>
      </c>
      <c r="L3205" s="2">
        <v>8.9700000000000006</v>
      </c>
      <c r="M3205" s="2">
        <v>13.51</v>
      </c>
      <c r="N3205" s="2">
        <v>0.45827051800000002</v>
      </c>
      <c r="O3205" s="2">
        <v>0.36189065199999998</v>
      </c>
      <c r="P3205" s="2">
        <v>2.20985538</v>
      </c>
      <c r="Q3205" s="2">
        <v>2.2831330859999999</v>
      </c>
      <c r="R3205" s="2">
        <v>0.84945779799999999</v>
      </c>
      <c r="S3205" s="2">
        <v>0.739457798</v>
      </c>
      <c r="T3205" s="2">
        <v>2.040069178</v>
      </c>
      <c r="U3205" s="2">
        <v>2.1600691780000001</v>
      </c>
      <c r="V3205" s="2">
        <v>0.89727691300000001</v>
      </c>
      <c r="W3205" s="2">
        <v>0.86230986799999998</v>
      </c>
      <c r="X3205">
        <f t="shared" si="150"/>
        <v>0</v>
      </c>
      <c r="Y3205">
        <f t="shared" si="151"/>
        <v>0</v>
      </c>
      <c r="Z3205">
        <f t="shared" si="152"/>
        <v>1</v>
      </c>
    </row>
    <row r="3206" spans="1:26" ht="15.75" customHeight="1" x14ac:dyDescent="0.2">
      <c r="A3206" s="2" t="s">
        <v>36</v>
      </c>
      <c r="B3206" s="2" t="s">
        <v>35</v>
      </c>
      <c r="C3206" s="2" t="s">
        <v>32</v>
      </c>
      <c r="D3206" s="2" t="s">
        <v>33</v>
      </c>
      <c r="E3206" s="2">
        <v>256</v>
      </c>
      <c r="F3206" s="2">
        <v>247</v>
      </c>
      <c r="G3206" s="2">
        <v>676</v>
      </c>
      <c r="H3206" s="2">
        <v>1011</v>
      </c>
      <c r="I3206" s="2">
        <v>2426</v>
      </c>
      <c r="J3206" s="2">
        <v>2.4700000000000002</v>
      </c>
      <c r="K3206" s="2">
        <v>6.35</v>
      </c>
      <c r="L3206" s="2">
        <v>8.6</v>
      </c>
      <c r="M3206" s="2">
        <v>14.3</v>
      </c>
      <c r="N3206" s="2">
        <v>2.7872724510000002</v>
      </c>
      <c r="O3206" s="2">
        <v>3.032046094</v>
      </c>
      <c r="P3206" s="2">
        <v>2.7170852939999999</v>
      </c>
      <c r="Q3206" s="2">
        <v>2.874474948</v>
      </c>
      <c r="R3206" s="2">
        <v>1.2454021239999999</v>
      </c>
      <c r="S3206" s="2">
        <v>1.355402124</v>
      </c>
      <c r="T3206" s="2">
        <v>2.4148552840000002</v>
      </c>
      <c r="U3206" s="2">
        <v>2.5348552839999998</v>
      </c>
      <c r="V3206" s="2">
        <v>2.9921368350000002</v>
      </c>
      <c r="W3206" s="2">
        <v>2.95716979</v>
      </c>
      <c r="X3206">
        <f t="shared" si="150"/>
        <v>0</v>
      </c>
      <c r="Y3206">
        <f t="shared" si="151"/>
        <v>0</v>
      </c>
      <c r="Z3206">
        <f t="shared" si="152"/>
        <v>1</v>
      </c>
    </row>
    <row r="3207" spans="1:26" ht="15.75" customHeight="1" x14ac:dyDescent="0.2">
      <c r="A3207" s="2" t="s">
        <v>36</v>
      </c>
      <c r="B3207" s="2" t="s">
        <v>35</v>
      </c>
      <c r="C3207" s="2" t="s">
        <v>25</v>
      </c>
      <c r="D3207" s="2" t="s">
        <v>25</v>
      </c>
      <c r="E3207" s="2">
        <v>160</v>
      </c>
      <c r="F3207" s="2">
        <v>261</v>
      </c>
      <c r="G3207" s="2">
        <v>941</v>
      </c>
      <c r="H3207" s="2">
        <v>1453</v>
      </c>
      <c r="I3207" s="2">
        <v>1950</v>
      </c>
      <c r="J3207" s="2">
        <v>2.62</v>
      </c>
      <c r="K3207" s="2">
        <v>8.17</v>
      </c>
      <c r="L3207" s="2">
        <v>10.88</v>
      </c>
      <c r="M3207" s="2">
        <v>12.84</v>
      </c>
      <c r="N3207" s="2">
        <v>0.19780793099999999</v>
      </c>
      <c r="O3207" s="2">
        <v>0.51106876400000001</v>
      </c>
      <c r="P3207" s="2">
        <v>3.068984301</v>
      </c>
      <c r="Q3207" s="2">
        <v>3.1859195059999998</v>
      </c>
      <c r="R3207" s="2">
        <v>3.0663840059999998</v>
      </c>
      <c r="S3207" s="2">
        <v>3.1763840060000001</v>
      </c>
      <c r="T3207" s="2">
        <v>0.12630823299999999</v>
      </c>
      <c r="U3207" s="2">
        <v>0.24630823299999999</v>
      </c>
      <c r="V3207" s="2">
        <v>4.813118716</v>
      </c>
      <c r="W3207" s="2">
        <v>4.7781516719999999</v>
      </c>
      <c r="X3207">
        <f t="shared" si="150"/>
        <v>0</v>
      </c>
      <c r="Y3207">
        <f t="shared" si="151"/>
        <v>0</v>
      </c>
      <c r="Z3207">
        <f t="shared" si="152"/>
        <v>0</v>
      </c>
    </row>
    <row r="3208" spans="1:26" ht="15.75" customHeight="1" x14ac:dyDescent="0.2">
      <c r="A3208" s="2" t="s">
        <v>36</v>
      </c>
      <c r="B3208" s="2" t="s">
        <v>35</v>
      </c>
      <c r="C3208" s="2" t="s">
        <v>27</v>
      </c>
      <c r="D3208" s="2" t="s">
        <v>27</v>
      </c>
      <c r="E3208" s="2">
        <v>173</v>
      </c>
      <c r="F3208" s="2">
        <v>241</v>
      </c>
      <c r="G3208" s="2">
        <v>467</v>
      </c>
      <c r="H3208" s="2">
        <v>2309</v>
      </c>
      <c r="I3208" s="2">
        <v>3129</v>
      </c>
      <c r="J3208" s="2">
        <v>2.41</v>
      </c>
      <c r="K3208" s="2">
        <v>4.63</v>
      </c>
      <c r="L3208" s="2">
        <v>13.97</v>
      </c>
      <c r="M3208" s="2">
        <v>15.95</v>
      </c>
      <c r="N3208" s="2">
        <v>1.050924167</v>
      </c>
      <c r="O3208" s="2">
        <v>1.019052979</v>
      </c>
      <c r="P3208" s="2">
        <v>2.998156002</v>
      </c>
      <c r="Q3208" s="2">
        <v>2.8637649810000001</v>
      </c>
      <c r="R3208" s="2">
        <v>0.47125669599999997</v>
      </c>
      <c r="S3208" s="2">
        <v>0.36125669599999999</v>
      </c>
      <c r="T3208" s="2">
        <v>2.9608877960000002</v>
      </c>
      <c r="U3208" s="2">
        <v>2.8408877960000001</v>
      </c>
      <c r="V3208" s="2">
        <v>1.275478015</v>
      </c>
      <c r="W3208" s="2">
        <v>1.240510971</v>
      </c>
      <c r="X3208">
        <f t="shared" si="150"/>
        <v>0</v>
      </c>
      <c r="Y3208">
        <f t="shared" si="151"/>
        <v>0</v>
      </c>
      <c r="Z3208">
        <f t="shared" si="152"/>
        <v>0</v>
      </c>
    </row>
    <row r="3209" spans="1:26" ht="15.75" customHeight="1" x14ac:dyDescent="0.2">
      <c r="A3209" s="2" t="s">
        <v>36</v>
      </c>
      <c r="B3209" s="2" t="s">
        <v>35</v>
      </c>
      <c r="C3209" s="2" t="s">
        <v>32</v>
      </c>
      <c r="D3209" s="2" t="s">
        <v>33</v>
      </c>
      <c r="E3209" s="2">
        <v>180</v>
      </c>
      <c r="F3209" s="2">
        <v>240</v>
      </c>
      <c r="G3209" s="2">
        <v>718</v>
      </c>
      <c r="H3209" s="2">
        <v>1113</v>
      </c>
      <c r="I3209" s="2">
        <v>2062</v>
      </c>
      <c r="J3209" s="2">
        <v>2.4</v>
      </c>
      <c r="K3209" s="2">
        <v>6.66</v>
      </c>
      <c r="L3209" s="2">
        <v>9.18</v>
      </c>
      <c r="M3209" s="2">
        <v>13.21</v>
      </c>
      <c r="N3209" s="2">
        <v>2.1343654490000001</v>
      </c>
      <c r="O3209" s="2">
        <v>2.3715558890000001</v>
      </c>
      <c r="P3209" s="2">
        <v>2.4030713179999998</v>
      </c>
      <c r="Q3209" s="2">
        <v>2.565750269</v>
      </c>
      <c r="R3209" s="2">
        <v>1.5556006469999999</v>
      </c>
      <c r="S3209" s="2">
        <v>1.665600647</v>
      </c>
      <c r="T3209" s="2">
        <v>1.831627251</v>
      </c>
      <c r="U3209" s="2">
        <v>1.9516272509999999</v>
      </c>
      <c r="V3209" s="2">
        <v>3.3023353580000001</v>
      </c>
      <c r="W3209" s="2">
        <v>3.267368313</v>
      </c>
      <c r="X3209">
        <f t="shared" si="150"/>
        <v>0</v>
      </c>
      <c r="Y3209">
        <f t="shared" si="151"/>
        <v>0</v>
      </c>
      <c r="Z3209">
        <f t="shared" si="152"/>
        <v>1</v>
      </c>
    </row>
    <row r="3210" spans="1:26" ht="15.75" customHeight="1" x14ac:dyDescent="0.2">
      <c r="A3210" s="2" t="s">
        <v>36</v>
      </c>
      <c r="B3210" s="2" t="s">
        <v>35</v>
      </c>
      <c r="C3210" s="2" t="s">
        <v>28</v>
      </c>
      <c r="D3210" s="2" t="s">
        <v>29</v>
      </c>
      <c r="E3210" s="2">
        <v>175</v>
      </c>
      <c r="F3210" s="2">
        <v>234</v>
      </c>
      <c r="G3210" s="2">
        <v>665</v>
      </c>
      <c r="H3210" s="2">
        <v>1528</v>
      </c>
      <c r="I3210" s="2">
        <v>2766</v>
      </c>
      <c r="J3210" s="2">
        <v>2.33</v>
      </c>
      <c r="K3210" s="2">
        <v>6.26</v>
      </c>
      <c r="L3210" s="2">
        <v>11.21</v>
      </c>
      <c r="M3210" s="2">
        <v>15.16</v>
      </c>
      <c r="N3210" s="2">
        <v>2.8783873409999998</v>
      </c>
      <c r="O3210" s="2">
        <v>3.0205526580000002</v>
      </c>
      <c r="P3210" s="2">
        <v>1.1797693730000001</v>
      </c>
      <c r="Q3210" s="2">
        <v>1.274687017</v>
      </c>
      <c r="R3210" s="2">
        <v>1.161866667</v>
      </c>
      <c r="S3210" s="2">
        <v>1.2718666670000001</v>
      </c>
      <c r="T3210" s="2">
        <v>0.204747706</v>
      </c>
      <c r="U3210" s="2">
        <v>8.4747706000000006E-2</v>
      </c>
      <c r="V3210" s="2">
        <v>2.9086013770000001</v>
      </c>
      <c r="W3210" s="2">
        <v>2.873634333</v>
      </c>
      <c r="X3210">
        <f t="shared" si="150"/>
        <v>0</v>
      </c>
      <c r="Y3210">
        <f t="shared" si="151"/>
        <v>0</v>
      </c>
      <c r="Z3210">
        <f t="shared" si="152"/>
        <v>1</v>
      </c>
    </row>
    <row r="3211" spans="1:26" ht="15.75" customHeight="1" x14ac:dyDescent="0.2">
      <c r="A3211" s="2" t="s">
        <v>36</v>
      </c>
      <c r="B3211" s="2" t="s">
        <v>35</v>
      </c>
      <c r="C3211" s="2" t="s">
        <v>27</v>
      </c>
      <c r="D3211" s="2" t="s">
        <v>27</v>
      </c>
      <c r="E3211" s="2">
        <v>205</v>
      </c>
      <c r="F3211" s="2">
        <v>232</v>
      </c>
      <c r="G3211" s="2">
        <v>448</v>
      </c>
      <c r="H3211" s="2">
        <v>1873</v>
      </c>
      <c r="I3211" s="2">
        <v>2982</v>
      </c>
      <c r="J3211" s="2">
        <v>2.2999999999999998</v>
      </c>
      <c r="K3211" s="2">
        <v>4.46</v>
      </c>
      <c r="L3211" s="2">
        <v>12.57</v>
      </c>
      <c r="M3211" s="2">
        <v>15.65</v>
      </c>
      <c r="N3211" s="2">
        <v>0.383780966</v>
      </c>
      <c r="O3211" s="2">
        <v>0.39121774599999998</v>
      </c>
      <c r="P3211" s="2">
        <v>1.686510596</v>
      </c>
      <c r="Q3211" s="2">
        <v>1.5348109999999999</v>
      </c>
      <c r="R3211" s="2">
        <v>0.63907266399999996</v>
      </c>
      <c r="S3211" s="2">
        <v>0.52907266399999997</v>
      </c>
      <c r="T3211" s="2">
        <v>1.560738325</v>
      </c>
      <c r="U3211" s="2">
        <v>1.4407383250000001</v>
      </c>
      <c r="V3211" s="2">
        <v>1.107662046</v>
      </c>
      <c r="W3211" s="2">
        <v>1.0726950019999999</v>
      </c>
      <c r="X3211">
        <f t="shared" si="150"/>
        <v>0</v>
      </c>
      <c r="Y3211">
        <f t="shared" si="151"/>
        <v>0</v>
      </c>
      <c r="Z3211">
        <f t="shared" si="152"/>
        <v>0</v>
      </c>
    </row>
    <row r="3212" spans="1:26" ht="15.75" customHeight="1" x14ac:dyDescent="0.2">
      <c r="A3212" s="2" t="s">
        <v>36</v>
      </c>
      <c r="B3212" s="2" t="s">
        <v>35</v>
      </c>
      <c r="C3212" s="2" t="s">
        <v>26</v>
      </c>
      <c r="D3212" s="2" t="s">
        <v>26</v>
      </c>
      <c r="E3212" s="2">
        <v>194</v>
      </c>
      <c r="F3212" s="2">
        <v>233</v>
      </c>
      <c r="G3212" s="2">
        <v>473</v>
      </c>
      <c r="H3212" s="2">
        <v>1055</v>
      </c>
      <c r="I3212" s="2">
        <v>2837</v>
      </c>
      <c r="J3212" s="2">
        <v>2.31</v>
      </c>
      <c r="K3212" s="2">
        <v>4.68</v>
      </c>
      <c r="L3212" s="2">
        <v>8.85</v>
      </c>
      <c r="M3212" s="2">
        <v>15.33</v>
      </c>
      <c r="N3212" s="2">
        <v>4.3256458999999997E-2</v>
      </c>
      <c r="O3212" s="2">
        <v>0.189633364</v>
      </c>
      <c r="P3212" s="2">
        <v>2.196902331</v>
      </c>
      <c r="Q3212" s="2">
        <v>2.2975163080000001</v>
      </c>
      <c r="R3212" s="2">
        <v>0.41786272099999999</v>
      </c>
      <c r="S3212" s="2">
        <v>0.30786272100000001</v>
      </c>
      <c r="T3212" s="2">
        <v>2.1567963739999998</v>
      </c>
      <c r="U3212" s="2">
        <v>2.2767963739999999</v>
      </c>
      <c r="V3212" s="2">
        <v>1.328871989</v>
      </c>
      <c r="W3212" s="2">
        <v>1.293904945</v>
      </c>
      <c r="X3212">
        <f t="shared" si="150"/>
        <v>0</v>
      </c>
      <c r="Y3212">
        <f t="shared" si="151"/>
        <v>0</v>
      </c>
      <c r="Z3212">
        <f t="shared" si="152"/>
        <v>0</v>
      </c>
    </row>
    <row r="3213" spans="1:26" ht="15.75" customHeight="1" x14ac:dyDescent="0.2">
      <c r="A3213" s="2" t="s">
        <v>36</v>
      </c>
      <c r="B3213" s="2" t="s">
        <v>35</v>
      </c>
      <c r="C3213" s="2" t="s">
        <v>27</v>
      </c>
      <c r="D3213" s="2" t="s">
        <v>27</v>
      </c>
      <c r="E3213" s="2">
        <v>242</v>
      </c>
      <c r="F3213" s="2">
        <v>235</v>
      </c>
      <c r="G3213" s="2">
        <v>469</v>
      </c>
      <c r="H3213" s="2">
        <v>2488</v>
      </c>
      <c r="I3213" s="2">
        <v>3203</v>
      </c>
      <c r="J3213" s="2">
        <v>2.34</v>
      </c>
      <c r="K3213" s="2">
        <v>4.6500000000000004</v>
      </c>
      <c r="L3213" s="2">
        <v>14.47</v>
      </c>
      <c r="M3213" s="2">
        <v>16.100000000000001</v>
      </c>
      <c r="N3213" s="2">
        <v>1.547354412</v>
      </c>
      <c r="O3213" s="2">
        <v>1.514236613</v>
      </c>
      <c r="P3213" s="2">
        <v>3.4867348950000001</v>
      </c>
      <c r="Q3213" s="2">
        <v>3.3547511760000002</v>
      </c>
      <c r="R3213" s="2">
        <v>0.45342939500000001</v>
      </c>
      <c r="S3213" s="2">
        <v>0.34342939500000003</v>
      </c>
      <c r="T3213" s="2">
        <v>3.4571262649999999</v>
      </c>
      <c r="U3213" s="2">
        <v>3.3371262650000002</v>
      </c>
      <c r="V3213" s="2">
        <v>1.293305315</v>
      </c>
      <c r="W3213" s="2">
        <v>1.258338271</v>
      </c>
      <c r="X3213">
        <f t="shared" si="150"/>
        <v>0</v>
      </c>
      <c r="Y3213">
        <f t="shared" si="151"/>
        <v>0</v>
      </c>
      <c r="Z3213">
        <f t="shared" si="152"/>
        <v>0</v>
      </c>
    </row>
    <row r="3214" spans="1:26" ht="15.75" customHeight="1" x14ac:dyDescent="0.2">
      <c r="A3214" s="2" t="s">
        <v>36</v>
      </c>
      <c r="B3214" s="2" t="s">
        <v>35</v>
      </c>
      <c r="C3214" s="2" t="s">
        <v>27</v>
      </c>
      <c r="D3214" s="2" t="s">
        <v>27</v>
      </c>
      <c r="E3214" s="2">
        <v>212</v>
      </c>
      <c r="F3214" s="2">
        <v>232</v>
      </c>
      <c r="G3214" s="2">
        <v>496</v>
      </c>
      <c r="H3214" s="2">
        <v>1978</v>
      </c>
      <c r="I3214" s="2">
        <v>2945</v>
      </c>
      <c r="J3214" s="2">
        <v>2.2999999999999998</v>
      </c>
      <c r="K3214" s="2">
        <v>4.88</v>
      </c>
      <c r="L3214" s="2">
        <v>12.94</v>
      </c>
      <c r="M3214" s="2">
        <v>15.57</v>
      </c>
      <c r="N3214" s="2">
        <v>0.26483066599999999</v>
      </c>
      <c r="O3214" s="2">
        <v>0.38520026600000001</v>
      </c>
      <c r="P3214" s="2">
        <v>1.9371780160000001</v>
      </c>
      <c r="Q3214" s="2">
        <v>1.808228929</v>
      </c>
      <c r="R3214" s="2">
        <v>0.215602606</v>
      </c>
      <c r="S3214" s="2">
        <v>0.105602606</v>
      </c>
      <c r="T3214" s="2">
        <v>1.9251426389999999</v>
      </c>
      <c r="U3214" s="2">
        <v>1.805142639</v>
      </c>
      <c r="V3214" s="2">
        <v>1.5311321040000001</v>
      </c>
      <c r="W3214" s="2">
        <v>1.49616506</v>
      </c>
      <c r="X3214">
        <f t="shared" si="150"/>
        <v>0</v>
      </c>
      <c r="Y3214">
        <f t="shared" si="151"/>
        <v>0</v>
      </c>
      <c r="Z3214">
        <f t="shared" si="152"/>
        <v>0</v>
      </c>
    </row>
    <row r="3215" spans="1:26" ht="15.75" customHeight="1" x14ac:dyDescent="0.2">
      <c r="A3215" s="2" t="s">
        <v>36</v>
      </c>
      <c r="B3215" s="2" t="s">
        <v>35</v>
      </c>
      <c r="C3215" s="2" t="s">
        <v>32</v>
      </c>
      <c r="D3215" s="2" t="s">
        <v>33</v>
      </c>
      <c r="E3215" s="2">
        <v>213</v>
      </c>
      <c r="F3215" s="2">
        <v>254</v>
      </c>
      <c r="G3215" s="2">
        <v>768</v>
      </c>
      <c r="H3215" s="2">
        <v>993</v>
      </c>
      <c r="I3215" s="2">
        <v>2117</v>
      </c>
      <c r="J3215" s="2">
        <v>2.5499999999999998</v>
      </c>
      <c r="K3215" s="2">
        <v>7.02</v>
      </c>
      <c r="L3215" s="2">
        <v>8.49</v>
      </c>
      <c r="M3215" s="2">
        <v>13.39</v>
      </c>
      <c r="N3215" s="2">
        <v>2.5576142499999999</v>
      </c>
      <c r="O3215" s="2">
        <v>2.875296332</v>
      </c>
      <c r="P3215" s="2">
        <v>3.1718127140000001</v>
      </c>
      <c r="Q3215" s="2">
        <v>3.333949585</v>
      </c>
      <c r="R3215" s="2">
        <v>1.9200366520000001</v>
      </c>
      <c r="S3215" s="2">
        <v>2.0300366520000002</v>
      </c>
      <c r="T3215" s="2">
        <v>2.5246495090000001</v>
      </c>
      <c r="U3215" s="2">
        <v>2.6446495090000002</v>
      </c>
      <c r="V3215" s="2">
        <v>3.6667713630000001</v>
      </c>
      <c r="W3215" s="2">
        <v>3.6318043179999999</v>
      </c>
      <c r="X3215">
        <f t="shared" si="150"/>
        <v>0</v>
      </c>
      <c r="Y3215">
        <f t="shared" si="151"/>
        <v>0</v>
      </c>
      <c r="Z3215">
        <f t="shared" si="152"/>
        <v>1</v>
      </c>
    </row>
    <row r="3216" spans="1:26" ht="15.75" customHeight="1" x14ac:dyDescent="0.2">
      <c r="A3216" s="2" t="s">
        <v>36</v>
      </c>
      <c r="B3216" s="2" t="s">
        <v>35</v>
      </c>
      <c r="C3216" s="2" t="s">
        <v>28</v>
      </c>
      <c r="D3216" s="2" t="s">
        <v>29</v>
      </c>
      <c r="E3216" s="2">
        <v>241</v>
      </c>
      <c r="F3216" s="2">
        <v>241</v>
      </c>
      <c r="G3216" s="2">
        <v>549</v>
      </c>
      <c r="H3216" s="2">
        <v>1423</v>
      </c>
      <c r="I3216" s="2">
        <v>2608</v>
      </c>
      <c r="J3216" s="2">
        <v>2.41</v>
      </c>
      <c r="K3216" s="2">
        <v>5.33</v>
      </c>
      <c r="L3216" s="2">
        <v>10.75</v>
      </c>
      <c r="M3216" s="2">
        <v>14.78</v>
      </c>
      <c r="N3216" s="2">
        <v>2.044442611</v>
      </c>
      <c r="O3216" s="2">
        <v>2.162040744</v>
      </c>
      <c r="P3216" s="2">
        <v>0.35162787499999998</v>
      </c>
      <c r="Q3216" s="2">
        <v>0.51440282299999995</v>
      </c>
      <c r="R3216" s="2">
        <v>0.233574276</v>
      </c>
      <c r="S3216" s="2">
        <v>0.34357427600000001</v>
      </c>
      <c r="T3216" s="2">
        <v>0.262840674</v>
      </c>
      <c r="U3216" s="2">
        <v>0.38284067399999999</v>
      </c>
      <c r="V3216" s="2">
        <v>1.980308986</v>
      </c>
      <c r="W3216" s="2">
        <v>1.945341942</v>
      </c>
      <c r="X3216">
        <f t="shared" si="150"/>
        <v>0</v>
      </c>
      <c r="Y3216">
        <f t="shared" si="151"/>
        <v>0</v>
      </c>
      <c r="Z3216">
        <f t="shared" si="152"/>
        <v>1</v>
      </c>
    </row>
    <row r="3217" spans="1:26" ht="15.75" customHeight="1" x14ac:dyDescent="0.2">
      <c r="A3217" s="2" t="s">
        <v>36</v>
      </c>
      <c r="B3217" s="2" t="s">
        <v>35</v>
      </c>
      <c r="C3217" s="2" t="s">
        <v>26</v>
      </c>
      <c r="D3217" s="2" t="s">
        <v>26</v>
      </c>
      <c r="E3217" s="2">
        <v>212</v>
      </c>
      <c r="F3217" s="2">
        <v>266</v>
      </c>
      <c r="G3217" s="2">
        <v>468</v>
      </c>
      <c r="H3217" s="2">
        <v>1091</v>
      </c>
      <c r="I3217" s="2">
        <v>2864</v>
      </c>
      <c r="J3217" s="2">
        <v>2.67</v>
      </c>
      <c r="K3217" s="2">
        <v>4.6399999999999997</v>
      </c>
      <c r="L3217" s="2">
        <v>9.06</v>
      </c>
      <c r="M3217" s="2">
        <v>15.39</v>
      </c>
      <c r="N3217" s="2">
        <v>0.24867456800000001</v>
      </c>
      <c r="O3217" s="2">
        <v>0.33293144499999999</v>
      </c>
      <c r="P3217" s="2">
        <v>2.0088832239999999</v>
      </c>
      <c r="Q3217" s="2">
        <v>2.1046583230000002</v>
      </c>
      <c r="R3217" s="2">
        <v>0.46233937400000003</v>
      </c>
      <c r="S3217" s="2">
        <v>0.35233937399999998</v>
      </c>
      <c r="T3217" s="2">
        <v>1.954956294</v>
      </c>
      <c r="U3217" s="2">
        <v>2.0749562940000001</v>
      </c>
      <c r="V3217" s="2">
        <v>1.284395336</v>
      </c>
      <c r="W3217" s="2">
        <v>1.2494282919999999</v>
      </c>
      <c r="X3217">
        <f t="shared" si="150"/>
        <v>0</v>
      </c>
      <c r="Y3217">
        <f t="shared" si="151"/>
        <v>0</v>
      </c>
      <c r="Z3217">
        <f t="shared" si="152"/>
        <v>0</v>
      </c>
    </row>
    <row r="3218" spans="1:26" ht="15.75" customHeight="1" x14ac:dyDescent="0.2">
      <c r="A3218" s="2" t="s">
        <v>36</v>
      </c>
      <c r="B3218" s="2" t="s">
        <v>35</v>
      </c>
      <c r="C3218" s="2" t="s">
        <v>30</v>
      </c>
      <c r="D3218" s="2" t="s">
        <v>31</v>
      </c>
      <c r="E3218" s="2">
        <v>194</v>
      </c>
      <c r="F3218" s="2">
        <v>234</v>
      </c>
      <c r="G3218" s="2">
        <v>589</v>
      </c>
      <c r="H3218" s="2">
        <v>1292</v>
      </c>
      <c r="I3218" s="2">
        <v>2403</v>
      </c>
      <c r="J3218" s="2">
        <v>2.33</v>
      </c>
      <c r="K3218" s="2">
        <v>5.67</v>
      </c>
      <c r="L3218" s="2">
        <v>10.119999999999999</v>
      </c>
      <c r="M3218" s="2">
        <v>14.24</v>
      </c>
      <c r="N3218" s="2">
        <v>2.9897897499999999</v>
      </c>
      <c r="O3218" s="2">
        <v>3.070880877</v>
      </c>
      <c r="P3218" s="2">
        <v>1.0558213510000001</v>
      </c>
      <c r="Q3218" s="2">
        <v>1.2164719289999999</v>
      </c>
      <c r="R3218" s="2">
        <v>0.56770920499999999</v>
      </c>
      <c r="S3218" s="2">
        <v>0.67770920499999998</v>
      </c>
      <c r="T3218" s="2">
        <v>0.89020502300000004</v>
      </c>
      <c r="U3218" s="2">
        <v>1.0102050229999999</v>
      </c>
      <c r="V3218" s="2">
        <v>2.314443915</v>
      </c>
      <c r="W3218" s="2">
        <v>2.279476871</v>
      </c>
      <c r="X3218">
        <f t="shared" si="150"/>
        <v>0</v>
      </c>
      <c r="Y3218">
        <f t="shared" si="151"/>
        <v>0</v>
      </c>
      <c r="Z3218">
        <f t="shared" si="152"/>
        <v>1</v>
      </c>
    </row>
    <row r="3219" spans="1:26" ht="15.75" customHeight="1" x14ac:dyDescent="0.2">
      <c r="A3219" s="2" t="s">
        <v>36</v>
      </c>
      <c r="B3219" s="2" t="s">
        <v>35</v>
      </c>
      <c r="C3219" s="2" t="s">
        <v>27</v>
      </c>
      <c r="D3219" s="2" t="s">
        <v>27</v>
      </c>
      <c r="E3219" s="2">
        <v>205</v>
      </c>
      <c r="F3219" s="2">
        <v>244</v>
      </c>
      <c r="G3219" s="2">
        <v>454</v>
      </c>
      <c r="H3219" s="2">
        <v>1701</v>
      </c>
      <c r="I3219" s="2">
        <v>2822</v>
      </c>
      <c r="J3219" s="2">
        <v>2.44</v>
      </c>
      <c r="K3219" s="2">
        <v>4.51</v>
      </c>
      <c r="L3219" s="2">
        <v>11.93</v>
      </c>
      <c r="M3219" s="2">
        <v>15.29</v>
      </c>
      <c r="N3219" s="2">
        <v>0.99951311099999995</v>
      </c>
      <c r="O3219" s="2">
        <v>1.033386498</v>
      </c>
      <c r="P3219" s="2">
        <v>1.090582594</v>
      </c>
      <c r="Q3219" s="2">
        <v>0.93052897400000001</v>
      </c>
      <c r="R3219" s="2">
        <v>0.59086037800000002</v>
      </c>
      <c r="S3219" s="2">
        <v>0.48086037799999998</v>
      </c>
      <c r="T3219" s="2">
        <v>0.91665392000000001</v>
      </c>
      <c r="U3219" s="2">
        <v>0.79665392000000002</v>
      </c>
      <c r="V3219" s="2">
        <v>1.155874332</v>
      </c>
      <c r="W3219" s="2">
        <v>1.1209072879999999</v>
      </c>
      <c r="X3219">
        <f t="shared" si="150"/>
        <v>0</v>
      </c>
      <c r="Y3219">
        <f t="shared" si="151"/>
        <v>0</v>
      </c>
      <c r="Z3219">
        <f t="shared" si="152"/>
        <v>0</v>
      </c>
    </row>
    <row r="3220" spans="1:26" ht="15.75" customHeight="1" x14ac:dyDescent="0.2">
      <c r="A3220" s="2" t="s">
        <v>36</v>
      </c>
      <c r="B3220" s="2" t="s">
        <v>35</v>
      </c>
      <c r="C3220" s="2" t="s">
        <v>30</v>
      </c>
      <c r="D3220" s="2" t="s">
        <v>31</v>
      </c>
      <c r="E3220" s="2">
        <v>200</v>
      </c>
      <c r="F3220" s="2">
        <v>229</v>
      </c>
      <c r="G3220" s="2">
        <v>654</v>
      </c>
      <c r="H3220" s="2">
        <v>1323</v>
      </c>
      <c r="I3220" s="2">
        <v>2384</v>
      </c>
      <c r="J3220" s="2">
        <v>2.27</v>
      </c>
      <c r="K3220" s="2">
        <v>6.18</v>
      </c>
      <c r="L3220" s="2">
        <v>10.27</v>
      </c>
      <c r="M3220" s="2">
        <v>14.18</v>
      </c>
      <c r="N3220" s="2">
        <v>3.0691013890000001</v>
      </c>
      <c r="O3220" s="2">
        <v>3.1654820180000001</v>
      </c>
      <c r="P3220" s="2">
        <v>1.3028490070000001</v>
      </c>
      <c r="Q3220" s="2">
        <v>1.461869536</v>
      </c>
      <c r="R3220" s="2">
        <v>1.075064405</v>
      </c>
      <c r="S3220" s="2">
        <v>1.1850644050000001</v>
      </c>
      <c r="T3220" s="2">
        <v>0.73597014900000002</v>
      </c>
      <c r="U3220" s="2">
        <v>0.85597014900000001</v>
      </c>
      <c r="V3220" s="2">
        <v>2.8217991150000001</v>
      </c>
      <c r="W3220" s="2">
        <v>2.7868320710000001</v>
      </c>
      <c r="X3220">
        <f t="shared" si="150"/>
        <v>0</v>
      </c>
      <c r="Y3220">
        <f t="shared" si="151"/>
        <v>0</v>
      </c>
      <c r="Z3220">
        <f t="shared" si="152"/>
        <v>1</v>
      </c>
    </row>
    <row r="3221" spans="1:26" ht="15.75" customHeight="1" x14ac:dyDescent="0.2">
      <c r="A3221" s="2" t="s">
        <v>36</v>
      </c>
      <c r="B3221" s="2" t="s">
        <v>35</v>
      </c>
      <c r="C3221" s="2" t="s">
        <v>26</v>
      </c>
      <c r="D3221" s="2" t="s">
        <v>26</v>
      </c>
      <c r="E3221" s="2">
        <v>186</v>
      </c>
      <c r="F3221" s="2">
        <v>234</v>
      </c>
      <c r="G3221" s="2">
        <v>528</v>
      </c>
      <c r="H3221" s="2">
        <v>1154</v>
      </c>
      <c r="I3221" s="2">
        <v>2920</v>
      </c>
      <c r="J3221" s="2">
        <v>2.33</v>
      </c>
      <c r="K3221" s="2">
        <v>5.16</v>
      </c>
      <c r="L3221" s="2">
        <v>9.41</v>
      </c>
      <c r="M3221" s="2">
        <v>15.51</v>
      </c>
      <c r="N3221" s="2">
        <v>0.76450211999999995</v>
      </c>
      <c r="O3221" s="2">
        <v>0.91601844499999996</v>
      </c>
      <c r="P3221" s="2">
        <v>1.6057364970000001</v>
      </c>
      <c r="Q3221" s="2">
        <v>1.7329480960000001</v>
      </c>
      <c r="R3221" s="2">
        <v>5.9581993999999999E-2</v>
      </c>
      <c r="S3221" s="2">
        <v>0.16958199400000001</v>
      </c>
      <c r="T3221" s="2">
        <v>1.6046307</v>
      </c>
      <c r="U3221" s="2">
        <v>1.7246307000000001</v>
      </c>
      <c r="V3221" s="2">
        <v>1.8063167040000001</v>
      </c>
      <c r="W3221" s="2">
        <v>1.77134966</v>
      </c>
      <c r="X3221">
        <f t="shared" si="150"/>
        <v>0</v>
      </c>
      <c r="Y3221">
        <f t="shared" si="151"/>
        <v>0</v>
      </c>
      <c r="Z3221">
        <f t="shared" si="152"/>
        <v>0</v>
      </c>
    </row>
    <row r="3222" spans="1:26" ht="15.75" customHeight="1" x14ac:dyDescent="0.2">
      <c r="A3222" s="2" t="s">
        <v>36</v>
      </c>
      <c r="B3222" s="2" t="s">
        <v>35</v>
      </c>
      <c r="C3222" s="2" t="s">
        <v>26</v>
      </c>
      <c r="D3222" s="2" t="s">
        <v>26</v>
      </c>
      <c r="E3222" s="2">
        <v>189</v>
      </c>
      <c r="F3222" s="2">
        <v>242</v>
      </c>
      <c r="G3222" s="2">
        <v>462</v>
      </c>
      <c r="H3222" s="2">
        <v>1024</v>
      </c>
      <c r="I3222" s="2">
        <v>2882</v>
      </c>
      <c r="J3222" s="2">
        <v>2.42</v>
      </c>
      <c r="K3222" s="2">
        <v>4.59</v>
      </c>
      <c r="L3222" s="2">
        <v>8.67</v>
      </c>
      <c r="M3222" s="2">
        <v>15.43</v>
      </c>
      <c r="N3222" s="2">
        <v>0.16624396899999999</v>
      </c>
      <c r="O3222" s="2">
        <v>8.8611445999999996E-2</v>
      </c>
      <c r="P3222" s="2">
        <v>2.3934352369999998</v>
      </c>
      <c r="Q3222" s="2">
        <v>2.490633592</v>
      </c>
      <c r="R3222" s="2">
        <v>0.51296821199999998</v>
      </c>
      <c r="S3222" s="2">
        <v>0.40296821199999999</v>
      </c>
      <c r="T3222" s="2">
        <v>2.3378186080000001</v>
      </c>
      <c r="U3222" s="2">
        <v>2.4578186080000002</v>
      </c>
      <c r="V3222" s="2">
        <v>1.233766498</v>
      </c>
      <c r="W3222" s="2">
        <v>1.198799454</v>
      </c>
      <c r="X3222">
        <f t="shared" si="150"/>
        <v>0</v>
      </c>
      <c r="Y3222">
        <f t="shared" si="151"/>
        <v>0</v>
      </c>
      <c r="Z3222">
        <f t="shared" si="152"/>
        <v>0</v>
      </c>
    </row>
    <row r="3223" spans="1:26" ht="15.75" customHeight="1" x14ac:dyDescent="0.2">
      <c r="A3223" s="2" t="s">
        <v>36</v>
      </c>
      <c r="B3223" s="2" t="s">
        <v>35</v>
      </c>
      <c r="C3223" s="2" t="s">
        <v>26</v>
      </c>
      <c r="D3223" s="2" t="s">
        <v>26</v>
      </c>
      <c r="E3223" s="2">
        <v>201</v>
      </c>
      <c r="F3223" s="2">
        <v>202</v>
      </c>
      <c r="G3223" s="2">
        <v>478</v>
      </c>
      <c r="H3223" s="2">
        <v>961</v>
      </c>
      <c r="I3223" s="2">
        <v>3102</v>
      </c>
      <c r="J3223" s="2">
        <v>1.97</v>
      </c>
      <c r="K3223" s="2">
        <v>4.7300000000000004</v>
      </c>
      <c r="L3223" s="2">
        <v>8.2899999999999991</v>
      </c>
      <c r="M3223" s="2">
        <v>15.9</v>
      </c>
      <c r="N3223" s="2">
        <v>0.52193357900000004</v>
      </c>
      <c r="O3223" s="2">
        <v>0.49181815099999998</v>
      </c>
      <c r="P3223" s="2">
        <v>2.7447303349999999</v>
      </c>
      <c r="Q3223" s="2">
        <v>2.8515276599999999</v>
      </c>
      <c r="R3223" s="2">
        <v>0.37062201</v>
      </c>
      <c r="S3223" s="2">
        <v>0.26062201000000002</v>
      </c>
      <c r="T3223" s="2">
        <v>2.7195926049999999</v>
      </c>
      <c r="U3223" s="2">
        <v>2.839592605</v>
      </c>
      <c r="V3223" s="2">
        <v>1.376112701</v>
      </c>
      <c r="W3223" s="2">
        <v>1.3411456559999999</v>
      </c>
      <c r="X3223">
        <f t="shared" si="150"/>
        <v>0</v>
      </c>
      <c r="Y3223">
        <f t="shared" si="151"/>
        <v>0</v>
      </c>
      <c r="Z3223">
        <f t="shared" si="152"/>
        <v>0</v>
      </c>
    </row>
    <row r="3224" spans="1:26" ht="15.75" customHeight="1" x14ac:dyDescent="0.2">
      <c r="A3224" s="2" t="s">
        <v>36</v>
      </c>
      <c r="B3224" s="2" t="s">
        <v>35</v>
      </c>
      <c r="C3224" s="2" t="s">
        <v>25</v>
      </c>
      <c r="D3224" s="2" t="s">
        <v>25</v>
      </c>
      <c r="E3224" s="2">
        <v>180</v>
      </c>
      <c r="F3224" s="2">
        <v>239</v>
      </c>
      <c r="G3224" s="2">
        <v>931</v>
      </c>
      <c r="H3224" s="2">
        <v>1289</v>
      </c>
      <c r="I3224" s="2">
        <v>1885</v>
      </c>
      <c r="J3224" s="2">
        <v>2.38</v>
      </c>
      <c r="K3224" s="2">
        <v>8.1</v>
      </c>
      <c r="L3224" s="2">
        <v>10.11</v>
      </c>
      <c r="M3224" s="2">
        <v>12.61</v>
      </c>
      <c r="N3224" s="2">
        <v>0.765244123</v>
      </c>
      <c r="O3224" s="2">
        <v>1.1805919789999999</v>
      </c>
      <c r="P3224" s="2">
        <v>3.136661057</v>
      </c>
      <c r="Q3224" s="2">
        <v>3.2776203910000001</v>
      </c>
      <c r="R3224" s="2">
        <v>3.003728814</v>
      </c>
      <c r="S3224" s="2">
        <v>3.1137288139999999</v>
      </c>
      <c r="T3224" s="2">
        <v>0.90346875999999998</v>
      </c>
      <c r="U3224" s="2">
        <v>1.0234687600000001</v>
      </c>
      <c r="V3224" s="2">
        <v>4.7504635239999997</v>
      </c>
      <c r="W3224" s="2">
        <v>4.7154964799999997</v>
      </c>
      <c r="X3224">
        <f t="shared" si="150"/>
        <v>0</v>
      </c>
      <c r="Y3224">
        <f t="shared" si="151"/>
        <v>0</v>
      </c>
      <c r="Z3224">
        <f t="shared" si="152"/>
        <v>0</v>
      </c>
    </row>
    <row r="3225" spans="1:26" ht="15.75" customHeight="1" x14ac:dyDescent="0.2">
      <c r="A3225" s="2" t="s">
        <v>36</v>
      </c>
      <c r="B3225" s="2" t="s">
        <v>35</v>
      </c>
      <c r="C3225" s="2" t="s">
        <v>25</v>
      </c>
      <c r="D3225" s="2" t="s">
        <v>25</v>
      </c>
      <c r="E3225" s="2">
        <v>173</v>
      </c>
      <c r="F3225" s="2">
        <v>267</v>
      </c>
      <c r="G3225" s="2">
        <v>772</v>
      </c>
      <c r="H3225" s="2">
        <v>1158</v>
      </c>
      <c r="I3225" s="2">
        <v>1892</v>
      </c>
      <c r="J3225" s="2">
        <v>2.68</v>
      </c>
      <c r="K3225" s="2">
        <v>7.05</v>
      </c>
      <c r="L3225" s="2">
        <v>9.43</v>
      </c>
      <c r="M3225" s="2">
        <v>12.64</v>
      </c>
      <c r="N3225" s="2">
        <v>1.706632296</v>
      </c>
      <c r="O3225" s="2">
        <v>1.9783096849999999</v>
      </c>
      <c r="P3225" s="2">
        <v>2.509584357</v>
      </c>
      <c r="Q3225" s="2">
        <v>2.6707595949999998</v>
      </c>
      <c r="R3225" s="2">
        <v>1.9458857979999999</v>
      </c>
      <c r="S3225" s="2">
        <v>2.0558857979999998</v>
      </c>
      <c r="T3225" s="2">
        <v>1.584784561</v>
      </c>
      <c r="U3225" s="2">
        <v>1.7047845610000001</v>
      </c>
      <c r="V3225" s="2">
        <v>3.6926205080000001</v>
      </c>
      <c r="W3225" s="2">
        <v>3.657653464</v>
      </c>
      <c r="X3225">
        <f t="shared" si="150"/>
        <v>0</v>
      </c>
      <c r="Y3225">
        <f t="shared" si="151"/>
        <v>0</v>
      </c>
      <c r="Z3225">
        <f t="shared" si="152"/>
        <v>0</v>
      </c>
    </row>
    <row r="3226" spans="1:26" ht="15.75" customHeight="1" x14ac:dyDescent="0.2">
      <c r="A3226" s="2" t="s">
        <v>36</v>
      </c>
      <c r="B3226" s="2" t="s">
        <v>35</v>
      </c>
      <c r="C3226" s="2" t="s">
        <v>25</v>
      </c>
      <c r="D3226" s="2" t="s">
        <v>25</v>
      </c>
      <c r="E3226" s="2">
        <v>232</v>
      </c>
      <c r="F3226" s="2">
        <v>258</v>
      </c>
      <c r="G3226" s="2">
        <v>946</v>
      </c>
      <c r="H3226" s="2">
        <v>1495</v>
      </c>
      <c r="I3226" s="2">
        <v>2003</v>
      </c>
      <c r="J3226" s="2">
        <v>2.59</v>
      </c>
      <c r="K3226" s="2">
        <v>8.1999999999999993</v>
      </c>
      <c r="L3226" s="2">
        <v>11.07</v>
      </c>
      <c r="M3226" s="2">
        <v>13.02</v>
      </c>
      <c r="N3226" s="2">
        <v>0.312741622</v>
      </c>
      <c r="O3226" s="2">
        <v>0.42822485100000002</v>
      </c>
      <c r="P3226" s="2">
        <v>3.1002502600000001</v>
      </c>
      <c r="Q3226" s="2">
        <v>3.2101420319999998</v>
      </c>
      <c r="R3226" s="2">
        <v>3.0996238100000002</v>
      </c>
      <c r="S3226" s="2">
        <v>3.2096238100000001</v>
      </c>
      <c r="T3226" s="2">
        <v>6.2321050000000003E-2</v>
      </c>
      <c r="U3226" s="2">
        <v>5.767895E-2</v>
      </c>
      <c r="V3226" s="2">
        <v>4.8463585199999999</v>
      </c>
      <c r="W3226" s="2">
        <v>4.8113914759999998</v>
      </c>
      <c r="X3226">
        <f t="shared" si="150"/>
        <v>0</v>
      </c>
      <c r="Y3226">
        <f t="shared" si="151"/>
        <v>0</v>
      </c>
      <c r="Z3226">
        <f t="shared" si="152"/>
        <v>0</v>
      </c>
    </row>
    <row r="3227" spans="1:26" ht="15.75" customHeight="1" x14ac:dyDescent="0.2">
      <c r="A3227" s="2" t="s">
        <v>36</v>
      </c>
      <c r="B3227" s="2" t="s">
        <v>35</v>
      </c>
      <c r="C3227" s="2" t="s">
        <v>28</v>
      </c>
      <c r="D3227" s="2" t="s">
        <v>29</v>
      </c>
      <c r="E3227" s="2">
        <v>183</v>
      </c>
      <c r="F3227" s="2">
        <v>231</v>
      </c>
      <c r="G3227" s="2">
        <v>517</v>
      </c>
      <c r="H3227" s="2">
        <v>1423</v>
      </c>
      <c r="I3227" s="2">
        <v>2366</v>
      </c>
      <c r="J3227" s="2">
        <v>2.2999999999999998</v>
      </c>
      <c r="K3227" s="2">
        <v>5.07</v>
      </c>
      <c r="L3227" s="2">
        <v>10.75</v>
      </c>
      <c r="M3227" s="2">
        <v>14.13</v>
      </c>
      <c r="N3227" s="2">
        <v>1.975201156</v>
      </c>
      <c r="O3227" s="2">
        <v>2.0774404190000002</v>
      </c>
      <c r="P3227" s="2">
        <v>0.26505771900000002</v>
      </c>
      <c r="Q3227" s="2">
        <v>0.39027041099999998</v>
      </c>
      <c r="R3227" s="2">
        <v>3.4210738999999997E-2</v>
      </c>
      <c r="S3227" s="2">
        <v>7.5789260999999997E-2</v>
      </c>
      <c r="T3227" s="2">
        <v>0.262840674</v>
      </c>
      <c r="U3227" s="2">
        <v>0.38284067399999999</v>
      </c>
      <c r="V3227" s="2">
        <v>1.712523971</v>
      </c>
      <c r="W3227" s="2">
        <v>1.6775569269999999</v>
      </c>
      <c r="X3227">
        <f t="shared" si="150"/>
        <v>0</v>
      </c>
      <c r="Y3227">
        <f t="shared" si="151"/>
        <v>0</v>
      </c>
      <c r="Z3227">
        <f t="shared" si="152"/>
        <v>1</v>
      </c>
    </row>
    <row r="3228" spans="1:26" ht="15.75" customHeight="1" x14ac:dyDescent="0.2">
      <c r="A3228" s="2" t="s">
        <v>36</v>
      </c>
      <c r="B3228" s="2" t="s">
        <v>35</v>
      </c>
      <c r="C3228" s="2" t="s">
        <v>30</v>
      </c>
      <c r="D3228" s="2" t="s">
        <v>31</v>
      </c>
      <c r="E3228" s="2">
        <v>209</v>
      </c>
      <c r="F3228" s="2">
        <v>220</v>
      </c>
      <c r="G3228" s="2">
        <v>579</v>
      </c>
      <c r="H3228" s="2">
        <v>1235</v>
      </c>
      <c r="I3228" s="2">
        <v>1959</v>
      </c>
      <c r="J3228" s="2">
        <v>2.1800000000000002</v>
      </c>
      <c r="K3228" s="2">
        <v>5.59</v>
      </c>
      <c r="L3228" s="2">
        <v>9.83</v>
      </c>
      <c r="M3228" s="2">
        <v>12.87</v>
      </c>
      <c r="N3228" s="2">
        <v>3.2329679910000002</v>
      </c>
      <c r="O3228" s="2">
        <v>3.3086038659999999</v>
      </c>
      <c r="P3228" s="2">
        <v>1.271847441</v>
      </c>
      <c r="Q3228" s="2">
        <v>1.4258891520000001</v>
      </c>
      <c r="R3228" s="2">
        <v>0.486537149</v>
      </c>
      <c r="S3228" s="2">
        <v>0.59653714899999999</v>
      </c>
      <c r="T3228" s="2">
        <v>1.1751074480000001</v>
      </c>
      <c r="U3228" s="2">
        <v>1.295107448</v>
      </c>
      <c r="V3228" s="2">
        <v>2.2332718589999998</v>
      </c>
      <c r="W3228" s="2">
        <v>2.1983048150000002</v>
      </c>
      <c r="X3228">
        <f t="shared" si="150"/>
        <v>0</v>
      </c>
      <c r="Y3228">
        <f t="shared" si="151"/>
        <v>0</v>
      </c>
      <c r="Z3228">
        <f t="shared" si="152"/>
        <v>1</v>
      </c>
    </row>
    <row r="3229" spans="1:26" ht="15.75" customHeight="1" x14ac:dyDescent="0.2">
      <c r="A3229" s="2" t="s">
        <v>36</v>
      </c>
      <c r="B3229" s="2" t="s">
        <v>35</v>
      </c>
      <c r="C3229" s="2" t="s">
        <v>32</v>
      </c>
      <c r="D3229" s="2" t="s">
        <v>33</v>
      </c>
      <c r="E3229" s="2">
        <v>222</v>
      </c>
      <c r="F3229" s="2">
        <v>236</v>
      </c>
      <c r="G3229" s="2">
        <v>671</v>
      </c>
      <c r="H3229" s="2">
        <v>981</v>
      </c>
      <c r="I3229" s="2">
        <v>2319</v>
      </c>
      <c r="J3229" s="2">
        <v>2.35</v>
      </c>
      <c r="K3229" s="2">
        <v>6.31</v>
      </c>
      <c r="L3229" s="2">
        <v>8.41</v>
      </c>
      <c r="M3229" s="2">
        <v>14</v>
      </c>
      <c r="N3229" s="2">
        <v>2.9568567400000001</v>
      </c>
      <c r="O3229" s="2">
        <v>3.208736182</v>
      </c>
      <c r="P3229" s="2">
        <v>2.8623984290000002</v>
      </c>
      <c r="Q3229" s="2">
        <v>3.0180016940000001</v>
      </c>
      <c r="R3229" s="2">
        <v>1.2075180539999999</v>
      </c>
      <c r="S3229" s="2">
        <v>1.317518054</v>
      </c>
      <c r="T3229" s="2">
        <v>2.5952311880000001</v>
      </c>
      <c r="U3229" s="2">
        <v>2.7152311880000002</v>
      </c>
      <c r="V3229" s="2">
        <v>2.954252764</v>
      </c>
      <c r="W3229" s="2">
        <v>2.91928572</v>
      </c>
      <c r="X3229">
        <f t="shared" si="150"/>
        <v>0</v>
      </c>
      <c r="Y3229">
        <f t="shared" si="151"/>
        <v>0</v>
      </c>
      <c r="Z3229">
        <f t="shared" si="152"/>
        <v>1</v>
      </c>
    </row>
    <row r="3230" spans="1:26" ht="15.75" customHeight="1" x14ac:dyDescent="0.2">
      <c r="A3230" s="2" t="s">
        <v>36</v>
      </c>
      <c r="B3230" s="2" t="s">
        <v>35</v>
      </c>
      <c r="C3230" s="2" t="s">
        <v>26</v>
      </c>
      <c r="D3230" s="2" t="s">
        <v>26</v>
      </c>
      <c r="E3230" s="2">
        <v>193</v>
      </c>
      <c r="F3230" s="2">
        <v>234</v>
      </c>
      <c r="G3230" s="2">
        <v>494</v>
      </c>
      <c r="H3230" s="2">
        <v>1175</v>
      </c>
      <c r="I3230" s="2">
        <v>3003</v>
      </c>
      <c r="J3230" s="2">
        <v>2.33</v>
      </c>
      <c r="K3230" s="2">
        <v>4.8600000000000003</v>
      </c>
      <c r="L3230" s="2">
        <v>9.52</v>
      </c>
      <c r="M3230" s="2">
        <v>15.69</v>
      </c>
      <c r="N3230" s="2">
        <v>0.733648784</v>
      </c>
      <c r="O3230" s="2">
        <v>0.84869432499999997</v>
      </c>
      <c r="P3230" s="2">
        <v>1.50838136</v>
      </c>
      <c r="Q3230" s="2">
        <v>1.6147323790000001</v>
      </c>
      <c r="R3230" s="2">
        <v>0.23594892000000001</v>
      </c>
      <c r="S3230" s="2">
        <v>0.12594891999999999</v>
      </c>
      <c r="T3230" s="2">
        <v>1.4898128850000001</v>
      </c>
      <c r="U3230" s="2">
        <v>1.609812885</v>
      </c>
      <c r="V3230" s="2">
        <v>1.5107857899999999</v>
      </c>
      <c r="W3230" s="2">
        <v>1.4758187460000001</v>
      </c>
      <c r="X3230">
        <f t="shared" si="150"/>
        <v>0</v>
      </c>
      <c r="Y3230">
        <f t="shared" si="151"/>
        <v>0</v>
      </c>
      <c r="Z3230">
        <f t="shared" si="152"/>
        <v>0</v>
      </c>
    </row>
    <row r="3231" spans="1:26" ht="15.75" customHeight="1" x14ac:dyDescent="0.2">
      <c r="A3231" s="2" t="s">
        <v>36</v>
      </c>
      <c r="B3231" s="2" t="s">
        <v>35</v>
      </c>
      <c r="C3231" s="2" t="s">
        <v>32</v>
      </c>
      <c r="D3231" s="2" t="s">
        <v>33</v>
      </c>
      <c r="E3231" s="2">
        <v>210</v>
      </c>
      <c r="F3231" s="2">
        <v>242</v>
      </c>
      <c r="G3231" s="2">
        <v>786</v>
      </c>
      <c r="H3231" s="2">
        <v>1139</v>
      </c>
      <c r="I3231" s="2">
        <v>2337</v>
      </c>
      <c r="J3231" s="2">
        <v>2.41</v>
      </c>
      <c r="K3231" s="2">
        <v>7.15</v>
      </c>
      <c r="L3231" s="2">
        <v>9.32</v>
      </c>
      <c r="M3231" s="2">
        <v>14.05</v>
      </c>
      <c r="N3231" s="2">
        <v>1.744815893</v>
      </c>
      <c r="O3231" s="2">
        <v>2.039174424</v>
      </c>
      <c r="P3231" s="2">
        <v>2.6527369040000002</v>
      </c>
      <c r="Q3231" s="2">
        <v>2.814044123</v>
      </c>
      <c r="R3231" s="2">
        <v>2.0462701779999999</v>
      </c>
      <c r="S3231" s="2">
        <v>2.1562701780000002</v>
      </c>
      <c r="T3231" s="2">
        <v>1.6881325300000001</v>
      </c>
      <c r="U3231" s="2">
        <v>1.80813253</v>
      </c>
      <c r="V3231" s="2">
        <v>3.7930048890000001</v>
      </c>
      <c r="W3231" s="2">
        <v>3.758037844</v>
      </c>
      <c r="X3231">
        <f t="shared" si="150"/>
        <v>0</v>
      </c>
      <c r="Y3231">
        <f t="shared" si="151"/>
        <v>0</v>
      </c>
      <c r="Z3231">
        <f t="shared" si="152"/>
        <v>1</v>
      </c>
    </row>
    <row r="3232" spans="1:26" ht="15.75" customHeight="1" x14ac:dyDescent="0.2">
      <c r="A3232" s="2" t="s">
        <v>36</v>
      </c>
      <c r="B3232" s="2" t="s">
        <v>35</v>
      </c>
      <c r="C3232" s="2" t="s">
        <v>28</v>
      </c>
      <c r="D3232" s="2" t="s">
        <v>29</v>
      </c>
      <c r="E3232" s="2">
        <v>225</v>
      </c>
      <c r="F3232" s="2">
        <v>212</v>
      </c>
      <c r="G3232" s="2">
        <v>529</v>
      </c>
      <c r="H3232" s="2">
        <v>1410</v>
      </c>
      <c r="I3232" s="2">
        <v>2190</v>
      </c>
      <c r="J3232" s="2">
        <v>2.09</v>
      </c>
      <c r="K3232" s="2">
        <v>5.17</v>
      </c>
      <c r="L3232" s="2">
        <v>10.69</v>
      </c>
      <c r="M3232" s="2">
        <v>13.62</v>
      </c>
      <c r="N3232" s="2">
        <v>1.940363045</v>
      </c>
      <c r="O3232" s="2">
        <v>2.049997742</v>
      </c>
      <c r="P3232" s="2">
        <v>0.33045395399999999</v>
      </c>
      <c r="Q3232" s="2">
        <v>0.47828748300000001</v>
      </c>
      <c r="R3232" s="2">
        <v>7.0894482999999994E-2</v>
      </c>
      <c r="S3232" s="2">
        <v>0.18089448299999999</v>
      </c>
      <c r="T3232" s="2">
        <v>0.32275964400000001</v>
      </c>
      <c r="U3232" s="2">
        <v>0.44275964400000001</v>
      </c>
      <c r="V3232" s="2">
        <v>1.8176291929999999</v>
      </c>
      <c r="W3232" s="2">
        <v>1.7826621490000001</v>
      </c>
      <c r="X3232">
        <f t="shared" si="150"/>
        <v>0</v>
      </c>
      <c r="Y3232">
        <f t="shared" si="151"/>
        <v>0</v>
      </c>
      <c r="Z3232">
        <f t="shared" si="152"/>
        <v>1</v>
      </c>
    </row>
    <row r="3233" spans="1:26" ht="15.75" customHeight="1" x14ac:dyDescent="0.2">
      <c r="A3233" s="2" t="s">
        <v>36</v>
      </c>
      <c r="B3233" s="2" t="s">
        <v>35</v>
      </c>
      <c r="C3233" s="2" t="s">
        <v>32</v>
      </c>
      <c r="D3233" s="2" t="s">
        <v>33</v>
      </c>
      <c r="E3233" s="2">
        <v>176</v>
      </c>
      <c r="F3233" s="2">
        <v>232</v>
      </c>
      <c r="G3233" s="2">
        <v>622</v>
      </c>
      <c r="H3233" s="2">
        <v>1048</v>
      </c>
      <c r="I3233" s="2">
        <v>2357</v>
      </c>
      <c r="J3233" s="2">
        <v>2.31</v>
      </c>
      <c r="K3233" s="2">
        <v>5.93</v>
      </c>
      <c r="L3233" s="2">
        <v>8.81</v>
      </c>
      <c r="M3233" s="2">
        <v>14.11</v>
      </c>
      <c r="N3233" s="2">
        <v>2.895858434</v>
      </c>
      <c r="O3233" s="2">
        <v>3.08375127</v>
      </c>
      <c r="P3233" s="2">
        <v>2.3510441229999999</v>
      </c>
      <c r="Q3233" s="2">
        <v>2.5027765369999999</v>
      </c>
      <c r="R3233" s="2">
        <v>0.82586184600000001</v>
      </c>
      <c r="S3233" s="2">
        <v>0.935861846</v>
      </c>
      <c r="T3233" s="2">
        <v>2.2012179980000002</v>
      </c>
      <c r="U3233" s="2">
        <v>2.3212179979999998</v>
      </c>
      <c r="V3233" s="2">
        <v>2.5725965569999998</v>
      </c>
      <c r="W3233" s="2">
        <v>2.5376295120000001</v>
      </c>
      <c r="X3233">
        <f t="shared" si="150"/>
        <v>0</v>
      </c>
      <c r="Y3233">
        <f t="shared" si="151"/>
        <v>0</v>
      </c>
      <c r="Z3233">
        <f t="shared" si="152"/>
        <v>1</v>
      </c>
    </row>
    <row r="3234" spans="1:26" ht="15.75" customHeight="1" x14ac:dyDescent="0.2">
      <c r="A3234" s="2" t="s">
        <v>36</v>
      </c>
      <c r="B3234" s="2" t="s">
        <v>35</v>
      </c>
      <c r="C3234" s="2" t="s">
        <v>25</v>
      </c>
      <c r="D3234" s="2" t="s">
        <v>25</v>
      </c>
      <c r="E3234" s="2">
        <v>229</v>
      </c>
      <c r="F3234" s="2">
        <v>234</v>
      </c>
      <c r="G3234" s="2">
        <v>903</v>
      </c>
      <c r="H3234" s="2">
        <v>1325</v>
      </c>
      <c r="I3234" s="2">
        <v>1995</v>
      </c>
      <c r="J3234" s="2">
        <v>2.33</v>
      </c>
      <c r="K3234" s="2">
        <v>7.93</v>
      </c>
      <c r="L3234" s="2">
        <v>10.28</v>
      </c>
      <c r="M3234" s="2">
        <v>12.99</v>
      </c>
      <c r="N3234" s="2">
        <v>0.57952394699999998</v>
      </c>
      <c r="O3234" s="2">
        <v>0.97477123099999996</v>
      </c>
      <c r="P3234" s="2">
        <v>2.9181922660000001</v>
      </c>
      <c r="Q3234" s="2">
        <v>3.0559355739999998</v>
      </c>
      <c r="R3234" s="2">
        <v>2.8259657699999998</v>
      </c>
      <c r="S3234" s="2">
        <v>2.9359657700000001</v>
      </c>
      <c r="T3234" s="2">
        <v>0.72784858900000005</v>
      </c>
      <c r="U3234" s="2">
        <v>0.84784858900000004</v>
      </c>
      <c r="V3234" s="2">
        <v>4.57270048</v>
      </c>
      <c r="W3234" s="2">
        <v>4.5377334359999999</v>
      </c>
      <c r="X3234">
        <f t="shared" si="150"/>
        <v>0</v>
      </c>
      <c r="Y3234">
        <f t="shared" si="151"/>
        <v>0</v>
      </c>
      <c r="Z3234">
        <f t="shared" si="152"/>
        <v>0</v>
      </c>
    </row>
    <row r="3235" spans="1:26" ht="15.75" customHeight="1" x14ac:dyDescent="0.2">
      <c r="A3235" s="2" t="s">
        <v>36</v>
      </c>
      <c r="B3235" s="2" t="s">
        <v>35</v>
      </c>
      <c r="C3235" s="2" t="s">
        <v>27</v>
      </c>
      <c r="D3235" s="2" t="s">
        <v>27</v>
      </c>
      <c r="E3235" s="2">
        <v>236</v>
      </c>
      <c r="F3235" s="2">
        <v>233</v>
      </c>
      <c r="G3235" s="2">
        <v>463</v>
      </c>
      <c r="H3235" s="2">
        <v>1822</v>
      </c>
      <c r="I3235" s="2">
        <v>2830</v>
      </c>
      <c r="J3235" s="2">
        <v>2.31</v>
      </c>
      <c r="K3235" s="2">
        <v>4.59</v>
      </c>
      <c r="L3235" s="2">
        <v>12.38</v>
      </c>
      <c r="M3235" s="2">
        <v>15.31</v>
      </c>
      <c r="N3235" s="2">
        <v>0.53619376399999996</v>
      </c>
      <c r="O3235" s="2">
        <v>0.58235392799999997</v>
      </c>
      <c r="P3235" s="2">
        <v>1.4661966559999999</v>
      </c>
      <c r="Q3235" s="2">
        <v>1.316860439</v>
      </c>
      <c r="R3235" s="2">
        <v>0.50998348900000001</v>
      </c>
      <c r="S3235" s="2">
        <v>0.39998348900000003</v>
      </c>
      <c r="T3235" s="2">
        <v>1.3746452179999999</v>
      </c>
      <c r="U3235" s="2">
        <v>1.2546452180000001</v>
      </c>
      <c r="V3235" s="2">
        <v>1.236751221</v>
      </c>
      <c r="W3235" s="2">
        <v>1.201784177</v>
      </c>
      <c r="X3235">
        <f t="shared" si="150"/>
        <v>0</v>
      </c>
      <c r="Y3235">
        <f t="shared" si="151"/>
        <v>0</v>
      </c>
      <c r="Z3235">
        <f t="shared" si="152"/>
        <v>0</v>
      </c>
    </row>
    <row r="3236" spans="1:26" ht="15.75" customHeight="1" x14ac:dyDescent="0.2">
      <c r="A3236" s="2" t="s">
        <v>36</v>
      </c>
      <c r="B3236" s="2" t="s">
        <v>35</v>
      </c>
      <c r="C3236" s="2" t="s">
        <v>30</v>
      </c>
      <c r="D3236" s="2" t="s">
        <v>31</v>
      </c>
      <c r="E3236" s="2">
        <v>205</v>
      </c>
      <c r="F3236" s="2">
        <v>249</v>
      </c>
      <c r="G3236" s="2">
        <v>649</v>
      </c>
      <c r="H3236" s="2">
        <v>1334</v>
      </c>
      <c r="I3236" s="2">
        <v>1804</v>
      </c>
      <c r="J3236" s="2">
        <v>2.5</v>
      </c>
      <c r="K3236" s="2">
        <v>6.14</v>
      </c>
      <c r="L3236" s="2">
        <v>10.33</v>
      </c>
      <c r="M3236" s="2">
        <v>12.32</v>
      </c>
      <c r="N3236" s="2">
        <v>3.0074956670000002</v>
      </c>
      <c r="O3236" s="2">
        <v>3.1038304029999999</v>
      </c>
      <c r="P3236" s="2">
        <v>1.2462457870000001</v>
      </c>
      <c r="Q3236" s="2">
        <v>1.4046314449999999</v>
      </c>
      <c r="R3236" s="2">
        <v>1.0416760350000001</v>
      </c>
      <c r="S3236" s="2">
        <v>1.1516760349999999</v>
      </c>
      <c r="T3236" s="2">
        <v>0.684134197</v>
      </c>
      <c r="U3236" s="2">
        <v>0.804134197</v>
      </c>
      <c r="V3236" s="2">
        <v>2.7884107450000002</v>
      </c>
      <c r="W3236" s="2">
        <v>2.7534437010000001</v>
      </c>
      <c r="X3236">
        <f t="shared" si="150"/>
        <v>0</v>
      </c>
      <c r="Y3236">
        <f t="shared" si="151"/>
        <v>0</v>
      </c>
      <c r="Z3236">
        <f t="shared" si="152"/>
        <v>1</v>
      </c>
    </row>
    <row r="3237" spans="1:26" ht="15.75" customHeight="1" x14ac:dyDescent="0.2">
      <c r="A3237" s="2" t="s">
        <v>36</v>
      </c>
      <c r="B3237" s="2" t="s">
        <v>35</v>
      </c>
      <c r="C3237" s="2" t="s">
        <v>25</v>
      </c>
      <c r="D3237" s="2" t="s">
        <v>25</v>
      </c>
      <c r="E3237" s="2">
        <v>217</v>
      </c>
      <c r="F3237" s="2">
        <v>253</v>
      </c>
      <c r="G3237" s="2">
        <v>953</v>
      </c>
      <c r="H3237" s="2">
        <v>1404</v>
      </c>
      <c r="I3237" s="2">
        <v>2414</v>
      </c>
      <c r="J3237" s="2">
        <v>2.54</v>
      </c>
      <c r="K3237" s="2">
        <v>8.24</v>
      </c>
      <c r="L3237" s="2">
        <v>10.66</v>
      </c>
      <c r="M3237" s="2">
        <v>14.27</v>
      </c>
      <c r="N3237" s="2">
        <v>0.33789854400000002</v>
      </c>
      <c r="O3237" s="2">
        <v>0.73109142299999996</v>
      </c>
      <c r="P3237" s="2">
        <v>3.162385692</v>
      </c>
      <c r="Q3237" s="2">
        <v>3.286704034</v>
      </c>
      <c r="R3237" s="2">
        <v>3.1430663619999999</v>
      </c>
      <c r="S3237" s="2">
        <v>3.2530663620000002</v>
      </c>
      <c r="T3237" s="2">
        <v>0.34902308500000001</v>
      </c>
      <c r="U3237" s="2">
        <v>0.46902308500000001</v>
      </c>
      <c r="V3237" s="2">
        <v>4.889801072</v>
      </c>
      <c r="W3237" s="2">
        <v>4.854834028</v>
      </c>
      <c r="X3237">
        <f t="shared" si="150"/>
        <v>0</v>
      </c>
      <c r="Y3237">
        <f t="shared" si="151"/>
        <v>0</v>
      </c>
      <c r="Z3237">
        <f t="shared" si="152"/>
        <v>0</v>
      </c>
    </row>
    <row r="3238" spans="1:26" ht="15.75" customHeight="1" x14ac:dyDescent="0.2">
      <c r="A3238" s="2" t="s">
        <v>36</v>
      </c>
      <c r="B3238" s="2" t="s">
        <v>35</v>
      </c>
      <c r="C3238" s="2" t="s">
        <v>30</v>
      </c>
      <c r="D3238" s="2" t="s">
        <v>31</v>
      </c>
      <c r="E3238" s="2">
        <v>226</v>
      </c>
      <c r="F3238" s="2">
        <v>236</v>
      </c>
      <c r="G3238" s="2">
        <v>692</v>
      </c>
      <c r="H3238" s="2">
        <v>1309</v>
      </c>
      <c r="I3238" s="2">
        <v>1761</v>
      </c>
      <c r="J3238" s="2">
        <v>2.35</v>
      </c>
      <c r="K3238" s="2">
        <v>6.47</v>
      </c>
      <c r="L3238" s="2">
        <v>10.210000000000001</v>
      </c>
      <c r="M3238" s="2">
        <v>12.16</v>
      </c>
      <c r="N3238" s="2">
        <v>3.2811912699999999</v>
      </c>
      <c r="O3238" s="2">
        <v>3.3826332309999998</v>
      </c>
      <c r="P3238" s="2">
        <v>1.584194731</v>
      </c>
      <c r="Q3238" s="2">
        <v>1.7404917799999999</v>
      </c>
      <c r="R3238" s="2">
        <v>1.365671192</v>
      </c>
      <c r="S3238" s="2">
        <v>1.4756711920000001</v>
      </c>
      <c r="T3238" s="2">
        <v>0.80287928200000003</v>
      </c>
      <c r="U3238" s="2">
        <v>0.92287928200000002</v>
      </c>
      <c r="V3238" s="2">
        <v>3.1124059019999999</v>
      </c>
      <c r="W3238" s="2">
        <v>3.0774388579999998</v>
      </c>
      <c r="X3238">
        <f t="shared" si="150"/>
        <v>0</v>
      </c>
      <c r="Y3238">
        <f t="shared" si="151"/>
        <v>0</v>
      </c>
      <c r="Z3238">
        <f t="shared" si="152"/>
        <v>1</v>
      </c>
    </row>
    <row r="3239" spans="1:26" ht="15.75" customHeight="1" x14ac:dyDescent="0.2">
      <c r="A3239" s="2" t="s">
        <v>36</v>
      </c>
      <c r="B3239" s="2" t="s">
        <v>35</v>
      </c>
      <c r="C3239" s="2" t="s">
        <v>25</v>
      </c>
      <c r="D3239" s="2" t="s">
        <v>25</v>
      </c>
      <c r="E3239" s="2">
        <v>171</v>
      </c>
      <c r="F3239" s="2">
        <v>234</v>
      </c>
      <c r="G3239" s="2">
        <v>894</v>
      </c>
      <c r="H3239" s="2">
        <v>1531</v>
      </c>
      <c r="I3239" s="2">
        <v>2853</v>
      </c>
      <c r="J3239" s="2">
        <v>2.33</v>
      </c>
      <c r="K3239" s="2">
        <v>7.87</v>
      </c>
      <c r="L3239" s="2">
        <v>11.23</v>
      </c>
      <c r="M3239" s="2">
        <v>15.36</v>
      </c>
      <c r="N3239" s="2">
        <v>0.68162274199999995</v>
      </c>
      <c r="O3239" s="2">
        <v>0.81580222000000002</v>
      </c>
      <c r="P3239" s="2">
        <v>3.015881255</v>
      </c>
      <c r="Q3239" s="2">
        <v>3.143570768</v>
      </c>
      <c r="R3239" s="2">
        <v>2.9802370659999999</v>
      </c>
      <c r="S3239" s="2">
        <v>3.1202370660000001</v>
      </c>
      <c r="T3239" s="2">
        <v>0.46230592999999998</v>
      </c>
      <c r="U3239" s="2">
        <v>0.38230593000000002</v>
      </c>
      <c r="V3239" s="2">
        <v>4.5095313429999999</v>
      </c>
      <c r="W3239" s="2">
        <v>4.5335216750000003</v>
      </c>
      <c r="X3239">
        <f t="shared" si="150"/>
        <v>0</v>
      </c>
      <c r="Y3239">
        <f t="shared" si="151"/>
        <v>0</v>
      </c>
      <c r="Z3239">
        <f t="shared" si="152"/>
        <v>0</v>
      </c>
    </row>
    <row r="3240" spans="1:26" ht="15.75" customHeight="1" x14ac:dyDescent="0.2">
      <c r="A3240" s="2" t="s">
        <v>36</v>
      </c>
      <c r="B3240" s="2" t="s">
        <v>35</v>
      </c>
      <c r="C3240" s="2" t="s">
        <v>26</v>
      </c>
      <c r="D3240" s="2" t="s">
        <v>26</v>
      </c>
      <c r="E3240" s="2">
        <v>97</v>
      </c>
      <c r="F3240" s="2">
        <v>276</v>
      </c>
      <c r="G3240" s="2">
        <v>438</v>
      </c>
      <c r="H3240" s="2">
        <v>1166</v>
      </c>
      <c r="I3240" s="2">
        <v>3055</v>
      </c>
      <c r="J3240" s="2">
        <v>2.78</v>
      </c>
      <c r="K3240" s="2">
        <v>4.37</v>
      </c>
      <c r="L3240" s="2">
        <v>9.4700000000000006</v>
      </c>
      <c r="M3240" s="2">
        <v>15.8</v>
      </c>
      <c r="N3240" s="2">
        <v>1.1268903400000001</v>
      </c>
      <c r="O3240" s="2">
        <v>1.1402724829999999</v>
      </c>
      <c r="P3240" s="2">
        <v>2.2806521549999998</v>
      </c>
      <c r="Q3240" s="2">
        <v>2.173874745</v>
      </c>
      <c r="R3240" s="2">
        <v>0.52309424500000001</v>
      </c>
      <c r="S3240" s="2">
        <v>0.383094245</v>
      </c>
      <c r="T3240" s="2">
        <v>2.2198528469999999</v>
      </c>
      <c r="U3240" s="2">
        <v>2.1398528469999998</v>
      </c>
      <c r="V3240" s="2">
        <v>1.0062000310000001</v>
      </c>
      <c r="W3240" s="2">
        <v>1.030190363</v>
      </c>
      <c r="X3240">
        <f t="shared" si="150"/>
        <v>0</v>
      </c>
      <c r="Y3240">
        <f t="shared" si="151"/>
        <v>0</v>
      </c>
      <c r="Z3240">
        <f t="shared" si="152"/>
        <v>0</v>
      </c>
    </row>
    <row r="3241" spans="1:26" ht="15.75" customHeight="1" x14ac:dyDescent="0.2">
      <c r="A3241" s="2" t="s">
        <v>36</v>
      </c>
      <c r="B3241" s="2" t="s">
        <v>35</v>
      </c>
      <c r="C3241" s="2" t="s">
        <v>27</v>
      </c>
      <c r="D3241" s="2" t="s">
        <v>27</v>
      </c>
      <c r="E3241" s="2">
        <v>106</v>
      </c>
      <c r="F3241" s="2">
        <v>250</v>
      </c>
      <c r="G3241" s="2">
        <v>491</v>
      </c>
      <c r="H3241" s="2">
        <v>2293</v>
      </c>
      <c r="I3241" s="2">
        <v>3071</v>
      </c>
      <c r="J3241" s="2">
        <v>2.5</v>
      </c>
      <c r="K3241" s="2">
        <v>4.84</v>
      </c>
      <c r="L3241" s="2">
        <v>13.92</v>
      </c>
      <c r="M3241" s="2">
        <v>15.84</v>
      </c>
      <c r="N3241" s="2">
        <v>0.26122300999999998</v>
      </c>
      <c r="O3241" s="2">
        <v>0.15651636399999999</v>
      </c>
      <c r="P3241" s="2">
        <v>2.2340923749999999</v>
      </c>
      <c r="Q3241" s="2">
        <v>2.315507099</v>
      </c>
      <c r="R3241" s="2">
        <v>4.6333968000000003E-2</v>
      </c>
      <c r="S3241" s="2">
        <v>9.3666031999999996E-2</v>
      </c>
      <c r="T3241" s="2">
        <v>2.233611851</v>
      </c>
      <c r="U3241" s="2">
        <v>2.3136118510000001</v>
      </c>
      <c r="V3241" s="2">
        <v>1.482960308</v>
      </c>
      <c r="W3241" s="2">
        <v>1.506950641</v>
      </c>
      <c r="X3241">
        <f t="shared" si="150"/>
        <v>0</v>
      </c>
      <c r="Y3241">
        <f t="shared" si="151"/>
        <v>0</v>
      </c>
      <c r="Z3241">
        <f t="shared" si="152"/>
        <v>0</v>
      </c>
    </row>
    <row r="3242" spans="1:26" ht="15.75" customHeight="1" x14ac:dyDescent="0.2">
      <c r="A3242" s="2" t="s">
        <v>36</v>
      </c>
      <c r="B3242" s="2" t="s">
        <v>35</v>
      </c>
      <c r="C3242" s="2" t="s">
        <v>28</v>
      </c>
      <c r="D3242" s="2" t="s">
        <v>29</v>
      </c>
      <c r="E3242" s="2">
        <v>130</v>
      </c>
      <c r="F3242" s="2">
        <v>168</v>
      </c>
      <c r="G3242" s="2">
        <v>437</v>
      </c>
      <c r="H3242" s="2">
        <v>1296</v>
      </c>
      <c r="I3242" s="2">
        <v>3524</v>
      </c>
      <c r="J3242" s="2">
        <v>1.59</v>
      </c>
      <c r="K3242" s="2">
        <v>4.3600000000000003</v>
      </c>
      <c r="L3242" s="2">
        <v>10.14</v>
      </c>
      <c r="M3242" s="2">
        <v>16.7</v>
      </c>
      <c r="N3242" s="2">
        <v>1.795954662</v>
      </c>
      <c r="O3242" s="2">
        <v>1.8113344810000001</v>
      </c>
      <c r="P3242" s="2">
        <v>1.6366138109999999</v>
      </c>
      <c r="Q3242" s="2">
        <v>1.519388194</v>
      </c>
      <c r="R3242" s="2">
        <v>0.52918798700000003</v>
      </c>
      <c r="S3242" s="2">
        <v>0.38918798700000001</v>
      </c>
      <c r="T3242" s="2">
        <v>1.548697789</v>
      </c>
      <c r="U3242" s="2">
        <v>1.4686977889999999</v>
      </c>
      <c r="V3242" s="2">
        <v>1.00010629</v>
      </c>
      <c r="W3242" s="2">
        <v>1.0240966220000001</v>
      </c>
      <c r="X3242">
        <f t="shared" si="150"/>
        <v>0</v>
      </c>
      <c r="Y3242">
        <f t="shared" si="151"/>
        <v>0</v>
      </c>
      <c r="Z3242">
        <f t="shared" si="152"/>
        <v>1</v>
      </c>
    </row>
    <row r="3243" spans="1:26" ht="15.75" customHeight="1" x14ac:dyDescent="0.2">
      <c r="A3243" s="2" t="s">
        <v>36</v>
      </c>
      <c r="B3243" s="2" t="s">
        <v>35</v>
      </c>
      <c r="C3243" s="2" t="s">
        <v>30</v>
      </c>
      <c r="D3243" s="2" t="s">
        <v>31</v>
      </c>
      <c r="E3243" s="2">
        <v>143</v>
      </c>
      <c r="F3243" s="2">
        <v>237</v>
      </c>
      <c r="G3243" s="2">
        <v>803</v>
      </c>
      <c r="H3243" s="2">
        <v>1535</v>
      </c>
      <c r="I3243" s="2">
        <v>3331</v>
      </c>
      <c r="J3243" s="2">
        <v>2.37</v>
      </c>
      <c r="K3243" s="2">
        <v>7.26</v>
      </c>
      <c r="L3243" s="2">
        <v>11.25</v>
      </c>
      <c r="M3243" s="2">
        <v>16.350000000000001</v>
      </c>
      <c r="N3243" s="2">
        <v>3.6802403180000001</v>
      </c>
      <c r="O3243" s="2">
        <v>3.7224784770000001</v>
      </c>
      <c r="P3243" s="2">
        <v>2.4150786989999999</v>
      </c>
      <c r="Q3243" s="2">
        <v>2.5401449839999999</v>
      </c>
      <c r="R3243" s="2">
        <v>2.3739807000000002</v>
      </c>
      <c r="S3243" s="2">
        <v>2.5139806999999998</v>
      </c>
      <c r="T3243" s="2">
        <v>0.44364485999999997</v>
      </c>
      <c r="U3243" s="2">
        <v>0.36364486000000001</v>
      </c>
      <c r="V3243" s="2">
        <v>3.9032749760000001</v>
      </c>
      <c r="W3243" s="2">
        <v>3.927265308</v>
      </c>
      <c r="X3243">
        <f t="shared" si="150"/>
        <v>0</v>
      </c>
      <c r="Y3243">
        <f t="shared" si="151"/>
        <v>0</v>
      </c>
      <c r="Z3243">
        <f t="shared" si="152"/>
        <v>1</v>
      </c>
    </row>
    <row r="3244" spans="1:26" ht="15.75" customHeight="1" x14ac:dyDescent="0.2">
      <c r="A3244" s="2" t="s">
        <v>36</v>
      </c>
      <c r="B3244" s="2" t="s">
        <v>35</v>
      </c>
      <c r="C3244" s="2" t="s">
        <v>26</v>
      </c>
      <c r="D3244" s="2" t="s">
        <v>26</v>
      </c>
      <c r="E3244" s="2">
        <v>133</v>
      </c>
      <c r="F3244" s="2">
        <v>228</v>
      </c>
      <c r="G3244" s="2">
        <v>427</v>
      </c>
      <c r="H3244" s="2">
        <v>805</v>
      </c>
      <c r="I3244" s="2">
        <v>3274</v>
      </c>
      <c r="J3244" s="2">
        <v>2.2599999999999998</v>
      </c>
      <c r="K3244" s="2">
        <v>4.26</v>
      </c>
      <c r="L3244" s="2">
        <v>7.28</v>
      </c>
      <c r="M3244" s="2">
        <v>16.239999999999998</v>
      </c>
      <c r="N3244" s="2">
        <v>1.0960621349999999</v>
      </c>
      <c r="O3244" s="2">
        <v>1.05586899</v>
      </c>
      <c r="P3244" s="2">
        <v>4.4566142720000004</v>
      </c>
      <c r="Q3244" s="2">
        <v>4.3595694690000002</v>
      </c>
      <c r="R3244" s="2">
        <v>0.62715083800000004</v>
      </c>
      <c r="S3244" s="2">
        <v>0.48715083799999997</v>
      </c>
      <c r="T3244" s="2">
        <v>4.4122661519999999</v>
      </c>
      <c r="U3244" s="2">
        <v>4.3322661519999999</v>
      </c>
      <c r="V3244" s="2">
        <v>0.90214343799999996</v>
      </c>
      <c r="W3244" s="2">
        <v>0.92613376999999997</v>
      </c>
      <c r="X3244">
        <f t="shared" si="150"/>
        <v>0</v>
      </c>
      <c r="Y3244">
        <f t="shared" si="151"/>
        <v>0</v>
      </c>
      <c r="Z3244">
        <f t="shared" si="152"/>
        <v>0</v>
      </c>
    </row>
    <row r="3245" spans="1:26" ht="15.75" customHeight="1" x14ac:dyDescent="0.2">
      <c r="A3245" s="2" t="s">
        <v>36</v>
      </c>
      <c r="B3245" s="2" t="s">
        <v>35</v>
      </c>
      <c r="C3245" s="2" t="s">
        <v>28</v>
      </c>
      <c r="D3245" s="2" t="s">
        <v>29</v>
      </c>
      <c r="E3245" s="2">
        <v>140</v>
      </c>
      <c r="F3245" s="2">
        <v>218</v>
      </c>
      <c r="G3245" s="2">
        <v>360</v>
      </c>
      <c r="H3245" s="2">
        <v>1041</v>
      </c>
      <c r="I3245" s="2">
        <v>2170</v>
      </c>
      <c r="J3245" s="2">
        <v>2.15</v>
      </c>
      <c r="K3245" s="2">
        <v>3.63</v>
      </c>
      <c r="L3245" s="2">
        <v>8.77</v>
      </c>
      <c r="M3245" s="2">
        <v>13.56</v>
      </c>
      <c r="N3245" s="2">
        <v>0.95605872300000005</v>
      </c>
      <c r="O3245" s="2">
        <v>0.84262539299999994</v>
      </c>
      <c r="P3245" s="2">
        <v>3.1819968780000001</v>
      </c>
      <c r="Q3245" s="2">
        <v>3.0546417770000001</v>
      </c>
      <c r="R3245" s="2">
        <v>1.2598275860000001</v>
      </c>
      <c r="S3245" s="2">
        <v>1.119827586</v>
      </c>
      <c r="T3245" s="2">
        <v>2.9219751170000001</v>
      </c>
      <c r="U3245" s="2">
        <v>2.8419751170000001</v>
      </c>
      <c r="V3245" s="2">
        <v>0.26946669000000001</v>
      </c>
      <c r="W3245" s="2">
        <v>0.29345702200000001</v>
      </c>
      <c r="X3245">
        <f t="shared" si="150"/>
        <v>0</v>
      </c>
      <c r="Y3245">
        <f t="shared" si="151"/>
        <v>0</v>
      </c>
      <c r="Z3245">
        <f t="shared" si="152"/>
        <v>1</v>
      </c>
    </row>
    <row r="3246" spans="1:26" ht="15.75" customHeight="1" x14ac:dyDescent="0.2">
      <c r="A3246" s="2" t="s">
        <v>36</v>
      </c>
      <c r="B3246" s="2" t="s">
        <v>35</v>
      </c>
      <c r="C3246" s="2" t="s">
        <v>32</v>
      </c>
      <c r="D3246" s="2" t="s">
        <v>33</v>
      </c>
      <c r="E3246" s="2">
        <v>151</v>
      </c>
      <c r="F3246" s="2">
        <v>271</v>
      </c>
      <c r="G3246" s="2">
        <v>583</v>
      </c>
      <c r="H3246" s="2">
        <v>1189</v>
      </c>
      <c r="I3246" s="2">
        <v>2951</v>
      </c>
      <c r="J3246" s="2">
        <v>2.73</v>
      </c>
      <c r="K3246" s="2">
        <v>5.61</v>
      </c>
      <c r="L3246" s="2">
        <v>9.59</v>
      </c>
      <c r="M3246" s="2">
        <v>15.58</v>
      </c>
      <c r="N3246" s="2">
        <v>2.9046928109999999</v>
      </c>
      <c r="O3246" s="2">
        <v>2.814958329</v>
      </c>
      <c r="P3246" s="2">
        <v>2.22009656</v>
      </c>
      <c r="Q3246" s="2">
        <v>2.1958233909999998</v>
      </c>
      <c r="R3246" s="2">
        <v>0.72366544300000002</v>
      </c>
      <c r="S3246" s="2">
        <v>0.86366544300000003</v>
      </c>
      <c r="T3246" s="2">
        <v>2.0988418379999998</v>
      </c>
      <c r="U3246" s="2">
        <v>2.0188418380000002</v>
      </c>
      <c r="V3246" s="2">
        <v>2.2529597190000001</v>
      </c>
      <c r="W3246" s="2">
        <v>2.2769500520000001</v>
      </c>
      <c r="X3246">
        <f t="shared" si="150"/>
        <v>0</v>
      </c>
      <c r="Y3246">
        <f t="shared" si="151"/>
        <v>0</v>
      </c>
      <c r="Z3246">
        <f t="shared" si="152"/>
        <v>1</v>
      </c>
    </row>
    <row r="3247" spans="1:26" ht="15.75" customHeight="1" x14ac:dyDescent="0.2">
      <c r="A3247" s="2" t="s">
        <v>36</v>
      </c>
      <c r="B3247" s="2" t="s">
        <v>35</v>
      </c>
      <c r="C3247" s="2" t="s">
        <v>32</v>
      </c>
      <c r="D3247" s="2" t="s">
        <v>33</v>
      </c>
      <c r="E3247" s="2">
        <v>130</v>
      </c>
      <c r="F3247" s="2">
        <v>275</v>
      </c>
      <c r="G3247" s="2">
        <v>611</v>
      </c>
      <c r="H3247" s="2">
        <v>1350</v>
      </c>
      <c r="I3247" s="2">
        <v>3160</v>
      </c>
      <c r="J3247" s="2">
        <v>2.77</v>
      </c>
      <c r="K3247" s="2">
        <v>5.84</v>
      </c>
      <c r="L3247" s="2">
        <v>10.4</v>
      </c>
      <c r="M3247" s="2">
        <v>16.02</v>
      </c>
      <c r="N3247" s="2">
        <v>2.1654751659999998</v>
      </c>
      <c r="O3247" s="2">
        <v>2.0518700459999999</v>
      </c>
      <c r="P3247" s="2">
        <v>1.6007854379999999</v>
      </c>
      <c r="Q3247" s="2">
        <v>1.627878084</v>
      </c>
      <c r="R3247" s="2">
        <v>0.95406533599999999</v>
      </c>
      <c r="S3247" s="2">
        <v>1.0940653360000001</v>
      </c>
      <c r="T3247" s="2">
        <v>1.2854078550000001</v>
      </c>
      <c r="U3247" s="2">
        <v>1.205407855</v>
      </c>
      <c r="V3247" s="2">
        <v>2.4833596120000001</v>
      </c>
      <c r="W3247" s="2">
        <v>2.507349944</v>
      </c>
      <c r="X3247">
        <f t="shared" si="150"/>
        <v>0</v>
      </c>
      <c r="Y3247">
        <f t="shared" si="151"/>
        <v>0</v>
      </c>
      <c r="Z3247">
        <f t="shared" si="152"/>
        <v>1</v>
      </c>
    </row>
    <row r="3248" spans="1:26" ht="15.75" customHeight="1" x14ac:dyDescent="0.2">
      <c r="A3248" s="2" t="s">
        <v>36</v>
      </c>
      <c r="B3248" s="2" t="s">
        <v>35</v>
      </c>
      <c r="C3248" s="2" t="s">
        <v>25</v>
      </c>
      <c r="D3248" s="2" t="s">
        <v>25</v>
      </c>
      <c r="E3248" s="2">
        <v>171</v>
      </c>
      <c r="F3248" s="2">
        <v>272</v>
      </c>
      <c r="G3248" s="2">
        <v>914</v>
      </c>
      <c r="H3248" s="2">
        <v>1764</v>
      </c>
      <c r="I3248" s="2">
        <v>2784</v>
      </c>
      <c r="J3248" s="2">
        <v>2.74</v>
      </c>
      <c r="K3248" s="2">
        <v>8</v>
      </c>
      <c r="L3248" s="2">
        <v>12.17</v>
      </c>
      <c r="M3248" s="2">
        <v>15.2</v>
      </c>
      <c r="N3248" s="2">
        <v>0.61865941400000002</v>
      </c>
      <c r="O3248" s="2">
        <v>0.75664272300000002</v>
      </c>
      <c r="P3248" s="2">
        <v>3.143002149</v>
      </c>
      <c r="Q3248" s="2">
        <v>3.2940732100000001</v>
      </c>
      <c r="R3248" s="2">
        <v>3.1062143350000002</v>
      </c>
      <c r="S3248" s="2">
        <v>3.2462143349999999</v>
      </c>
      <c r="T3248" s="2">
        <v>0.47947368400000001</v>
      </c>
      <c r="U3248" s="2">
        <v>0.55947368399999997</v>
      </c>
      <c r="V3248" s="2">
        <v>4.6355086119999998</v>
      </c>
      <c r="W3248" s="2">
        <v>4.6594989440000001</v>
      </c>
      <c r="X3248">
        <f t="shared" si="150"/>
        <v>0</v>
      </c>
      <c r="Y3248">
        <f t="shared" si="151"/>
        <v>0</v>
      </c>
      <c r="Z3248">
        <f t="shared" si="152"/>
        <v>0</v>
      </c>
    </row>
    <row r="3249" spans="1:26" ht="15.75" customHeight="1" x14ac:dyDescent="0.2">
      <c r="A3249" s="2" t="s">
        <v>36</v>
      </c>
      <c r="B3249" s="2" t="s">
        <v>35</v>
      </c>
      <c r="C3249" s="2" t="s">
        <v>32</v>
      </c>
      <c r="D3249" s="2" t="s">
        <v>33</v>
      </c>
      <c r="E3249" s="2">
        <v>100</v>
      </c>
      <c r="F3249" s="2">
        <v>257</v>
      </c>
      <c r="G3249" s="2">
        <v>748</v>
      </c>
      <c r="H3249" s="2">
        <v>1167</v>
      </c>
      <c r="I3249" s="2">
        <v>3156</v>
      </c>
      <c r="J3249" s="2">
        <v>2.58</v>
      </c>
      <c r="K3249" s="2">
        <v>6.88</v>
      </c>
      <c r="L3249" s="2">
        <v>9.48</v>
      </c>
      <c r="M3249" s="2">
        <v>16.010000000000002</v>
      </c>
      <c r="N3249" s="2">
        <v>2.4069260290000001</v>
      </c>
      <c r="O3249" s="2">
        <v>2.3960828630000002</v>
      </c>
      <c r="P3249" s="2">
        <v>2.9741898770000001</v>
      </c>
      <c r="Q3249" s="2">
        <v>3.0122096470000002</v>
      </c>
      <c r="R3249" s="2">
        <v>1.985420975</v>
      </c>
      <c r="S3249" s="2">
        <v>2.1254209749999999</v>
      </c>
      <c r="T3249" s="2">
        <v>2.2144771350000001</v>
      </c>
      <c r="U3249" s="2">
        <v>2.134477135</v>
      </c>
      <c r="V3249" s="2">
        <v>3.5147152510000002</v>
      </c>
      <c r="W3249" s="2">
        <v>3.538705583</v>
      </c>
      <c r="X3249">
        <f t="shared" si="150"/>
        <v>0</v>
      </c>
      <c r="Y3249">
        <f t="shared" si="151"/>
        <v>0</v>
      </c>
      <c r="Z3249">
        <f t="shared" si="152"/>
        <v>1</v>
      </c>
    </row>
    <row r="3250" spans="1:26" ht="15.75" customHeight="1" x14ac:dyDescent="0.2">
      <c r="A3250" s="2" t="s">
        <v>36</v>
      </c>
      <c r="B3250" s="2" t="s">
        <v>35</v>
      </c>
      <c r="C3250" s="2" t="s">
        <v>32</v>
      </c>
      <c r="D3250" s="2" t="s">
        <v>33</v>
      </c>
      <c r="E3250" s="2">
        <v>151</v>
      </c>
      <c r="F3250" s="2">
        <v>200</v>
      </c>
      <c r="G3250" s="2">
        <v>559</v>
      </c>
      <c r="H3250" s="2">
        <v>1231</v>
      </c>
      <c r="I3250" s="2">
        <v>2973</v>
      </c>
      <c r="J3250" s="2">
        <v>1.95</v>
      </c>
      <c r="K3250" s="2">
        <v>5.42</v>
      </c>
      <c r="L3250" s="2">
        <v>9.81</v>
      </c>
      <c r="M3250" s="2">
        <v>15.63</v>
      </c>
      <c r="N3250" s="2">
        <v>2.8792173920000002</v>
      </c>
      <c r="O3250" s="2">
        <v>2.7735293790000002</v>
      </c>
      <c r="P3250" s="2">
        <v>1.9499317220000001</v>
      </c>
      <c r="Q3250" s="2">
        <v>1.9171150969999999</v>
      </c>
      <c r="R3250" s="2">
        <v>0.52673901499999998</v>
      </c>
      <c r="S3250" s="2">
        <v>0.66673901499999999</v>
      </c>
      <c r="T3250" s="2">
        <v>1.8774396739999999</v>
      </c>
      <c r="U3250" s="2">
        <v>1.797439674</v>
      </c>
      <c r="V3250" s="2">
        <v>2.056033292</v>
      </c>
      <c r="W3250" s="2">
        <v>2.0800236239999998</v>
      </c>
      <c r="X3250">
        <f t="shared" si="150"/>
        <v>0</v>
      </c>
      <c r="Y3250">
        <f t="shared" si="151"/>
        <v>0</v>
      </c>
      <c r="Z3250">
        <f t="shared" si="152"/>
        <v>1</v>
      </c>
    </row>
    <row r="3251" spans="1:26" ht="15.75" customHeight="1" x14ac:dyDescent="0.2">
      <c r="A3251" s="2" t="s">
        <v>36</v>
      </c>
      <c r="B3251" s="2" t="s">
        <v>35</v>
      </c>
      <c r="C3251" s="2" t="s">
        <v>25</v>
      </c>
      <c r="D3251" s="2" t="s">
        <v>25</v>
      </c>
      <c r="E3251" s="2">
        <v>90</v>
      </c>
      <c r="F3251" s="2">
        <v>269</v>
      </c>
      <c r="G3251" s="2">
        <v>836</v>
      </c>
      <c r="H3251" s="2">
        <v>1724</v>
      </c>
      <c r="I3251" s="2">
        <v>2937</v>
      </c>
      <c r="J3251" s="2">
        <v>2.7</v>
      </c>
      <c r="K3251" s="2">
        <v>7.49</v>
      </c>
      <c r="L3251" s="2">
        <v>12.01</v>
      </c>
      <c r="M3251" s="2">
        <v>15.55</v>
      </c>
      <c r="N3251" s="2">
        <v>0.215287385</v>
      </c>
      <c r="O3251" s="2">
        <v>0.25014256899999998</v>
      </c>
      <c r="P3251" s="2">
        <v>2.6186349350000002</v>
      </c>
      <c r="Q3251" s="2">
        <v>2.768175308</v>
      </c>
      <c r="R3251" s="2">
        <v>2.5983919420000001</v>
      </c>
      <c r="S3251" s="2">
        <v>2.7383919419999998</v>
      </c>
      <c r="T3251" s="2">
        <v>0.32497420999999999</v>
      </c>
      <c r="U3251" s="2">
        <v>0.40497421</v>
      </c>
      <c r="V3251" s="2">
        <v>4.127686218</v>
      </c>
      <c r="W3251" s="2">
        <v>4.1516765500000004</v>
      </c>
      <c r="X3251">
        <f t="shared" si="150"/>
        <v>0</v>
      </c>
      <c r="Y3251">
        <f t="shared" si="151"/>
        <v>0</v>
      </c>
      <c r="Z3251">
        <f t="shared" si="152"/>
        <v>0</v>
      </c>
    </row>
    <row r="3252" spans="1:26" ht="15.75" customHeight="1" x14ac:dyDescent="0.2">
      <c r="A3252" s="2" t="s">
        <v>36</v>
      </c>
      <c r="B3252" s="2" t="s">
        <v>35</v>
      </c>
      <c r="C3252" s="2" t="s">
        <v>25</v>
      </c>
      <c r="D3252" s="2" t="s">
        <v>25</v>
      </c>
      <c r="E3252" s="2">
        <v>197</v>
      </c>
      <c r="F3252" s="2">
        <v>266</v>
      </c>
      <c r="G3252" s="2">
        <v>884</v>
      </c>
      <c r="H3252" s="2">
        <v>1587</v>
      </c>
      <c r="I3252" s="2">
        <v>2884</v>
      </c>
      <c r="J3252" s="2">
        <v>2.67</v>
      </c>
      <c r="K3252" s="2">
        <v>7.81</v>
      </c>
      <c r="L3252" s="2">
        <v>11.47</v>
      </c>
      <c r="M3252" s="2">
        <v>15.43</v>
      </c>
      <c r="N3252" s="2">
        <v>0.45211248700000001</v>
      </c>
      <c r="O3252" s="2">
        <v>0.60637147800000002</v>
      </c>
      <c r="P3252" s="2">
        <v>2.9240490889999999</v>
      </c>
      <c r="Q3252" s="2">
        <v>3.058869681</v>
      </c>
      <c r="R3252" s="2">
        <v>2.9155127150000002</v>
      </c>
      <c r="S3252" s="2">
        <v>3.0555127149999999</v>
      </c>
      <c r="T3252" s="2">
        <v>0.22326818300000001</v>
      </c>
      <c r="U3252" s="2">
        <v>0.14326818299999999</v>
      </c>
      <c r="V3252" s="2">
        <v>4.4448069920000002</v>
      </c>
      <c r="W3252" s="2">
        <v>4.4687973239999996</v>
      </c>
      <c r="X3252">
        <f t="shared" si="150"/>
        <v>0</v>
      </c>
      <c r="Y3252">
        <f t="shared" si="151"/>
        <v>0</v>
      </c>
      <c r="Z3252">
        <f t="shared" si="152"/>
        <v>0</v>
      </c>
    </row>
    <row r="3253" spans="1:26" ht="15.75" customHeight="1" x14ac:dyDescent="0.2">
      <c r="A3253" s="2" t="s">
        <v>36</v>
      </c>
      <c r="B3253" s="2" t="s">
        <v>35</v>
      </c>
      <c r="C3253" s="2" t="s">
        <v>27</v>
      </c>
      <c r="D3253" s="2" t="s">
        <v>27</v>
      </c>
      <c r="E3253" s="2">
        <v>132</v>
      </c>
      <c r="F3253" s="2">
        <v>167</v>
      </c>
      <c r="G3253" s="2">
        <v>516</v>
      </c>
      <c r="H3253" s="2">
        <v>2341</v>
      </c>
      <c r="I3253" s="2">
        <v>3032</v>
      </c>
      <c r="J3253" s="2">
        <v>1.57</v>
      </c>
      <c r="K3253" s="2">
        <v>5.05</v>
      </c>
      <c r="L3253" s="2">
        <v>14.06</v>
      </c>
      <c r="M3253" s="2">
        <v>15.75</v>
      </c>
      <c r="N3253" s="2">
        <v>0.100765697</v>
      </c>
      <c r="O3253" s="2">
        <v>0.205114346</v>
      </c>
      <c r="P3253" s="2">
        <v>2.3781559099999998</v>
      </c>
      <c r="Q3253" s="2">
        <v>2.471283568</v>
      </c>
      <c r="R3253" s="2">
        <v>0.164363808</v>
      </c>
      <c r="S3253" s="2">
        <v>0.30436380800000001</v>
      </c>
      <c r="T3253" s="2">
        <v>2.3724691930000001</v>
      </c>
      <c r="U3253" s="2">
        <v>2.4524691930000002</v>
      </c>
      <c r="V3253" s="2">
        <v>1.693658084</v>
      </c>
      <c r="W3253" s="2">
        <v>1.7176484160000001</v>
      </c>
      <c r="X3253">
        <f t="shared" si="150"/>
        <v>0</v>
      </c>
      <c r="Y3253">
        <f t="shared" si="151"/>
        <v>0</v>
      </c>
      <c r="Z3253">
        <f t="shared" si="152"/>
        <v>0</v>
      </c>
    </row>
    <row r="3254" spans="1:26" ht="15.75" customHeight="1" x14ac:dyDescent="0.2">
      <c r="A3254" s="2" t="s">
        <v>36</v>
      </c>
      <c r="B3254" s="2" t="s">
        <v>35</v>
      </c>
      <c r="C3254" s="2" t="s">
        <v>30</v>
      </c>
      <c r="D3254" s="2" t="s">
        <v>31</v>
      </c>
      <c r="E3254" s="2">
        <v>157</v>
      </c>
      <c r="F3254" s="2">
        <v>272</v>
      </c>
      <c r="G3254" s="2">
        <v>733</v>
      </c>
      <c r="H3254" s="2">
        <v>1363</v>
      </c>
      <c r="I3254" s="2">
        <v>2987</v>
      </c>
      <c r="J3254" s="2">
        <v>2.74</v>
      </c>
      <c r="K3254" s="2">
        <v>6.77</v>
      </c>
      <c r="L3254" s="2">
        <v>10.47</v>
      </c>
      <c r="M3254" s="2">
        <v>15.66</v>
      </c>
      <c r="N3254" s="2">
        <v>4.0817472759999998</v>
      </c>
      <c r="O3254" s="2">
        <v>4.0916250280000002</v>
      </c>
      <c r="P3254" s="2">
        <v>2.2427517199999998</v>
      </c>
      <c r="Q3254" s="2">
        <v>2.32089159</v>
      </c>
      <c r="R3254" s="2">
        <v>1.8797524750000001</v>
      </c>
      <c r="S3254" s="2">
        <v>2.0197524750000002</v>
      </c>
      <c r="T3254" s="2">
        <v>1.223301234</v>
      </c>
      <c r="U3254" s="2">
        <v>1.1433012339999999</v>
      </c>
      <c r="V3254" s="2">
        <v>3.4090467520000001</v>
      </c>
      <c r="W3254" s="2">
        <v>3.433037084</v>
      </c>
      <c r="X3254">
        <f t="shared" si="150"/>
        <v>0</v>
      </c>
      <c r="Y3254">
        <f t="shared" si="151"/>
        <v>0</v>
      </c>
      <c r="Z3254">
        <f t="shared" si="152"/>
        <v>1</v>
      </c>
    </row>
    <row r="3255" spans="1:26" ht="15.75" customHeight="1" x14ac:dyDescent="0.2">
      <c r="A3255" s="2" t="s">
        <v>36</v>
      </c>
      <c r="B3255" s="2" t="s">
        <v>35</v>
      </c>
      <c r="C3255" s="2" t="s">
        <v>28</v>
      </c>
      <c r="D3255" s="2" t="s">
        <v>29</v>
      </c>
      <c r="E3255" s="2">
        <v>115</v>
      </c>
      <c r="F3255" s="2">
        <v>271</v>
      </c>
      <c r="G3255" s="2">
        <v>403</v>
      </c>
      <c r="H3255" s="2">
        <v>1053</v>
      </c>
      <c r="I3255" s="2">
        <v>1927</v>
      </c>
      <c r="J3255" s="2">
        <v>2.72</v>
      </c>
      <c r="K3255" s="2">
        <v>4.05</v>
      </c>
      <c r="L3255" s="2">
        <v>8.84</v>
      </c>
      <c r="M3255" s="2">
        <v>12.76</v>
      </c>
      <c r="N3255" s="2">
        <v>0.65994874199999998</v>
      </c>
      <c r="O3255" s="2">
        <v>0.59209439399999997</v>
      </c>
      <c r="P3255" s="2">
        <v>2.9746252709999998</v>
      </c>
      <c r="Q3255" s="2">
        <v>2.8603447910000002</v>
      </c>
      <c r="R3255" s="2">
        <v>0.84452750399999998</v>
      </c>
      <c r="S3255" s="2">
        <v>0.70452750399999997</v>
      </c>
      <c r="T3255" s="2">
        <v>2.8522217300000001</v>
      </c>
      <c r="U3255" s="2">
        <v>2.7722217300000001</v>
      </c>
      <c r="V3255" s="2">
        <v>0.684766773</v>
      </c>
      <c r="W3255" s="2">
        <v>0.708757105</v>
      </c>
      <c r="X3255">
        <f t="shared" si="150"/>
        <v>0</v>
      </c>
      <c r="Y3255">
        <f t="shared" si="151"/>
        <v>0</v>
      </c>
      <c r="Z3255">
        <f t="shared" si="152"/>
        <v>1</v>
      </c>
    </row>
    <row r="3256" spans="1:26" ht="15.75" customHeight="1" x14ac:dyDescent="0.2">
      <c r="A3256" s="2" t="s">
        <v>36</v>
      </c>
      <c r="B3256" s="2" t="s">
        <v>35</v>
      </c>
      <c r="C3256" s="2" t="s">
        <v>28</v>
      </c>
      <c r="D3256" s="2" t="s">
        <v>29</v>
      </c>
      <c r="E3256" s="2">
        <v>204</v>
      </c>
      <c r="F3256" s="2">
        <v>231</v>
      </c>
      <c r="G3256" s="2">
        <v>345</v>
      </c>
      <c r="H3256" s="2">
        <v>1149</v>
      </c>
      <c r="I3256" s="2">
        <v>1980</v>
      </c>
      <c r="J3256" s="2">
        <v>2.2999999999999998</v>
      </c>
      <c r="K3256" s="2">
        <v>3.48</v>
      </c>
      <c r="L3256" s="2">
        <v>9.3800000000000008</v>
      </c>
      <c r="M3256" s="2">
        <v>12.94</v>
      </c>
      <c r="N3256" s="2">
        <v>1.440655188</v>
      </c>
      <c r="O3256" s="2">
        <v>1.3618614200000001</v>
      </c>
      <c r="P3256" s="2">
        <v>2.7048437409999999</v>
      </c>
      <c r="Q3256" s="2">
        <v>2.5648711400000002</v>
      </c>
      <c r="R3256" s="2">
        <v>1.4072234269999999</v>
      </c>
      <c r="S3256" s="2">
        <v>1.267223427</v>
      </c>
      <c r="T3256" s="2">
        <v>2.3099571179999998</v>
      </c>
      <c r="U3256" s="2">
        <v>2.2299571180000002</v>
      </c>
      <c r="V3256" s="2">
        <v>0.122070849</v>
      </c>
      <c r="W3256" s="2">
        <v>0.14606118100000001</v>
      </c>
      <c r="X3256">
        <f t="shared" si="150"/>
        <v>0</v>
      </c>
      <c r="Y3256">
        <f t="shared" si="151"/>
        <v>0</v>
      </c>
      <c r="Z3256">
        <f t="shared" si="152"/>
        <v>1</v>
      </c>
    </row>
    <row r="3257" spans="1:26" ht="15.75" customHeight="1" x14ac:dyDescent="0.2">
      <c r="A3257" s="2" t="s">
        <v>36</v>
      </c>
      <c r="B3257" s="2" t="s">
        <v>35</v>
      </c>
      <c r="C3257" s="2" t="s">
        <v>32</v>
      </c>
      <c r="D3257" s="2" t="s">
        <v>33</v>
      </c>
      <c r="E3257" s="2">
        <v>134</v>
      </c>
      <c r="F3257" s="2">
        <v>213</v>
      </c>
      <c r="G3257" s="2">
        <v>528</v>
      </c>
      <c r="H3257" s="2">
        <v>990</v>
      </c>
      <c r="I3257" s="2">
        <v>3143</v>
      </c>
      <c r="J3257" s="2">
        <v>2.1</v>
      </c>
      <c r="K3257" s="2">
        <v>5.16</v>
      </c>
      <c r="L3257" s="2">
        <v>8.4700000000000006</v>
      </c>
      <c r="M3257" s="2">
        <v>15.98</v>
      </c>
      <c r="N3257" s="2">
        <v>4.0691651650000003</v>
      </c>
      <c r="O3257" s="2">
        <v>3.9937097019999999</v>
      </c>
      <c r="P3257" s="2">
        <v>3.2322330610000001</v>
      </c>
      <c r="Q3257" s="2">
        <v>3.1676944919999999</v>
      </c>
      <c r="R3257" s="2">
        <v>0.27241125300000002</v>
      </c>
      <c r="S3257" s="2">
        <v>0.41241125299999998</v>
      </c>
      <c r="T3257" s="2">
        <v>3.2207332499999999</v>
      </c>
      <c r="U3257" s="2">
        <v>3.1407332499999998</v>
      </c>
      <c r="V3257" s="2">
        <v>1.8017055289999999</v>
      </c>
      <c r="W3257" s="2">
        <v>1.825695861</v>
      </c>
      <c r="X3257">
        <f t="shared" si="150"/>
        <v>0</v>
      </c>
      <c r="Y3257">
        <f t="shared" si="151"/>
        <v>0</v>
      </c>
      <c r="Z3257">
        <f t="shared" si="152"/>
        <v>1</v>
      </c>
    </row>
    <row r="3258" spans="1:26" ht="15.75" customHeight="1" x14ac:dyDescent="0.2">
      <c r="A3258" s="2" t="s">
        <v>36</v>
      </c>
      <c r="B3258" s="2" t="s">
        <v>35</v>
      </c>
      <c r="C3258" s="2" t="s">
        <v>26</v>
      </c>
      <c r="D3258" s="2" t="s">
        <v>26</v>
      </c>
      <c r="E3258" s="2">
        <v>147</v>
      </c>
      <c r="F3258" s="2">
        <v>283</v>
      </c>
      <c r="G3258" s="2">
        <v>475</v>
      </c>
      <c r="H3258" s="2">
        <v>918</v>
      </c>
      <c r="I3258" s="2">
        <v>3138</v>
      </c>
      <c r="J3258" s="2">
        <v>2.85</v>
      </c>
      <c r="K3258" s="2">
        <v>4.7</v>
      </c>
      <c r="L3258" s="2">
        <v>8.02</v>
      </c>
      <c r="M3258" s="2">
        <v>15.97</v>
      </c>
      <c r="N3258" s="2">
        <v>0.38793488100000001</v>
      </c>
      <c r="O3258" s="2">
        <v>0.46498236399999998</v>
      </c>
      <c r="P3258" s="2">
        <v>3.6711857609999998</v>
      </c>
      <c r="Q3258" s="2">
        <v>3.5866096650000001</v>
      </c>
      <c r="R3258" s="2">
        <v>0.19012320299999999</v>
      </c>
      <c r="S3258" s="2">
        <v>5.0123202999999998E-2</v>
      </c>
      <c r="T3258" s="2">
        <v>3.6662594089999998</v>
      </c>
      <c r="U3258" s="2">
        <v>3.5862594090000002</v>
      </c>
      <c r="V3258" s="2">
        <v>1.3391710729999999</v>
      </c>
      <c r="W3258" s="2">
        <v>1.363161405</v>
      </c>
      <c r="X3258">
        <f t="shared" si="150"/>
        <v>0</v>
      </c>
      <c r="Y3258">
        <f t="shared" si="151"/>
        <v>0</v>
      </c>
      <c r="Z3258">
        <f t="shared" si="152"/>
        <v>0</v>
      </c>
    </row>
    <row r="3259" spans="1:26" ht="15.75" customHeight="1" x14ac:dyDescent="0.2">
      <c r="A3259" s="2" t="s">
        <v>36</v>
      </c>
      <c r="B3259" s="2" t="s">
        <v>35</v>
      </c>
      <c r="C3259" s="2" t="s">
        <v>25</v>
      </c>
      <c r="D3259" s="2" t="s">
        <v>25</v>
      </c>
      <c r="E3259" s="2">
        <v>146</v>
      </c>
      <c r="F3259" s="2">
        <v>253</v>
      </c>
      <c r="G3259" s="2">
        <v>858</v>
      </c>
      <c r="H3259" s="2">
        <v>1589</v>
      </c>
      <c r="I3259" s="2">
        <v>2916</v>
      </c>
      <c r="J3259" s="2">
        <v>2.5299999999999998</v>
      </c>
      <c r="K3259" s="2">
        <v>7.63</v>
      </c>
      <c r="L3259" s="2">
        <v>11.48</v>
      </c>
      <c r="M3259" s="2">
        <v>15.5</v>
      </c>
      <c r="N3259" s="2">
        <v>0.35104035300000003</v>
      </c>
      <c r="O3259" s="2">
        <v>0.47313779500000003</v>
      </c>
      <c r="P3259" s="2">
        <v>2.751281691</v>
      </c>
      <c r="Q3259" s="2">
        <v>2.886029867</v>
      </c>
      <c r="R3259" s="2">
        <v>2.7428743789999999</v>
      </c>
      <c r="S3259" s="2">
        <v>2.882874379</v>
      </c>
      <c r="T3259" s="2">
        <v>0.214921112</v>
      </c>
      <c r="U3259" s="2">
        <v>0.13492111200000001</v>
      </c>
      <c r="V3259" s="2">
        <v>4.2721686549999998</v>
      </c>
      <c r="W3259" s="2">
        <v>4.2961589870000001</v>
      </c>
      <c r="X3259">
        <f t="shared" si="150"/>
        <v>0</v>
      </c>
      <c r="Y3259">
        <f t="shared" si="151"/>
        <v>0</v>
      </c>
      <c r="Z3259">
        <f t="shared" si="152"/>
        <v>0</v>
      </c>
    </row>
    <row r="3260" spans="1:26" ht="15.75" customHeight="1" x14ac:dyDescent="0.2">
      <c r="A3260" s="2" t="s">
        <v>36</v>
      </c>
      <c r="B3260" s="2" t="s">
        <v>35</v>
      </c>
      <c r="C3260" s="2" t="s">
        <v>30</v>
      </c>
      <c r="D3260" s="2" t="s">
        <v>31</v>
      </c>
      <c r="E3260" s="2">
        <v>187</v>
      </c>
      <c r="F3260" s="2">
        <v>229</v>
      </c>
      <c r="G3260" s="2">
        <v>653</v>
      </c>
      <c r="H3260" s="2">
        <v>1544</v>
      </c>
      <c r="I3260" s="2">
        <v>3103</v>
      </c>
      <c r="J3260" s="2">
        <v>2.2799999999999998</v>
      </c>
      <c r="K3260" s="2">
        <v>6.17</v>
      </c>
      <c r="L3260" s="2">
        <v>11.28</v>
      </c>
      <c r="M3260" s="2">
        <v>15.9</v>
      </c>
      <c r="N3260" s="2">
        <v>3.0928675449999998</v>
      </c>
      <c r="O3260" s="2">
        <v>3.0947024249999999</v>
      </c>
      <c r="P3260" s="2">
        <v>1.3458004349999999</v>
      </c>
      <c r="Q3260" s="2">
        <v>1.4598002409999999</v>
      </c>
      <c r="R3260" s="2">
        <v>1.2825</v>
      </c>
      <c r="S3260" s="2">
        <v>1.4225000000000001</v>
      </c>
      <c r="T3260" s="2">
        <v>0.40788792699999998</v>
      </c>
      <c r="U3260" s="2">
        <v>0.32788792700000002</v>
      </c>
      <c r="V3260" s="2">
        <v>2.8117942760000001</v>
      </c>
      <c r="W3260" s="2">
        <v>2.835784608</v>
      </c>
      <c r="X3260">
        <f t="shared" si="150"/>
        <v>0</v>
      </c>
      <c r="Y3260">
        <f t="shared" si="151"/>
        <v>0</v>
      </c>
      <c r="Z3260">
        <f t="shared" si="152"/>
        <v>1</v>
      </c>
    </row>
    <row r="3261" spans="1:26" ht="15.75" customHeight="1" x14ac:dyDescent="0.2">
      <c r="A3261" s="2" t="s">
        <v>36</v>
      </c>
      <c r="B3261" s="2" t="s">
        <v>35</v>
      </c>
      <c r="C3261" s="2" t="s">
        <v>27</v>
      </c>
      <c r="D3261" s="2" t="s">
        <v>27</v>
      </c>
      <c r="E3261" s="2">
        <v>139</v>
      </c>
      <c r="F3261" s="2">
        <v>212</v>
      </c>
      <c r="G3261" s="2">
        <v>507</v>
      </c>
      <c r="H3261" s="2">
        <v>2312</v>
      </c>
      <c r="I3261" s="2">
        <v>3090</v>
      </c>
      <c r="J3261" s="2">
        <v>2.09</v>
      </c>
      <c r="K3261" s="2">
        <v>4.9800000000000004</v>
      </c>
      <c r="L3261" s="2">
        <v>13.98</v>
      </c>
      <c r="M3261" s="2">
        <v>15.87</v>
      </c>
      <c r="N3261" s="2">
        <v>0.16159412100000001</v>
      </c>
      <c r="O3261" s="2">
        <v>0.16700384800000001</v>
      </c>
      <c r="P3261" s="2">
        <v>2.2904476379999998</v>
      </c>
      <c r="Q3261" s="2">
        <v>2.379972875</v>
      </c>
      <c r="R3261" s="2">
        <v>9.2674953000000004E-2</v>
      </c>
      <c r="S3261" s="2">
        <v>0.23267495299999999</v>
      </c>
      <c r="T3261" s="2">
        <v>2.288571986</v>
      </c>
      <c r="U3261" s="2">
        <v>2.3685719860000001</v>
      </c>
      <c r="V3261" s="2">
        <v>1.6219692290000001</v>
      </c>
      <c r="W3261" s="2">
        <v>1.645959561</v>
      </c>
      <c r="X3261">
        <f t="shared" si="150"/>
        <v>0</v>
      </c>
      <c r="Y3261">
        <f t="shared" si="151"/>
        <v>0</v>
      </c>
      <c r="Z3261">
        <f t="shared" si="152"/>
        <v>0</v>
      </c>
    </row>
    <row r="3262" spans="1:26" ht="15.75" customHeight="1" x14ac:dyDescent="0.2">
      <c r="A3262" s="2" t="s">
        <v>36</v>
      </c>
      <c r="B3262" s="2" t="s">
        <v>35</v>
      </c>
      <c r="C3262" s="2" t="s">
        <v>30</v>
      </c>
      <c r="D3262" s="2" t="s">
        <v>31</v>
      </c>
      <c r="E3262" s="2">
        <v>263</v>
      </c>
      <c r="F3262" s="2">
        <v>158</v>
      </c>
      <c r="G3262" s="2">
        <v>661</v>
      </c>
      <c r="H3262" s="2">
        <v>1514</v>
      </c>
      <c r="I3262" s="2">
        <v>3313</v>
      </c>
      <c r="J3262" s="2">
        <v>1.47</v>
      </c>
      <c r="K3262" s="2">
        <v>6.23</v>
      </c>
      <c r="L3262" s="2">
        <v>11.16</v>
      </c>
      <c r="M3262" s="2">
        <v>16.309999999999999</v>
      </c>
      <c r="N3262" s="2">
        <v>3.232365164</v>
      </c>
      <c r="O3262" s="2">
        <v>3.2343177870000002</v>
      </c>
      <c r="P3262" s="2">
        <v>1.443895302</v>
      </c>
      <c r="Q3262" s="2">
        <v>1.5494773669999999</v>
      </c>
      <c r="R3262" s="2">
        <v>1.341316291</v>
      </c>
      <c r="S3262" s="2">
        <v>1.481316291</v>
      </c>
      <c r="T3262" s="2">
        <v>0.53451309599999997</v>
      </c>
      <c r="U3262" s="2">
        <v>0.45451309600000001</v>
      </c>
      <c r="V3262" s="2">
        <v>2.870610568</v>
      </c>
      <c r="W3262" s="2">
        <v>2.8946008999999999</v>
      </c>
      <c r="X3262">
        <f t="shared" si="150"/>
        <v>0</v>
      </c>
      <c r="Y3262">
        <f t="shared" si="151"/>
        <v>0</v>
      </c>
      <c r="Z3262">
        <f t="shared" si="152"/>
        <v>1</v>
      </c>
    </row>
    <row r="3263" spans="1:26" ht="15.75" customHeight="1" x14ac:dyDescent="0.2">
      <c r="A3263" s="2" t="s">
        <v>36</v>
      </c>
      <c r="B3263" s="2" t="s">
        <v>35</v>
      </c>
      <c r="C3263" s="2" t="s">
        <v>27</v>
      </c>
      <c r="D3263" s="2" t="s">
        <v>27</v>
      </c>
      <c r="E3263" s="2">
        <v>132</v>
      </c>
      <c r="F3263" s="2">
        <v>278</v>
      </c>
      <c r="G3263" s="2">
        <v>522</v>
      </c>
      <c r="H3263" s="2">
        <v>2507</v>
      </c>
      <c r="I3263" s="2">
        <v>3171</v>
      </c>
      <c r="J3263" s="2">
        <v>2.8</v>
      </c>
      <c r="K3263" s="2">
        <v>5.1100000000000003</v>
      </c>
      <c r="L3263" s="2">
        <v>14.52</v>
      </c>
      <c r="M3263" s="2">
        <v>16.04</v>
      </c>
      <c r="N3263" s="2">
        <v>0.39470054599999999</v>
      </c>
      <c r="O3263" s="2">
        <v>0.50661967399999996</v>
      </c>
      <c r="P3263" s="2">
        <v>2.835582107</v>
      </c>
      <c r="Q3263" s="2">
        <v>2.929043455</v>
      </c>
      <c r="R3263" s="2">
        <v>0.21568166599999999</v>
      </c>
      <c r="S3263" s="2">
        <v>0.35568166600000001</v>
      </c>
      <c r="T3263" s="2">
        <v>2.8273675570000001</v>
      </c>
      <c r="U3263" s="2">
        <v>2.9073675570000002</v>
      </c>
      <c r="V3263" s="2">
        <v>1.7449759419999999</v>
      </c>
      <c r="W3263" s="2">
        <v>1.7689662740000001</v>
      </c>
      <c r="X3263">
        <f t="shared" si="150"/>
        <v>0</v>
      </c>
      <c r="Y3263">
        <f t="shared" si="151"/>
        <v>0</v>
      </c>
      <c r="Z3263">
        <f t="shared" si="152"/>
        <v>0</v>
      </c>
    </row>
    <row r="3264" spans="1:26" ht="15.75" customHeight="1" x14ac:dyDescent="0.2">
      <c r="A3264" s="2" t="s">
        <v>36</v>
      </c>
      <c r="B3264" s="2" t="s">
        <v>35</v>
      </c>
      <c r="C3264" s="2" t="s">
        <v>26</v>
      </c>
      <c r="D3264" s="2" t="s">
        <v>26</v>
      </c>
      <c r="E3264" s="2">
        <v>152</v>
      </c>
      <c r="F3264" s="2">
        <v>240</v>
      </c>
      <c r="G3264" s="2">
        <v>473</v>
      </c>
      <c r="H3264" s="2">
        <v>921</v>
      </c>
      <c r="I3264" s="2">
        <v>3163</v>
      </c>
      <c r="J3264" s="2">
        <v>2.39</v>
      </c>
      <c r="K3264" s="2">
        <v>4.6900000000000004</v>
      </c>
      <c r="L3264" s="2">
        <v>8.0399999999999991</v>
      </c>
      <c r="M3264" s="2">
        <v>16.02</v>
      </c>
      <c r="N3264" s="2">
        <v>0.36395844700000002</v>
      </c>
      <c r="O3264" s="2">
        <v>0.44136441799999998</v>
      </c>
      <c r="P3264" s="2">
        <v>3.653002538</v>
      </c>
      <c r="Q3264" s="2">
        <v>3.56784167</v>
      </c>
      <c r="R3264" s="2">
        <v>0.20490411</v>
      </c>
      <c r="S3264" s="2">
        <v>6.4904110000000001E-2</v>
      </c>
      <c r="T3264" s="2">
        <v>3.6472512730000002</v>
      </c>
      <c r="U3264" s="2">
        <v>3.5672512730000001</v>
      </c>
      <c r="V3264" s="2">
        <v>1.324390167</v>
      </c>
      <c r="W3264" s="2">
        <v>1.3483804989999999</v>
      </c>
      <c r="X3264">
        <f t="shared" si="150"/>
        <v>0</v>
      </c>
      <c r="Y3264">
        <f t="shared" si="151"/>
        <v>0</v>
      </c>
      <c r="Z3264">
        <f t="shared" si="152"/>
        <v>0</v>
      </c>
    </row>
    <row r="3265" spans="1:26" ht="15.75" customHeight="1" x14ac:dyDescent="0.2">
      <c r="A3265" s="2" t="s">
        <v>36</v>
      </c>
      <c r="B3265" s="2" t="s">
        <v>35</v>
      </c>
      <c r="C3265" s="2" t="s">
        <v>27</v>
      </c>
      <c r="D3265" s="2" t="s">
        <v>27</v>
      </c>
      <c r="E3265" s="2">
        <v>122</v>
      </c>
      <c r="F3265" s="2">
        <v>168</v>
      </c>
      <c r="G3265" s="2">
        <v>466</v>
      </c>
      <c r="H3265" s="2">
        <v>2425</v>
      </c>
      <c r="I3265" s="2">
        <v>3062</v>
      </c>
      <c r="J3265" s="2">
        <v>1.59</v>
      </c>
      <c r="K3265" s="2">
        <v>4.62</v>
      </c>
      <c r="L3265" s="2">
        <v>14.3</v>
      </c>
      <c r="M3265" s="2">
        <v>15.82</v>
      </c>
      <c r="N3265" s="2">
        <v>0.39952670899999998</v>
      </c>
      <c r="O3265" s="2">
        <v>0.31447513599999999</v>
      </c>
      <c r="P3265" s="2">
        <v>2.621077418</v>
      </c>
      <c r="Q3265" s="2">
        <v>2.6904305829999999</v>
      </c>
      <c r="R3265" s="2">
        <v>0.26720566000000001</v>
      </c>
      <c r="S3265" s="2">
        <v>0.12720566</v>
      </c>
      <c r="T3265" s="2">
        <v>2.607421709</v>
      </c>
      <c r="U3265" s="2">
        <v>2.6874217090000001</v>
      </c>
      <c r="V3265" s="2">
        <v>1.262088616</v>
      </c>
      <c r="W3265" s="2">
        <v>1.2860789480000001</v>
      </c>
      <c r="X3265">
        <f t="shared" si="150"/>
        <v>0</v>
      </c>
      <c r="Y3265">
        <f t="shared" si="151"/>
        <v>0</v>
      </c>
      <c r="Z3265">
        <f t="shared" si="152"/>
        <v>0</v>
      </c>
    </row>
    <row r="3266" spans="1:26" ht="15.75" customHeight="1" x14ac:dyDescent="0.2">
      <c r="A3266" s="2" t="s">
        <v>36</v>
      </c>
      <c r="B3266" s="2" t="s">
        <v>35</v>
      </c>
      <c r="C3266" s="2" t="s">
        <v>30</v>
      </c>
      <c r="D3266" s="2" t="s">
        <v>31</v>
      </c>
      <c r="E3266" s="2">
        <v>167</v>
      </c>
      <c r="F3266" s="2">
        <v>155</v>
      </c>
      <c r="G3266" s="2">
        <v>658</v>
      </c>
      <c r="H3266" s="2">
        <v>1393</v>
      </c>
      <c r="I3266" s="2">
        <v>2825</v>
      </c>
      <c r="J3266" s="2">
        <v>1.44</v>
      </c>
      <c r="K3266" s="2">
        <v>6.21</v>
      </c>
      <c r="L3266" s="2">
        <v>10.61</v>
      </c>
      <c r="M3266" s="2">
        <v>15.3</v>
      </c>
      <c r="N3266" s="2">
        <v>3.7383586769999999</v>
      </c>
      <c r="O3266" s="2">
        <v>3.7304653829999999</v>
      </c>
      <c r="P3266" s="2">
        <v>1.708353126</v>
      </c>
      <c r="Q3266" s="2">
        <v>1.7722815240000001</v>
      </c>
      <c r="R3266" s="2">
        <v>1.320897518</v>
      </c>
      <c r="S3266" s="2">
        <v>1.4608975179999999</v>
      </c>
      <c r="T3266" s="2">
        <v>1.0833744279999999</v>
      </c>
      <c r="U3266" s="2">
        <v>1.0033744280000001</v>
      </c>
      <c r="V3266" s="2">
        <v>2.8501917940000001</v>
      </c>
      <c r="W3266" s="2">
        <v>2.874182126</v>
      </c>
      <c r="X3266">
        <f t="shared" si="150"/>
        <v>0</v>
      </c>
      <c r="Y3266">
        <f t="shared" si="151"/>
        <v>0</v>
      </c>
      <c r="Z3266">
        <f t="shared" si="152"/>
        <v>1</v>
      </c>
    </row>
    <row r="3267" spans="1:26" ht="15.75" customHeight="1" x14ac:dyDescent="0.2">
      <c r="A3267" s="2" t="s">
        <v>36</v>
      </c>
      <c r="B3267" s="2" t="s">
        <v>35</v>
      </c>
      <c r="C3267" s="2" t="s">
        <v>27</v>
      </c>
      <c r="D3267" s="2" t="s">
        <v>27</v>
      </c>
      <c r="E3267" s="2">
        <v>120</v>
      </c>
      <c r="F3267" s="2">
        <v>275</v>
      </c>
      <c r="G3267" s="2">
        <v>528</v>
      </c>
      <c r="H3267" s="2">
        <v>2344</v>
      </c>
      <c r="I3267" s="2">
        <v>3148</v>
      </c>
      <c r="J3267" s="2">
        <v>2.77</v>
      </c>
      <c r="K3267" s="2">
        <v>5.16</v>
      </c>
      <c r="L3267" s="2">
        <v>14.07</v>
      </c>
      <c r="M3267" s="2">
        <v>15.99</v>
      </c>
      <c r="N3267" s="2">
        <v>0.18273339599999999</v>
      </c>
      <c r="O3267" s="2">
        <v>0.30968714200000003</v>
      </c>
      <c r="P3267" s="2">
        <v>2.3971374380000001</v>
      </c>
      <c r="Q3267" s="2">
        <v>2.4957683689999999</v>
      </c>
      <c r="R3267" s="2">
        <v>0.26958199399999999</v>
      </c>
      <c r="S3267" s="2">
        <v>0.409581994</v>
      </c>
      <c r="T3267" s="2">
        <v>2.3819306130000002</v>
      </c>
      <c r="U3267" s="2">
        <v>2.4619306129999998</v>
      </c>
      <c r="V3267" s="2">
        <v>1.7988762700000001</v>
      </c>
      <c r="W3267" s="2">
        <v>1.8228666019999999</v>
      </c>
      <c r="X3267">
        <f t="shared" ref="X3267:X3330" si="153">IF(B3267="normal",1,0)</f>
        <v>0</v>
      </c>
      <c r="Y3267">
        <f t="shared" ref="Y3267:Y3330" si="154">IF(A3267="lecture",1,0)</f>
        <v>0</v>
      </c>
      <c r="Z3267">
        <f t="shared" ref="Z3267:Z3330" si="155">IF(ISNUMBER(FIND("~",D3267)),1,0)</f>
        <v>0</v>
      </c>
    </row>
    <row r="3268" spans="1:26" ht="15.75" customHeight="1" x14ac:dyDescent="0.2">
      <c r="A3268" s="2" t="s">
        <v>36</v>
      </c>
      <c r="B3268" s="2" t="s">
        <v>35</v>
      </c>
      <c r="C3268" s="2" t="s">
        <v>26</v>
      </c>
      <c r="D3268" s="2" t="s">
        <v>26</v>
      </c>
      <c r="E3268" s="2">
        <v>185</v>
      </c>
      <c r="F3268" s="2">
        <v>220</v>
      </c>
      <c r="G3268" s="2">
        <v>413</v>
      </c>
      <c r="H3268" s="2">
        <v>950</v>
      </c>
      <c r="I3268" s="2">
        <v>3185</v>
      </c>
      <c r="J3268" s="2">
        <v>2.17</v>
      </c>
      <c r="K3268" s="2">
        <v>4.1399999999999997</v>
      </c>
      <c r="L3268" s="2">
        <v>8.2200000000000006</v>
      </c>
      <c r="M3268" s="2">
        <v>16.07</v>
      </c>
      <c r="N3268" s="2">
        <v>0.37555217299999999</v>
      </c>
      <c r="O3268" s="2">
        <v>0.23856152</v>
      </c>
      <c r="P3268" s="2">
        <v>3.5465923450000001</v>
      </c>
      <c r="Q3268" s="2">
        <v>3.4407450169999998</v>
      </c>
      <c r="R3268" s="2">
        <v>0.75395280200000003</v>
      </c>
      <c r="S3268" s="2">
        <v>0.61395280200000002</v>
      </c>
      <c r="T3268" s="2">
        <v>3.4655262859999998</v>
      </c>
      <c r="U3268" s="2">
        <v>3.3855262860000002</v>
      </c>
      <c r="V3268" s="2">
        <v>0.77534147399999997</v>
      </c>
      <c r="W3268" s="2">
        <v>0.79933180599999998</v>
      </c>
      <c r="X3268">
        <f t="shared" si="153"/>
        <v>0</v>
      </c>
      <c r="Y3268">
        <f t="shared" si="154"/>
        <v>0</v>
      </c>
      <c r="Z3268">
        <f t="shared" si="155"/>
        <v>0</v>
      </c>
    </row>
    <row r="3269" spans="1:26" ht="15.75" customHeight="1" x14ac:dyDescent="0.2">
      <c r="A3269" s="2" t="s">
        <v>36</v>
      </c>
      <c r="B3269" s="2" t="s">
        <v>35</v>
      </c>
      <c r="C3269" s="2" t="s">
        <v>30</v>
      </c>
      <c r="D3269" s="2" t="s">
        <v>31</v>
      </c>
      <c r="E3269" s="2">
        <v>112</v>
      </c>
      <c r="F3269" s="2">
        <v>239</v>
      </c>
      <c r="G3269" s="2">
        <v>779</v>
      </c>
      <c r="H3269" s="2">
        <v>1337</v>
      </c>
      <c r="I3269" s="2">
        <v>3361</v>
      </c>
      <c r="J3269" s="2">
        <v>2.38</v>
      </c>
      <c r="K3269" s="2">
        <v>7.09</v>
      </c>
      <c r="L3269" s="2">
        <v>10.34</v>
      </c>
      <c r="M3269" s="2">
        <v>16.399999999999999</v>
      </c>
      <c r="N3269" s="2">
        <v>4.3426324259999998</v>
      </c>
      <c r="O3269" s="2">
        <v>4.3605573529999999</v>
      </c>
      <c r="P3269" s="2">
        <v>2.5832886949999998</v>
      </c>
      <c r="Q3269" s="2">
        <v>2.6646200279999999</v>
      </c>
      <c r="R3269" s="2">
        <v>2.2027069130000001</v>
      </c>
      <c r="S3269" s="2">
        <v>2.3427069129999998</v>
      </c>
      <c r="T3269" s="2">
        <v>1.3496157740000001</v>
      </c>
      <c r="U3269" s="2">
        <v>1.269615774</v>
      </c>
      <c r="V3269" s="2">
        <v>3.7320011900000001</v>
      </c>
      <c r="W3269" s="2">
        <v>3.755991522</v>
      </c>
      <c r="X3269">
        <f t="shared" si="153"/>
        <v>0</v>
      </c>
      <c r="Y3269">
        <f t="shared" si="154"/>
        <v>0</v>
      </c>
      <c r="Z3269">
        <f t="shared" si="155"/>
        <v>1</v>
      </c>
    </row>
    <row r="3270" spans="1:26" ht="15.75" customHeight="1" x14ac:dyDescent="0.2">
      <c r="A3270" s="2" t="s">
        <v>36</v>
      </c>
      <c r="B3270" s="2" t="s">
        <v>35</v>
      </c>
      <c r="C3270" s="2" t="s">
        <v>32</v>
      </c>
      <c r="D3270" s="2" t="s">
        <v>33</v>
      </c>
      <c r="E3270" s="2">
        <v>123</v>
      </c>
      <c r="F3270" s="2">
        <v>242</v>
      </c>
      <c r="G3270" s="2">
        <v>534</v>
      </c>
      <c r="H3270" s="2">
        <v>935</v>
      </c>
      <c r="I3270" s="2">
        <v>2612</v>
      </c>
      <c r="J3270" s="2">
        <v>2.42</v>
      </c>
      <c r="K3270" s="2">
        <v>5.21</v>
      </c>
      <c r="L3270" s="2">
        <v>8.1300000000000008</v>
      </c>
      <c r="M3270" s="2">
        <v>14.79</v>
      </c>
      <c r="N3270" s="2">
        <v>4.3251369720000001</v>
      </c>
      <c r="O3270" s="2">
        <v>4.2587714610000003</v>
      </c>
      <c r="P3270" s="2">
        <v>3.575794202</v>
      </c>
      <c r="Q3270" s="2">
        <v>3.5118396089999999</v>
      </c>
      <c r="R3270" s="2">
        <v>0.32320860600000001</v>
      </c>
      <c r="S3270" s="2">
        <v>0.46320860600000002</v>
      </c>
      <c r="T3270" s="2">
        <v>3.5611571679999998</v>
      </c>
      <c r="U3270" s="2">
        <v>3.4811571680000002</v>
      </c>
      <c r="V3270" s="2">
        <v>1.8525028830000001</v>
      </c>
      <c r="W3270" s="2">
        <v>1.876493215</v>
      </c>
      <c r="X3270">
        <f t="shared" si="153"/>
        <v>0</v>
      </c>
      <c r="Y3270">
        <f t="shared" si="154"/>
        <v>0</v>
      </c>
      <c r="Z3270">
        <f t="shared" si="155"/>
        <v>1</v>
      </c>
    </row>
    <row r="3271" spans="1:26" ht="15.75" customHeight="1" x14ac:dyDescent="0.2">
      <c r="A3271" s="2" t="s">
        <v>36</v>
      </c>
      <c r="B3271" s="2" t="s">
        <v>35</v>
      </c>
      <c r="C3271" s="2" t="s">
        <v>28</v>
      </c>
      <c r="D3271" s="2" t="s">
        <v>29</v>
      </c>
      <c r="E3271" s="2">
        <v>148</v>
      </c>
      <c r="F3271" s="2">
        <v>205</v>
      </c>
      <c r="G3271" s="2">
        <v>354</v>
      </c>
      <c r="H3271" s="2">
        <v>1176</v>
      </c>
      <c r="I3271" s="2">
        <v>2003</v>
      </c>
      <c r="J3271" s="2">
        <v>2.0099999999999998</v>
      </c>
      <c r="K3271" s="2">
        <v>3.57</v>
      </c>
      <c r="L3271" s="2">
        <v>9.52</v>
      </c>
      <c r="M3271" s="2">
        <v>13.02</v>
      </c>
      <c r="N3271" s="2">
        <v>1.491066094</v>
      </c>
      <c r="O3271" s="2">
        <v>1.425498135</v>
      </c>
      <c r="P3271" s="2">
        <v>2.5392104049999999</v>
      </c>
      <c r="Q3271" s="2">
        <v>2.3992900129999999</v>
      </c>
      <c r="R3271" s="2">
        <v>1.3218282669999999</v>
      </c>
      <c r="S3271" s="2">
        <v>1.181828267</v>
      </c>
      <c r="T3271" s="2">
        <v>2.1680312530000001</v>
      </c>
      <c r="U3271" s="2">
        <v>2.088031253</v>
      </c>
      <c r="V3271" s="2">
        <v>0.20746601000000001</v>
      </c>
      <c r="W3271" s="2">
        <v>0.23145634200000001</v>
      </c>
      <c r="X3271">
        <f t="shared" si="153"/>
        <v>0</v>
      </c>
      <c r="Y3271">
        <f t="shared" si="154"/>
        <v>0</v>
      </c>
      <c r="Z3271">
        <f t="shared" si="155"/>
        <v>1</v>
      </c>
    </row>
    <row r="3272" spans="1:26" ht="15.75" customHeight="1" x14ac:dyDescent="0.2">
      <c r="A3272" s="2" t="s">
        <v>36</v>
      </c>
      <c r="B3272" s="2" t="s">
        <v>35</v>
      </c>
      <c r="C3272" s="2" t="s">
        <v>28</v>
      </c>
      <c r="D3272" s="2" t="s">
        <v>29</v>
      </c>
      <c r="E3272" s="2">
        <v>124</v>
      </c>
      <c r="F3272" s="2">
        <v>160</v>
      </c>
      <c r="G3272" s="2">
        <v>339</v>
      </c>
      <c r="H3272" s="2">
        <v>1459</v>
      </c>
      <c r="I3272" s="2">
        <v>2259</v>
      </c>
      <c r="J3272" s="2">
        <v>1.49</v>
      </c>
      <c r="K3272" s="2">
        <v>3.43</v>
      </c>
      <c r="L3272" s="2">
        <v>10.91</v>
      </c>
      <c r="M3272" s="2">
        <v>13.82</v>
      </c>
      <c r="N3272" s="2">
        <v>2.7727375379999999</v>
      </c>
      <c r="O3272" s="2">
        <v>2.740939252</v>
      </c>
      <c r="P3272" s="2">
        <v>1.6579659760000001</v>
      </c>
      <c r="Q3272" s="2">
        <v>1.4968002520000001</v>
      </c>
      <c r="R3272" s="2">
        <v>1.4634067850000001</v>
      </c>
      <c r="S3272" s="2">
        <v>1.323406785</v>
      </c>
      <c r="T3272" s="2">
        <v>0.77928926600000004</v>
      </c>
      <c r="U3272" s="2">
        <v>0.69928926599999996</v>
      </c>
      <c r="V3272" s="2">
        <v>6.5887492000000006E-2</v>
      </c>
      <c r="W3272" s="2">
        <v>8.9877823999999995E-2</v>
      </c>
      <c r="X3272">
        <f t="shared" si="153"/>
        <v>0</v>
      </c>
      <c r="Y3272">
        <f t="shared" si="154"/>
        <v>0</v>
      </c>
      <c r="Z3272">
        <f t="shared" si="155"/>
        <v>1</v>
      </c>
    </row>
    <row r="3273" spans="1:26" ht="15.75" customHeight="1" x14ac:dyDescent="0.2">
      <c r="A3273" s="2" t="s">
        <v>36</v>
      </c>
      <c r="B3273" s="2" t="s">
        <v>35</v>
      </c>
      <c r="C3273" s="2" t="s">
        <v>26</v>
      </c>
      <c r="D3273" s="2" t="s">
        <v>26</v>
      </c>
      <c r="E3273" s="2">
        <v>132</v>
      </c>
      <c r="F3273" s="2">
        <v>287</v>
      </c>
      <c r="G3273" s="2">
        <v>418</v>
      </c>
      <c r="H3273" s="2">
        <v>982</v>
      </c>
      <c r="I3273" s="2">
        <v>2996</v>
      </c>
      <c r="J3273" s="2">
        <v>2.89</v>
      </c>
      <c r="K3273" s="2">
        <v>4.1900000000000004</v>
      </c>
      <c r="L3273" s="2">
        <v>8.42</v>
      </c>
      <c r="M3273" s="2">
        <v>15.68</v>
      </c>
      <c r="N3273" s="2">
        <v>0.311540078</v>
      </c>
      <c r="O3273" s="2">
        <v>0.185812123</v>
      </c>
      <c r="P3273" s="2">
        <v>3.3481211470000001</v>
      </c>
      <c r="Q3273" s="2">
        <v>3.2426839690000002</v>
      </c>
      <c r="R3273" s="2">
        <v>0.70429572500000004</v>
      </c>
      <c r="S3273" s="2">
        <v>0.56429572500000003</v>
      </c>
      <c r="T3273" s="2">
        <v>3.273206799</v>
      </c>
      <c r="U3273" s="2">
        <v>3.1932067989999999</v>
      </c>
      <c r="V3273" s="2">
        <v>0.82499855099999997</v>
      </c>
      <c r="W3273" s="2">
        <v>0.84898888299999997</v>
      </c>
      <c r="X3273">
        <f t="shared" si="153"/>
        <v>0</v>
      </c>
      <c r="Y3273">
        <f t="shared" si="154"/>
        <v>0</v>
      </c>
      <c r="Z3273">
        <f t="shared" si="155"/>
        <v>0</v>
      </c>
    </row>
    <row r="3274" spans="1:26" ht="15.75" customHeight="1" x14ac:dyDescent="0.2">
      <c r="A3274" s="2" t="s">
        <v>36</v>
      </c>
      <c r="B3274" s="2" t="s">
        <v>35</v>
      </c>
      <c r="C3274" s="2" t="s">
        <v>25</v>
      </c>
      <c r="D3274" s="2" t="s">
        <v>25</v>
      </c>
      <c r="E3274" s="2">
        <v>132</v>
      </c>
      <c r="F3274" s="2">
        <v>261</v>
      </c>
      <c r="G3274" s="2">
        <v>822</v>
      </c>
      <c r="H3274" s="2">
        <v>1734</v>
      </c>
      <c r="I3274" s="2">
        <v>2973</v>
      </c>
      <c r="J3274" s="2">
        <v>2.62</v>
      </c>
      <c r="K3274" s="2">
        <v>7.39</v>
      </c>
      <c r="L3274" s="2">
        <v>12.05</v>
      </c>
      <c r="M3274" s="2">
        <v>15.63</v>
      </c>
      <c r="N3274" s="2">
        <v>0.27669875900000002</v>
      </c>
      <c r="O3274" s="2">
        <v>0.23409076000000001</v>
      </c>
      <c r="P3274" s="2">
        <v>2.5256199669999999</v>
      </c>
      <c r="Q3274" s="2">
        <v>2.6763292760000001</v>
      </c>
      <c r="R3274" s="2">
        <v>2.4993109649999998</v>
      </c>
      <c r="S3274" s="2">
        <v>2.639310965</v>
      </c>
      <c r="T3274" s="2">
        <v>0.36359444099999999</v>
      </c>
      <c r="U3274" s="2">
        <v>0.44359444100000001</v>
      </c>
      <c r="V3274" s="2">
        <v>4.0286052410000002</v>
      </c>
      <c r="W3274" s="2">
        <v>4.0525955729999996</v>
      </c>
      <c r="X3274">
        <f t="shared" si="153"/>
        <v>0</v>
      </c>
      <c r="Y3274">
        <f t="shared" si="154"/>
        <v>0</v>
      </c>
      <c r="Z3274">
        <f t="shared" si="155"/>
        <v>0</v>
      </c>
    </row>
    <row r="3275" spans="1:26" ht="15.75" customHeight="1" x14ac:dyDescent="0.2">
      <c r="A3275" s="2" t="s">
        <v>36</v>
      </c>
      <c r="B3275" s="2" t="s">
        <v>35</v>
      </c>
      <c r="C3275" s="2" t="s">
        <v>30</v>
      </c>
      <c r="D3275" s="2" t="s">
        <v>31</v>
      </c>
      <c r="E3275" s="2">
        <v>135</v>
      </c>
      <c r="F3275" s="2">
        <v>265</v>
      </c>
      <c r="G3275" s="2">
        <v>804</v>
      </c>
      <c r="H3275" s="2">
        <v>1630</v>
      </c>
      <c r="I3275" s="2">
        <v>3212</v>
      </c>
      <c r="J3275" s="2">
        <v>2.66</v>
      </c>
      <c r="K3275" s="2">
        <v>7.27</v>
      </c>
      <c r="L3275" s="2">
        <v>11.64</v>
      </c>
      <c r="M3275" s="2">
        <v>16.12</v>
      </c>
      <c r="N3275" s="2">
        <v>3.3810673040000001</v>
      </c>
      <c r="O3275" s="2">
        <v>3.4342326920000001</v>
      </c>
      <c r="P3275" s="2">
        <v>2.3813013110000001</v>
      </c>
      <c r="Q3275" s="2">
        <v>2.5210909899999998</v>
      </c>
      <c r="R3275" s="2">
        <v>2.380859761</v>
      </c>
      <c r="S3275" s="2">
        <v>2.5208597610000001</v>
      </c>
      <c r="T3275" s="2">
        <v>4.5855538000000001E-2</v>
      </c>
      <c r="U3275" s="2">
        <v>3.4144462E-2</v>
      </c>
      <c r="V3275" s="2">
        <v>3.9101540379999999</v>
      </c>
      <c r="W3275" s="2">
        <v>3.9341443699999998</v>
      </c>
      <c r="X3275">
        <f t="shared" si="153"/>
        <v>0</v>
      </c>
      <c r="Y3275">
        <f t="shared" si="154"/>
        <v>0</v>
      </c>
      <c r="Z3275">
        <f t="shared" si="155"/>
        <v>1</v>
      </c>
    </row>
    <row r="3276" spans="1:26" ht="15.75" customHeight="1" x14ac:dyDescent="0.2">
      <c r="A3276" s="2" t="s">
        <v>36</v>
      </c>
      <c r="B3276" s="2" t="s">
        <v>35</v>
      </c>
      <c r="C3276" s="2" t="s">
        <v>28</v>
      </c>
      <c r="D3276" s="2" t="s">
        <v>29</v>
      </c>
      <c r="E3276" s="2">
        <v>131</v>
      </c>
      <c r="F3276" s="2">
        <v>289</v>
      </c>
      <c r="G3276" s="2">
        <v>430</v>
      </c>
      <c r="H3276" s="2">
        <v>1100</v>
      </c>
      <c r="I3276" s="2">
        <v>2048</v>
      </c>
      <c r="J3276" s="2">
        <v>2.92</v>
      </c>
      <c r="K3276" s="2">
        <v>4.29</v>
      </c>
      <c r="L3276" s="2">
        <v>9.11</v>
      </c>
      <c r="M3276" s="2">
        <v>13.17</v>
      </c>
      <c r="N3276" s="2">
        <v>0.78444731599999995</v>
      </c>
      <c r="O3276" s="2">
        <v>0.78149311700000001</v>
      </c>
      <c r="P3276" s="2">
        <v>2.648579276</v>
      </c>
      <c r="Q3276" s="2">
        <v>2.5418655229999998</v>
      </c>
      <c r="R3276" s="2">
        <v>0.59644351500000004</v>
      </c>
      <c r="S3276" s="2">
        <v>0.45644351500000002</v>
      </c>
      <c r="T3276" s="2">
        <v>2.5805478709999998</v>
      </c>
      <c r="U3276" s="2">
        <v>2.5005478710000002</v>
      </c>
      <c r="V3276" s="2">
        <v>0.93285076199999994</v>
      </c>
      <c r="W3276" s="2">
        <v>0.95684109399999995</v>
      </c>
      <c r="X3276">
        <f t="shared" si="153"/>
        <v>0</v>
      </c>
      <c r="Y3276">
        <f t="shared" si="154"/>
        <v>0</v>
      </c>
      <c r="Z3276">
        <f t="shared" si="155"/>
        <v>1</v>
      </c>
    </row>
    <row r="3277" spans="1:26" ht="15.75" customHeight="1" x14ac:dyDescent="0.2">
      <c r="A3277" s="2" t="s">
        <v>36</v>
      </c>
      <c r="B3277" s="2" t="s">
        <v>35</v>
      </c>
      <c r="C3277" s="2" t="s">
        <v>28</v>
      </c>
      <c r="D3277" s="2" t="s">
        <v>29</v>
      </c>
      <c r="E3277" s="2">
        <v>124</v>
      </c>
      <c r="F3277" s="2">
        <v>156</v>
      </c>
      <c r="G3277" s="2">
        <v>405</v>
      </c>
      <c r="H3277" s="2">
        <v>1230</v>
      </c>
      <c r="I3277" s="2">
        <v>2891</v>
      </c>
      <c r="J3277" s="2">
        <v>1.45</v>
      </c>
      <c r="K3277" s="2">
        <v>4.0599999999999996</v>
      </c>
      <c r="L3277" s="2">
        <v>9.81</v>
      </c>
      <c r="M3277" s="2">
        <v>15.45</v>
      </c>
      <c r="N3277" s="2">
        <v>1.517535514</v>
      </c>
      <c r="O3277" s="2">
        <v>1.5036824010000001</v>
      </c>
      <c r="P3277" s="2">
        <v>2.0585627510000002</v>
      </c>
      <c r="Q3277" s="2">
        <v>1.931348888</v>
      </c>
      <c r="R3277" s="2">
        <v>0.82885835100000005</v>
      </c>
      <c r="S3277" s="2">
        <v>0.68885835100000004</v>
      </c>
      <c r="T3277" s="2">
        <v>1.884323336</v>
      </c>
      <c r="U3277" s="2">
        <v>1.8043233359999999</v>
      </c>
      <c r="V3277" s="2">
        <v>0.70043592499999996</v>
      </c>
      <c r="W3277" s="2">
        <v>0.72442625699999996</v>
      </c>
      <c r="X3277">
        <f t="shared" si="153"/>
        <v>0</v>
      </c>
      <c r="Y3277">
        <f t="shared" si="154"/>
        <v>0</v>
      </c>
      <c r="Z3277">
        <f t="shared" si="155"/>
        <v>1</v>
      </c>
    </row>
    <row r="3278" spans="1:26" ht="15.75" customHeight="1" x14ac:dyDescent="0.2">
      <c r="A3278" s="2" t="s">
        <v>36</v>
      </c>
      <c r="B3278" s="2" t="s">
        <v>35</v>
      </c>
      <c r="C3278" s="2" t="s">
        <v>32</v>
      </c>
      <c r="D3278" s="2" t="s">
        <v>33</v>
      </c>
      <c r="E3278" s="2">
        <v>150</v>
      </c>
      <c r="F3278" s="2">
        <v>245</v>
      </c>
      <c r="G3278" s="2">
        <v>791</v>
      </c>
      <c r="H3278" s="2">
        <v>1238</v>
      </c>
      <c r="I3278" s="2">
        <v>3053</v>
      </c>
      <c r="J3278" s="2">
        <v>2.4500000000000002</v>
      </c>
      <c r="K3278" s="2">
        <v>7.18</v>
      </c>
      <c r="L3278" s="2">
        <v>9.85</v>
      </c>
      <c r="M3278" s="2">
        <v>15.8</v>
      </c>
      <c r="N3278" s="2">
        <v>1.9793546099999999</v>
      </c>
      <c r="O3278" s="2">
        <v>1.988133071</v>
      </c>
      <c r="P3278" s="2">
        <v>2.9385914670000002</v>
      </c>
      <c r="Q3278" s="2">
        <v>3.0012108190000002</v>
      </c>
      <c r="R3278" s="2">
        <v>2.2887277350000002</v>
      </c>
      <c r="S3278" s="2">
        <v>2.4287277349999998</v>
      </c>
      <c r="T3278" s="2">
        <v>1.843107474</v>
      </c>
      <c r="U3278" s="2">
        <v>1.7631074739999999</v>
      </c>
      <c r="V3278" s="2">
        <v>3.8180220120000001</v>
      </c>
      <c r="W3278" s="2">
        <v>3.842012344</v>
      </c>
      <c r="X3278">
        <f t="shared" si="153"/>
        <v>0</v>
      </c>
      <c r="Y3278">
        <f t="shared" si="154"/>
        <v>0</v>
      </c>
      <c r="Z3278">
        <f t="shared" si="155"/>
        <v>1</v>
      </c>
    </row>
    <row r="3279" spans="1:26" ht="15.75" customHeight="1" x14ac:dyDescent="0.2">
      <c r="A3279" s="2" t="s">
        <v>36</v>
      </c>
      <c r="B3279" s="2" t="s">
        <v>35</v>
      </c>
      <c r="C3279" s="2" t="s">
        <v>25</v>
      </c>
      <c r="D3279" s="2" t="s">
        <v>25</v>
      </c>
      <c r="E3279" s="2">
        <v>130</v>
      </c>
      <c r="F3279" s="2">
        <v>254</v>
      </c>
      <c r="G3279" s="2">
        <v>830</v>
      </c>
      <c r="H3279" s="2">
        <v>1473</v>
      </c>
      <c r="I3279" s="2">
        <v>2549</v>
      </c>
      <c r="J3279" s="2">
        <v>2.5499999999999998</v>
      </c>
      <c r="K3279" s="2">
        <v>7.44</v>
      </c>
      <c r="L3279" s="2">
        <v>10.97</v>
      </c>
      <c r="M3279" s="2">
        <v>14.63</v>
      </c>
      <c r="N3279" s="2">
        <v>0.83002494900000001</v>
      </c>
      <c r="O3279" s="2">
        <v>0.86693810599999999</v>
      </c>
      <c r="P3279" s="2">
        <v>2.6525360870000001</v>
      </c>
      <c r="Q3279" s="2">
        <v>2.7680367600000002</v>
      </c>
      <c r="R3279" s="2">
        <v>2.5534842869999999</v>
      </c>
      <c r="S3279" s="2">
        <v>2.693484287</v>
      </c>
      <c r="T3279" s="2">
        <v>0.71809866</v>
      </c>
      <c r="U3279" s="2">
        <v>0.63809866000000004</v>
      </c>
      <c r="V3279" s="2">
        <v>4.0827785639999998</v>
      </c>
      <c r="W3279" s="2">
        <v>4.1067688960000002</v>
      </c>
      <c r="X3279">
        <f t="shared" si="153"/>
        <v>0</v>
      </c>
      <c r="Y3279">
        <f t="shared" si="154"/>
        <v>0</v>
      </c>
      <c r="Z3279">
        <f t="shared" si="155"/>
        <v>0</v>
      </c>
    </row>
    <row r="3280" spans="1:26" ht="15.75" customHeight="1" x14ac:dyDescent="0.2">
      <c r="A3280" s="2" t="s">
        <v>36</v>
      </c>
      <c r="B3280" s="2" t="s">
        <v>35</v>
      </c>
      <c r="C3280" s="2" t="s">
        <v>27</v>
      </c>
      <c r="D3280" s="2" t="s">
        <v>27</v>
      </c>
      <c r="E3280" s="2">
        <v>124</v>
      </c>
      <c r="F3280" s="2">
        <v>278</v>
      </c>
      <c r="G3280" s="2">
        <v>537</v>
      </c>
      <c r="H3280" s="2">
        <v>2476</v>
      </c>
      <c r="I3280" s="2">
        <v>3150</v>
      </c>
      <c r="J3280" s="2">
        <v>2.8</v>
      </c>
      <c r="K3280" s="2">
        <v>5.23</v>
      </c>
      <c r="L3280" s="2">
        <v>14.43</v>
      </c>
      <c r="M3280" s="2">
        <v>16</v>
      </c>
      <c r="N3280" s="2">
        <v>0.38089168000000001</v>
      </c>
      <c r="O3280" s="2">
        <v>0.52105358700000004</v>
      </c>
      <c r="P3280" s="2">
        <v>2.764739295</v>
      </c>
      <c r="Q3280" s="2">
        <v>2.8643912889999998</v>
      </c>
      <c r="R3280" s="2">
        <v>0.34289719600000002</v>
      </c>
      <c r="S3280" s="2">
        <v>0.48289719599999997</v>
      </c>
      <c r="T3280" s="2">
        <v>2.7433929510000001</v>
      </c>
      <c r="U3280" s="2">
        <v>2.8233929510000002</v>
      </c>
      <c r="V3280" s="2">
        <v>1.872191473</v>
      </c>
      <c r="W3280" s="2">
        <v>1.8961818050000001</v>
      </c>
      <c r="X3280">
        <f t="shared" si="153"/>
        <v>0</v>
      </c>
      <c r="Y3280">
        <f t="shared" si="154"/>
        <v>0</v>
      </c>
      <c r="Z3280">
        <f t="shared" si="155"/>
        <v>0</v>
      </c>
    </row>
    <row r="3281" spans="1:26" ht="15.75" customHeight="1" x14ac:dyDescent="0.2">
      <c r="A3281" s="2" t="s">
        <v>36</v>
      </c>
      <c r="B3281" s="2" t="s">
        <v>35</v>
      </c>
      <c r="C3281" s="2" t="s">
        <v>32</v>
      </c>
      <c r="D3281" s="2" t="s">
        <v>33</v>
      </c>
      <c r="E3281" s="2">
        <v>140</v>
      </c>
      <c r="F3281" s="2">
        <v>159</v>
      </c>
      <c r="G3281" s="2">
        <v>348</v>
      </c>
      <c r="H3281" s="2">
        <v>1158</v>
      </c>
      <c r="I3281" s="2">
        <v>1804</v>
      </c>
      <c r="J3281" s="2">
        <v>1.48</v>
      </c>
      <c r="K3281" s="2">
        <v>3.52</v>
      </c>
      <c r="L3281" s="2">
        <v>9.43</v>
      </c>
      <c r="M3281" s="2">
        <v>12.32</v>
      </c>
      <c r="N3281" s="2">
        <v>4.6374259220000003</v>
      </c>
      <c r="O3281" s="2">
        <v>4.4996720970000004</v>
      </c>
      <c r="P3281" s="2">
        <v>2.6476026959999999</v>
      </c>
      <c r="Q3281" s="2">
        <v>2.5077715</v>
      </c>
      <c r="R3281" s="2">
        <v>1.374303249</v>
      </c>
      <c r="S3281" s="2">
        <v>1.2343032490000001</v>
      </c>
      <c r="T3281" s="2">
        <v>2.262982681</v>
      </c>
      <c r="U3281" s="2">
        <v>2.1829826809999999</v>
      </c>
      <c r="V3281" s="2">
        <v>0.154991027</v>
      </c>
      <c r="W3281" s="2">
        <v>0.17898135900000001</v>
      </c>
      <c r="X3281">
        <f t="shared" si="153"/>
        <v>0</v>
      </c>
      <c r="Y3281">
        <f t="shared" si="154"/>
        <v>0</v>
      </c>
      <c r="Z3281">
        <f t="shared" si="155"/>
        <v>1</v>
      </c>
    </row>
    <row r="3282" spans="1:26" ht="15.75" customHeight="1" x14ac:dyDescent="0.2">
      <c r="A3282" s="2" t="s">
        <v>36</v>
      </c>
      <c r="B3282" s="2" t="s">
        <v>35</v>
      </c>
      <c r="C3282" s="2" t="s">
        <v>28</v>
      </c>
      <c r="D3282" s="2" t="s">
        <v>29</v>
      </c>
      <c r="E3282" s="2">
        <v>125</v>
      </c>
      <c r="F3282" s="2">
        <v>200</v>
      </c>
      <c r="G3282" s="2">
        <v>415</v>
      </c>
      <c r="H3282" s="2">
        <v>1057</v>
      </c>
      <c r="I3282" s="2">
        <v>2273</v>
      </c>
      <c r="J3282" s="2">
        <v>1.95</v>
      </c>
      <c r="K3282" s="2">
        <v>4.1500000000000004</v>
      </c>
      <c r="L3282" s="2">
        <v>8.86</v>
      </c>
      <c r="M3282" s="2">
        <v>13.87</v>
      </c>
      <c r="N3282" s="2">
        <v>0.61603121800000005</v>
      </c>
      <c r="O3282" s="2">
        <v>0.57037669099999999</v>
      </c>
      <c r="P3282" s="2">
        <v>2.9201475189999999</v>
      </c>
      <c r="Q3282" s="2">
        <v>2.809709453</v>
      </c>
      <c r="R3282" s="2">
        <v>0.73841100500000001</v>
      </c>
      <c r="S3282" s="2">
        <v>0.598411005</v>
      </c>
      <c r="T3282" s="2">
        <v>2.82524525</v>
      </c>
      <c r="U3282" s="2">
        <v>2.74524525</v>
      </c>
      <c r="V3282" s="2">
        <v>0.790883271</v>
      </c>
      <c r="W3282" s="2">
        <v>0.814873603</v>
      </c>
      <c r="X3282">
        <f t="shared" si="153"/>
        <v>0</v>
      </c>
      <c r="Y3282">
        <f t="shared" si="154"/>
        <v>0</v>
      </c>
      <c r="Z3282">
        <f t="shared" si="155"/>
        <v>1</v>
      </c>
    </row>
    <row r="3283" spans="1:26" ht="15.75" customHeight="1" x14ac:dyDescent="0.2">
      <c r="A3283" s="2" t="s">
        <v>36</v>
      </c>
      <c r="B3283" s="2" t="s">
        <v>35</v>
      </c>
      <c r="C3283" s="2" t="s">
        <v>27</v>
      </c>
      <c r="D3283" s="2" t="s">
        <v>27</v>
      </c>
      <c r="E3283" s="2">
        <v>120</v>
      </c>
      <c r="F3283" s="2">
        <v>237</v>
      </c>
      <c r="G3283" s="2">
        <v>539</v>
      </c>
      <c r="H3283" s="2">
        <v>2458</v>
      </c>
      <c r="I3283" s="2">
        <v>3150</v>
      </c>
      <c r="J3283" s="2">
        <v>2.37</v>
      </c>
      <c r="K3283" s="2">
        <v>5.26</v>
      </c>
      <c r="L3283" s="2">
        <v>14.39</v>
      </c>
      <c r="M3283" s="2">
        <v>16</v>
      </c>
      <c r="N3283" s="2">
        <v>0.36246518599999999</v>
      </c>
      <c r="O3283" s="2">
        <v>0.50843893299999998</v>
      </c>
      <c r="P3283" s="2">
        <v>2.7215529759999999</v>
      </c>
      <c r="Q3283" s="2">
        <v>2.8225266100000002</v>
      </c>
      <c r="R3283" s="2">
        <v>0.36535342799999998</v>
      </c>
      <c r="S3283" s="2">
        <v>0.50535342800000005</v>
      </c>
      <c r="T3283" s="2">
        <v>2.6969181440000001</v>
      </c>
      <c r="U3283" s="2">
        <v>2.7769181440000001</v>
      </c>
      <c r="V3283" s="2">
        <v>1.894647704</v>
      </c>
      <c r="W3283" s="2">
        <v>1.9186380359999999</v>
      </c>
      <c r="X3283">
        <f t="shared" si="153"/>
        <v>0</v>
      </c>
      <c r="Y3283">
        <f t="shared" si="154"/>
        <v>0</v>
      </c>
      <c r="Z3283">
        <f t="shared" si="155"/>
        <v>0</v>
      </c>
    </row>
    <row r="3284" spans="1:26" ht="15.75" customHeight="1" x14ac:dyDescent="0.2">
      <c r="A3284" s="2" t="s">
        <v>36</v>
      </c>
      <c r="B3284" s="2" t="s">
        <v>35</v>
      </c>
      <c r="C3284" s="2" t="s">
        <v>26</v>
      </c>
      <c r="D3284" s="2" t="s">
        <v>26</v>
      </c>
      <c r="E3284" s="2">
        <v>143</v>
      </c>
      <c r="F3284" s="2">
        <v>198</v>
      </c>
      <c r="G3284" s="2">
        <v>497</v>
      </c>
      <c r="H3284" s="2">
        <v>924</v>
      </c>
      <c r="I3284" s="2">
        <v>3183</v>
      </c>
      <c r="J3284" s="2">
        <v>1.93</v>
      </c>
      <c r="K3284" s="2">
        <v>4.8899999999999997</v>
      </c>
      <c r="L3284" s="2">
        <v>8.06</v>
      </c>
      <c r="M3284" s="2">
        <v>16.059999999999999</v>
      </c>
      <c r="N3284" s="2">
        <v>0.49680918600000001</v>
      </c>
      <c r="O3284" s="2">
        <v>0.606690489</v>
      </c>
      <c r="P3284" s="2">
        <v>3.6303896779999998</v>
      </c>
      <c r="Q3284" s="2">
        <v>3.553271252</v>
      </c>
      <c r="R3284" s="2">
        <v>3.105413E-3</v>
      </c>
      <c r="S3284" s="2">
        <v>0.14310541299999999</v>
      </c>
      <c r="T3284" s="2">
        <v>3.63038835</v>
      </c>
      <c r="U3284" s="2">
        <v>3.55038835</v>
      </c>
      <c r="V3284" s="2">
        <v>1.532399689</v>
      </c>
      <c r="W3284" s="2">
        <v>1.556390022</v>
      </c>
      <c r="X3284">
        <f t="shared" si="153"/>
        <v>0</v>
      </c>
      <c r="Y3284">
        <f t="shared" si="154"/>
        <v>0</v>
      </c>
      <c r="Z3284">
        <f t="shared" si="155"/>
        <v>0</v>
      </c>
    </row>
    <row r="3285" spans="1:26" ht="15.75" customHeight="1" x14ac:dyDescent="0.2">
      <c r="A3285" s="2" t="s">
        <v>36</v>
      </c>
      <c r="B3285" s="2" t="s">
        <v>35</v>
      </c>
      <c r="C3285" s="2" t="s">
        <v>27</v>
      </c>
      <c r="D3285" s="2" t="s">
        <v>27</v>
      </c>
      <c r="E3285" s="2">
        <v>126</v>
      </c>
      <c r="F3285" s="2">
        <v>243</v>
      </c>
      <c r="G3285" s="2">
        <v>479</v>
      </c>
      <c r="H3285" s="2">
        <v>2379</v>
      </c>
      <c r="I3285" s="2">
        <v>3139</v>
      </c>
      <c r="J3285" s="2">
        <v>2.4300000000000002</v>
      </c>
      <c r="K3285" s="2">
        <v>4.7300000000000004</v>
      </c>
      <c r="L3285" s="2">
        <v>14.17</v>
      </c>
      <c r="M3285" s="2">
        <v>15.98</v>
      </c>
      <c r="N3285" s="2">
        <v>0.259355797</v>
      </c>
      <c r="O3285" s="2">
        <v>0.147824804</v>
      </c>
      <c r="P3285" s="2">
        <v>2.4844761009999998</v>
      </c>
      <c r="Q3285" s="2">
        <v>2.559528657</v>
      </c>
      <c r="R3285" s="2">
        <v>0.15767632600000001</v>
      </c>
      <c r="S3285" s="2">
        <v>1.7676325999999999E-2</v>
      </c>
      <c r="T3285" s="2">
        <v>2.4794676189999998</v>
      </c>
      <c r="U3285" s="2">
        <v>2.5594676189999999</v>
      </c>
      <c r="V3285" s="2">
        <v>1.3716179500000001</v>
      </c>
      <c r="W3285" s="2">
        <v>1.3956082830000001</v>
      </c>
      <c r="X3285">
        <f t="shared" si="153"/>
        <v>0</v>
      </c>
      <c r="Y3285">
        <f t="shared" si="154"/>
        <v>0</v>
      </c>
      <c r="Z3285">
        <f t="shared" si="155"/>
        <v>0</v>
      </c>
    </row>
    <row r="3286" spans="1:26" ht="15.75" customHeight="1" x14ac:dyDescent="0.2">
      <c r="A3286" s="2" t="s">
        <v>36</v>
      </c>
      <c r="B3286" s="2" t="s">
        <v>35</v>
      </c>
      <c r="C3286" s="2" t="s">
        <v>27</v>
      </c>
      <c r="D3286" s="2" t="s">
        <v>27</v>
      </c>
      <c r="E3286" s="2">
        <v>128</v>
      </c>
      <c r="F3286" s="2">
        <v>182</v>
      </c>
      <c r="G3286" s="2">
        <v>563</v>
      </c>
      <c r="H3286" s="2">
        <v>2332</v>
      </c>
      <c r="I3286" s="2">
        <v>3200</v>
      </c>
      <c r="J3286" s="2">
        <v>1.75</v>
      </c>
      <c r="K3286" s="2">
        <v>5.45</v>
      </c>
      <c r="L3286" s="2">
        <v>14.04</v>
      </c>
      <c r="M3286" s="2">
        <v>16.100000000000001</v>
      </c>
      <c r="N3286" s="2">
        <v>0.47393364199999999</v>
      </c>
      <c r="O3286" s="2">
        <v>0.60411534099999997</v>
      </c>
      <c r="P3286" s="2">
        <v>2.4133363490000002</v>
      </c>
      <c r="Q3286" s="2">
        <v>2.5265012530000002</v>
      </c>
      <c r="R3286" s="2">
        <v>0.56257233500000003</v>
      </c>
      <c r="S3286" s="2">
        <v>0.70257233500000005</v>
      </c>
      <c r="T3286" s="2">
        <v>2.346849953</v>
      </c>
      <c r="U3286" s="2">
        <v>2.4268499530000001</v>
      </c>
      <c r="V3286" s="2">
        <v>2.0918666109999999</v>
      </c>
      <c r="W3286" s="2">
        <v>2.1158569429999998</v>
      </c>
      <c r="X3286">
        <f t="shared" si="153"/>
        <v>0</v>
      </c>
      <c r="Y3286">
        <f t="shared" si="154"/>
        <v>0</v>
      </c>
      <c r="Z3286">
        <f t="shared" si="155"/>
        <v>0</v>
      </c>
    </row>
    <row r="3287" spans="1:26" ht="15.75" customHeight="1" x14ac:dyDescent="0.2">
      <c r="A3287" s="2" t="s">
        <v>36</v>
      </c>
      <c r="B3287" s="2" t="s">
        <v>35</v>
      </c>
      <c r="C3287" s="2" t="s">
        <v>32</v>
      </c>
      <c r="D3287" s="2" t="s">
        <v>33</v>
      </c>
      <c r="E3287" s="2">
        <v>160</v>
      </c>
      <c r="F3287" s="2">
        <v>255</v>
      </c>
      <c r="G3287" s="2">
        <v>762</v>
      </c>
      <c r="H3287" s="2">
        <v>1418</v>
      </c>
      <c r="I3287" s="2">
        <v>3329</v>
      </c>
      <c r="J3287" s="2">
        <v>2.5499999999999998</v>
      </c>
      <c r="K3287" s="2">
        <v>6.98</v>
      </c>
      <c r="L3287" s="2">
        <v>10.72</v>
      </c>
      <c r="M3287" s="2">
        <v>16.34</v>
      </c>
      <c r="N3287" s="2">
        <v>1.1959634720000001</v>
      </c>
      <c r="O3287" s="2">
        <v>1.1576312740000001</v>
      </c>
      <c r="P3287" s="2">
        <v>2.3001856909999998</v>
      </c>
      <c r="Q3287" s="2">
        <v>2.397257958</v>
      </c>
      <c r="R3287" s="2">
        <v>2.0875878540000001</v>
      </c>
      <c r="S3287" s="2">
        <v>2.2275878539999998</v>
      </c>
      <c r="T3287" s="2">
        <v>0.96583185299999996</v>
      </c>
      <c r="U3287" s="2">
        <v>0.885831853</v>
      </c>
      <c r="V3287" s="2">
        <v>3.61688213</v>
      </c>
      <c r="W3287" s="2">
        <v>3.6408724619999999</v>
      </c>
      <c r="X3287">
        <f t="shared" si="153"/>
        <v>0</v>
      </c>
      <c r="Y3287">
        <f t="shared" si="154"/>
        <v>0</v>
      </c>
      <c r="Z3287">
        <f t="shared" si="155"/>
        <v>1</v>
      </c>
    </row>
    <row r="3288" spans="1:26" ht="15.75" customHeight="1" x14ac:dyDescent="0.2">
      <c r="A3288" s="2" t="s">
        <v>36</v>
      </c>
      <c r="B3288" s="2" t="s">
        <v>35</v>
      </c>
      <c r="C3288" s="2" t="s">
        <v>28</v>
      </c>
      <c r="D3288" s="2" t="s">
        <v>29</v>
      </c>
      <c r="E3288" s="2">
        <v>115</v>
      </c>
      <c r="F3288" s="2">
        <v>244</v>
      </c>
      <c r="G3288" s="2">
        <v>475</v>
      </c>
      <c r="H3288" s="2">
        <v>1127</v>
      </c>
      <c r="I3288" s="2">
        <v>2894</v>
      </c>
      <c r="J3288" s="2">
        <v>2.44</v>
      </c>
      <c r="K3288" s="2">
        <v>4.7</v>
      </c>
      <c r="L3288" s="2">
        <v>9.26</v>
      </c>
      <c r="M3288" s="2">
        <v>15.45</v>
      </c>
      <c r="N3288" s="2">
        <v>0.934182768</v>
      </c>
      <c r="O3288" s="2">
        <v>0.99432118700000005</v>
      </c>
      <c r="P3288" s="2">
        <v>2.437580885</v>
      </c>
      <c r="Q3288" s="2">
        <v>2.3508576360000002</v>
      </c>
      <c r="R3288" s="2">
        <v>0.18716944999999999</v>
      </c>
      <c r="S3288" s="2">
        <v>4.7169450000000002E-2</v>
      </c>
      <c r="T3288" s="2">
        <v>2.4303843660000002</v>
      </c>
      <c r="U3288" s="2">
        <v>2.3503843660000001</v>
      </c>
      <c r="V3288" s="2">
        <v>1.3421248269999999</v>
      </c>
      <c r="W3288" s="2">
        <v>1.366115159</v>
      </c>
      <c r="X3288">
        <f t="shared" si="153"/>
        <v>0</v>
      </c>
      <c r="Y3288">
        <f t="shared" si="154"/>
        <v>0</v>
      </c>
      <c r="Z3288">
        <f t="shared" si="155"/>
        <v>1</v>
      </c>
    </row>
    <row r="3289" spans="1:26" ht="15.75" customHeight="1" x14ac:dyDescent="0.2">
      <c r="A3289" s="2" t="s">
        <v>36</v>
      </c>
      <c r="B3289" s="2" t="s">
        <v>35</v>
      </c>
      <c r="C3289" s="2" t="s">
        <v>26</v>
      </c>
      <c r="D3289" s="2" t="s">
        <v>26</v>
      </c>
      <c r="E3289" s="2">
        <v>116</v>
      </c>
      <c r="F3289" s="2">
        <v>239</v>
      </c>
      <c r="G3289" s="2">
        <v>437</v>
      </c>
      <c r="H3289" s="2">
        <v>1033</v>
      </c>
      <c r="I3289" s="2">
        <v>3162</v>
      </c>
      <c r="J3289" s="2">
        <v>2.38</v>
      </c>
      <c r="K3289" s="2">
        <v>4.3600000000000003</v>
      </c>
      <c r="L3289" s="2">
        <v>8.7200000000000006</v>
      </c>
      <c r="M3289" s="2">
        <v>16.02</v>
      </c>
      <c r="N3289" s="2">
        <v>0.39406171099999998</v>
      </c>
      <c r="O3289" s="2">
        <v>0.39128888299999998</v>
      </c>
      <c r="P3289" s="2">
        <v>3.016119754</v>
      </c>
      <c r="Q3289" s="2">
        <v>2.9152952079999999</v>
      </c>
      <c r="R3289" s="2">
        <v>0.53223612799999998</v>
      </c>
      <c r="S3289" s="2">
        <v>0.39223612800000002</v>
      </c>
      <c r="T3289" s="2">
        <v>2.9687881489999999</v>
      </c>
      <c r="U3289" s="2">
        <v>2.8887881489999998</v>
      </c>
      <c r="V3289" s="2">
        <v>0.99705814800000003</v>
      </c>
      <c r="W3289" s="2">
        <v>1.0210484799999999</v>
      </c>
      <c r="X3289">
        <f t="shared" si="153"/>
        <v>0</v>
      </c>
      <c r="Y3289">
        <f t="shared" si="154"/>
        <v>0</v>
      </c>
      <c r="Z3289">
        <f t="shared" si="155"/>
        <v>0</v>
      </c>
    </row>
    <row r="3290" spans="1:26" ht="15.75" customHeight="1" x14ac:dyDescent="0.2">
      <c r="A3290" s="2" t="s">
        <v>36</v>
      </c>
      <c r="B3290" s="2" t="s">
        <v>35</v>
      </c>
      <c r="C3290" s="2" t="s">
        <v>30</v>
      </c>
      <c r="D3290" s="2" t="s">
        <v>31</v>
      </c>
      <c r="E3290" s="2">
        <v>122</v>
      </c>
      <c r="F3290" s="2">
        <v>276</v>
      </c>
      <c r="G3290" s="2">
        <v>706</v>
      </c>
      <c r="H3290" s="2">
        <v>1582</v>
      </c>
      <c r="I3290" s="2">
        <v>2940</v>
      </c>
      <c r="J3290" s="2">
        <v>2.78</v>
      </c>
      <c r="K3290" s="2">
        <v>6.57</v>
      </c>
      <c r="L3290" s="2">
        <v>11.45</v>
      </c>
      <c r="M3290" s="2">
        <v>15.56</v>
      </c>
      <c r="N3290" s="2">
        <v>3.1219116169999999</v>
      </c>
      <c r="O3290" s="2">
        <v>3.1444972660000001</v>
      </c>
      <c r="P3290" s="2">
        <v>1.6949383229999999</v>
      </c>
      <c r="Q3290" s="2">
        <v>1.8246588029999999</v>
      </c>
      <c r="R3290" s="2">
        <v>1.677257722</v>
      </c>
      <c r="S3290" s="2">
        <v>1.8172577219999999</v>
      </c>
      <c r="T3290" s="2">
        <v>0.24417709600000001</v>
      </c>
      <c r="U3290" s="2">
        <v>0.16417709599999999</v>
      </c>
      <c r="V3290" s="2">
        <v>3.2065519980000001</v>
      </c>
      <c r="W3290" s="2">
        <v>3.23054233</v>
      </c>
      <c r="X3290">
        <f t="shared" si="153"/>
        <v>0</v>
      </c>
      <c r="Y3290">
        <f t="shared" si="154"/>
        <v>0</v>
      </c>
      <c r="Z3290">
        <f t="shared" si="155"/>
        <v>1</v>
      </c>
    </row>
    <row r="3291" spans="1:26" ht="15.75" customHeight="1" x14ac:dyDescent="0.2">
      <c r="A3291" s="2" t="s">
        <v>36</v>
      </c>
      <c r="B3291" s="2" t="s">
        <v>35</v>
      </c>
      <c r="C3291" s="2" t="s">
        <v>27</v>
      </c>
      <c r="D3291" s="2" t="s">
        <v>27</v>
      </c>
      <c r="E3291" s="2">
        <v>100</v>
      </c>
      <c r="F3291" s="2">
        <v>277</v>
      </c>
      <c r="G3291" s="2">
        <v>555</v>
      </c>
      <c r="H3291" s="2">
        <v>2336</v>
      </c>
      <c r="I3291" s="2">
        <v>3163</v>
      </c>
      <c r="J3291" s="2">
        <v>2.79</v>
      </c>
      <c r="K3291" s="2">
        <v>5.38</v>
      </c>
      <c r="L3291" s="2">
        <v>14.05</v>
      </c>
      <c r="M3291" s="2">
        <v>16.02</v>
      </c>
      <c r="N3291" s="2">
        <v>0.40410606500000001</v>
      </c>
      <c r="O3291" s="2">
        <v>0.53449635500000003</v>
      </c>
      <c r="P3291" s="2">
        <v>2.4093432570000002</v>
      </c>
      <c r="Q3291" s="2">
        <v>2.5192160590000001</v>
      </c>
      <c r="R3291" s="2">
        <v>0.49355249200000001</v>
      </c>
      <c r="S3291" s="2">
        <v>0.63355249199999997</v>
      </c>
      <c r="T3291" s="2">
        <v>2.358249534</v>
      </c>
      <c r="U3291" s="2">
        <v>2.4382495340000001</v>
      </c>
      <c r="V3291" s="2">
        <v>2.022846768</v>
      </c>
      <c r="W3291" s="2">
        <v>2.0468370999999999</v>
      </c>
      <c r="X3291">
        <f t="shared" si="153"/>
        <v>0</v>
      </c>
      <c r="Y3291">
        <f t="shared" si="154"/>
        <v>0</v>
      </c>
      <c r="Z3291">
        <f t="shared" si="155"/>
        <v>0</v>
      </c>
    </row>
    <row r="3292" spans="1:26" ht="15.75" customHeight="1" x14ac:dyDescent="0.2">
      <c r="A3292" s="2" t="s">
        <v>36</v>
      </c>
      <c r="B3292" s="2" t="s">
        <v>35</v>
      </c>
      <c r="C3292" s="2" t="s">
        <v>30</v>
      </c>
      <c r="D3292" s="2" t="s">
        <v>31</v>
      </c>
      <c r="E3292" s="2">
        <v>155</v>
      </c>
      <c r="F3292" s="2">
        <v>241</v>
      </c>
      <c r="G3292" s="2">
        <v>811</v>
      </c>
      <c r="H3292" s="2">
        <v>1593</v>
      </c>
      <c r="I3292" s="2">
        <v>3522</v>
      </c>
      <c r="J3292" s="2">
        <v>2.4</v>
      </c>
      <c r="K3292" s="2">
        <v>7.32</v>
      </c>
      <c r="L3292" s="2">
        <v>11.49</v>
      </c>
      <c r="M3292" s="2">
        <v>16.7</v>
      </c>
      <c r="N3292" s="2">
        <v>3.5271798240000001</v>
      </c>
      <c r="O3292" s="2">
        <v>3.5773621580000001</v>
      </c>
      <c r="P3292" s="2">
        <v>2.434906185</v>
      </c>
      <c r="Q3292" s="2">
        <v>2.5694453519999998</v>
      </c>
      <c r="R3292" s="2">
        <v>2.4265932879999998</v>
      </c>
      <c r="S3292" s="2">
        <v>2.566593288</v>
      </c>
      <c r="T3292" s="2">
        <v>0.20103021200000001</v>
      </c>
      <c r="U3292" s="2">
        <v>0.121030212</v>
      </c>
      <c r="V3292" s="2">
        <v>3.9558875640000002</v>
      </c>
      <c r="W3292" s="2">
        <v>3.9798778960000001</v>
      </c>
      <c r="X3292">
        <f t="shared" si="153"/>
        <v>0</v>
      </c>
      <c r="Y3292">
        <f t="shared" si="154"/>
        <v>0</v>
      </c>
      <c r="Z3292">
        <f t="shared" si="155"/>
        <v>1</v>
      </c>
    </row>
    <row r="3293" spans="1:26" ht="15.75" customHeight="1" x14ac:dyDescent="0.2">
      <c r="A3293" s="2" t="s">
        <v>36</v>
      </c>
      <c r="B3293" s="2" t="s">
        <v>35</v>
      </c>
      <c r="C3293" s="2" t="s">
        <v>26</v>
      </c>
      <c r="D3293" s="2" t="s">
        <v>26</v>
      </c>
      <c r="E3293" s="2">
        <v>120</v>
      </c>
      <c r="F3293" s="2">
        <v>277</v>
      </c>
      <c r="G3293" s="2">
        <v>490</v>
      </c>
      <c r="H3293" s="2">
        <v>978</v>
      </c>
      <c r="I3293" s="2">
        <v>3015</v>
      </c>
      <c r="J3293" s="2">
        <v>2.79</v>
      </c>
      <c r="K3293" s="2">
        <v>4.83</v>
      </c>
      <c r="L3293" s="2">
        <v>8.39</v>
      </c>
      <c r="M3293" s="2">
        <v>15.72</v>
      </c>
      <c r="N3293" s="2">
        <v>0.34777641999999998</v>
      </c>
      <c r="O3293" s="2">
        <v>0.489188491</v>
      </c>
      <c r="P3293" s="2">
        <v>3.2959606419999998</v>
      </c>
      <c r="Q3293" s="2">
        <v>3.216621435</v>
      </c>
      <c r="R3293" s="2">
        <v>5.5082302E-2</v>
      </c>
      <c r="S3293" s="2">
        <v>8.4917698E-2</v>
      </c>
      <c r="T3293" s="2">
        <v>3.2955003399999998</v>
      </c>
      <c r="U3293" s="2">
        <v>3.2155003400000002</v>
      </c>
      <c r="V3293" s="2">
        <v>1.474211975</v>
      </c>
      <c r="W3293" s="2">
        <v>1.4982023069999999</v>
      </c>
      <c r="X3293">
        <f t="shared" si="153"/>
        <v>0</v>
      </c>
      <c r="Y3293">
        <f t="shared" si="154"/>
        <v>0</v>
      </c>
      <c r="Z3293">
        <f t="shared" si="155"/>
        <v>0</v>
      </c>
    </row>
    <row r="3294" spans="1:26" ht="15.75" customHeight="1" x14ac:dyDescent="0.2">
      <c r="A3294" s="2" t="s">
        <v>36</v>
      </c>
      <c r="B3294" s="2" t="s">
        <v>35</v>
      </c>
      <c r="C3294" s="2" t="s">
        <v>26</v>
      </c>
      <c r="D3294" s="2" t="s">
        <v>26</v>
      </c>
      <c r="E3294" s="2">
        <v>145</v>
      </c>
      <c r="F3294" s="2">
        <v>216</v>
      </c>
      <c r="G3294" s="2">
        <v>500</v>
      </c>
      <c r="H3294" s="2">
        <v>941</v>
      </c>
      <c r="I3294" s="2">
        <v>3039</v>
      </c>
      <c r="J3294" s="2">
        <v>2.13</v>
      </c>
      <c r="K3294" s="2">
        <v>4.92</v>
      </c>
      <c r="L3294" s="2">
        <v>8.16</v>
      </c>
      <c r="M3294" s="2">
        <v>15.77</v>
      </c>
      <c r="N3294" s="2">
        <v>0.47029520899999999</v>
      </c>
      <c r="O3294" s="2">
        <v>0.59559413000000005</v>
      </c>
      <c r="P3294" s="2">
        <v>3.5258434940000001</v>
      </c>
      <c r="Q3294" s="2">
        <v>3.4499917999999998</v>
      </c>
      <c r="R3294" s="2">
        <v>3.2081019000000002E-2</v>
      </c>
      <c r="S3294" s="2">
        <v>0.172081019</v>
      </c>
      <c r="T3294" s="2">
        <v>3.525697541</v>
      </c>
      <c r="U3294" s="2">
        <v>3.4456975409999999</v>
      </c>
      <c r="V3294" s="2">
        <v>1.5613752949999999</v>
      </c>
      <c r="W3294" s="2">
        <v>1.5853656270000001</v>
      </c>
      <c r="X3294">
        <f t="shared" si="153"/>
        <v>0</v>
      </c>
      <c r="Y3294">
        <f t="shared" si="154"/>
        <v>0</v>
      </c>
      <c r="Z3294">
        <f t="shared" si="155"/>
        <v>0</v>
      </c>
    </row>
    <row r="3295" spans="1:26" ht="15.75" customHeight="1" x14ac:dyDescent="0.2">
      <c r="A3295" s="2" t="s">
        <v>36</v>
      </c>
      <c r="B3295" s="2" t="s">
        <v>35</v>
      </c>
      <c r="C3295" s="2" t="s">
        <v>26</v>
      </c>
      <c r="D3295" s="2" t="s">
        <v>26</v>
      </c>
      <c r="E3295" s="2">
        <v>151</v>
      </c>
      <c r="F3295" s="2">
        <v>179</v>
      </c>
      <c r="G3295" s="2">
        <v>380</v>
      </c>
      <c r="H3295" s="2">
        <v>908</v>
      </c>
      <c r="I3295" s="2">
        <v>3214</v>
      </c>
      <c r="J3295" s="2">
        <v>1.71</v>
      </c>
      <c r="K3295" s="2">
        <v>3.83</v>
      </c>
      <c r="L3295" s="2">
        <v>7.96</v>
      </c>
      <c r="M3295" s="2">
        <v>16.12</v>
      </c>
      <c r="N3295" s="2">
        <v>0.77135596900000003</v>
      </c>
      <c r="O3295" s="2">
        <v>0.64309559699999996</v>
      </c>
      <c r="P3295" s="2">
        <v>3.8825315890000001</v>
      </c>
      <c r="Q3295" s="2">
        <v>3.7689432909999998</v>
      </c>
      <c r="R3295" s="2">
        <v>1.0630408769999999</v>
      </c>
      <c r="S3295" s="2">
        <v>0.92304087700000004</v>
      </c>
      <c r="T3295" s="2">
        <v>3.7341659890000001</v>
      </c>
      <c r="U3295" s="2">
        <v>3.654165989</v>
      </c>
      <c r="V3295" s="2">
        <v>0.46625339900000001</v>
      </c>
      <c r="W3295" s="2">
        <v>0.49024373100000002</v>
      </c>
      <c r="X3295">
        <f t="shared" si="153"/>
        <v>0</v>
      </c>
      <c r="Y3295">
        <f t="shared" si="154"/>
        <v>0</v>
      </c>
      <c r="Z3295">
        <f t="shared" si="155"/>
        <v>0</v>
      </c>
    </row>
    <row r="3296" spans="1:26" ht="15.75" customHeight="1" x14ac:dyDescent="0.2">
      <c r="A3296" s="2" t="s">
        <v>36</v>
      </c>
      <c r="B3296" s="2" t="s">
        <v>35</v>
      </c>
      <c r="C3296" s="2" t="s">
        <v>25</v>
      </c>
      <c r="D3296" s="2" t="s">
        <v>25</v>
      </c>
      <c r="E3296" s="2">
        <v>177</v>
      </c>
      <c r="F3296" s="2">
        <v>263</v>
      </c>
      <c r="G3296" s="2">
        <v>816</v>
      </c>
      <c r="H3296" s="2">
        <v>1677</v>
      </c>
      <c r="I3296" s="2">
        <v>2981</v>
      </c>
      <c r="J3296" s="2">
        <v>2.64</v>
      </c>
      <c r="K3296" s="2">
        <v>7.35</v>
      </c>
      <c r="L3296" s="2">
        <v>11.83</v>
      </c>
      <c r="M3296" s="2">
        <v>15.64</v>
      </c>
      <c r="N3296" s="2">
        <v>0.155131884</v>
      </c>
      <c r="O3296" s="2">
        <v>2.8662321000000001E-2</v>
      </c>
      <c r="P3296" s="2">
        <v>2.462646662</v>
      </c>
      <c r="Q3296" s="2">
        <v>2.6080498209999998</v>
      </c>
      <c r="R3296" s="2">
        <v>2.458476042</v>
      </c>
      <c r="S3296" s="2">
        <v>2.5984760420000002</v>
      </c>
      <c r="T3296" s="2">
        <v>0.14326246300000001</v>
      </c>
      <c r="U3296" s="2">
        <v>0.22326246299999999</v>
      </c>
      <c r="V3296" s="2">
        <v>3.9877703179999999</v>
      </c>
      <c r="W3296" s="2">
        <v>4.0117606500000003</v>
      </c>
      <c r="X3296">
        <f t="shared" si="153"/>
        <v>0</v>
      </c>
      <c r="Y3296">
        <f t="shared" si="154"/>
        <v>0</v>
      </c>
      <c r="Z3296">
        <f t="shared" si="155"/>
        <v>0</v>
      </c>
    </row>
    <row r="3297" spans="1:26" ht="15.75" customHeight="1" x14ac:dyDescent="0.2">
      <c r="A3297" s="2" t="s">
        <v>36</v>
      </c>
      <c r="B3297" s="2" t="s">
        <v>35</v>
      </c>
      <c r="C3297" s="2" t="s">
        <v>25</v>
      </c>
      <c r="D3297" s="2" t="s">
        <v>25</v>
      </c>
      <c r="E3297" s="2">
        <v>130</v>
      </c>
      <c r="F3297" s="2">
        <v>241</v>
      </c>
      <c r="G3297" s="2">
        <v>846</v>
      </c>
      <c r="H3297" s="2">
        <v>1680</v>
      </c>
      <c r="I3297" s="2">
        <v>3000</v>
      </c>
      <c r="J3297" s="2">
        <v>2.41</v>
      </c>
      <c r="K3297" s="2">
        <v>7.56</v>
      </c>
      <c r="L3297" s="2">
        <v>11.84</v>
      </c>
      <c r="M3297" s="2">
        <v>15.69</v>
      </c>
      <c r="N3297" s="2">
        <v>6.9801786000000005E-2</v>
      </c>
      <c r="O3297" s="2">
        <v>0.23568635800000001</v>
      </c>
      <c r="P3297" s="2">
        <v>2.669713872</v>
      </c>
      <c r="Q3297" s="2">
        <v>2.814973347</v>
      </c>
      <c r="R3297" s="2">
        <v>2.6653533669999998</v>
      </c>
      <c r="S3297" s="2">
        <v>2.8053533669999999</v>
      </c>
      <c r="T3297" s="2">
        <v>0.152524041</v>
      </c>
      <c r="U3297" s="2">
        <v>0.23252404099999999</v>
      </c>
      <c r="V3297" s="2">
        <v>4.1946476439999998</v>
      </c>
      <c r="W3297" s="2">
        <v>4.2186379760000001</v>
      </c>
      <c r="X3297">
        <f t="shared" si="153"/>
        <v>0</v>
      </c>
      <c r="Y3297">
        <f t="shared" si="154"/>
        <v>0</v>
      </c>
      <c r="Z3297">
        <f t="shared" si="155"/>
        <v>0</v>
      </c>
    </row>
    <row r="3298" spans="1:26" ht="15.75" customHeight="1" x14ac:dyDescent="0.2">
      <c r="A3298" s="2" t="s">
        <v>36</v>
      </c>
      <c r="B3298" s="2" t="s">
        <v>35</v>
      </c>
      <c r="C3298" s="2" t="s">
        <v>25</v>
      </c>
      <c r="D3298" s="2" t="s">
        <v>25</v>
      </c>
      <c r="E3298" s="2">
        <v>119</v>
      </c>
      <c r="F3298" s="2">
        <v>239</v>
      </c>
      <c r="G3298" s="2">
        <v>760</v>
      </c>
      <c r="H3298" s="2">
        <v>1830</v>
      </c>
      <c r="I3298" s="2">
        <v>2916</v>
      </c>
      <c r="J3298" s="2">
        <v>2.38</v>
      </c>
      <c r="K3298" s="2">
        <v>6.96</v>
      </c>
      <c r="L3298" s="2">
        <v>12.41</v>
      </c>
      <c r="M3298" s="2">
        <v>15.5</v>
      </c>
      <c r="N3298" s="2">
        <v>0.81854547300000002</v>
      </c>
      <c r="O3298" s="2">
        <v>0.686728597</v>
      </c>
      <c r="P3298" s="2">
        <v>2.191690098</v>
      </c>
      <c r="Q3298" s="2">
        <v>2.3504398040000001</v>
      </c>
      <c r="R3298" s="2">
        <v>2.0686616010000001</v>
      </c>
      <c r="S3298" s="2">
        <v>2.2086616010000002</v>
      </c>
      <c r="T3298" s="2">
        <v>0.72397836199999999</v>
      </c>
      <c r="U3298" s="2">
        <v>0.80397836199999995</v>
      </c>
      <c r="V3298" s="2">
        <v>3.597955877</v>
      </c>
      <c r="W3298" s="2">
        <v>3.6219462089999999</v>
      </c>
      <c r="X3298">
        <f t="shared" si="153"/>
        <v>0</v>
      </c>
      <c r="Y3298">
        <f t="shared" si="154"/>
        <v>0</v>
      </c>
      <c r="Z3298">
        <f t="shared" si="155"/>
        <v>0</v>
      </c>
    </row>
    <row r="3299" spans="1:26" ht="15.75" customHeight="1" x14ac:dyDescent="0.2">
      <c r="A3299" s="2" t="s">
        <v>36</v>
      </c>
      <c r="B3299" s="2" t="s">
        <v>35</v>
      </c>
      <c r="C3299" s="2" t="s">
        <v>28</v>
      </c>
      <c r="D3299" s="2" t="s">
        <v>29</v>
      </c>
      <c r="E3299" s="2">
        <v>77</v>
      </c>
      <c r="F3299" s="2">
        <v>250</v>
      </c>
      <c r="G3299" s="2">
        <v>450</v>
      </c>
      <c r="H3299" s="2">
        <v>641</v>
      </c>
      <c r="I3299" s="2">
        <v>1940</v>
      </c>
      <c r="J3299" s="2">
        <v>2.5</v>
      </c>
      <c r="K3299" s="2">
        <v>4.4800000000000004</v>
      </c>
      <c r="L3299" s="2">
        <v>6.08</v>
      </c>
      <c r="M3299" s="2">
        <v>12.81</v>
      </c>
      <c r="N3299" s="2">
        <v>2.2728715240000001</v>
      </c>
      <c r="O3299" s="2">
        <v>2.2565371930000002</v>
      </c>
      <c r="P3299" s="2">
        <v>5.627870326</v>
      </c>
      <c r="Q3299" s="2">
        <v>5.5394763420000004</v>
      </c>
      <c r="R3299" s="2">
        <v>0.41096805400000003</v>
      </c>
      <c r="S3299" s="2">
        <v>0.27096805400000001</v>
      </c>
      <c r="T3299" s="2">
        <v>5.6128450599999997</v>
      </c>
      <c r="U3299" s="2">
        <v>5.5328450599999996</v>
      </c>
      <c r="V3299" s="2">
        <v>1.1183262220000001</v>
      </c>
      <c r="W3299" s="2">
        <v>1.142316554</v>
      </c>
      <c r="X3299">
        <f t="shared" si="153"/>
        <v>0</v>
      </c>
      <c r="Y3299">
        <f t="shared" si="154"/>
        <v>0</v>
      </c>
      <c r="Z3299">
        <f t="shared" si="155"/>
        <v>1</v>
      </c>
    </row>
    <row r="3300" spans="1:26" ht="15.75" customHeight="1" x14ac:dyDescent="0.2">
      <c r="A3300" s="2" t="s">
        <v>36</v>
      </c>
      <c r="B3300" s="2" t="s">
        <v>35</v>
      </c>
      <c r="C3300" s="2" t="s">
        <v>30</v>
      </c>
      <c r="D3300" s="2" t="s">
        <v>31</v>
      </c>
      <c r="E3300" s="2">
        <v>101</v>
      </c>
      <c r="F3300" s="2">
        <v>280</v>
      </c>
      <c r="G3300" s="2">
        <v>691</v>
      </c>
      <c r="H3300" s="2">
        <v>1277</v>
      </c>
      <c r="I3300" s="2">
        <v>3330</v>
      </c>
      <c r="J3300" s="2">
        <v>2.82</v>
      </c>
      <c r="K3300" s="2">
        <v>6.46</v>
      </c>
      <c r="L3300" s="2">
        <v>10.050000000000001</v>
      </c>
      <c r="M3300" s="2">
        <v>16.350000000000001</v>
      </c>
      <c r="N3300" s="2">
        <v>4.3496048710000004</v>
      </c>
      <c r="O3300" s="2">
        <v>4.3431376129999997</v>
      </c>
      <c r="P3300" s="2">
        <v>2.2733043940000002</v>
      </c>
      <c r="Q3300" s="2">
        <v>2.3174895069999999</v>
      </c>
      <c r="R3300" s="2">
        <v>1.570688962</v>
      </c>
      <c r="S3300" s="2">
        <v>1.7106889620000001</v>
      </c>
      <c r="T3300" s="2">
        <v>1.6434260119999999</v>
      </c>
      <c r="U3300" s="2">
        <v>1.5634260120000001</v>
      </c>
      <c r="V3300" s="2">
        <v>3.0999832380000001</v>
      </c>
      <c r="W3300" s="2">
        <v>3.12397357</v>
      </c>
      <c r="X3300">
        <f t="shared" si="153"/>
        <v>0</v>
      </c>
      <c r="Y3300">
        <f t="shared" si="154"/>
        <v>0</v>
      </c>
      <c r="Z3300">
        <f t="shared" si="155"/>
        <v>1</v>
      </c>
    </row>
    <row r="3301" spans="1:26" ht="15.75" customHeight="1" x14ac:dyDescent="0.2">
      <c r="A3301" s="2" t="s">
        <v>36</v>
      </c>
      <c r="B3301" s="2" t="s">
        <v>35</v>
      </c>
      <c r="C3301" s="2" t="s">
        <v>32</v>
      </c>
      <c r="D3301" s="2" t="s">
        <v>33</v>
      </c>
      <c r="E3301" s="2">
        <v>247</v>
      </c>
      <c r="F3301" s="2">
        <v>202</v>
      </c>
      <c r="G3301" s="2">
        <v>529</v>
      </c>
      <c r="H3301" s="2">
        <v>1110</v>
      </c>
      <c r="I3301" s="2">
        <v>2965</v>
      </c>
      <c r="J3301" s="2">
        <v>1.97</v>
      </c>
      <c r="K3301" s="2">
        <v>5.17</v>
      </c>
      <c r="L3301" s="2">
        <v>9.16</v>
      </c>
      <c r="M3301" s="2">
        <v>15.61</v>
      </c>
      <c r="N3301" s="2">
        <v>3.5211860399999999</v>
      </c>
      <c r="O3301" s="2">
        <v>3.4279521399999999</v>
      </c>
      <c r="P3301" s="2">
        <v>2.5435857560000001</v>
      </c>
      <c r="Q3301" s="2">
        <v>2.4837779449999999</v>
      </c>
      <c r="R3301" s="2">
        <v>0.278067497</v>
      </c>
      <c r="S3301" s="2">
        <v>0.41806749700000001</v>
      </c>
      <c r="T3301" s="2">
        <v>2.5283407539999998</v>
      </c>
      <c r="U3301" s="2">
        <v>2.4483407540000002</v>
      </c>
      <c r="V3301" s="2">
        <v>1.807361773</v>
      </c>
      <c r="W3301" s="2">
        <v>1.8313521049999999</v>
      </c>
      <c r="X3301">
        <f t="shared" si="153"/>
        <v>0</v>
      </c>
      <c r="Y3301">
        <f t="shared" si="154"/>
        <v>0</v>
      </c>
      <c r="Z3301">
        <f t="shared" si="155"/>
        <v>1</v>
      </c>
    </row>
    <row r="3302" spans="1:26" ht="15.75" customHeight="1" x14ac:dyDescent="0.2">
      <c r="A3302" s="2" t="s">
        <v>36</v>
      </c>
      <c r="B3302" s="2" t="s">
        <v>35</v>
      </c>
      <c r="C3302" s="2" t="s">
        <v>26</v>
      </c>
      <c r="D3302" s="2" t="s">
        <v>26</v>
      </c>
      <c r="E3302" s="2">
        <v>108</v>
      </c>
      <c r="F3302" s="2">
        <v>269</v>
      </c>
      <c r="G3302" s="2">
        <v>475</v>
      </c>
      <c r="H3302" s="2">
        <v>1170</v>
      </c>
      <c r="I3302" s="2">
        <v>3060</v>
      </c>
      <c r="J3302" s="2">
        <v>2.71</v>
      </c>
      <c r="K3302" s="2">
        <v>4.7</v>
      </c>
      <c r="L3302" s="2">
        <v>9.49</v>
      </c>
      <c r="M3302" s="2">
        <v>15.81</v>
      </c>
      <c r="N3302" s="2">
        <v>1.1602303570000001</v>
      </c>
      <c r="O3302" s="2">
        <v>1.212327465</v>
      </c>
      <c r="P3302" s="2">
        <v>2.2068331040000002</v>
      </c>
      <c r="Q3302" s="2">
        <v>2.119035459</v>
      </c>
      <c r="R3302" s="2">
        <v>0.19307776600000001</v>
      </c>
      <c r="S3302" s="2">
        <v>5.3077765999999998E-2</v>
      </c>
      <c r="T3302" s="2">
        <v>2.1983706070000002</v>
      </c>
      <c r="U3302" s="2">
        <v>2.1183706070000001</v>
      </c>
      <c r="V3302" s="2">
        <v>1.3362165109999999</v>
      </c>
      <c r="W3302" s="2">
        <v>1.3602068430000001</v>
      </c>
      <c r="X3302">
        <f t="shared" si="153"/>
        <v>0</v>
      </c>
      <c r="Y3302">
        <f t="shared" si="154"/>
        <v>0</v>
      </c>
      <c r="Z3302">
        <f t="shared" si="155"/>
        <v>0</v>
      </c>
    </row>
    <row r="3303" spans="1:26" ht="15.75" customHeight="1" x14ac:dyDescent="0.2">
      <c r="A3303" s="2" t="s">
        <v>36</v>
      </c>
      <c r="B3303" s="2" t="s">
        <v>35</v>
      </c>
      <c r="C3303" s="2" t="s">
        <v>32</v>
      </c>
      <c r="D3303" s="2" t="s">
        <v>33</v>
      </c>
      <c r="E3303" s="2">
        <v>149</v>
      </c>
      <c r="F3303" s="2">
        <v>241</v>
      </c>
      <c r="G3303" s="2">
        <v>703</v>
      </c>
      <c r="H3303" s="2">
        <v>1067</v>
      </c>
      <c r="I3303" s="2">
        <v>2756</v>
      </c>
      <c r="J3303" s="2">
        <v>2.41</v>
      </c>
      <c r="K3303" s="2">
        <v>6.55</v>
      </c>
      <c r="L3303" s="2">
        <v>8.92</v>
      </c>
      <c r="M3303" s="2">
        <v>15.14</v>
      </c>
      <c r="N3303" s="2">
        <v>3.0312516239999998</v>
      </c>
      <c r="O3303" s="2">
        <v>3.0085803860000002</v>
      </c>
      <c r="P3303" s="2">
        <v>3.2260860849999999</v>
      </c>
      <c r="Q3303" s="2">
        <v>3.2334040040000001</v>
      </c>
      <c r="R3303" s="2">
        <v>1.6575178370000001</v>
      </c>
      <c r="S3303" s="2">
        <v>1.797517837</v>
      </c>
      <c r="T3303" s="2">
        <v>2.7677185639999999</v>
      </c>
      <c r="U3303" s="2">
        <v>2.6877185639999999</v>
      </c>
      <c r="V3303" s="2">
        <v>3.1868121129999998</v>
      </c>
      <c r="W3303" s="2">
        <v>3.2108024450000001</v>
      </c>
      <c r="X3303">
        <f t="shared" si="153"/>
        <v>0</v>
      </c>
      <c r="Y3303">
        <f t="shared" si="154"/>
        <v>0</v>
      </c>
      <c r="Z3303">
        <f t="shared" si="155"/>
        <v>1</v>
      </c>
    </row>
    <row r="3304" spans="1:26" ht="15.75" customHeight="1" x14ac:dyDescent="0.2">
      <c r="A3304" s="2" t="s">
        <v>36</v>
      </c>
      <c r="B3304" s="2" t="s">
        <v>35</v>
      </c>
      <c r="C3304" s="2" t="s">
        <v>28</v>
      </c>
      <c r="D3304" s="2" t="s">
        <v>29</v>
      </c>
      <c r="E3304" s="2">
        <v>125</v>
      </c>
      <c r="F3304" s="2">
        <v>155</v>
      </c>
      <c r="G3304" s="2">
        <v>393</v>
      </c>
      <c r="H3304" s="2">
        <v>1089</v>
      </c>
      <c r="I3304" s="2">
        <v>2127</v>
      </c>
      <c r="J3304" s="2">
        <v>1.43</v>
      </c>
      <c r="K3304" s="2">
        <v>3.94</v>
      </c>
      <c r="L3304" s="2">
        <v>9.0500000000000007</v>
      </c>
      <c r="M3304" s="2">
        <v>13.42</v>
      </c>
      <c r="N3304" s="2">
        <v>0.88538926299999998</v>
      </c>
      <c r="O3304" s="2">
        <v>0.82408774200000001</v>
      </c>
      <c r="P3304" s="2">
        <v>2.8064929099999998</v>
      </c>
      <c r="Q3304" s="2">
        <v>2.6860585170000002</v>
      </c>
      <c r="R3304" s="2">
        <v>0.94533578900000004</v>
      </c>
      <c r="S3304" s="2">
        <v>0.80533578900000002</v>
      </c>
      <c r="T3304" s="2">
        <v>2.642487976</v>
      </c>
      <c r="U3304" s="2">
        <v>2.5624879759999999</v>
      </c>
      <c r="V3304" s="2">
        <v>0.58395848699999997</v>
      </c>
      <c r="W3304" s="2">
        <v>0.60794881899999997</v>
      </c>
      <c r="X3304">
        <f t="shared" si="153"/>
        <v>0</v>
      </c>
      <c r="Y3304">
        <f t="shared" si="154"/>
        <v>0</v>
      </c>
      <c r="Z3304">
        <f t="shared" si="155"/>
        <v>1</v>
      </c>
    </row>
    <row r="3305" spans="1:26" ht="15.75" customHeight="1" x14ac:dyDescent="0.2">
      <c r="A3305" s="2" t="s">
        <v>36</v>
      </c>
      <c r="B3305" s="2" t="s">
        <v>35</v>
      </c>
      <c r="C3305" s="2" t="s">
        <v>32</v>
      </c>
      <c r="D3305" s="2" t="s">
        <v>33</v>
      </c>
      <c r="E3305" s="2">
        <v>134</v>
      </c>
      <c r="F3305" s="2">
        <v>149</v>
      </c>
      <c r="G3305" s="2">
        <v>617</v>
      </c>
      <c r="H3305" s="2">
        <v>1365</v>
      </c>
      <c r="I3305" s="2">
        <v>2838</v>
      </c>
      <c r="J3305" s="2">
        <v>1.36</v>
      </c>
      <c r="K3305" s="2">
        <v>5.89</v>
      </c>
      <c r="L3305" s="2">
        <v>10.48</v>
      </c>
      <c r="M3305" s="2">
        <v>15.33</v>
      </c>
      <c r="N3305" s="2">
        <v>2.0871600539999999</v>
      </c>
      <c r="O3305" s="2">
        <v>1.9718153540000001</v>
      </c>
      <c r="P3305" s="2">
        <v>1.570359107</v>
      </c>
      <c r="Q3305" s="2">
        <v>1.605242523</v>
      </c>
      <c r="R3305" s="2">
        <v>0.99636481200000004</v>
      </c>
      <c r="S3305" s="2">
        <v>1.1363648120000001</v>
      </c>
      <c r="T3305" s="2">
        <v>1.2137894739999999</v>
      </c>
      <c r="U3305" s="2">
        <v>1.1337894740000001</v>
      </c>
      <c r="V3305" s="2">
        <v>2.5256590889999999</v>
      </c>
      <c r="W3305" s="2">
        <v>2.5496494209999998</v>
      </c>
      <c r="X3305">
        <f t="shared" si="153"/>
        <v>0</v>
      </c>
      <c r="Y3305">
        <f t="shared" si="154"/>
        <v>0</v>
      </c>
      <c r="Z3305">
        <f t="shared" si="155"/>
        <v>1</v>
      </c>
    </row>
    <row r="3306" spans="1:26" ht="15.75" customHeight="1" x14ac:dyDescent="0.2">
      <c r="A3306" s="2" t="s">
        <v>36</v>
      </c>
      <c r="B3306" s="2" t="s">
        <v>35</v>
      </c>
      <c r="C3306" s="2" t="s">
        <v>25</v>
      </c>
      <c r="D3306" s="2" t="s">
        <v>25</v>
      </c>
      <c r="E3306" s="2">
        <v>252</v>
      </c>
      <c r="F3306" s="2">
        <v>260</v>
      </c>
      <c r="G3306" s="2">
        <v>802</v>
      </c>
      <c r="H3306" s="2">
        <v>1694</v>
      </c>
      <c r="I3306" s="2">
        <v>3030</v>
      </c>
      <c r="J3306" s="2">
        <v>2.61</v>
      </c>
      <c r="K3306" s="2">
        <v>7.25</v>
      </c>
      <c r="L3306" s="2">
        <v>11.9</v>
      </c>
      <c r="M3306" s="2">
        <v>15.75</v>
      </c>
      <c r="N3306" s="2">
        <v>0.264489588</v>
      </c>
      <c r="O3306" s="2">
        <v>9.5045407999999998E-2</v>
      </c>
      <c r="P3306" s="2">
        <v>2.3740323999999999</v>
      </c>
      <c r="Q3306" s="2">
        <v>2.5214359430000002</v>
      </c>
      <c r="R3306" s="2">
        <v>2.3648008690000002</v>
      </c>
      <c r="S3306" s="2">
        <v>2.5048008689999999</v>
      </c>
      <c r="T3306" s="2">
        <v>0.20915708799999999</v>
      </c>
      <c r="U3306" s="2">
        <v>0.28915708800000001</v>
      </c>
      <c r="V3306" s="2">
        <v>3.8940951450000001</v>
      </c>
      <c r="W3306" s="2">
        <v>3.918085477</v>
      </c>
      <c r="X3306">
        <f t="shared" si="153"/>
        <v>0</v>
      </c>
      <c r="Y3306">
        <f t="shared" si="154"/>
        <v>0</v>
      </c>
      <c r="Z3306">
        <f t="shared" si="155"/>
        <v>0</v>
      </c>
    </row>
    <row r="3307" spans="1:26" ht="15.75" customHeight="1" x14ac:dyDescent="0.2">
      <c r="A3307" s="2" t="s">
        <v>36</v>
      </c>
      <c r="B3307" s="2" t="s">
        <v>35</v>
      </c>
      <c r="C3307" s="2" t="s">
        <v>27</v>
      </c>
      <c r="D3307" s="2" t="s">
        <v>27</v>
      </c>
      <c r="E3307" s="2">
        <v>103</v>
      </c>
      <c r="F3307" s="2">
        <v>179</v>
      </c>
      <c r="G3307" s="2">
        <v>406</v>
      </c>
      <c r="H3307" s="2">
        <v>2245</v>
      </c>
      <c r="I3307" s="2">
        <v>2807</v>
      </c>
      <c r="J3307" s="2">
        <v>1.72</v>
      </c>
      <c r="K3307" s="2">
        <v>4.07</v>
      </c>
      <c r="L3307" s="2">
        <v>13.78</v>
      </c>
      <c r="M3307" s="2">
        <v>15.26</v>
      </c>
      <c r="N3307" s="2">
        <v>0.98870679100000003</v>
      </c>
      <c r="O3307" s="2">
        <v>0.83651542999999995</v>
      </c>
      <c r="P3307" s="2">
        <v>2.2502750890000001</v>
      </c>
      <c r="Q3307" s="2">
        <v>2.2791525359999998</v>
      </c>
      <c r="R3307" s="2">
        <v>0.82259687199999998</v>
      </c>
      <c r="S3307" s="2">
        <v>0.68259687199999997</v>
      </c>
      <c r="T3307" s="2">
        <v>2.0945339249999999</v>
      </c>
      <c r="U3307" s="2">
        <v>2.174533925</v>
      </c>
      <c r="V3307" s="2">
        <v>0.70669740400000003</v>
      </c>
      <c r="W3307" s="2">
        <v>0.730687737</v>
      </c>
      <c r="X3307">
        <f t="shared" si="153"/>
        <v>0</v>
      </c>
      <c r="Y3307">
        <f t="shared" si="154"/>
        <v>0</v>
      </c>
      <c r="Z3307">
        <f t="shared" si="155"/>
        <v>0</v>
      </c>
    </row>
    <row r="3308" spans="1:26" ht="15.75" customHeight="1" x14ac:dyDescent="0.2">
      <c r="A3308" s="2" t="s">
        <v>36</v>
      </c>
      <c r="B3308" s="2" t="s">
        <v>35</v>
      </c>
      <c r="C3308" s="2" t="s">
        <v>30</v>
      </c>
      <c r="D3308" s="2" t="s">
        <v>31</v>
      </c>
      <c r="E3308" s="2">
        <v>128</v>
      </c>
      <c r="F3308" s="2">
        <v>245</v>
      </c>
      <c r="G3308" s="2">
        <v>745</v>
      </c>
      <c r="H3308" s="2">
        <v>1394</v>
      </c>
      <c r="I3308" s="2">
        <v>2889</v>
      </c>
      <c r="J3308" s="2">
        <v>2.4500000000000002</v>
      </c>
      <c r="K3308" s="2">
        <v>6.85</v>
      </c>
      <c r="L3308" s="2">
        <v>10.61</v>
      </c>
      <c r="M3308" s="2">
        <v>15.44</v>
      </c>
      <c r="N3308" s="2">
        <v>3.9893441369999998</v>
      </c>
      <c r="O3308" s="2">
        <v>4.0045850529999996</v>
      </c>
      <c r="P3308" s="2">
        <v>2.2398978779999998</v>
      </c>
      <c r="Q3308" s="2">
        <v>2.3282378669999999</v>
      </c>
      <c r="R3308" s="2">
        <v>1.963900185</v>
      </c>
      <c r="S3308" s="2">
        <v>2.1039001850000001</v>
      </c>
      <c r="T3308" s="2">
        <v>1.077143709</v>
      </c>
      <c r="U3308" s="2">
        <v>0.99714370900000004</v>
      </c>
      <c r="V3308" s="2">
        <v>3.4931944609999999</v>
      </c>
      <c r="W3308" s="2">
        <v>3.5171847930000002</v>
      </c>
      <c r="X3308">
        <f t="shared" si="153"/>
        <v>0</v>
      </c>
      <c r="Y3308">
        <f t="shared" si="154"/>
        <v>0</v>
      </c>
      <c r="Z3308">
        <f t="shared" si="155"/>
        <v>1</v>
      </c>
    </row>
    <row r="3309" spans="1:26" ht="15.75" customHeight="1" x14ac:dyDescent="0.2">
      <c r="A3309" s="2" t="s">
        <v>36</v>
      </c>
      <c r="B3309" s="2" t="s">
        <v>35</v>
      </c>
      <c r="C3309" s="2" t="s">
        <v>25</v>
      </c>
      <c r="D3309" s="2" t="s">
        <v>25</v>
      </c>
      <c r="E3309" s="2">
        <v>89</v>
      </c>
      <c r="F3309" s="2">
        <v>221</v>
      </c>
      <c r="G3309" s="2">
        <v>798</v>
      </c>
      <c r="H3309" s="2">
        <v>1796</v>
      </c>
      <c r="I3309" s="2">
        <v>2959</v>
      </c>
      <c r="J3309" s="2">
        <v>2.19</v>
      </c>
      <c r="K3309" s="2">
        <v>7.22</v>
      </c>
      <c r="L3309" s="2">
        <v>12.29</v>
      </c>
      <c r="M3309" s="2">
        <v>15.6</v>
      </c>
      <c r="N3309" s="2">
        <v>0.56275399699999995</v>
      </c>
      <c r="O3309" s="2">
        <v>0.47063992900000001</v>
      </c>
      <c r="P3309" s="2">
        <v>2.4109960460000002</v>
      </c>
      <c r="Q3309" s="2">
        <v>2.566870583</v>
      </c>
      <c r="R3309" s="2">
        <v>2.334905113</v>
      </c>
      <c r="S3309" s="2">
        <v>2.4749051130000002</v>
      </c>
      <c r="T3309" s="2">
        <v>0.60093264700000004</v>
      </c>
      <c r="U3309" s="2">
        <v>0.680932647</v>
      </c>
      <c r="V3309" s="2">
        <v>3.8641993889999999</v>
      </c>
      <c r="W3309" s="2">
        <v>3.8881897209999998</v>
      </c>
      <c r="X3309">
        <f t="shared" si="153"/>
        <v>0</v>
      </c>
      <c r="Y3309">
        <f t="shared" si="154"/>
        <v>0</v>
      </c>
      <c r="Z3309">
        <f t="shared" si="155"/>
        <v>0</v>
      </c>
    </row>
    <row r="3310" spans="1:26" ht="15.75" customHeight="1" x14ac:dyDescent="0.2">
      <c r="A3310" s="2" t="s">
        <v>36</v>
      </c>
      <c r="B3310" s="2" t="s">
        <v>35</v>
      </c>
      <c r="C3310" s="2" t="s">
        <v>30</v>
      </c>
      <c r="D3310" s="2" t="s">
        <v>31</v>
      </c>
      <c r="E3310" s="2">
        <v>210</v>
      </c>
      <c r="F3310" s="2">
        <v>215</v>
      </c>
      <c r="G3310" s="2">
        <v>713</v>
      </c>
      <c r="H3310" s="2">
        <v>1384</v>
      </c>
      <c r="I3310" s="2">
        <v>2708</v>
      </c>
      <c r="J3310" s="2">
        <v>2.12</v>
      </c>
      <c r="K3310" s="2">
        <v>6.62</v>
      </c>
      <c r="L3310" s="2">
        <v>10.56</v>
      </c>
      <c r="M3310" s="2">
        <v>15.02</v>
      </c>
      <c r="N3310" s="2">
        <v>3.930128479</v>
      </c>
      <c r="O3310" s="2">
        <v>3.936599733</v>
      </c>
      <c r="P3310" s="2">
        <v>2.0650484520000001</v>
      </c>
      <c r="Q3310" s="2">
        <v>2.1436208240000001</v>
      </c>
      <c r="R3310" s="2">
        <v>1.7313393189999999</v>
      </c>
      <c r="S3310" s="2">
        <v>1.8713393190000001</v>
      </c>
      <c r="T3310" s="2">
        <v>1.125561759</v>
      </c>
      <c r="U3310" s="2">
        <v>1.0455617589999999</v>
      </c>
      <c r="V3310" s="2">
        <v>3.2606335949999998</v>
      </c>
      <c r="W3310" s="2">
        <v>3.2846239279999998</v>
      </c>
      <c r="X3310">
        <f t="shared" si="153"/>
        <v>0</v>
      </c>
      <c r="Y3310">
        <f t="shared" si="154"/>
        <v>0</v>
      </c>
      <c r="Z3310">
        <f t="shared" si="155"/>
        <v>1</v>
      </c>
    </row>
    <row r="3311" spans="1:26" ht="15.75" customHeight="1" x14ac:dyDescent="0.2">
      <c r="A3311" s="2" t="s">
        <v>36</v>
      </c>
      <c r="B3311" s="2" t="s">
        <v>35</v>
      </c>
      <c r="C3311" s="2" t="s">
        <v>25</v>
      </c>
      <c r="D3311" s="2" t="s">
        <v>25</v>
      </c>
      <c r="E3311" s="2">
        <v>244</v>
      </c>
      <c r="F3311" s="2">
        <v>269</v>
      </c>
      <c r="G3311" s="2">
        <v>829</v>
      </c>
      <c r="H3311" s="2">
        <v>1379</v>
      </c>
      <c r="I3311" s="2">
        <v>2685</v>
      </c>
      <c r="J3311" s="2">
        <v>2.71</v>
      </c>
      <c r="K3311" s="2">
        <v>7.44</v>
      </c>
      <c r="L3311" s="2">
        <v>10.54</v>
      </c>
      <c r="M3311" s="2">
        <v>14.97</v>
      </c>
      <c r="N3311" s="2">
        <v>0.60574083199999995</v>
      </c>
      <c r="O3311" s="2">
        <v>0.68259198300000001</v>
      </c>
      <c r="P3311" s="2">
        <v>2.914082149</v>
      </c>
      <c r="Q3311" s="2">
        <v>2.9723392710000001</v>
      </c>
      <c r="R3311" s="2">
        <v>2.8289817140000002</v>
      </c>
      <c r="S3311" s="2">
        <v>2.878981714</v>
      </c>
      <c r="T3311" s="2">
        <v>0.69909744399999996</v>
      </c>
      <c r="U3311" s="2">
        <v>0.73909744399999999</v>
      </c>
      <c r="V3311" s="2">
        <v>4.2156617680000004</v>
      </c>
      <c r="W3311" s="2">
        <v>4.2134655820000004</v>
      </c>
      <c r="X3311">
        <f t="shared" si="153"/>
        <v>0</v>
      </c>
      <c r="Y3311">
        <f t="shared" si="154"/>
        <v>0</v>
      </c>
      <c r="Z3311">
        <f t="shared" si="155"/>
        <v>0</v>
      </c>
    </row>
    <row r="3312" spans="1:26" ht="15.75" customHeight="1" x14ac:dyDescent="0.2">
      <c r="A3312" s="2" t="s">
        <v>36</v>
      </c>
      <c r="B3312" s="2" t="s">
        <v>35</v>
      </c>
      <c r="C3312" s="2" t="s">
        <v>26</v>
      </c>
      <c r="D3312" s="2" t="s">
        <v>26</v>
      </c>
      <c r="E3312" s="2">
        <v>191</v>
      </c>
      <c r="F3312" s="2">
        <v>247</v>
      </c>
      <c r="G3312" s="2">
        <v>366</v>
      </c>
      <c r="H3312" s="2">
        <v>923</v>
      </c>
      <c r="I3312" s="2">
        <v>2895</v>
      </c>
      <c r="J3312" s="2">
        <v>2.4700000000000002</v>
      </c>
      <c r="K3312" s="2">
        <v>3.69</v>
      </c>
      <c r="L3312" s="2">
        <v>8.0500000000000007</v>
      </c>
      <c r="M3312" s="2">
        <v>15.46</v>
      </c>
      <c r="N3312" s="2">
        <v>0.42374489999999998</v>
      </c>
      <c r="O3312" s="2">
        <v>0.41049502399999999</v>
      </c>
      <c r="P3312" s="2">
        <v>3.31836902</v>
      </c>
      <c r="Q3312" s="2">
        <v>3.3434954430000001</v>
      </c>
      <c r="R3312" s="2">
        <v>0.91816449300000003</v>
      </c>
      <c r="S3312" s="2">
        <v>0.86816449299999998</v>
      </c>
      <c r="T3312" s="2">
        <v>3.1888159109999998</v>
      </c>
      <c r="U3312" s="2">
        <v>3.2288159109999999</v>
      </c>
      <c r="V3312" s="2">
        <v>0.46851556</v>
      </c>
      <c r="W3312" s="2">
        <v>0.46631937499999998</v>
      </c>
      <c r="X3312">
        <f t="shared" si="153"/>
        <v>0</v>
      </c>
      <c r="Y3312">
        <f t="shared" si="154"/>
        <v>0</v>
      </c>
      <c r="Z3312">
        <f t="shared" si="155"/>
        <v>0</v>
      </c>
    </row>
    <row r="3313" spans="1:26" ht="15.75" customHeight="1" x14ac:dyDescent="0.2">
      <c r="A3313" s="2" t="s">
        <v>36</v>
      </c>
      <c r="B3313" s="2" t="s">
        <v>35</v>
      </c>
      <c r="C3313" s="2" t="s">
        <v>27</v>
      </c>
      <c r="D3313" s="2" t="s">
        <v>27</v>
      </c>
      <c r="E3313" s="2">
        <v>255</v>
      </c>
      <c r="F3313" s="2">
        <v>223</v>
      </c>
      <c r="G3313" s="2">
        <v>385</v>
      </c>
      <c r="H3313" s="2">
        <v>2405</v>
      </c>
      <c r="I3313" s="2">
        <v>3095</v>
      </c>
      <c r="J3313" s="2">
        <v>2.21</v>
      </c>
      <c r="K3313" s="2">
        <v>3.87</v>
      </c>
      <c r="L3313" s="2">
        <v>14.24</v>
      </c>
      <c r="M3313" s="2">
        <v>15.89</v>
      </c>
      <c r="N3313" s="2">
        <v>0.58129939100000005</v>
      </c>
      <c r="O3313" s="2">
        <v>0.395067377</v>
      </c>
      <c r="P3313" s="2">
        <v>3.0903243329999999</v>
      </c>
      <c r="Q3313" s="2">
        <v>3.0398287540000002</v>
      </c>
      <c r="R3313" s="2">
        <v>0.73517339400000004</v>
      </c>
      <c r="S3313" s="2">
        <v>0.68517339399999999</v>
      </c>
      <c r="T3313" s="2">
        <v>3.0016036659999998</v>
      </c>
      <c r="U3313" s="2">
        <v>2.9616036659999998</v>
      </c>
      <c r="V3313" s="2">
        <v>0.65150666000000002</v>
      </c>
      <c r="W3313" s="2">
        <v>0.64931047399999997</v>
      </c>
      <c r="X3313">
        <f t="shared" si="153"/>
        <v>0</v>
      </c>
      <c r="Y3313">
        <f t="shared" si="154"/>
        <v>0</v>
      </c>
      <c r="Z3313">
        <f t="shared" si="155"/>
        <v>0</v>
      </c>
    </row>
    <row r="3314" spans="1:26" ht="15.75" customHeight="1" x14ac:dyDescent="0.2">
      <c r="A3314" s="2" t="s">
        <v>36</v>
      </c>
      <c r="B3314" s="2" t="s">
        <v>35</v>
      </c>
      <c r="C3314" s="2" t="s">
        <v>28</v>
      </c>
      <c r="D3314" s="2" t="s">
        <v>29</v>
      </c>
      <c r="E3314" s="2">
        <v>211</v>
      </c>
      <c r="F3314" s="2">
        <v>232</v>
      </c>
      <c r="G3314" s="2">
        <v>391</v>
      </c>
      <c r="H3314" s="2">
        <v>1334</v>
      </c>
      <c r="I3314" s="2">
        <v>3013</v>
      </c>
      <c r="J3314" s="2">
        <v>2.2999999999999998</v>
      </c>
      <c r="K3314" s="2">
        <v>3.93</v>
      </c>
      <c r="L3314" s="2">
        <v>10.33</v>
      </c>
      <c r="M3314" s="2">
        <v>15.71</v>
      </c>
      <c r="N3314" s="2">
        <v>2.4716983379999999</v>
      </c>
      <c r="O3314" s="2">
        <v>2.5485646989999999</v>
      </c>
      <c r="P3314" s="2">
        <v>1.1406193039999999</v>
      </c>
      <c r="Q3314" s="2">
        <v>1.144412537</v>
      </c>
      <c r="R3314" s="2">
        <v>0.68433919499999996</v>
      </c>
      <c r="S3314" s="2">
        <v>0.63433919500000002</v>
      </c>
      <c r="T3314" s="2">
        <v>0.912519733</v>
      </c>
      <c r="U3314" s="2">
        <v>0.95251973300000004</v>
      </c>
      <c r="V3314" s="2">
        <v>0.70234085899999998</v>
      </c>
      <c r="W3314" s="2">
        <v>0.70014467400000002</v>
      </c>
      <c r="X3314">
        <f t="shared" si="153"/>
        <v>0</v>
      </c>
      <c r="Y3314">
        <f t="shared" si="154"/>
        <v>0</v>
      </c>
      <c r="Z3314">
        <f t="shared" si="155"/>
        <v>1</v>
      </c>
    </row>
    <row r="3315" spans="1:26" ht="15.75" customHeight="1" x14ac:dyDescent="0.2">
      <c r="A3315" s="2" t="s">
        <v>36</v>
      </c>
      <c r="B3315" s="2" t="s">
        <v>35</v>
      </c>
      <c r="C3315" s="2" t="s">
        <v>30</v>
      </c>
      <c r="D3315" s="2" t="s">
        <v>31</v>
      </c>
      <c r="E3315" s="2">
        <v>201</v>
      </c>
      <c r="F3315" s="2">
        <v>205</v>
      </c>
      <c r="G3315" s="2">
        <v>566</v>
      </c>
      <c r="H3315" s="2">
        <v>1320</v>
      </c>
      <c r="I3315" s="2">
        <v>2540</v>
      </c>
      <c r="J3315" s="2">
        <v>2.0099999999999998</v>
      </c>
      <c r="K3315" s="2">
        <v>5.48</v>
      </c>
      <c r="L3315" s="2">
        <v>10.26</v>
      </c>
      <c r="M3315" s="2">
        <v>14.6</v>
      </c>
      <c r="N3315" s="2">
        <v>3.7116356029999999</v>
      </c>
      <c r="O3315" s="2">
        <v>3.919454939</v>
      </c>
      <c r="P3315" s="2">
        <v>1.309128968</v>
      </c>
      <c r="Q3315" s="2">
        <v>1.372260265</v>
      </c>
      <c r="R3315" s="2">
        <v>0.86730799700000005</v>
      </c>
      <c r="S3315" s="2">
        <v>0.91730799699999999</v>
      </c>
      <c r="T3315" s="2">
        <v>0.980609756</v>
      </c>
      <c r="U3315" s="2">
        <v>1.020609756</v>
      </c>
      <c r="V3315" s="2">
        <v>2.2539880509999999</v>
      </c>
      <c r="W3315" s="2">
        <v>2.2517918649999999</v>
      </c>
      <c r="X3315">
        <f t="shared" si="153"/>
        <v>0</v>
      </c>
      <c r="Y3315">
        <f t="shared" si="154"/>
        <v>0</v>
      </c>
      <c r="Z3315">
        <f t="shared" si="155"/>
        <v>1</v>
      </c>
    </row>
    <row r="3316" spans="1:26" ht="15.75" customHeight="1" x14ac:dyDescent="0.2">
      <c r="A3316" s="2" t="s">
        <v>36</v>
      </c>
      <c r="B3316" s="2" t="s">
        <v>35</v>
      </c>
      <c r="C3316" s="2" t="s">
        <v>26</v>
      </c>
      <c r="D3316" s="2" t="s">
        <v>26</v>
      </c>
      <c r="E3316" s="2">
        <v>230</v>
      </c>
      <c r="F3316" s="2">
        <v>274</v>
      </c>
      <c r="G3316" s="2">
        <v>416</v>
      </c>
      <c r="H3316" s="2">
        <v>781</v>
      </c>
      <c r="I3316" s="2">
        <v>2877</v>
      </c>
      <c r="J3316" s="2">
        <v>2.75</v>
      </c>
      <c r="K3316" s="2">
        <v>4.16</v>
      </c>
      <c r="L3316" s="2">
        <v>7.11</v>
      </c>
      <c r="M3316" s="2">
        <v>15.42</v>
      </c>
      <c r="N3316" s="2">
        <v>0.75913427899999997</v>
      </c>
      <c r="O3316" s="2">
        <v>0.69297850500000002</v>
      </c>
      <c r="P3316" s="2">
        <v>4.1572834749999998</v>
      </c>
      <c r="Q3316" s="2">
        <v>4.1920364809999997</v>
      </c>
      <c r="R3316" s="2">
        <v>0.445993266</v>
      </c>
      <c r="S3316" s="2">
        <v>0.39599326600000001</v>
      </c>
      <c r="T3316" s="2">
        <v>4.1332911699999997</v>
      </c>
      <c r="U3316" s="2">
        <v>4.1732911699999997</v>
      </c>
      <c r="V3316" s="2">
        <v>0.94068678800000005</v>
      </c>
      <c r="W3316" s="2">
        <v>0.93849060200000001</v>
      </c>
      <c r="X3316">
        <f t="shared" si="153"/>
        <v>0</v>
      </c>
      <c r="Y3316">
        <f t="shared" si="154"/>
        <v>0</v>
      </c>
      <c r="Z3316">
        <f t="shared" si="155"/>
        <v>0</v>
      </c>
    </row>
    <row r="3317" spans="1:26" ht="15.75" customHeight="1" x14ac:dyDescent="0.2">
      <c r="A3317" s="2" t="s">
        <v>36</v>
      </c>
      <c r="B3317" s="2" t="s">
        <v>35</v>
      </c>
      <c r="C3317" s="2" t="s">
        <v>28</v>
      </c>
      <c r="D3317" s="2" t="s">
        <v>29</v>
      </c>
      <c r="E3317" s="2">
        <v>287</v>
      </c>
      <c r="F3317" s="2">
        <v>238</v>
      </c>
      <c r="G3317" s="2">
        <v>562</v>
      </c>
      <c r="H3317" s="2">
        <v>1376</v>
      </c>
      <c r="I3317" s="2">
        <v>2783</v>
      </c>
      <c r="J3317" s="2">
        <v>2.37</v>
      </c>
      <c r="K3317" s="2">
        <v>5.44</v>
      </c>
      <c r="L3317" s="2">
        <v>10.53</v>
      </c>
      <c r="M3317" s="2">
        <v>15.2</v>
      </c>
      <c r="N3317" s="2">
        <v>3.001445962</v>
      </c>
      <c r="O3317" s="2">
        <v>3.1047243419999999</v>
      </c>
      <c r="P3317" s="2">
        <v>1.0966158960000001</v>
      </c>
      <c r="Q3317" s="2">
        <v>1.1606171279999999</v>
      </c>
      <c r="R3317" s="2">
        <v>0.83431403599999998</v>
      </c>
      <c r="S3317" s="2">
        <v>0.88431403600000003</v>
      </c>
      <c r="T3317" s="2">
        <v>0.71167865699999999</v>
      </c>
      <c r="U3317" s="2">
        <v>0.75167865700000003</v>
      </c>
      <c r="V3317" s="2">
        <v>2.22099409</v>
      </c>
      <c r="W3317" s="2">
        <v>2.2187979050000002</v>
      </c>
      <c r="X3317">
        <f t="shared" si="153"/>
        <v>0</v>
      </c>
      <c r="Y3317">
        <f t="shared" si="154"/>
        <v>0</v>
      </c>
      <c r="Z3317">
        <f t="shared" si="155"/>
        <v>1</v>
      </c>
    </row>
    <row r="3318" spans="1:26" ht="15.75" customHeight="1" x14ac:dyDescent="0.2">
      <c r="A3318" s="2" t="s">
        <v>36</v>
      </c>
      <c r="B3318" s="2" t="s">
        <v>35</v>
      </c>
      <c r="C3318" s="2" t="s">
        <v>32</v>
      </c>
      <c r="D3318" s="2" t="s">
        <v>33</v>
      </c>
      <c r="E3318" s="2">
        <v>245</v>
      </c>
      <c r="F3318" s="2">
        <v>212</v>
      </c>
      <c r="G3318" s="2">
        <v>488</v>
      </c>
      <c r="H3318" s="2">
        <v>834</v>
      </c>
      <c r="I3318" s="2">
        <v>2488</v>
      </c>
      <c r="J3318" s="2">
        <v>2.08</v>
      </c>
      <c r="K3318" s="2">
        <v>4.82</v>
      </c>
      <c r="L3318" s="2">
        <v>7.47</v>
      </c>
      <c r="M3318" s="2">
        <v>14.47</v>
      </c>
      <c r="N3318" s="2">
        <v>4.5852190300000002</v>
      </c>
      <c r="O3318" s="2">
        <v>4.5359518909999998</v>
      </c>
      <c r="P3318" s="2">
        <v>3.7752466299999998</v>
      </c>
      <c r="Q3318" s="2">
        <v>3.8182313579999998</v>
      </c>
      <c r="R3318" s="2">
        <v>0.20739959199999999</v>
      </c>
      <c r="S3318" s="2">
        <v>0.25739959200000001</v>
      </c>
      <c r="T3318" s="2">
        <v>3.7695454000000002</v>
      </c>
      <c r="U3318" s="2">
        <v>3.8095454000000002</v>
      </c>
      <c r="V3318" s="2">
        <v>1.5940796450000001</v>
      </c>
      <c r="W3318" s="2">
        <v>1.59188346</v>
      </c>
      <c r="X3318">
        <f t="shared" si="153"/>
        <v>0</v>
      </c>
      <c r="Y3318">
        <f t="shared" si="154"/>
        <v>0</v>
      </c>
      <c r="Z3318">
        <f t="shared" si="155"/>
        <v>1</v>
      </c>
    </row>
    <row r="3319" spans="1:26" ht="15.75" customHeight="1" x14ac:dyDescent="0.2">
      <c r="A3319" s="2" t="s">
        <v>36</v>
      </c>
      <c r="B3319" s="2" t="s">
        <v>35</v>
      </c>
      <c r="C3319" s="2" t="s">
        <v>32</v>
      </c>
      <c r="D3319" s="2" t="s">
        <v>33</v>
      </c>
      <c r="E3319" s="2">
        <v>146</v>
      </c>
      <c r="F3319" s="2">
        <v>236</v>
      </c>
      <c r="G3319" s="2">
        <v>477</v>
      </c>
      <c r="H3319" s="2">
        <v>736</v>
      </c>
      <c r="I3319" s="2">
        <v>2507</v>
      </c>
      <c r="J3319" s="2">
        <v>2.35</v>
      </c>
      <c r="K3319" s="2">
        <v>4.71</v>
      </c>
      <c r="L3319" s="2">
        <v>6.79</v>
      </c>
      <c r="M3319" s="2">
        <v>14.52</v>
      </c>
      <c r="N3319" s="2">
        <v>5.2033715950000001</v>
      </c>
      <c r="O3319" s="2">
        <v>5.1677488760000001</v>
      </c>
      <c r="P3319" s="2">
        <v>4.4545888400000004</v>
      </c>
      <c r="Q3319" s="2">
        <v>4.4960198250000003</v>
      </c>
      <c r="R3319" s="2">
        <v>0.104637483</v>
      </c>
      <c r="S3319" s="2">
        <v>0.15463748299999999</v>
      </c>
      <c r="T3319" s="2">
        <v>4.4533597130000002</v>
      </c>
      <c r="U3319" s="2">
        <v>4.4933597130000003</v>
      </c>
      <c r="V3319" s="2">
        <v>1.491317537</v>
      </c>
      <c r="W3319" s="2">
        <v>1.4891213510000001</v>
      </c>
      <c r="X3319">
        <f t="shared" si="153"/>
        <v>0</v>
      </c>
      <c r="Y3319">
        <f t="shared" si="154"/>
        <v>0</v>
      </c>
      <c r="Z3319">
        <f t="shared" si="155"/>
        <v>1</v>
      </c>
    </row>
    <row r="3320" spans="1:26" ht="15.75" customHeight="1" x14ac:dyDescent="0.2">
      <c r="A3320" s="2" t="s">
        <v>36</v>
      </c>
      <c r="B3320" s="2" t="s">
        <v>35</v>
      </c>
      <c r="C3320" s="2" t="s">
        <v>25</v>
      </c>
      <c r="D3320" s="2" t="s">
        <v>25</v>
      </c>
      <c r="E3320" s="2">
        <v>245</v>
      </c>
      <c r="F3320" s="2">
        <v>127</v>
      </c>
      <c r="G3320" s="2">
        <v>890</v>
      </c>
      <c r="H3320" s="2">
        <v>1529</v>
      </c>
      <c r="I3320" s="2">
        <v>2533</v>
      </c>
      <c r="J3320" s="2">
        <v>1.1000000000000001</v>
      </c>
      <c r="K3320" s="2">
        <v>7.84</v>
      </c>
      <c r="L3320" s="2">
        <v>11.22</v>
      </c>
      <c r="M3320" s="2">
        <v>14.58</v>
      </c>
      <c r="N3320" s="2">
        <v>0.278543975</v>
      </c>
      <c r="O3320" s="2">
        <v>0.47440776099999998</v>
      </c>
      <c r="P3320" s="2">
        <v>3.234479205</v>
      </c>
      <c r="Q3320" s="2">
        <v>3.2849940310000001</v>
      </c>
      <c r="R3320" s="2">
        <v>3.2344018239999999</v>
      </c>
      <c r="S3320" s="2">
        <v>3.2844018240000001</v>
      </c>
      <c r="T3320" s="2">
        <v>2.2373400000000002E-2</v>
      </c>
      <c r="U3320" s="2">
        <v>6.2373400000000002E-2</v>
      </c>
      <c r="V3320" s="2">
        <v>4.621081878</v>
      </c>
      <c r="W3320" s="2">
        <v>4.6188856930000002</v>
      </c>
      <c r="X3320">
        <f t="shared" si="153"/>
        <v>0</v>
      </c>
      <c r="Y3320">
        <f t="shared" si="154"/>
        <v>0</v>
      </c>
      <c r="Z3320">
        <f t="shared" si="155"/>
        <v>0</v>
      </c>
    </row>
    <row r="3321" spans="1:26" ht="15.75" customHeight="1" x14ac:dyDescent="0.2">
      <c r="A3321" s="2" t="s">
        <v>36</v>
      </c>
      <c r="B3321" s="2" t="s">
        <v>35</v>
      </c>
      <c r="C3321" s="2" t="s">
        <v>32</v>
      </c>
      <c r="D3321" s="2" t="s">
        <v>33</v>
      </c>
      <c r="E3321" s="2">
        <v>217</v>
      </c>
      <c r="F3321" s="2">
        <v>257</v>
      </c>
      <c r="G3321" s="2">
        <v>479</v>
      </c>
      <c r="H3321" s="2">
        <v>880</v>
      </c>
      <c r="I3321" s="2">
        <v>2485</v>
      </c>
      <c r="J3321" s="2">
        <v>2.58</v>
      </c>
      <c r="K3321" s="2">
        <v>4.74</v>
      </c>
      <c r="L3321" s="2">
        <v>7.78</v>
      </c>
      <c r="M3321" s="2">
        <v>14.46</v>
      </c>
      <c r="N3321" s="2">
        <v>4.3969232140000001</v>
      </c>
      <c r="O3321" s="2">
        <v>4.335184913</v>
      </c>
      <c r="P3321" s="2">
        <v>3.4649412229999998</v>
      </c>
      <c r="Q3321" s="2">
        <v>3.5070584</v>
      </c>
      <c r="R3321" s="2">
        <v>0.125268553</v>
      </c>
      <c r="S3321" s="2">
        <v>0.17526855299999999</v>
      </c>
      <c r="T3321" s="2">
        <v>3.4626760559999998</v>
      </c>
      <c r="U3321" s="2">
        <v>3.5026760559999999</v>
      </c>
      <c r="V3321" s="2">
        <v>1.511948606</v>
      </c>
      <c r="W3321" s="2">
        <v>1.509752421</v>
      </c>
      <c r="X3321">
        <f t="shared" si="153"/>
        <v>0</v>
      </c>
      <c r="Y3321">
        <f t="shared" si="154"/>
        <v>0</v>
      </c>
      <c r="Z3321">
        <f t="shared" si="155"/>
        <v>1</v>
      </c>
    </row>
    <row r="3322" spans="1:26" ht="15.75" customHeight="1" x14ac:dyDescent="0.2">
      <c r="A3322" s="2" t="s">
        <v>36</v>
      </c>
      <c r="B3322" s="2" t="s">
        <v>35</v>
      </c>
      <c r="C3322" s="2" t="s">
        <v>32</v>
      </c>
      <c r="D3322" s="2" t="s">
        <v>33</v>
      </c>
      <c r="E3322" s="2">
        <v>263</v>
      </c>
      <c r="F3322" s="2">
        <v>260</v>
      </c>
      <c r="G3322" s="2">
        <v>507</v>
      </c>
      <c r="H3322" s="2">
        <v>853</v>
      </c>
      <c r="I3322" s="2">
        <v>2516</v>
      </c>
      <c r="J3322" s="2">
        <v>2.61</v>
      </c>
      <c r="K3322" s="2">
        <v>4.9800000000000004</v>
      </c>
      <c r="L3322" s="2">
        <v>7.6</v>
      </c>
      <c r="M3322" s="2">
        <v>14.54</v>
      </c>
      <c r="N3322" s="2">
        <v>4.386210052</v>
      </c>
      <c r="O3322" s="2">
        <v>4.3397227090000001</v>
      </c>
      <c r="P3322" s="2">
        <v>3.6587151339999999</v>
      </c>
      <c r="Q3322" s="2">
        <v>3.7038101920000002</v>
      </c>
      <c r="R3322" s="2">
        <v>0.36691891900000001</v>
      </c>
      <c r="S3322" s="2">
        <v>0.416918919</v>
      </c>
      <c r="T3322" s="2">
        <v>3.6402701739999999</v>
      </c>
      <c r="U3322" s="2">
        <v>3.6802701739999999</v>
      </c>
      <c r="V3322" s="2">
        <v>1.7535989729999999</v>
      </c>
      <c r="W3322" s="2">
        <v>1.751402787</v>
      </c>
      <c r="X3322">
        <f t="shared" si="153"/>
        <v>0</v>
      </c>
      <c r="Y3322">
        <f t="shared" si="154"/>
        <v>0</v>
      </c>
      <c r="Z3322">
        <f t="shared" si="155"/>
        <v>1</v>
      </c>
    </row>
    <row r="3323" spans="1:26" ht="15.75" customHeight="1" x14ac:dyDescent="0.2">
      <c r="A3323" s="2" t="s">
        <v>36</v>
      </c>
      <c r="B3323" s="2" t="s">
        <v>35</v>
      </c>
      <c r="C3323" s="2" t="s">
        <v>25</v>
      </c>
      <c r="D3323" s="2" t="s">
        <v>25</v>
      </c>
      <c r="E3323" s="2">
        <v>119</v>
      </c>
      <c r="F3323" s="2">
        <v>249</v>
      </c>
      <c r="G3323" s="2">
        <v>820</v>
      </c>
      <c r="H3323" s="2">
        <v>1558</v>
      </c>
      <c r="I3323" s="2">
        <v>2213</v>
      </c>
      <c r="J3323" s="2">
        <v>2.4900000000000002</v>
      </c>
      <c r="K3323" s="2">
        <v>7.38</v>
      </c>
      <c r="L3323" s="2">
        <v>11.34</v>
      </c>
      <c r="M3323" s="2">
        <v>13.69</v>
      </c>
      <c r="N3323" s="2">
        <v>0.29630733100000001</v>
      </c>
      <c r="O3323" s="2">
        <v>0.12476401600000001</v>
      </c>
      <c r="P3323" s="2">
        <v>2.7676974429999999</v>
      </c>
      <c r="Q3323" s="2">
        <v>2.816460615</v>
      </c>
      <c r="R3323" s="2">
        <v>2.765718911</v>
      </c>
      <c r="S3323" s="2">
        <v>2.8157189109999998</v>
      </c>
      <c r="T3323" s="2">
        <v>0.104632875</v>
      </c>
      <c r="U3323" s="2">
        <v>6.4632875000000006E-2</v>
      </c>
      <c r="V3323" s="2">
        <v>4.1523989649999997</v>
      </c>
      <c r="W3323" s="2">
        <v>4.1502027789999998</v>
      </c>
      <c r="X3323">
        <f t="shared" si="153"/>
        <v>0</v>
      </c>
      <c r="Y3323">
        <f t="shared" si="154"/>
        <v>0</v>
      </c>
      <c r="Z3323">
        <f t="shared" si="155"/>
        <v>0</v>
      </c>
    </row>
    <row r="3324" spans="1:26" ht="15.75" customHeight="1" x14ac:dyDescent="0.2">
      <c r="A3324" s="2" t="s">
        <v>36</v>
      </c>
      <c r="B3324" s="2" t="s">
        <v>35</v>
      </c>
      <c r="C3324" s="2" t="s">
        <v>25</v>
      </c>
      <c r="D3324" s="2" t="s">
        <v>25</v>
      </c>
      <c r="E3324" s="2">
        <v>216</v>
      </c>
      <c r="F3324" s="2">
        <v>245</v>
      </c>
      <c r="G3324" s="2">
        <v>887</v>
      </c>
      <c r="H3324" s="2">
        <v>1475</v>
      </c>
      <c r="I3324" s="2">
        <v>2641</v>
      </c>
      <c r="J3324" s="2">
        <v>2.4500000000000002</v>
      </c>
      <c r="K3324" s="2">
        <v>7.82</v>
      </c>
      <c r="L3324" s="2">
        <v>10.98</v>
      </c>
      <c r="M3324" s="2">
        <v>14.86</v>
      </c>
      <c r="N3324" s="2">
        <v>0.28236592799999999</v>
      </c>
      <c r="O3324" s="2">
        <v>0.50950167099999999</v>
      </c>
      <c r="P3324" s="2">
        <v>3.22098116</v>
      </c>
      <c r="Q3324" s="2">
        <v>3.2742176500000002</v>
      </c>
      <c r="R3324" s="2">
        <v>3.2106557379999998</v>
      </c>
      <c r="S3324" s="2">
        <v>3.2606557380000001</v>
      </c>
      <c r="T3324" s="2">
        <v>0.25770014600000002</v>
      </c>
      <c r="U3324" s="2">
        <v>0.297700146</v>
      </c>
      <c r="V3324" s="2">
        <v>4.5973357909999999</v>
      </c>
      <c r="W3324" s="2">
        <v>4.595139606</v>
      </c>
      <c r="X3324">
        <f t="shared" si="153"/>
        <v>0</v>
      </c>
      <c r="Y3324">
        <f t="shared" si="154"/>
        <v>0</v>
      </c>
      <c r="Z3324">
        <f t="shared" si="155"/>
        <v>0</v>
      </c>
    </row>
    <row r="3325" spans="1:26" ht="15.75" customHeight="1" x14ac:dyDescent="0.2">
      <c r="A3325" s="2" t="s">
        <v>36</v>
      </c>
      <c r="B3325" s="2" t="s">
        <v>35</v>
      </c>
      <c r="C3325" s="2" t="s">
        <v>27</v>
      </c>
      <c r="D3325" s="2" t="s">
        <v>27</v>
      </c>
      <c r="E3325" s="2">
        <v>249</v>
      </c>
      <c r="F3325" s="2">
        <v>181</v>
      </c>
      <c r="G3325" s="2">
        <v>419</v>
      </c>
      <c r="H3325" s="2">
        <v>2405</v>
      </c>
      <c r="I3325" s="2">
        <v>2938</v>
      </c>
      <c r="J3325" s="2">
        <v>1.73</v>
      </c>
      <c r="K3325" s="2">
        <v>4.1900000000000004</v>
      </c>
      <c r="L3325" s="2">
        <v>14.24</v>
      </c>
      <c r="M3325" s="2">
        <v>15.55</v>
      </c>
      <c r="N3325" s="2">
        <v>0.53696622100000002</v>
      </c>
      <c r="O3325" s="2">
        <v>0.30698879800000001</v>
      </c>
      <c r="P3325" s="2">
        <v>3.0296728079999999</v>
      </c>
      <c r="Q3325" s="2">
        <v>2.9834798739999999</v>
      </c>
      <c r="R3325" s="2">
        <v>0.41810424499999999</v>
      </c>
      <c r="S3325" s="2">
        <v>0.368104245</v>
      </c>
      <c r="T3325" s="2">
        <v>3.000684283</v>
      </c>
      <c r="U3325" s="2">
        <v>2.960684283</v>
      </c>
      <c r="V3325" s="2">
        <v>0.96857580799999998</v>
      </c>
      <c r="W3325" s="2">
        <v>0.96637962300000002</v>
      </c>
      <c r="X3325">
        <f t="shared" si="153"/>
        <v>0</v>
      </c>
      <c r="Y3325">
        <f t="shared" si="154"/>
        <v>0</v>
      </c>
      <c r="Z3325">
        <f t="shared" si="155"/>
        <v>0</v>
      </c>
    </row>
    <row r="3326" spans="1:26" ht="15.75" customHeight="1" x14ac:dyDescent="0.2">
      <c r="A3326" s="2" t="s">
        <v>36</v>
      </c>
      <c r="B3326" s="2" t="s">
        <v>35</v>
      </c>
      <c r="C3326" s="2" t="s">
        <v>30</v>
      </c>
      <c r="D3326" s="2" t="s">
        <v>31</v>
      </c>
      <c r="E3326" s="2">
        <v>176</v>
      </c>
      <c r="F3326" s="2">
        <v>271</v>
      </c>
      <c r="G3326" s="2">
        <v>527</v>
      </c>
      <c r="H3326" s="2">
        <v>1312</v>
      </c>
      <c r="I3326" s="2">
        <v>2423</v>
      </c>
      <c r="J3326" s="2">
        <v>2.72</v>
      </c>
      <c r="K3326" s="2">
        <v>5.15</v>
      </c>
      <c r="L3326" s="2">
        <v>10.220000000000001</v>
      </c>
      <c r="M3326" s="2">
        <v>14.29</v>
      </c>
      <c r="N3326" s="2">
        <v>3.6433301760000001</v>
      </c>
      <c r="O3326" s="2">
        <v>3.8589587500000002</v>
      </c>
      <c r="P3326" s="2">
        <v>1.1558845440000001</v>
      </c>
      <c r="Q3326" s="2">
        <v>1.2149038409999999</v>
      </c>
      <c r="R3326" s="2">
        <v>0.54108966599999997</v>
      </c>
      <c r="S3326" s="2">
        <v>0.59108966600000001</v>
      </c>
      <c r="T3326" s="2">
        <v>1.0214162</v>
      </c>
      <c r="U3326" s="2">
        <v>1.0614162</v>
      </c>
      <c r="V3326" s="2">
        <v>1.9277697199999999</v>
      </c>
      <c r="W3326" s="2">
        <v>1.925573534</v>
      </c>
      <c r="X3326">
        <f t="shared" si="153"/>
        <v>0</v>
      </c>
      <c r="Y3326">
        <f t="shared" si="154"/>
        <v>0</v>
      </c>
      <c r="Z3326">
        <f t="shared" si="155"/>
        <v>1</v>
      </c>
    </row>
    <row r="3327" spans="1:26" ht="15.75" customHeight="1" x14ac:dyDescent="0.2">
      <c r="A3327" s="2" t="s">
        <v>36</v>
      </c>
      <c r="B3327" s="2" t="s">
        <v>35</v>
      </c>
      <c r="C3327" s="2" t="s">
        <v>28</v>
      </c>
      <c r="D3327" s="2" t="s">
        <v>29</v>
      </c>
      <c r="E3327" s="2">
        <v>213</v>
      </c>
      <c r="F3327" s="2">
        <v>240</v>
      </c>
      <c r="G3327" s="2">
        <v>576</v>
      </c>
      <c r="H3327" s="2">
        <v>1888</v>
      </c>
      <c r="I3327" s="2">
        <v>3141</v>
      </c>
      <c r="J3327" s="2">
        <v>2.39</v>
      </c>
      <c r="K3327" s="2">
        <v>5.56</v>
      </c>
      <c r="L3327" s="2">
        <v>12.63</v>
      </c>
      <c r="M3327" s="2">
        <v>15.98</v>
      </c>
      <c r="N3327" s="2">
        <v>4.9918625360000002</v>
      </c>
      <c r="O3327" s="2">
        <v>5.0892607859999996</v>
      </c>
      <c r="P3327" s="2">
        <v>1.6778868360000001</v>
      </c>
      <c r="Q3327" s="2">
        <v>1.6742869140000001</v>
      </c>
      <c r="R3327" s="2">
        <v>0.946613645</v>
      </c>
      <c r="S3327" s="2">
        <v>0.99661364500000005</v>
      </c>
      <c r="T3327" s="2">
        <v>1.3853616280000001</v>
      </c>
      <c r="U3327" s="2">
        <v>1.345361628</v>
      </c>
      <c r="V3327" s="2">
        <v>2.3332936989999999</v>
      </c>
      <c r="W3327" s="2">
        <v>2.3310975140000001</v>
      </c>
      <c r="X3327">
        <f t="shared" si="153"/>
        <v>0</v>
      </c>
      <c r="Y3327">
        <f t="shared" si="154"/>
        <v>0</v>
      </c>
      <c r="Z3327">
        <f t="shared" si="155"/>
        <v>1</v>
      </c>
    </row>
    <row r="3328" spans="1:26" ht="15.75" customHeight="1" x14ac:dyDescent="0.2">
      <c r="A3328" s="2" t="s">
        <v>36</v>
      </c>
      <c r="B3328" s="2" t="s">
        <v>35</v>
      </c>
      <c r="C3328" s="2" t="s">
        <v>28</v>
      </c>
      <c r="D3328" s="2" t="s">
        <v>29</v>
      </c>
      <c r="E3328" s="2">
        <v>194</v>
      </c>
      <c r="F3328" s="2">
        <v>226</v>
      </c>
      <c r="G3328" s="2">
        <v>546</v>
      </c>
      <c r="H3328" s="2">
        <v>1805</v>
      </c>
      <c r="I3328" s="2">
        <v>3061</v>
      </c>
      <c r="J3328" s="2">
        <v>2.2400000000000002</v>
      </c>
      <c r="K3328" s="2">
        <v>5.31</v>
      </c>
      <c r="L3328" s="2">
        <v>12.32</v>
      </c>
      <c r="M3328" s="2">
        <v>15.81</v>
      </c>
      <c r="N3328" s="2">
        <v>4.6344704160000001</v>
      </c>
      <c r="O3328" s="2">
        <v>4.7305481179999997</v>
      </c>
      <c r="P3328" s="2">
        <v>1.292894956</v>
      </c>
      <c r="Q3328" s="2">
        <v>1.288151839</v>
      </c>
      <c r="R3328" s="2">
        <v>0.70407368000000004</v>
      </c>
      <c r="S3328" s="2">
        <v>0.75407367999999997</v>
      </c>
      <c r="T3328" s="2">
        <v>1.084369688</v>
      </c>
      <c r="U3328" s="2">
        <v>1.044369688</v>
      </c>
      <c r="V3328" s="2">
        <v>2.0907537340000002</v>
      </c>
      <c r="W3328" s="2">
        <v>2.0885575479999998</v>
      </c>
      <c r="X3328">
        <f t="shared" si="153"/>
        <v>0</v>
      </c>
      <c r="Y3328">
        <f t="shared" si="154"/>
        <v>0</v>
      </c>
      <c r="Z3328">
        <f t="shared" si="155"/>
        <v>1</v>
      </c>
    </row>
    <row r="3329" spans="1:26" ht="15.75" customHeight="1" x14ac:dyDescent="0.2">
      <c r="A3329" s="2" t="s">
        <v>36</v>
      </c>
      <c r="B3329" s="2" t="s">
        <v>35</v>
      </c>
      <c r="C3329" s="2" t="s">
        <v>32</v>
      </c>
      <c r="D3329" s="2" t="s">
        <v>33</v>
      </c>
      <c r="E3329" s="2">
        <v>281</v>
      </c>
      <c r="F3329" s="2">
        <v>223</v>
      </c>
      <c r="G3329" s="2">
        <v>490</v>
      </c>
      <c r="H3329" s="2">
        <v>894</v>
      </c>
      <c r="I3329" s="2">
        <v>2431</v>
      </c>
      <c r="J3329" s="2">
        <v>2.21</v>
      </c>
      <c r="K3329" s="2">
        <v>4.83</v>
      </c>
      <c r="L3329" s="2">
        <v>7.87</v>
      </c>
      <c r="M3329" s="2">
        <v>14.31</v>
      </c>
      <c r="N3329" s="2">
        <v>4.267039917</v>
      </c>
      <c r="O3329" s="2">
        <v>4.2061369739999996</v>
      </c>
      <c r="P3329" s="2">
        <v>3.3790227420000001</v>
      </c>
      <c r="Q3329" s="2">
        <v>3.4225072519999999</v>
      </c>
      <c r="R3329" s="2">
        <v>0.21908150800000001</v>
      </c>
      <c r="S3329" s="2">
        <v>0.26908150800000002</v>
      </c>
      <c r="T3329" s="2">
        <v>3.3719131039999999</v>
      </c>
      <c r="U3329" s="2">
        <v>3.4119131039999999</v>
      </c>
      <c r="V3329" s="2">
        <v>1.605761561</v>
      </c>
      <c r="W3329" s="2">
        <v>1.6035653759999999</v>
      </c>
      <c r="X3329">
        <f t="shared" si="153"/>
        <v>0</v>
      </c>
      <c r="Y3329">
        <f t="shared" si="154"/>
        <v>0</v>
      </c>
      <c r="Z3329">
        <f t="shared" si="155"/>
        <v>1</v>
      </c>
    </row>
    <row r="3330" spans="1:26" ht="15.75" customHeight="1" x14ac:dyDescent="0.2">
      <c r="A3330" s="2" t="s">
        <v>36</v>
      </c>
      <c r="B3330" s="2" t="s">
        <v>35</v>
      </c>
      <c r="C3330" s="2" t="s">
        <v>26</v>
      </c>
      <c r="D3330" s="2" t="s">
        <v>26</v>
      </c>
      <c r="E3330" s="2">
        <v>266</v>
      </c>
      <c r="F3330" s="2">
        <v>149</v>
      </c>
      <c r="G3330" s="2">
        <v>391</v>
      </c>
      <c r="H3330" s="2">
        <v>893</v>
      </c>
      <c r="I3330" s="2">
        <v>2787</v>
      </c>
      <c r="J3330" s="2">
        <v>1.36</v>
      </c>
      <c r="K3330" s="2">
        <v>3.93</v>
      </c>
      <c r="L3330" s="2">
        <v>7.86</v>
      </c>
      <c r="M3330" s="2">
        <v>15.21</v>
      </c>
      <c r="N3330" s="2">
        <v>0.144388814</v>
      </c>
      <c r="O3330" s="2">
        <v>0.112010044</v>
      </c>
      <c r="P3330" s="2">
        <v>3.4448726459999999</v>
      </c>
      <c r="Q3330" s="2">
        <v>3.4746094489999999</v>
      </c>
      <c r="R3330" s="2">
        <v>0.68433919499999996</v>
      </c>
      <c r="S3330" s="2">
        <v>0.63433919500000002</v>
      </c>
      <c r="T3330" s="2">
        <v>3.3762149529999999</v>
      </c>
      <c r="U3330" s="2">
        <v>3.4162149529999999</v>
      </c>
      <c r="V3330" s="2">
        <v>0.70234085899999998</v>
      </c>
      <c r="W3330" s="2">
        <v>0.70014467400000002</v>
      </c>
      <c r="X3330">
        <f t="shared" si="153"/>
        <v>0</v>
      </c>
      <c r="Y3330">
        <f t="shared" si="154"/>
        <v>0</v>
      </c>
      <c r="Z3330">
        <f t="shared" si="155"/>
        <v>0</v>
      </c>
    </row>
    <row r="3331" spans="1:26" ht="15.75" customHeight="1" x14ac:dyDescent="0.2">
      <c r="A3331" s="2" t="s">
        <v>36</v>
      </c>
      <c r="B3331" s="2" t="s">
        <v>35</v>
      </c>
      <c r="C3331" s="2" t="s">
        <v>25</v>
      </c>
      <c r="D3331" s="2" t="s">
        <v>25</v>
      </c>
      <c r="E3331" s="2">
        <v>228</v>
      </c>
      <c r="F3331" s="2">
        <v>233</v>
      </c>
      <c r="G3331" s="2">
        <v>897</v>
      </c>
      <c r="H3331" s="2">
        <v>1429</v>
      </c>
      <c r="I3331" s="2">
        <v>2718</v>
      </c>
      <c r="J3331" s="2">
        <v>2.31</v>
      </c>
      <c r="K3331" s="2">
        <v>7.89</v>
      </c>
      <c r="L3331" s="2">
        <v>10.77</v>
      </c>
      <c r="M3331" s="2">
        <v>15.05</v>
      </c>
      <c r="N3331" s="2">
        <v>0.46986633700000002</v>
      </c>
      <c r="O3331" s="2">
        <v>0.68268021499999998</v>
      </c>
      <c r="P3331" s="2">
        <v>3.3102909779999998</v>
      </c>
      <c r="Q3331" s="2">
        <v>3.3655750860000002</v>
      </c>
      <c r="R3331" s="2">
        <v>3.2774203709999998</v>
      </c>
      <c r="S3331" s="2">
        <v>3.3274203710000001</v>
      </c>
      <c r="T3331" s="2">
        <v>0.46534080799999999</v>
      </c>
      <c r="U3331" s="2">
        <v>0.50534080800000003</v>
      </c>
      <c r="V3331" s="2">
        <v>4.664100425</v>
      </c>
      <c r="W3331" s="2">
        <v>4.6619042390000001</v>
      </c>
      <c r="X3331">
        <f t="shared" ref="X3331:X3394" si="156">IF(B3331="normal",1,0)</f>
        <v>0</v>
      </c>
      <c r="Y3331">
        <f t="shared" ref="Y3331:Y3394" si="157">IF(A3331="lecture",1,0)</f>
        <v>0</v>
      </c>
      <c r="Z3331">
        <f t="shared" ref="Z3331:Z3394" si="158">IF(ISNUMBER(FIND("~",D3331)),1,0)</f>
        <v>0</v>
      </c>
    </row>
    <row r="3332" spans="1:26" ht="15.75" customHeight="1" x14ac:dyDescent="0.2">
      <c r="A3332" s="2" t="s">
        <v>36</v>
      </c>
      <c r="B3332" s="2" t="s">
        <v>35</v>
      </c>
      <c r="C3332" s="2" t="s">
        <v>30</v>
      </c>
      <c r="D3332" s="2" t="s">
        <v>31</v>
      </c>
      <c r="E3332" s="2">
        <v>212</v>
      </c>
      <c r="F3332" s="2">
        <v>213</v>
      </c>
      <c r="G3332" s="2">
        <v>486</v>
      </c>
      <c r="H3332" s="2">
        <v>1258</v>
      </c>
      <c r="I3332" s="2">
        <v>2367</v>
      </c>
      <c r="J3332" s="2">
        <v>2.1</v>
      </c>
      <c r="K3332" s="2">
        <v>4.8</v>
      </c>
      <c r="L3332" s="2">
        <v>9.9499999999999993</v>
      </c>
      <c r="M3332" s="2">
        <v>14.14</v>
      </c>
      <c r="N3332" s="2">
        <v>3.8237090189999998</v>
      </c>
      <c r="O3332" s="2">
        <v>4.0467888759999999</v>
      </c>
      <c r="P3332" s="2">
        <v>1.3048499360000001</v>
      </c>
      <c r="Q3332" s="2">
        <v>1.352403711</v>
      </c>
      <c r="R3332" s="2">
        <v>0.18985284099999999</v>
      </c>
      <c r="S3332" s="2">
        <v>0.23985284100000001</v>
      </c>
      <c r="T3332" s="2">
        <v>1.290964467</v>
      </c>
      <c r="U3332" s="2">
        <v>1.330964467</v>
      </c>
      <c r="V3332" s="2">
        <v>1.5765328949999999</v>
      </c>
      <c r="W3332" s="2">
        <v>1.574336709</v>
      </c>
      <c r="X3332">
        <f t="shared" si="156"/>
        <v>0</v>
      </c>
      <c r="Y3332">
        <f t="shared" si="157"/>
        <v>0</v>
      </c>
      <c r="Z3332">
        <f t="shared" si="158"/>
        <v>1</v>
      </c>
    </row>
    <row r="3333" spans="1:26" ht="15.75" customHeight="1" x14ac:dyDescent="0.2">
      <c r="A3333" s="2" t="s">
        <v>36</v>
      </c>
      <c r="B3333" s="2" t="s">
        <v>35</v>
      </c>
      <c r="C3333" s="2" t="s">
        <v>27</v>
      </c>
      <c r="D3333" s="2" t="s">
        <v>27</v>
      </c>
      <c r="E3333" s="2">
        <v>279</v>
      </c>
      <c r="F3333" s="2">
        <v>235</v>
      </c>
      <c r="G3333" s="2">
        <v>376</v>
      </c>
      <c r="H3333" s="2">
        <v>1981</v>
      </c>
      <c r="I3333" s="2">
        <v>2791</v>
      </c>
      <c r="J3333" s="2">
        <v>2.34</v>
      </c>
      <c r="K3333" s="2">
        <v>3.79</v>
      </c>
      <c r="L3333" s="2">
        <v>12.95</v>
      </c>
      <c r="M3333" s="2">
        <v>15.22</v>
      </c>
      <c r="N3333" s="2">
        <v>0.82744756399999997</v>
      </c>
      <c r="O3333" s="2">
        <v>1.049548623</v>
      </c>
      <c r="P3333" s="2">
        <v>1.8948841519999999</v>
      </c>
      <c r="Q3333" s="2">
        <v>1.8373712499999999</v>
      </c>
      <c r="R3333" s="2">
        <v>0.82148237999999996</v>
      </c>
      <c r="S3333" s="2">
        <v>0.77148238000000002</v>
      </c>
      <c r="T3333" s="2">
        <v>1.70755751</v>
      </c>
      <c r="U3333" s="2">
        <v>1.66755751</v>
      </c>
      <c r="V3333" s="2">
        <v>0.56519767399999998</v>
      </c>
      <c r="W3333" s="2">
        <v>0.56300148800000005</v>
      </c>
      <c r="X3333">
        <f t="shared" si="156"/>
        <v>0</v>
      </c>
      <c r="Y3333">
        <f t="shared" si="157"/>
        <v>0</v>
      </c>
      <c r="Z3333">
        <f t="shared" si="158"/>
        <v>0</v>
      </c>
    </row>
    <row r="3334" spans="1:26" ht="15.75" customHeight="1" x14ac:dyDescent="0.2">
      <c r="A3334" s="2" t="s">
        <v>36</v>
      </c>
      <c r="B3334" s="2" t="s">
        <v>35</v>
      </c>
      <c r="C3334" s="2" t="s">
        <v>30</v>
      </c>
      <c r="D3334" s="2" t="s">
        <v>31</v>
      </c>
      <c r="E3334" s="2">
        <v>212</v>
      </c>
      <c r="F3334" s="2">
        <v>252</v>
      </c>
      <c r="G3334" s="2">
        <v>516</v>
      </c>
      <c r="H3334" s="2">
        <v>1218</v>
      </c>
      <c r="I3334" s="2">
        <v>2459</v>
      </c>
      <c r="J3334" s="2">
        <v>2.52</v>
      </c>
      <c r="K3334" s="2">
        <v>5.0599999999999996</v>
      </c>
      <c r="L3334" s="2">
        <v>9.74</v>
      </c>
      <c r="M3334" s="2">
        <v>14.39</v>
      </c>
      <c r="N3334" s="2">
        <v>4.0787324140000001</v>
      </c>
      <c r="O3334" s="2">
        <v>4.298367324</v>
      </c>
      <c r="P3334" s="2">
        <v>1.562751099</v>
      </c>
      <c r="Q3334" s="2">
        <v>1.6158656199999999</v>
      </c>
      <c r="R3334" s="2">
        <v>0.450078072</v>
      </c>
      <c r="S3334" s="2">
        <v>0.50007807199999998</v>
      </c>
      <c r="T3334" s="2">
        <v>1.496536243</v>
      </c>
      <c r="U3334" s="2">
        <v>1.536536243</v>
      </c>
      <c r="V3334" s="2">
        <v>1.8367581260000001</v>
      </c>
      <c r="W3334" s="2">
        <v>1.834561941</v>
      </c>
      <c r="X3334">
        <f t="shared" si="156"/>
        <v>0</v>
      </c>
      <c r="Y3334">
        <f t="shared" si="157"/>
        <v>0</v>
      </c>
      <c r="Z3334">
        <f t="shared" si="158"/>
        <v>1</v>
      </c>
    </row>
    <row r="3335" spans="1:26" ht="15.75" customHeight="1" x14ac:dyDescent="0.2">
      <c r="A3335" s="2" t="s">
        <v>36</v>
      </c>
      <c r="B3335" s="2" t="s">
        <v>35</v>
      </c>
      <c r="C3335" s="2" t="s">
        <v>27</v>
      </c>
      <c r="D3335" s="2" t="s">
        <v>27</v>
      </c>
      <c r="E3335" s="2">
        <v>209</v>
      </c>
      <c r="F3335" s="2">
        <v>225</v>
      </c>
      <c r="G3335" s="2">
        <v>418</v>
      </c>
      <c r="H3335" s="2">
        <v>2145</v>
      </c>
      <c r="I3335" s="2">
        <v>2871</v>
      </c>
      <c r="J3335" s="2">
        <v>2.23</v>
      </c>
      <c r="K3335" s="2">
        <v>4.18</v>
      </c>
      <c r="L3335" s="2">
        <v>13.48</v>
      </c>
      <c r="M3335" s="2">
        <v>15.4</v>
      </c>
      <c r="N3335" s="2">
        <v>0.24210910199999999</v>
      </c>
      <c r="O3335" s="2">
        <v>0.46456220500000001</v>
      </c>
      <c r="P3335" s="2">
        <v>2.2791094520000001</v>
      </c>
      <c r="Q3335" s="2">
        <v>2.230772097</v>
      </c>
      <c r="R3335" s="2">
        <v>0.43049067699999999</v>
      </c>
      <c r="S3335" s="2">
        <v>0.380490677</v>
      </c>
      <c r="T3335" s="2">
        <v>2.238083482</v>
      </c>
      <c r="U3335" s="2">
        <v>2.1980834819999999</v>
      </c>
      <c r="V3335" s="2">
        <v>0.95618937699999995</v>
      </c>
      <c r="W3335" s="2">
        <v>0.95399319100000002</v>
      </c>
      <c r="X3335">
        <f t="shared" si="156"/>
        <v>0</v>
      </c>
      <c r="Y3335">
        <f t="shared" si="157"/>
        <v>0</v>
      </c>
      <c r="Z3335">
        <f t="shared" si="158"/>
        <v>0</v>
      </c>
    </row>
    <row r="3336" spans="1:26" ht="15.75" customHeight="1" x14ac:dyDescent="0.2">
      <c r="A3336" s="2" t="s">
        <v>36</v>
      </c>
      <c r="B3336" s="2" t="s">
        <v>35</v>
      </c>
      <c r="C3336" s="2" t="s">
        <v>26</v>
      </c>
      <c r="D3336" s="2" t="s">
        <v>26</v>
      </c>
      <c r="E3336" s="2">
        <v>222</v>
      </c>
      <c r="F3336" s="2">
        <v>232</v>
      </c>
      <c r="G3336" s="2">
        <v>400</v>
      </c>
      <c r="H3336" s="2">
        <v>912</v>
      </c>
      <c r="I3336" s="2">
        <v>2802</v>
      </c>
      <c r="J3336" s="2">
        <v>2.31</v>
      </c>
      <c r="K3336" s="2">
        <v>4.01</v>
      </c>
      <c r="L3336" s="2">
        <v>7.98</v>
      </c>
      <c r="M3336" s="2">
        <v>15.25</v>
      </c>
      <c r="N3336" s="2">
        <v>0.135558805</v>
      </c>
      <c r="O3336" s="2">
        <v>0.203967606</v>
      </c>
      <c r="P3336" s="2">
        <v>3.3105959230000002</v>
      </c>
      <c r="Q3336" s="2">
        <v>3.3414179019999999</v>
      </c>
      <c r="R3336" s="2">
        <v>0.59593220300000005</v>
      </c>
      <c r="S3336" s="2">
        <v>0.545932203</v>
      </c>
      <c r="T3336" s="2">
        <v>3.2565181060000001</v>
      </c>
      <c r="U3336" s="2">
        <v>3.2965181060000002</v>
      </c>
      <c r="V3336" s="2">
        <v>0.79074785000000003</v>
      </c>
      <c r="W3336" s="2">
        <v>0.78855166499999996</v>
      </c>
      <c r="X3336">
        <f t="shared" si="156"/>
        <v>0</v>
      </c>
      <c r="Y3336">
        <f t="shared" si="157"/>
        <v>0</v>
      </c>
      <c r="Z3336">
        <f t="shared" si="158"/>
        <v>0</v>
      </c>
    </row>
    <row r="3337" spans="1:26" ht="15.75" customHeight="1" x14ac:dyDescent="0.2">
      <c r="A3337" s="2" t="s">
        <v>36</v>
      </c>
      <c r="B3337" s="2" t="s">
        <v>35</v>
      </c>
      <c r="C3337" s="2" t="s">
        <v>27</v>
      </c>
      <c r="D3337" s="2" t="s">
        <v>27</v>
      </c>
      <c r="E3337" s="2">
        <v>205</v>
      </c>
      <c r="F3337" s="2">
        <v>229</v>
      </c>
      <c r="G3337" s="2">
        <v>394</v>
      </c>
      <c r="H3337" s="2">
        <v>2372</v>
      </c>
      <c r="I3337" s="2">
        <v>2989</v>
      </c>
      <c r="J3337" s="2">
        <v>2.27</v>
      </c>
      <c r="K3337" s="2">
        <v>3.96</v>
      </c>
      <c r="L3337" s="2">
        <v>14.15</v>
      </c>
      <c r="M3337" s="2">
        <v>15.66</v>
      </c>
      <c r="N3337" s="2">
        <v>0.46564286199999999</v>
      </c>
      <c r="O3337" s="2">
        <v>0.27180395200000002</v>
      </c>
      <c r="P3337" s="2">
        <v>2.9821982349999998</v>
      </c>
      <c r="Q3337" s="2">
        <v>2.9324982450000001</v>
      </c>
      <c r="R3337" s="2">
        <v>0.65268479199999996</v>
      </c>
      <c r="S3337" s="2">
        <v>0.60268479200000002</v>
      </c>
      <c r="T3337" s="2">
        <v>2.9098984300000001</v>
      </c>
      <c r="U3337" s="2">
        <v>2.8698984300000001</v>
      </c>
      <c r="V3337" s="2">
        <v>0.73399526199999998</v>
      </c>
      <c r="W3337" s="2">
        <v>0.73179907600000005</v>
      </c>
      <c r="X3337">
        <f t="shared" si="156"/>
        <v>0</v>
      </c>
      <c r="Y3337">
        <f t="shared" si="157"/>
        <v>0</v>
      </c>
      <c r="Z3337">
        <f t="shared" si="158"/>
        <v>0</v>
      </c>
    </row>
    <row r="3338" spans="1:26" ht="15.75" customHeight="1" x14ac:dyDescent="0.2">
      <c r="A3338" s="2" t="s">
        <v>36</v>
      </c>
      <c r="B3338" s="2" t="s">
        <v>35</v>
      </c>
      <c r="C3338" s="2" t="s">
        <v>30</v>
      </c>
      <c r="D3338" s="2" t="s">
        <v>31</v>
      </c>
      <c r="E3338" s="2">
        <v>263</v>
      </c>
      <c r="F3338" s="2">
        <v>232</v>
      </c>
      <c r="G3338" s="2">
        <v>504</v>
      </c>
      <c r="H3338" s="2">
        <v>1266</v>
      </c>
      <c r="I3338" s="2">
        <v>2514</v>
      </c>
      <c r="J3338" s="2">
        <v>2.31</v>
      </c>
      <c r="K3338" s="2">
        <v>4.95</v>
      </c>
      <c r="L3338" s="2">
        <v>9.99</v>
      </c>
      <c r="M3338" s="2">
        <v>14.53</v>
      </c>
      <c r="N3338" s="2">
        <v>3.8133214729999998</v>
      </c>
      <c r="O3338" s="2">
        <v>4.0338076679999997</v>
      </c>
      <c r="P3338" s="2">
        <v>1.2952568760000001</v>
      </c>
      <c r="Q3338" s="2">
        <v>1.347619766</v>
      </c>
      <c r="R3338" s="2">
        <v>0.34386363599999997</v>
      </c>
      <c r="S3338" s="2">
        <v>0.39386363600000002</v>
      </c>
      <c r="T3338" s="2">
        <v>1.2487786729999999</v>
      </c>
      <c r="U3338" s="2">
        <v>1.2887786729999999</v>
      </c>
      <c r="V3338" s="2">
        <v>1.73054369</v>
      </c>
      <c r="W3338" s="2">
        <v>1.7283475049999999</v>
      </c>
      <c r="X3338">
        <f t="shared" si="156"/>
        <v>0</v>
      </c>
      <c r="Y3338">
        <f t="shared" si="157"/>
        <v>0</v>
      </c>
      <c r="Z3338">
        <f t="shared" si="158"/>
        <v>1</v>
      </c>
    </row>
    <row r="3339" spans="1:26" ht="15.75" customHeight="1" x14ac:dyDescent="0.2">
      <c r="A3339" s="2" t="s">
        <v>36</v>
      </c>
      <c r="B3339" s="2" t="s">
        <v>35</v>
      </c>
      <c r="C3339" s="2" t="s">
        <v>27</v>
      </c>
      <c r="D3339" s="2" t="s">
        <v>27</v>
      </c>
      <c r="E3339" s="2">
        <v>202</v>
      </c>
      <c r="F3339" s="2">
        <v>181</v>
      </c>
      <c r="G3339" s="2">
        <v>438</v>
      </c>
      <c r="H3339" s="2">
        <v>2423</v>
      </c>
      <c r="I3339" s="2">
        <v>3095</v>
      </c>
      <c r="J3339" s="2">
        <v>1.74</v>
      </c>
      <c r="K3339" s="2">
        <v>4.37</v>
      </c>
      <c r="L3339" s="2">
        <v>14.29</v>
      </c>
      <c r="M3339" s="2">
        <v>15.88</v>
      </c>
      <c r="N3339" s="2">
        <v>0.63654166000000001</v>
      </c>
      <c r="O3339" s="2">
        <v>0.42521477600000002</v>
      </c>
      <c r="P3339" s="2">
        <v>3.0604713189999999</v>
      </c>
      <c r="Q3339" s="2">
        <v>3.0170343750000002</v>
      </c>
      <c r="R3339" s="2">
        <v>0.240048645</v>
      </c>
      <c r="S3339" s="2">
        <v>0.19004864499999999</v>
      </c>
      <c r="T3339" s="2">
        <v>3.0510426650000002</v>
      </c>
      <c r="U3339" s="2">
        <v>3.0110426650000002</v>
      </c>
      <c r="V3339" s="2">
        <v>1.146631409</v>
      </c>
      <c r="W3339" s="2">
        <v>1.1444352229999999</v>
      </c>
      <c r="X3339">
        <f t="shared" si="156"/>
        <v>0</v>
      </c>
      <c r="Y3339">
        <f t="shared" si="157"/>
        <v>0</v>
      </c>
      <c r="Z3339">
        <f t="shared" si="158"/>
        <v>0</v>
      </c>
    </row>
    <row r="3340" spans="1:26" ht="15.75" customHeight="1" x14ac:dyDescent="0.2">
      <c r="A3340" s="2" t="s">
        <v>36</v>
      </c>
      <c r="B3340" s="2" t="s">
        <v>35</v>
      </c>
      <c r="C3340" s="2" t="s">
        <v>26</v>
      </c>
      <c r="D3340" s="2" t="s">
        <v>26</v>
      </c>
      <c r="E3340" s="2">
        <v>260</v>
      </c>
      <c r="F3340" s="2">
        <v>230</v>
      </c>
      <c r="G3340" s="2">
        <v>420</v>
      </c>
      <c r="H3340" s="2">
        <v>922</v>
      </c>
      <c r="I3340" s="2">
        <v>2810</v>
      </c>
      <c r="J3340" s="2">
        <v>2.2799999999999998</v>
      </c>
      <c r="K3340" s="2">
        <v>4.2</v>
      </c>
      <c r="L3340" s="2">
        <v>8.0500000000000007</v>
      </c>
      <c r="M3340" s="2">
        <v>15.26</v>
      </c>
      <c r="N3340" s="2">
        <v>0.23018423399999999</v>
      </c>
      <c r="O3340" s="2">
        <v>0.33615045199999999</v>
      </c>
      <c r="P3340" s="2">
        <v>3.218707115</v>
      </c>
      <c r="Q3340" s="2">
        <v>3.2525443780000001</v>
      </c>
      <c r="R3340" s="2">
        <v>0.40573168999999998</v>
      </c>
      <c r="S3340" s="2">
        <v>0.35573168999999999</v>
      </c>
      <c r="T3340" s="2">
        <v>3.193032616</v>
      </c>
      <c r="U3340" s="2">
        <v>3.233032616</v>
      </c>
      <c r="V3340" s="2">
        <v>0.98094836399999996</v>
      </c>
      <c r="W3340" s="2">
        <v>0.97875217800000003</v>
      </c>
      <c r="X3340">
        <f t="shared" si="156"/>
        <v>0</v>
      </c>
      <c r="Y3340">
        <f t="shared" si="157"/>
        <v>0</v>
      </c>
      <c r="Z3340">
        <f t="shared" si="158"/>
        <v>0</v>
      </c>
    </row>
    <row r="3341" spans="1:26" ht="15.75" customHeight="1" x14ac:dyDescent="0.2">
      <c r="A3341" s="2" t="s">
        <v>36</v>
      </c>
      <c r="B3341" s="2" t="s">
        <v>35</v>
      </c>
      <c r="C3341" s="2" t="s">
        <v>30</v>
      </c>
      <c r="D3341" s="2" t="s">
        <v>31</v>
      </c>
      <c r="E3341" s="2">
        <v>203</v>
      </c>
      <c r="F3341" s="2">
        <v>237</v>
      </c>
      <c r="G3341" s="2">
        <v>521</v>
      </c>
      <c r="H3341" s="2">
        <v>1245</v>
      </c>
      <c r="I3341" s="2">
        <v>2418</v>
      </c>
      <c r="J3341" s="2">
        <v>2.36</v>
      </c>
      <c r="K3341" s="2">
        <v>5.0999999999999996</v>
      </c>
      <c r="L3341" s="2">
        <v>9.89</v>
      </c>
      <c r="M3341" s="2">
        <v>14.28</v>
      </c>
      <c r="N3341" s="2">
        <v>3.9498792069999999</v>
      </c>
      <c r="O3341" s="2">
        <v>4.1682364359999999</v>
      </c>
      <c r="P3341" s="2">
        <v>1.439747181</v>
      </c>
      <c r="Q3341" s="2">
        <v>1.494749243</v>
      </c>
      <c r="R3341" s="2">
        <v>0.48999193899999999</v>
      </c>
      <c r="S3341" s="2">
        <v>0.53999193899999998</v>
      </c>
      <c r="T3341" s="2">
        <v>1.3538019969999999</v>
      </c>
      <c r="U3341" s="2">
        <v>1.393801997</v>
      </c>
      <c r="V3341" s="2">
        <v>1.876671993</v>
      </c>
      <c r="W3341" s="2">
        <v>1.874475807</v>
      </c>
      <c r="X3341">
        <f t="shared" si="156"/>
        <v>0</v>
      </c>
      <c r="Y3341">
        <f t="shared" si="157"/>
        <v>0</v>
      </c>
      <c r="Z3341">
        <f t="shared" si="158"/>
        <v>1</v>
      </c>
    </row>
    <row r="3342" spans="1:26" ht="15.75" customHeight="1" x14ac:dyDescent="0.2">
      <c r="A3342" s="2" t="s">
        <v>36</v>
      </c>
      <c r="B3342" s="2" t="s">
        <v>35</v>
      </c>
      <c r="C3342" s="2" t="s">
        <v>32</v>
      </c>
      <c r="D3342" s="2" t="s">
        <v>33</v>
      </c>
      <c r="E3342" s="2">
        <v>168</v>
      </c>
      <c r="F3342" s="2">
        <v>248</v>
      </c>
      <c r="G3342" s="2">
        <v>504</v>
      </c>
      <c r="H3342" s="2">
        <v>866</v>
      </c>
      <c r="I3342" s="2">
        <v>2474</v>
      </c>
      <c r="J3342" s="2">
        <v>2.48</v>
      </c>
      <c r="K3342" s="2">
        <v>4.95</v>
      </c>
      <c r="L3342" s="2">
        <v>7.69</v>
      </c>
      <c r="M3342" s="2">
        <v>14.43</v>
      </c>
      <c r="N3342" s="2">
        <v>4.3330384000000004</v>
      </c>
      <c r="O3342" s="2">
        <v>4.2828977940000001</v>
      </c>
      <c r="P3342" s="2">
        <v>3.5706563550000001</v>
      </c>
      <c r="Q3342" s="2">
        <v>3.615540304</v>
      </c>
      <c r="R3342" s="2">
        <v>0.34097821699999997</v>
      </c>
      <c r="S3342" s="2">
        <v>0.39097821700000002</v>
      </c>
      <c r="T3342" s="2">
        <v>3.5543382870000002</v>
      </c>
      <c r="U3342" s="2">
        <v>3.5943382869999998</v>
      </c>
      <c r="V3342" s="2">
        <v>1.7276582709999999</v>
      </c>
      <c r="W3342" s="2">
        <v>1.725462085</v>
      </c>
      <c r="X3342">
        <f t="shared" si="156"/>
        <v>0</v>
      </c>
      <c r="Y3342">
        <f t="shared" si="157"/>
        <v>0</v>
      </c>
      <c r="Z3342">
        <f t="shared" si="158"/>
        <v>1</v>
      </c>
    </row>
    <row r="3343" spans="1:26" ht="15.75" customHeight="1" x14ac:dyDescent="0.2">
      <c r="A3343" s="2" t="s">
        <v>36</v>
      </c>
      <c r="B3343" s="2" t="s">
        <v>35</v>
      </c>
      <c r="C3343" s="2" t="s">
        <v>28</v>
      </c>
      <c r="D3343" s="2" t="s">
        <v>29</v>
      </c>
      <c r="E3343" s="2">
        <v>232</v>
      </c>
      <c r="F3343" s="2">
        <v>221</v>
      </c>
      <c r="G3343" s="2">
        <v>530</v>
      </c>
      <c r="H3343" s="2">
        <v>1296</v>
      </c>
      <c r="I3343" s="2">
        <v>2711</v>
      </c>
      <c r="J3343" s="2">
        <v>2.19</v>
      </c>
      <c r="K3343" s="2">
        <v>5.17</v>
      </c>
      <c r="L3343" s="2">
        <v>10.14</v>
      </c>
      <c r="M3343" s="2">
        <v>15.03</v>
      </c>
      <c r="N3343" s="2">
        <v>2.534272912</v>
      </c>
      <c r="O3343" s="2">
        <v>2.6369240500000002</v>
      </c>
      <c r="P3343" s="2">
        <v>1.2348756510000001</v>
      </c>
      <c r="Q3343" s="2">
        <v>1.293555475</v>
      </c>
      <c r="R3343" s="2">
        <v>0.56372071199999996</v>
      </c>
      <c r="S3343" s="2">
        <v>0.613720712</v>
      </c>
      <c r="T3343" s="2">
        <v>1.098697789</v>
      </c>
      <c r="U3343" s="2">
        <v>1.1386977890000001</v>
      </c>
      <c r="V3343" s="2">
        <v>1.950400766</v>
      </c>
      <c r="W3343" s="2">
        <v>1.9482045800000001</v>
      </c>
      <c r="X3343">
        <f t="shared" si="156"/>
        <v>0</v>
      </c>
      <c r="Y3343">
        <f t="shared" si="157"/>
        <v>0</v>
      </c>
      <c r="Z3343">
        <f t="shared" si="158"/>
        <v>1</v>
      </c>
    </row>
    <row r="3344" spans="1:26" ht="15.75" customHeight="1" x14ac:dyDescent="0.2">
      <c r="A3344" s="2" t="s">
        <v>36</v>
      </c>
      <c r="B3344" s="2" t="s">
        <v>35</v>
      </c>
      <c r="C3344" s="2" t="s">
        <v>28</v>
      </c>
      <c r="D3344" s="2" t="s">
        <v>29</v>
      </c>
      <c r="E3344" s="2">
        <v>224</v>
      </c>
      <c r="F3344" s="2">
        <v>260</v>
      </c>
      <c r="G3344" s="2">
        <v>523</v>
      </c>
      <c r="H3344" s="2">
        <v>1653</v>
      </c>
      <c r="I3344" s="2">
        <v>2986</v>
      </c>
      <c r="J3344" s="2">
        <v>2.61</v>
      </c>
      <c r="K3344" s="2">
        <v>5.12</v>
      </c>
      <c r="L3344" s="2">
        <v>11.73</v>
      </c>
      <c r="M3344" s="2">
        <v>15.66</v>
      </c>
      <c r="N3344" s="2">
        <v>4.0143461470000004</v>
      </c>
      <c r="O3344" s="2">
        <v>4.1101337659999997</v>
      </c>
      <c r="P3344" s="2">
        <v>0.71038160299999997</v>
      </c>
      <c r="Q3344" s="2">
        <v>0.72122220800000003</v>
      </c>
      <c r="R3344" s="2">
        <v>0.50989261699999999</v>
      </c>
      <c r="S3344" s="2">
        <v>0.55989261700000004</v>
      </c>
      <c r="T3344" s="2">
        <v>0.49462262400000001</v>
      </c>
      <c r="U3344" s="2">
        <v>0.45462262399999998</v>
      </c>
      <c r="V3344" s="2">
        <v>1.8965726709999999</v>
      </c>
      <c r="W3344" s="2">
        <v>1.8943764860000001</v>
      </c>
      <c r="X3344">
        <f t="shared" si="156"/>
        <v>0</v>
      </c>
      <c r="Y3344">
        <f t="shared" si="157"/>
        <v>0</v>
      </c>
      <c r="Z3344">
        <f t="shared" si="158"/>
        <v>1</v>
      </c>
    </row>
    <row r="3345" spans="1:26" ht="15.75" customHeight="1" x14ac:dyDescent="0.2">
      <c r="A3345" s="2" t="s">
        <v>36</v>
      </c>
      <c r="B3345" s="2" t="s">
        <v>35</v>
      </c>
      <c r="C3345" s="2" t="s">
        <v>26</v>
      </c>
      <c r="D3345" s="2" t="s">
        <v>26</v>
      </c>
      <c r="E3345" s="2">
        <v>195</v>
      </c>
      <c r="F3345" s="2">
        <v>247</v>
      </c>
      <c r="G3345" s="2">
        <v>415</v>
      </c>
      <c r="H3345" s="2">
        <v>835</v>
      </c>
      <c r="I3345" s="2">
        <v>2716</v>
      </c>
      <c r="J3345" s="2">
        <v>2.4700000000000002</v>
      </c>
      <c r="K3345" s="2">
        <v>4.1500000000000004</v>
      </c>
      <c r="L3345" s="2">
        <v>7.48</v>
      </c>
      <c r="M3345" s="2">
        <v>15.04</v>
      </c>
      <c r="N3345" s="2">
        <v>0.387028125</v>
      </c>
      <c r="O3345" s="2">
        <v>0.33463463799999998</v>
      </c>
      <c r="P3345" s="2">
        <v>3.7861839860000002</v>
      </c>
      <c r="Q3345" s="2">
        <v>3.820224407</v>
      </c>
      <c r="R3345" s="2">
        <v>0.45841100499999998</v>
      </c>
      <c r="S3345" s="2">
        <v>0.40841100499999999</v>
      </c>
      <c r="T3345" s="2">
        <v>3.7583305509999998</v>
      </c>
      <c r="U3345" s="2">
        <v>3.7983305509999998</v>
      </c>
      <c r="V3345" s="2">
        <v>0.92826904899999996</v>
      </c>
      <c r="W3345" s="2">
        <v>0.92607286300000002</v>
      </c>
      <c r="X3345">
        <f t="shared" si="156"/>
        <v>0</v>
      </c>
      <c r="Y3345">
        <f t="shared" si="157"/>
        <v>0</v>
      </c>
      <c r="Z3345">
        <f t="shared" si="158"/>
        <v>0</v>
      </c>
    </row>
    <row r="3346" spans="1:26" ht="15.75" customHeight="1" x14ac:dyDescent="0.2">
      <c r="A3346" s="2" t="s">
        <v>36</v>
      </c>
      <c r="B3346" s="2" t="s">
        <v>35</v>
      </c>
      <c r="C3346" s="2" t="s">
        <v>25</v>
      </c>
      <c r="D3346" s="2" t="s">
        <v>25</v>
      </c>
      <c r="E3346" s="2">
        <v>157</v>
      </c>
      <c r="F3346" s="2">
        <v>184</v>
      </c>
      <c r="G3346" s="2">
        <v>817</v>
      </c>
      <c r="H3346" s="2">
        <v>1534</v>
      </c>
      <c r="I3346" s="2">
        <v>2706</v>
      </c>
      <c r="J3346" s="2">
        <v>1.77</v>
      </c>
      <c r="K3346" s="2">
        <v>7.36</v>
      </c>
      <c r="L3346" s="2">
        <v>11.24</v>
      </c>
      <c r="M3346" s="2">
        <v>15.02</v>
      </c>
      <c r="N3346" s="2">
        <v>0.24703782499999999</v>
      </c>
      <c r="O3346" s="2">
        <v>2.4282076999999999E-2</v>
      </c>
      <c r="P3346" s="2">
        <v>2.7498375400000001</v>
      </c>
      <c r="Q3346" s="2">
        <v>2.8000939169999999</v>
      </c>
      <c r="R3346" s="2">
        <v>2.7498367739999998</v>
      </c>
      <c r="S3346" s="2">
        <v>2.7998367740000001</v>
      </c>
      <c r="T3346" s="2">
        <v>2.052847E-3</v>
      </c>
      <c r="U3346" s="2">
        <v>3.7947152999999997E-2</v>
      </c>
      <c r="V3346" s="2">
        <v>4.1365168280000004</v>
      </c>
      <c r="W3346" s="2">
        <v>4.1343206419999996</v>
      </c>
      <c r="X3346">
        <f t="shared" si="156"/>
        <v>0</v>
      </c>
      <c r="Y3346">
        <f t="shared" si="157"/>
        <v>0</v>
      </c>
      <c r="Z3346">
        <f t="shared" si="158"/>
        <v>0</v>
      </c>
    </row>
    <row r="3347" spans="1:26" ht="15.75" customHeight="1" x14ac:dyDescent="0.2">
      <c r="A3347" s="2" t="s">
        <v>36</v>
      </c>
      <c r="B3347" s="2" t="s">
        <v>35</v>
      </c>
      <c r="C3347" s="2" t="s">
        <v>30</v>
      </c>
      <c r="D3347" s="2" t="s">
        <v>31</v>
      </c>
      <c r="E3347" s="2">
        <v>180</v>
      </c>
      <c r="F3347" s="2">
        <v>208</v>
      </c>
      <c r="G3347" s="2">
        <v>538</v>
      </c>
      <c r="H3347" s="2">
        <v>1415</v>
      </c>
      <c r="I3347" s="2">
        <v>2496</v>
      </c>
      <c r="J3347" s="2">
        <v>2.04</v>
      </c>
      <c r="K3347" s="2">
        <v>5.24</v>
      </c>
      <c r="L3347" s="2">
        <v>10.71</v>
      </c>
      <c r="M3347" s="2">
        <v>14.49</v>
      </c>
      <c r="N3347" s="2">
        <v>3.2069002929999999</v>
      </c>
      <c r="O3347" s="2">
        <v>3.4164290560000001</v>
      </c>
      <c r="P3347" s="2">
        <v>0.82623328600000001</v>
      </c>
      <c r="Q3347" s="2">
        <v>0.89025126499999996</v>
      </c>
      <c r="R3347" s="2">
        <v>0.63413130500000003</v>
      </c>
      <c r="S3347" s="2">
        <v>0.68413130499999997</v>
      </c>
      <c r="T3347" s="2">
        <v>0.52965925899999999</v>
      </c>
      <c r="U3347" s="2">
        <v>0.56965925900000003</v>
      </c>
      <c r="V3347" s="2">
        <v>2.0208113590000001</v>
      </c>
      <c r="W3347" s="2">
        <v>2.0186151730000002</v>
      </c>
      <c r="X3347">
        <f t="shared" si="156"/>
        <v>0</v>
      </c>
      <c r="Y3347">
        <f t="shared" si="157"/>
        <v>0</v>
      </c>
      <c r="Z3347">
        <f t="shared" si="158"/>
        <v>1</v>
      </c>
    </row>
    <row r="3348" spans="1:26" ht="15.75" customHeight="1" x14ac:dyDescent="0.2">
      <c r="A3348" s="2" t="s">
        <v>36</v>
      </c>
      <c r="B3348" s="2" t="s">
        <v>35</v>
      </c>
      <c r="C3348" s="2" t="s">
        <v>28</v>
      </c>
      <c r="D3348" s="2" t="s">
        <v>29</v>
      </c>
      <c r="E3348" s="2">
        <v>231</v>
      </c>
      <c r="F3348" s="2">
        <v>136</v>
      </c>
      <c r="G3348" s="2">
        <v>479</v>
      </c>
      <c r="H3348" s="2">
        <v>1514</v>
      </c>
      <c r="I3348" s="2">
        <v>2828</v>
      </c>
      <c r="J3348" s="2">
        <v>1.21</v>
      </c>
      <c r="K3348" s="2">
        <v>4.74</v>
      </c>
      <c r="L3348" s="2">
        <v>11.15</v>
      </c>
      <c r="M3348" s="2">
        <v>15.3</v>
      </c>
      <c r="N3348" s="2">
        <v>3.3611276779999999</v>
      </c>
      <c r="O3348" s="2">
        <v>3.4538492650000001</v>
      </c>
      <c r="P3348" s="2">
        <v>0.15436430800000001</v>
      </c>
      <c r="Q3348" s="2">
        <v>0.21823553000000001</v>
      </c>
      <c r="R3348" s="2">
        <v>0.128212626</v>
      </c>
      <c r="S3348" s="2">
        <v>0.17821262600000001</v>
      </c>
      <c r="T3348" s="2">
        <v>8.5964306000000004E-2</v>
      </c>
      <c r="U3348" s="2">
        <v>0.125964306</v>
      </c>
      <c r="V3348" s="2">
        <v>1.51489268</v>
      </c>
      <c r="W3348" s="2">
        <v>1.5126964949999999</v>
      </c>
      <c r="X3348">
        <f t="shared" si="156"/>
        <v>0</v>
      </c>
      <c r="Y3348">
        <f t="shared" si="157"/>
        <v>0</v>
      </c>
      <c r="Z3348">
        <f t="shared" si="158"/>
        <v>1</v>
      </c>
    </row>
    <row r="3349" spans="1:26" ht="15.75" customHeight="1" x14ac:dyDescent="0.2">
      <c r="A3349" s="2" t="s">
        <v>36</v>
      </c>
      <c r="B3349" s="2" t="s">
        <v>35</v>
      </c>
      <c r="C3349" s="2" t="s">
        <v>28</v>
      </c>
      <c r="D3349" s="2" t="s">
        <v>29</v>
      </c>
      <c r="E3349" s="2">
        <v>247</v>
      </c>
      <c r="F3349" s="2">
        <v>232</v>
      </c>
      <c r="G3349" s="2">
        <v>479</v>
      </c>
      <c r="H3349" s="2">
        <v>1470</v>
      </c>
      <c r="I3349" s="2">
        <v>3043</v>
      </c>
      <c r="J3349" s="2">
        <v>2.31</v>
      </c>
      <c r="K3349" s="2">
        <v>4.7300000000000004</v>
      </c>
      <c r="L3349" s="2">
        <v>10.96</v>
      </c>
      <c r="M3349" s="2">
        <v>15.78</v>
      </c>
      <c r="N3349" s="2">
        <v>3.1714199779999999</v>
      </c>
      <c r="O3349" s="2">
        <v>3.264685005</v>
      </c>
      <c r="P3349" s="2">
        <v>0.30419013299999997</v>
      </c>
      <c r="Q3349" s="2">
        <v>0.36213935200000003</v>
      </c>
      <c r="R3349" s="2">
        <v>0.12232367399999999</v>
      </c>
      <c r="S3349" s="2">
        <v>0.17232367400000001</v>
      </c>
      <c r="T3349" s="2">
        <v>0.27851132099999998</v>
      </c>
      <c r="U3349" s="2">
        <v>0.31851132100000001</v>
      </c>
      <c r="V3349" s="2">
        <v>1.5090037279999999</v>
      </c>
      <c r="W3349" s="2">
        <v>1.506807542</v>
      </c>
      <c r="X3349">
        <f t="shared" si="156"/>
        <v>0</v>
      </c>
      <c r="Y3349">
        <f t="shared" si="157"/>
        <v>0</v>
      </c>
      <c r="Z3349">
        <f t="shared" si="158"/>
        <v>1</v>
      </c>
    </row>
    <row r="3350" spans="1:26" ht="15.75" customHeight="1" x14ac:dyDescent="0.2">
      <c r="A3350" s="2" t="s">
        <v>36</v>
      </c>
      <c r="B3350" s="2" t="s">
        <v>35</v>
      </c>
      <c r="C3350" s="2" t="s">
        <v>32</v>
      </c>
      <c r="D3350" s="2" t="s">
        <v>33</v>
      </c>
      <c r="E3350" s="2">
        <v>220</v>
      </c>
      <c r="F3350" s="2">
        <v>216</v>
      </c>
      <c r="G3350" s="2">
        <v>484</v>
      </c>
      <c r="H3350" s="2">
        <v>876</v>
      </c>
      <c r="I3350" s="2">
        <v>2463</v>
      </c>
      <c r="J3350" s="2">
        <v>2.13</v>
      </c>
      <c r="K3350" s="2">
        <v>4.78</v>
      </c>
      <c r="L3350" s="2">
        <v>7.75</v>
      </c>
      <c r="M3350" s="2">
        <v>14.4</v>
      </c>
      <c r="N3350" s="2">
        <v>4.3850482519999998</v>
      </c>
      <c r="O3350" s="2">
        <v>4.325920923</v>
      </c>
      <c r="P3350" s="2">
        <v>3.4908490040000002</v>
      </c>
      <c r="Q3350" s="2">
        <v>3.5335933740000001</v>
      </c>
      <c r="R3350" s="2">
        <v>0.17227737600000001</v>
      </c>
      <c r="S3350" s="2">
        <v>0.222277376</v>
      </c>
      <c r="T3350" s="2">
        <v>3.4865953699999999</v>
      </c>
      <c r="U3350" s="2">
        <v>3.5265953699999999</v>
      </c>
      <c r="V3350" s="2">
        <v>1.55895743</v>
      </c>
      <c r="W3350" s="2">
        <v>1.556761244</v>
      </c>
      <c r="X3350">
        <f t="shared" si="156"/>
        <v>0</v>
      </c>
      <c r="Y3350">
        <f t="shared" si="157"/>
        <v>0</v>
      </c>
      <c r="Z3350">
        <f t="shared" si="158"/>
        <v>1</v>
      </c>
    </row>
    <row r="3351" spans="1:26" ht="15.75" customHeight="1" x14ac:dyDescent="0.2">
      <c r="A3351" s="2" t="s">
        <v>36</v>
      </c>
      <c r="B3351" s="2" t="s">
        <v>35</v>
      </c>
      <c r="C3351" s="2" t="s">
        <v>25</v>
      </c>
      <c r="D3351" s="2" t="s">
        <v>25</v>
      </c>
      <c r="E3351" s="2">
        <v>180</v>
      </c>
      <c r="F3351" s="2">
        <v>238</v>
      </c>
      <c r="G3351" s="2">
        <v>850</v>
      </c>
      <c r="H3351" s="2">
        <v>1555</v>
      </c>
      <c r="I3351" s="2">
        <v>2660</v>
      </c>
      <c r="J3351" s="2">
        <v>2.37</v>
      </c>
      <c r="K3351" s="2">
        <v>7.58</v>
      </c>
      <c r="L3351" s="2">
        <v>11.33</v>
      </c>
      <c r="M3351" s="2">
        <v>14.91</v>
      </c>
      <c r="N3351" s="2">
        <v>0.19906168599999999</v>
      </c>
      <c r="O3351" s="2">
        <v>0.23840755199999999</v>
      </c>
      <c r="P3351" s="2">
        <v>2.9733383560000002</v>
      </c>
      <c r="Q3351" s="2">
        <v>3.0224025710000002</v>
      </c>
      <c r="R3351" s="2">
        <v>2.9720045069999999</v>
      </c>
      <c r="S3351" s="2">
        <v>3.0220045070000001</v>
      </c>
      <c r="T3351" s="2">
        <v>8.9051592999999998E-2</v>
      </c>
      <c r="U3351" s="2">
        <v>4.9051592999999998E-2</v>
      </c>
      <c r="V3351" s="2">
        <v>4.3586845609999996</v>
      </c>
      <c r="W3351" s="2">
        <v>4.3564883749999996</v>
      </c>
      <c r="X3351">
        <f t="shared" si="156"/>
        <v>0</v>
      </c>
      <c r="Y3351">
        <f t="shared" si="157"/>
        <v>0</v>
      </c>
      <c r="Z3351">
        <f t="shared" si="158"/>
        <v>0</v>
      </c>
    </row>
    <row r="3352" spans="1:26" ht="15.75" customHeight="1" x14ac:dyDescent="0.2">
      <c r="A3352" s="2" t="s">
        <v>36</v>
      </c>
      <c r="B3352" s="2" t="s">
        <v>35</v>
      </c>
      <c r="C3352" s="2" t="s">
        <v>27</v>
      </c>
      <c r="D3352" s="2" t="s">
        <v>27</v>
      </c>
      <c r="E3352" s="2">
        <v>207</v>
      </c>
      <c r="F3352" s="2">
        <v>231</v>
      </c>
      <c r="G3352" s="2">
        <v>378</v>
      </c>
      <c r="H3352" s="2">
        <v>1765</v>
      </c>
      <c r="I3352" s="2">
        <v>2790</v>
      </c>
      <c r="J3352" s="2">
        <v>2.29</v>
      </c>
      <c r="K3352" s="2">
        <v>3.8</v>
      </c>
      <c r="L3352" s="2">
        <v>12.17</v>
      </c>
      <c r="M3352" s="2">
        <v>15.22</v>
      </c>
      <c r="N3352" s="2">
        <v>1.566190875</v>
      </c>
      <c r="O3352" s="2">
        <v>1.7958059420000001</v>
      </c>
      <c r="P3352" s="2">
        <v>1.2358220929999999</v>
      </c>
      <c r="Q3352" s="2">
        <v>1.1729147170000001</v>
      </c>
      <c r="R3352" s="2">
        <v>0.80865392800000002</v>
      </c>
      <c r="S3352" s="2">
        <v>0.75865392799999998</v>
      </c>
      <c r="T3352" s="2">
        <v>0.93452398000000003</v>
      </c>
      <c r="U3352" s="2">
        <v>0.89452398</v>
      </c>
      <c r="V3352" s="2">
        <v>0.57802612499999995</v>
      </c>
      <c r="W3352" s="2">
        <v>0.57582993999999998</v>
      </c>
      <c r="X3352">
        <f t="shared" si="156"/>
        <v>0</v>
      </c>
      <c r="Y3352">
        <f t="shared" si="157"/>
        <v>0</v>
      </c>
      <c r="Z3352">
        <f t="shared" si="158"/>
        <v>0</v>
      </c>
    </row>
    <row r="3353" spans="1:26" ht="15.75" customHeight="1" x14ac:dyDescent="0.2">
      <c r="A3353" s="2" t="s">
        <v>36</v>
      </c>
      <c r="B3353" s="2" t="s">
        <v>35</v>
      </c>
      <c r="C3353" s="2" t="s">
        <v>32</v>
      </c>
      <c r="D3353" s="2" t="s">
        <v>33</v>
      </c>
      <c r="E3353" s="2">
        <v>198</v>
      </c>
      <c r="F3353" s="2">
        <v>256</v>
      </c>
      <c r="G3353" s="2">
        <v>516</v>
      </c>
      <c r="H3353" s="2">
        <v>877</v>
      </c>
      <c r="I3353" s="2">
        <v>2511</v>
      </c>
      <c r="J3353" s="2">
        <v>2.57</v>
      </c>
      <c r="K3353" s="2">
        <v>5.0599999999999996</v>
      </c>
      <c r="L3353" s="2">
        <v>7.76</v>
      </c>
      <c r="M3353" s="2">
        <v>14.53</v>
      </c>
      <c r="N3353" s="2">
        <v>4.2114637640000003</v>
      </c>
      <c r="O3353" s="2">
        <v>4.16365987</v>
      </c>
      <c r="P3353" s="2">
        <v>3.5108424770000002</v>
      </c>
      <c r="Q3353" s="2">
        <v>3.5571640919999998</v>
      </c>
      <c r="R3353" s="2">
        <v>0.447221325</v>
      </c>
      <c r="S3353" s="2">
        <v>0.49722132499999999</v>
      </c>
      <c r="T3353" s="2">
        <v>3.4822418050000001</v>
      </c>
      <c r="U3353" s="2">
        <v>3.5222418050000002</v>
      </c>
      <c r="V3353" s="2">
        <v>1.833901378</v>
      </c>
      <c r="W3353" s="2">
        <v>1.8317051929999999</v>
      </c>
      <c r="X3353">
        <f t="shared" si="156"/>
        <v>0</v>
      </c>
      <c r="Y3353">
        <f t="shared" si="157"/>
        <v>0</v>
      </c>
      <c r="Z3353">
        <f t="shared" si="158"/>
        <v>1</v>
      </c>
    </row>
    <row r="3354" spans="1:26" ht="15.75" customHeight="1" x14ac:dyDescent="0.2">
      <c r="A3354" s="2" t="s">
        <v>36</v>
      </c>
      <c r="B3354" s="2" t="s">
        <v>35</v>
      </c>
      <c r="C3354" s="2" t="s">
        <v>28</v>
      </c>
      <c r="D3354" s="2" t="s">
        <v>29</v>
      </c>
      <c r="E3354" s="2">
        <v>186</v>
      </c>
      <c r="F3354" s="2">
        <v>189</v>
      </c>
      <c r="G3354" s="2">
        <v>422</v>
      </c>
      <c r="H3354" s="2">
        <v>1325</v>
      </c>
      <c r="I3354" s="2">
        <v>2792</v>
      </c>
      <c r="J3354" s="2">
        <v>1.83</v>
      </c>
      <c r="K3354" s="2">
        <v>4.22</v>
      </c>
      <c r="L3354" s="2">
        <v>10.29</v>
      </c>
      <c r="M3354" s="2">
        <v>15.22</v>
      </c>
      <c r="N3354" s="2">
        <v>2.4300141100000001</v>
      </c>
      <c r="O3354" s="2">
        <v>2.5150133690000001</v>
      </c>
      <c r="P3354" s="2">
        <v>1.03130415</v>
      </c>
      <c r="Q3354" s="2">
        <v>1.051203066</v>
      </c>
      <c r="R3354" s="2">
        <v>0.39028547400000002</v>
      </c>
      <c r="S3354" s="2">
        <v>0.34028547399999998</v>
      </c>
      <c r="T3354" s="2">
        <v>0.954602273</v>
      </c>
      <c r="U3354" s="2">
        <v>0.99460227300000004</v>
      </c>
      <c r="V3354" s="2">
        <v>0.99639457899999995</v>
      </c>
      <c r="W3354" s="2">
        <v>0.99419839399999999</v>
      </c>
      <c r="X3354">
        <f t="shared" si="156"/>
        <v>0</v>
      </c>
      <c r="Y3354">
        <f t="shared" si="157"/>
        <v>0</v>
      </c>
      <c r="Z3354">
        <f t="shared" si="158"/>
        <v>1</v>
      </c>
    </row>
    <row r="3355" spans="1:26" ht="15.75" customHeight="1" x14ac:dyDescent="0.2">
      <c r="A3355" s="2" t="s">
        <v>36</v>
      </c>
      <c r="B3355" s="2" t="s">
        <v>35</v>
      </c>
      <c r="C3355" s="2" t="s">
        <v>27</v>
      </c>
      <c r="D3355" s="2" t="s">
        <v>27</v>
      </c>
      <c r="E3355" s="2">
        <v>228</v>
      </c>
      <c r="F3355" s="2">
        <v>226</v>
      </c>
      <c r="G3355" s="2">
        <v>429</v>
      </c>
      <c r="H3355" s="2">
        <v>2421</v>
      </c>
      <c r="I3355" s="2">
        <v>2970</v>
      </c>
      <c r="J3355" s="2">
        <v>2.25</v>
      </c>
      <c r="K3355" s="2">
        <v>4.29</v>
      </c>
      <c r="L3355" s="2">
        <v>14.29</v>
      </c>
      <c r="M3355" s="2">
        <v>15.62</v>
      </c>
      <c r="N3355" s="2">
        <v>0.603166702</v>
      </c>
      <c r="O3355" s="2">
        <v>0.38056728000000001</v>
      </c>
      <c r="P3355" s="2">
        <v>3.0635126079999999</v>
      </c>
      <c r="Q3355" s="2">
        <v>3.0188131970000001</v>
      </c>
      <c r="R3355" s="2">
        <v>0.32257812499999999</v>
      </c>
      <c r="S3355" s="2">
        <v>0.272578125</v>
      </c>
      <c r="T3355" s="2">
        <v>3.0464820449999999</v>
      </c>
      <c r="U3355" s="2">
        <v>3.0064820449999998</v>
      </c>
      <c r="V3355" s="2">
        <v>1.064101929</v>
      </c>
      <c r="W3355" s="2">
        <v>1.0619057430000001</v>
      </c>
      <c r="X3355">
        <f t="shared" si="156"/>
        <v>0</v>
      </c>
      <c r="Y3355">
        <f t="shared" si="157"/>
        <v>0</v>
      </c>
      <c r="Z3355">
        <f t="shared" si="158"/>
        <v>0</v>
      </c>
    </row>
    <row r="3356" spans="1:26" ht="15.75" customHeight="1" x14ac:dyDescent="0.2">
      <c r="A3356" s="2" t="s">
        <v>36</v>
      </c>
      <c r="B3356" s="2" t="s">
        <v>35</v>
      </c>
      <c r="C3356" s="2" t="s">
        <v>26</v>
      </c>
      <c r="D3356" s="2" t="s">
        <v>26</v>
      </c>
      <c r="E3356" s="2">
        <v>258</v>
      </c>
      <c r="F3356" s="2">
        <v>171</v>
      </c>
      <c r="G3356" s="2">
        <v>388</v>
      </c>
      <c r="H3356" s="2">
        <v>886</v>
      </c>
      <c r="I3356" s="2">
        <v>2739</v>
      </c>
      <c r="J3356" s="2">
        <v>1.62</v>
      </c>
      <c r="K3356" s="2">
        <v>3.9</v>
      </c>
      <c r="L3356" s="2">
        <v>7.82</v>
      </c>
      <c r="M3356" s="2">
        <v>15.1</v>
      </c>
      <c r="N3356" s="2">
        <v>0.17164469500000001</v>
      </c>
      <c r="O3356" s="2">
        <v>0.103941484</v>
      </c>
      <c r="P3356" s="2">
        <v>3.4936968209999999</v>
      </c>
      <c r="Q3356" s="2">
        <v>3.5232205269999999</v>
      </c>
      <c r="R3356" s="2">
        <v>0.70655074500000004</v>
      </c>
      <c r="S3356" s="2">
        <v>0.65655074499999999</v>
      </c>
      <c r="T3356" s="2">
        <v>3.4215060309999998</v>
      </c>
      <c r="U3356" s="2">
        <v>3.4615060309999999</v>
      </c>
      <c r="V3356" s="2">
        <v>0.68012930900000002</v>
      </c>
      <c r="W3356" s="2">
        <v>0.67793312299999997</v>
      </c>
      <c r="X3356">
        <f t="shared" si="156"/>
        <v>0</v>
      </c>
      <c r="Y3356">
        <f t="shared" si="157"/>
        <v>0</v>
      </c>
      <c r="Z3356">
        <f t="shared" si="158"/>
        <v>0</v>
      </c>
    </row>
    <row r="3357" spans="1:26" ht="15.75" customHeight="1" x14ac:dyDescent="0.2">
      <c r="A3357" s="2" t="s">
        <v>36</v>
      </c>
      <c r="B3357" s="2" t="s">
        <v>35</v>
      </c>
      <c r="C3357" s="2" t="s">
        <v>27</v>
      </c>
      <c r="D3357" s="2" t="s">
        <v>27</v>
      </c>
      <c r="E3357" s="2">
        <v>192</v>
      </c>
      <c r="F3357" s="2">
        <v>240</v>
      </c>
      <c r="G3357" s="2">
        <v>406</v>
      </c>
      <c r="H3357" s="2">
        <v>2404</v>
      </c>
      <c r="I3357" s="2">
        <v>3050</v>
      </c>
      <c r="J3357" s="2">
        <v>2.4</v>
      </c>
      <c r="K3357" s="2">
        <v>4.07</v>
      </c>
      <c r="L3357" s="2">
        <v>14.24</v>
      </c>
      <c r="M3357" s="2">
        <v>15.79</v>
      </c>
      <c r="N3357" s="2">
        <v>0.52917448099999997</v>
      </c>
      <c r="O3357" s="2">
        <v>0.30320546500000001</v>
      </c>
      <c r="P3357" s="2">
        <v>3.045523846</v>
      </c>
      <c r="Q3357" s="2">
        <v>2.9976403349999998</v>
      </c>
      <c r="R3357" s="2">
        <v>0.53633892100000002</v>
      </c>
      <c r="S3357" s="2">
        <v>0.48633892099999998</v>
      </c>
      <c r="T3357" s="2">
        <v>2.9979252920000001</v>
      </c>
      <c r="U3357" s="2">
        <v>2.9579252920000001</v>
      </c>
      <c r="V3357" s="2">
        <v>0.85034113300000003</v>
      </c>
      <c r="W3357" s="2">
        <v>0.84814494699999998</v>
      </c>
      <c r="X3357">
        <f t="shared" si="156"/>
        <v>0</v>
      </c>
      <c r="Y3357">
        <f t="shared" si="157"/>
        <v>0</v>
      </c>
      <c r="Z3357">
        <f t="shared" si="158"/>
        <v>0</v>
      </c>
    </row>
    <row r="3358" spans="1:26" ht="15.75" customHeight="1" x14ac:dyDescent="0.2">
      <c r="A3358" s="2" t="s">
        <v>36</v>
      </c>
      <c r="B3358" s="2" t="s">
        <v>35</v>
      </c>
      <c r="C3358" s="2" t="s">
        <v>27</v>
      </c>
      <c r="D3358" s="2" t="s">
        <v>27</v>
      </c>
      <c r="E3358" s="2">
        <v>174</v>
      </c>
      <c r="F3358" s="2">
        <v>232</v>
      </c>
      <c r="G3358" s="2">
        <v>412</v>
      </c>
      <c r="H3358" s="2">
        <v>1774</v>
      </c>
      <c r="I3358" s="2">
        <v>2497</v>
      </c>
      <c r="J3358" s="2">
        <v>2.31</v>
      </c>
      <c r="K3358" s="2">
        <v>4.13</v>
      </c>
      <c r="L3358" s="2">
        <v>12.21</v>
      </c>
      <c r="M3358" s="2">
        <v>14.49</v>
      </c>
      <c r="N3358" s="2">
        <v>1.5016117200000001</v>
      </c>
      <c r="O3358" s="2">
        <v>1.731480862</v>
      </c>
      <c r="P3358" s="2">
        <v>1.0810171040000001</v>
      </c>
      <c r="Q3358" s="2">
        <v>1.023327359</v>
      </c>
      <c r="R3358" s="2">
        <v>0.48017563600000002</v>
      </c>
      <c r="S3358" s="2">
        <v>0.43017563599999997</v>
      </c>
      <c r="T3358" s="2">
        <v>0.96851914699999997</v>
      </c>
      <c r="U3358" s="2">
        <v>0.92851914700000004</v>
      </c>
      <c r="V3358" s="2">
        <v>0.90650441800000003</v>
      </c>
      <c r="W3358" s="2">
        <v>0.90430823199999999</v>
      </c>
      <c r="X3358">
        <f t="shared" si="156"/>
        <v>0</v>
      </c>
      <c r="Y3358">
        <f t="shared" si="157"/>
        <v>0</v>
      </c>
      <c r="Z3358">
        <f t="shared" si="158"/>
        <v>0</v>
      </c>
    </row>
    <row r="3359" spans="1:26" ht="15.75" customHeight="1" x14ac:dyDescent="0.2">
      <c r="A3359" s="2" t="s">
        <v>36</v>
      </c>
      <c r="B3359" s="2" t="s">
        <v>35</v>
      </c>
      <c r="C3359" s="2" t="s">
        <v>32</v>
      </c>
      <c r="D3359" s="2" t="s">
        <v>33</v>
      </c>
      <c r="E3359" s="2">
        <v>222</v>
      </c>
      <c r="F3359" s="2">
        <v>220</v>
      </c>
      <c r="G3359" s="2">
        <v>528</v>
      </c>
      <c r="H3359" s="2">
        <v>895</v>
      </c>
      <c r="I3359" s="2">
        <v>2436</v>
      </c>
      <c r="J3359" s="2">
        <v>2.1800000000000002</v>
      </c>
      <c r="K3359" s="2">
        <v>5.16</v>
      </c>
      <c r="L3359" s="2">
        <v>7.87</v>
      </c>
      <c r="M3359" s="2">
        <v>14.33</v>
      </c>
      <c r="N3359" s="2">
        <v>4.0549700179999997</v>
      </c>
      <c r="O3359" s="2">
        <v>4.0081888809999997</v>
      </c>
      <c r="P3359" s="2">
        <v>3.410499492</v>
      </c>
      <c r="Q3359" s="2">
        <v>3.4583355880000002</v>
      </c>
      <c r="R3359" s="2">
        <v>0.55241125300000005</v>
      </c>
      <c r="S3359" s="2">
        <v>0.60241125299999998</v>
      </c>
      <c r="T3359" s="2">
        <v>3.3654640979999999</v>
      </c>
      <c r="U3359" s="2">
        <v>3.4054640979999999</v>
      </c>
      <c r="V3359" s="2">
        <v>1.9390913059999999</v>
      </c>
      <c r="W3359" s="2">
        <v>1.9368951210000001</v>
      </c>
      <c r="X3359">
        <f t="shared" si="156"/>
        <v>0</v>
      </c>
      <c r="Y3359">
        <f t="shared" si="157"/>
        <v>0</v>
      </c>
      <c r="Z3359">
        <f t="shared" si="158"/>
        <v>1</v>
      </c>
    </row>
    <row r="3360" spans="1:26" ht="15.75" customHeight="1" x14ac:dyDescent="0.2">
      <c r="A3360" s="2" t="s">
        <v>36</v>
      </c>
      <c r="B3360" s="2" t="s">
        <v>35</v>
      </c>
      <c r="C3360" s="2" t="s">
        <v>28</v>
      </c>
      <c r="D3360" s="2" t="s">
        <v>29</v>
      </c>
      <c r="E3360" s="2">
        <v>258</v>
      </c>
      <c r="F3360" s="2">
        <v>229</v>
      </c>
      <c r="G3360" s="2">
        <v>507</v>
      </c>
      <c r="H3360" s="2">
        <v>1283</v>
      </c>
      <c r="I3360" s="2">
        <v>2828</v>
      </c>
      <c r="J3360" s="2">
        <v>2.27</v>
      </c>
      <c r="K3360" s="2">
        <v>4.9800000000000004</v>
      </c>
      <c r="L3360" s="2">
        <v>10.08</v>
      </c>
      <c r="M3360" s="2">
        <v>15.31</v>
      </c>
      <c r="N3360" s="2">
        <v>2.3949641540000002</v>
      </c>
      <c r="O3360" s="2">
        <v>2.4957522399999998</v>
      </c>
      <c r="P3360" s="2">
        <v>1.2198812459999999</v>
      </c>
      <c r="Q3360" s="2">
        <v>1.2735672339999999</v>
      </c>
      <c r="R3360" s="2">
        <v>0.36691891900000001</v>
      </c>
      <c r="S3360" s="2">
        <v>0.416918919</v>
      </c>
      <c r="T3360" s="2">
        <v>1.1633919210000001</v>
      </c>
      <c r="U3360" s="2">
        <v>1.2033919209999999</v>
      </c>
      <c r="V3360" s="2">
        <v>1.7535989729999999</v>
      </c>
      <c r="W3360" s="2">
        <v>1.751402787</v>
      </c>
      <c r="X3360">
        <f t="shared" si="156"/>
        <v>0</v>
      </c>
      <c r="Y3360">
        <f t="shared" si="157"/>
        <v>0</v>
      </c>
      <c r="Z3360">
        <f t="shared" si="158"/>
        <v>1</v>
      </c>
    </row>
    <row r="3361" spans="1:26" ht="15.75" customHeight="1" x14ac:dyDescent="0.2">
      <c r="A3361" s="2" t="s">
        <v>36</v>
      </c>
      <c r="B3361" s="2" t="s">
        <v>35</v>
      </c>
      <c r="C3361" s="2" t="s">
        <v>26</v>
      </c>
      <c r="D3361" s="2" t="s">
        <v>26</v>
      </c>
      <c r="E3361" s="2">
        <v>211</v>
      </c>
      <c r="F3361" s="2">
        <v>218</v>
      </c>
      <c r="G3361" s="2">
        <v>395</v>
      </c>
      <c r="H3361" s="2">
        <v>922</v>
      </c>
      <c r="I3361" s="2">
        <v>2882</v>
      </c>
      <c r="J3361" s="2">
        <v>2.15</v>
      </c>
      <c r="K3361" s="2">
        <v>3.97</v>
      </c>
      <c r="L3361" s="2">
        <v>8.0500000000000007</v>
      </c>
      <c r="M3361" s="2">
        <v>15.43</v>
      </c>
      <c r="N3361" s="2">
        <v>0.21356092700000001</v>
      </c>
      <c r="O3361" s="2">
        <v>0.26902456899999999</v>
      </c>
      <c r="P3361" s="2">
        <v>3.2571722670000001</v>
      </c>
      <c r="Q3361" s="2">
        <v>3.2870036800000002</v>
      </c>
      <c r="R3361" s="2">
        <v>0.64320594499999995</v>
      </c>
      <c r="S3361" s="2">
        <v>0.59320594500000001</v>
      </c>
      <c r="T3361" s="2">
        <v>3.193032616</v>
      </c>
      <c r="U3361" s="2">
        <v>3.233032616</v>
      </c>
      <c r="V3361" s="2">
        <v>0.74347410899999999</v>
      </c>
      <c r="W3361" s="2">
        <v>0.74127792299999995</v>
      </c>
      <c r="X3361">
        <f t="shared" si="156"/>
        <v>0</v>
      </c>
      <c r="Y3361">
        <f t="shared" si="157"/>
        <v>0</v>
      </c>
      <c r="Z3361">
        <f t="shared" si="158"/>
        <v>0</v>
      </c>
    </row>
    <row r="3362" spans="1:26" ht="15.75" customHeight="1" x14ac:dyDescent="0.2">
      <c r="A3362" s="2" t="s">
        <v>36</v>
      </c>
      <c r="B3362" s="2" t="s">
        <v>35</v>
      </c>
      <c r="C3362" s="2" t="s">
        <v>30</v>
      </c>
      <c r="D3362" s="2" t="s">
        <v>31</v>
      </c>
      <c r="E3362" s="2">
        <v>188</v>
      </c>
      <c r="F3362" s="2">
        <v>256</v>
      </c>
      <c r="G3362" s="2">
        <v>547</v>
      </c>
      <c r="H3362" s="2">
        <v>1307</v>
      </c>
      <c r="I3362" s="2">
        <v>2449</v>
      </c>
      <c r="J3362" s="2">
        <v>2.56</v>
      </c>
      <c r="K3362" s="2">
        <v>5.32</v>
      </c>
      <c r="L3362" s="2">
        <v>10.19</v>
      </c>
      <c r="M3362" s="2">
        <v>14.36</v>
      </c>
      <c r="N3362" s="2">
        <v>3.7173607799999999</v>
      </c>
      <c r="O3362" s="2">
        <v>3.9295237240000001</v>
      </c>
      <c r="P3362" s="2">
        <v>1.2624458270000001</v>
      </c>
      <c r="Q3362" s="2">
        <v>1.3237203769999999</v>
      </c>
      <c r="R3362" s="2">
        <v>0.70686170199999998</v>
      </c>
      <c r="S3362" s="2">
        <v>0.75686170200000003</v>
      </c>
      <c r="T3362" s="2">
        <v>1.046</v>
      </c>
      <c r="U3362" s="2">
        <v>1.0860000000000001</v>
      </c>
      <c r="V3362" s="2">
        <v>2.093541756</v>
      </c>
      <c r="W3362" s="2">
        <v>2.0913455700000001</v>
      </c>
      <c r="X3362">
        <f t="shared" si="156"/>
        <v>0</v>
      </c>
      <c r="Y3362">
        <f t="shared" si="157"/>
        <v>0</v>
      </c>
      <c r="Z3362">
        <f t="shared" si="158"/>
        <v>1</v>
      </c>
    </row>
    <row r="3363" spans="1:26" ht="15.75" customHeight="1" x14ac:dyDescent="0.2">
      <c r="A3363" s="2" t="s">
        <v>36</v>
      </c>
      <c r="B3363" s="2" t="s">
        <v>35</v>
      </c>
      <c r="C3363" s="2" t="s">
        <v>27</v>
      </c>
      <c r="D3363" s="2" t="s">
        <v>27</v>
      </c>
      <c r="E3363" s="2">
        <v>209</v>
      </c>
      <c r="F3363" s="2">
        <v>258</v>
      </c>
      <c r="G3363" s="2">
        <v>467</v>
      </c>
      <c r="H3363" s="2">
        <v>2351</v>
      </c>
      <c r="I3363" s="2">
        <v>2958</v>
      </c>
      <c r="J3363" s="2">
        <v>2.59</v>
      </c>
      <c r="K3363" s="2">
        <v>4.63</v>
      </c>
      <c r="L3363" s="2">
        <v>14.09</v>
      </c>
      <c r="M3363" s="2">
        <v>15.6</v>
      </c>
      <c r="N3363" s="2">
        <v>0.64646944100000003</v>
      </c>
      <c r="O3363" s="2">
        <v>0.52416425700000002</v>
      </c>
      <c r="P3363" s="2">
        <v>2.851834658</v>
      </c>
      <c r="Q3363" s="2">
        <v>2.8126664240000001</v>
      </c>
      <c r="R3363" s="2">
        <v>2.1716560999999999E-2</v>
      </c>
      <c r="S3363" s="2">
        <v>7.1716560999999998E-2</v>
      </c>
      <c r="T3363" s="2">
        <v>2.8517519720000002</v>
      </c>
      <c r="U3363" s="2">
        <v>2.8117519720000002</v>
      </c>
      <c r="V3363" s="2">
        <v>1.408396615</v>
      </c>
      <c r="W3363" s="2">
        <v>1.4062004299999999</v>
      </c>
      <c r="X3363">
        <f t="shared" si="156"/>
        <v>0</v>
      </c>
      <c r="Y3363">
        <f t="shared" si="157"/>
        <v>0</v>
      </c>
      <c r="Z3363">
        <f t="shared" si="158"/>
        <v>0</v>
      </c>
    </row>
    <row r="3364" spans="1:26" ht="15.75" customHeight="1" x14ac:dyDescent="0.2">
      <c r="A3364" s="2" t="s">
        <v>36</v>
      </c>
      <c r="B3364" s="2" t="s">
        <v>35</v>
      </c>
      <c r="C3364" s="2" t="s">
        <v>30</v>
      </c>
      <c r="D3364" s="2" t="s">
        <v>31</v>
      </c>
      <c r="E3364" s="2">
        <v>200</v>
      </c>
      <c r="F3364" s="2">
        <v>241</v>
      </c>
      <c r="G3364" s="2">
        <v>461</v>
      </c>
      <c r="H3364" s="2">
        <v>1230</v>
      </c>
      <c r="I3364" s="2">
        <v>2489</v>
      </c>
      <c r="J3364" s="2">
        <v>2.41</v>
      </c>
      <c r="K3364" s="2">
        <v>4.58</v>
      </c>
      <c r="L3364" s="2">
        <v>9.81</v>
      </c>
      <c r="M3364" s="2">
        <v>14.47</v>
      </c>
      <c r="N3364" s="2">
        <v>3.932280859</v>
      </c>
      <c r="O3364" s="2">
        <v>4.1585332240000001</v>
      </c>
      <c r="P3364" s="2">
        <v>1.434678635</v>
      </c>
      <c r="Q3364" s="2">
        <v>1.474434102</v>
      </c>
      <c r="R3364" s="2">
        <v>3.1927312999999999E-2</v>
      </c>
      <c r="S3364" s="2">
        <v>1.8072687E-2</v>
      </c>
      <c r="T3364" s="2">
        <v>1.4343233360000001</v>
      </c>
      <c r="U3364" s="2">
        <v>1.4743233360000001</v>
      </c>
      <c r="V3364" s="2">
        <v>1.354752741</v>
      </c>
      <c r="W3364" s="2">
        <v>1.352556555</v>
      </c>
      <c r="X3364">
        <f t="shared" si="156"/>
        <v>0</v>
      </c>
      <c r="Y3364">
        <f t="shared" si="157"/>
        <v>0</v>
      </c>
      <c r="Z3364">
        <f t="shared" si="158"/>
        <v>1</v>
      </c>
    </row>
    <row r="3365" spans="1:26" ht="15.75" customHeight="1" x14ac:dyDescent="0.2">
      <c r="A3365" s="2" t="s">
        <v>36</v>
      </c>
      <c r="B3365" s="2" t="s">
        <v>35</v>
      </c>
      <c r="C3365" s="2" t="s">
        <v>26</v>
      </c>
      <c r="D3365" s="2" t="s">
        <v>26</v>
      </c>
      <c r="E3365" s="2">
        <v>230</v>
      </c>
      <c r="F3365" s="2">
        <v>272</v>
      </c>
      <c r="G3365" s="2">
        <v>396</v>
      </c>
      <c r="H3365" s="2">
        <v>905</v>
      </c>
      <c r="I3365" s="2">
        <v>2723</v>
      </c>
      <c r="J3365" s="2">
        <v>2.73</v>
      </c>
      <c r="K3365" s="2">
        <v>3.98</v>
      </c>
      <c r="L3365" s="2">
        <v>7.94</v>
      </c>
      <c r="M3365" s="2">
        <v>15.06</v>
      </c>
      <c r="N3365" s="2">
        <v>0.118655235</v>
      </c>
      <c r="O3365" s="2">
        <v>0.157990292</v>
      </c>
      <c r="P3365" s="2">
        <v>3.3630032519999999</v>
      </c>
      <c r="Q3365" s="2">
        <v>3.3933908320000001</v>
      </c>
      <c r="R3365" s="2">
        <v>0.630579997</v>
      </c>
      <c r="S3365" s="2">
        <v>0.58057999699999996</v>
      </c>
      <c r="T3365" s="2">
        <v>3.3033558300000001</v>
      </c>
      <c r="U3365" s="2">
        <v>3.3433558300000001</v>
      </c>
      <c r="V3365" s="2">
        <v>0.75610005700000005</v>
      </c>
      <c r="W3365" s="2">
        <v>0.753903871</v>
      </c>
      <c r="X3365">
        <f t="shared" si="156"/>
        <v>0</v>
      </c>
      <c r="Y3365">
        <f t="shared" si="157"/>
        <v>0</v>
      </c>
      <c r="Z3365">
        <f t="shared" si="158"/>
        <v>0</v>
      </c>
    </row>
    <row r="3366" spans="1:26" ht="15.75" customHeight="1" x14ac:dyDescent="0.2">
      <c r="A3366" s="2" t="s">
        <v>36</v>
      </c>
      <c r="B3366" s="2" t="s">
        <v>35</v>
      </c>
      <c r="C3366" s="2" t="s">
        <v>26</v>
      </c>
      <c r="D3366" s="2" t="s">
        <v>26</v>
      </c>
      <c r="E3366" s="2">
        <v>241</v>
      </c>
      <c r="F3366" s="2">
        <v>237</v>
      </c>
      <c r="G3366" s="2">
        <v>362</v>
      </c>
      <c r="H3366" s="2">
        <v>893</v>
      </c>
      <c r="I3366" s="2">
        <v>2780</v>
      </c>
      <c r="J3366" s="2">
        <v>2.37</v>
      </c>
      <c r="K3366" s="2">
        <v>3.65</v>
      </c>
      <c r="L3366" s="2">
        <v>7.86</v>
      </c>
      <c r="M3366" s="2">
        <v>15.19</v>
      </c>
      <c r="N3366" s="2">
        <v>0.423568157</v>
      </c>
      <c r="O3366" s="2">
        <v>0.36239133000000001</v>
      </c>
      <c r="P3366" s="2">
        <v>3.5151629299999998</v>
      </c>
      <c r="Q3366" s="2">
        <v>3.540417369</v>
      </c>
      <c r="R3366" s="2">
        <v>0.96356783899999998</v>
      </c>
      <c r="S3366" s="2">
        <v>0.91356783900000005</v>
      </c>
      <c r="T3366" s="2">
        <v>3.3805188130000001</v>
      </c>
      <c r="U3366" s="2">
        <v>3.4205188130000002</v>
      </c>
      <c r="V3366" s="2">
        <v>0.42311221500000001</v>
      </c>
      <c r="W3366" s="2">
        <v>0.42091602900000002</v>
      </c>
      <c r="X3366">
        <f t="shared" si="156"/>
        <v>0</v>
      </c>
      <c r="Y3366">
        <f t="shared" si="157"/>
        <v>0</v>
      </c>
      <c r="Z3366">
        <f t="shared" si="158"/>
        <v>0</v>
      </c>
    </row>
    <row r="3367" spans="1:26" ht="15.75" customHeight="1" x14ac:dyDescent="0.2">
      <c r="A3367" s="2" t="s">
        <v>36</v>
      </c>
      <c r="B3367" s="2" t="s">
        <v>35</v>
      </c>
      <c r="C3367" s="2" t="s">
        <v>26</v>
      </c>
      <c r="D3367" s="2" t="s">
        <v>26</v>
      </c>
      <c r="E3367" s="2">
        <v>252</v>
      </c>
      <c r="F3367" s="2">
        <v>244</v>
      </c>
      <c r="G3367" s="2">
        <v>461</v>
      </c>
      <c r="H3367" s="2">
        <v>847</v>
      </c>
      <c r="I3367" s="2">
        <v>2841</v>
      </c>
      <c r="J3367" s="2">
        <v>2.4300000000000002</v>
      </c>
      <c r="K3367" s="2">
        <v>4.58</v>
      </c>
      <c r="L3367" s="2">
        <v>7.56</v>
      </c>
      <c r="M3367" s="2">
        <v>15.33</v>
      </c>
      <c r="N3367" s="2">
        <v>0.58870203099999996</v>
      </c>
      <c r="O3367" s="2">
        <v>0.61659896800000003</v>
      </c>
      <c r="P3367" s="2">
        <v>3.6825883259999999</v>
      </c>
      <c r="Q3367" s="2">
        <v>3.722453367</v>
      </c>
      <c r="R3367" s="2">
        <v>3.4915323999999998E-2</v>
      </c>
      <c r="S3367" s="2">
        <v>1.5084676E-2</v>
      </c>
      <c r="T3367" s="2">
        <v>3.6824228030000001</v>
      </c>
      <c r="U3367" s="2">
        <v>3.7224228030000002</v>
      </c>
      <c r="V3367" s="2">
        <v>1.35176473</v>
      </c>
      <c r="W3367" s="2">
        <v>1.349568544</v>
      </c>
      <c r="X3367">
        <f t="shared" si="156"/>
        <v>0</v>
      </c>
      <c r="Y3367">
        <f t="shared" si="157"/>
        <v>0</v>
      </c>
      <c r="Z3367">
        <f t="shared" si="158"/>
        <v>0</v>
      </c>
    </row>
    <row r="3368" spans="1:26" ht="15.75" customHeight="1" x14ac:dyDescent="0.2">
      <c r="A3368" s="2" t="s">
        <v>36</v>
      </c>
      <c r="B3368" s="2" t="s">
        <v>35</v>
      </c>
      <c r="C3368" s="2" t="s">
        <v>25</v>
      </c>
      <c r="D3368" s="2" t="s">
        <v>25</v>
      </c>
      <c r="E3368" s="2">
        <v>198</v>
      </c>
      <c r="F3368" s="2">
        <v>179</v>
      </c>
      <c r="G3368" s="2">
        <v>852</v>
      </c>
      <c r="H3368" s="2">
        <v>1488</v>
      </c>
      <c r="I3368" s="2">
        <v>2666</v>
      </c>
      <c r="J3368" s="2">
        <v>1.71</v>
      </c>
      <c r="K3368" s="2">
        <v>7.59</v>
      </c>
      <c r="L3368" s="2">
        <v>11.04</v>
      </c>
      <c r="M3368" s="2">
        <v>14.92</v>
      </c>
      <c r="N3368" s="2">
        <v>8.9214872000000001E-2</v>
      </c>
      <c r="O3368" s="2">
        <v>0.284014565</v>
      </c>
      <c r="P3368" s="2">
        <v>2.9874765659999998</v>
      </c>
      <c r="Q3368" s="2">
        <v>3.0402446240000001</v>
      </c>
      <c r="R3368" s="2">
        <v>2.9808713689999999</v>
      </c>
      <c r="S3368" s="2">
        <v>3.0308713690000002</v>
      </c>
      <c r="T3368" s="2">
        <v>0.19855002399999999</v>
      </c>
      <c r="U3368" s="2">
        <v>0.238550024</v>
      </c>
      <c r="V3368" s="2">
        <v>4.3675514230000001</v>
      </c>
      <c r="W3368" s="2">
        <v>4.3653552380000002</v>
      </c>
      <c r="X3368">
        <f t="shared" si="156"/>
        <v>0</v>
      </c>
      <c r="Y3368">
        <f t="shared" si="157"/>
        <v>0</v>
      </c>
      <c r="Z3368">
        <f t="shared" si="158"/>
        <v>0</v>
      </c>
    </row>
    <row r="3369" spans="1:26" ht="15.75" customHeight="1" x14ac:dyDescent="0.2">
      <c r="A3369" s="2" t="s">
        <v>36</v>
      </c>
      <c r="B3369" s="2" t="s">
        <v>35</v>
      </c>
      <c r="C3369" s="2" t="s">
        <v>25</v>
      </c>
      <c r="D3369" s="2" t="s">
        <v>25</v>
      </c>
      <c r="E3369" s="2">
        <v>154</v>
      </c>
      <c r="F3369" s="2">
        <v>217</v>
      </c>
      <c r="G3369" s="2">
        <v>805</v>
      </c>
      <c r="H3369" s="2">
        <v>1514</v>
      </c>
      <c r="I3369" s="2">
        <v>2670</v>
      </c>
      <c r="J3369" s="2">
        <v>2.15</v>
      </c>
      <c r="K3369" s="2">
        <v>7.28</v>
      </c>
      <c r="L3369" s="2">
        <v>11.15</v>
      </c>
      <c r="M3369" s="2">
        <v>14.93</v>
      </c>
      <c r="N3369" s="2">
        <v>0.30310868200000002</v>
      </c>
      <c r="O3369" s="2">
        <v>0.11427131</v>
      </c>
      <c r="P3369" s="2">
        <v>2.6691656749999999</v>
      </c>
      <c r="Q3369" s="2">
        <v>2.7207190319999999</v>
      </c>
      <c r="R3369" s="2">
        <v>2.6677338480000001</v>
      </c>
      <c r="S3369" s="2">
        <v>2.717733848</v>
      </c>
      <c r="T3369" s="2">
        <v>8.7415795000000004E-2</v>
      </c>
      <c r="U3369" s="2">
        <v>0.127415795</v>
      </c>
      <c r="V3369" s="2">
        <v>4.0544139010000002</v>
      </c>
      <c r="W3369" s="2">
        <v>4.0522177160000004</v>
      </c>
      <c r="X3369">
        <f t="shared" si="156"/>
        <v>0</v>
      </c>
      <c r="Y3369">
        <f t="shared" si="157"/>
        <v>0</v>
      </c>
      <c r="Z3369">
        <f t="shared" si="158"/>
        <v>0</v>
      </c>
    </row>
    <row r="3370" spans="1:26" ht="15.75" customHeight="1" x14ac:dyDescent="0.2">
      <c r="A3370" s="2" t="s">
        <v>36</v>
      </c>
      <c r="B3370" s="2" t="s">
        <v>35</v>
      </c>
      <c r="C3370" s="2" t="s">
        <v>25</v>
      </c>
      <c r="D3370" s="2" t="s">
        <v>25</v>
      </c>
      <c r="E3370" s="2">
        <v>244</v>
      </c>
      <c r="F3370" s="2">
        <v>225</v>
      </c>
      <c r="G3370" s="2">
        <v>918</v>
      </c>
      <c r="H3370" s="2">
        <v>1604</v>
      </c>
      <c r="I3370" s="2">
        <v>2649</v>
      </c>
      <c r="J3370" s="2">
        <v>2.23</v>
      </c>
      <c r="K3370" s="2">
        <v>8.02</v>
      </c>
      <c r="L3370" s="2">
        <v>11.54</v>
      </c>
      <c r="M3370" s="2">
        <v>14.88</v>
      </c>
      <c r="N3370" s="2">
        <v>0.60238433999999996</v>
      </c>
      <c r="O3370" s="2">
        <v>0.72671104399999997</v>
      </c>
      <c r="P3370" s="2">
        <v>3.4266691800000002</v>
      </c>
      <c r="Q3370" s="2">
        <v>3.473290236</v>
      </c>
      <c r="R3370" s="2">
        <v>3.4137405909999998</v>
      </c>
      <c r="S3370" s="2">
        <v>3.4637405910000001</v>
      </c>
      <c r="T3370" s="2">
        <v>0.29738333500000003</v>
      </c>
      <c r="U3370" s="2">
        <v>0.25738333499999999</v>
      </c>
      <c r="V3370" s="2">
        <v>4.8004206439999999</v>
      </c>
      <c r="W3370" s="2">
        <v>4.7982244590000001</v>
      </c>
      <c r="X3370">
        <f t="shared" si="156"/>
        <v>0</v>
      </c>
      <c r="Y3370">
        <f t="shared" si="157"/>
        <v>0</v>
      </c>
      <c r="Z3370">
        <f t="shared" si="158"/>
        <v>0</v>
      </c>
    </row>
    <row r="3371" spans="1:26" ht="15.75" customHeight="1" x14ac:dyDescent="0.2">
      <c r="A3371" s="2" t="s">
        <v>36</v>
      </c>
      <c r="B3371" s="2" t="s">
        <v>35</v>
      </c>
      <c r="C3371" s="2" t="s">
        <v>28</v>
      </c>
      <c r="D3371" s="2" t="s">
        <v>29</v>
      </c>
      <c r="E3371" s="2">
        <v>228</v>
      </c>
      <c r="F3371" s="2">
        <v>224</v>
      </c>
      <c r="G3371" s="2">
        <v>534</v>
      </c>
      <c r="H3371" s="2">
        <v>1880</v>
      </c>
      <c r="I3371" s="2">
        <v>2838</v>
      </c>
      <c r="J3371" s="2">
        <v>2.2200000000000002</v>
      </c>
      <c r="K3371" s="2">
        <v>5.21</v>
      </c>
      <c r="L3371" s="2">
        <v>12.59</v>
      </c>
      <c r="M3371" s="2">
        <v>15.33</v>
      </c>
      <c r="N3371" s="2">
        <v>4.8706063510000002</v>
      </c>
      <c r="O3371" s="2">
        <v>4.9650460240000003</v>
      </c>
      <c r="P3371" s="2">
        <v>1.482782002</v>
      </c>
      <c r="Q3371" s="2">
        <v>1.467889652</v>
      </c>
      <c r="R3371" s="2">
        <v>0.60320860600000004</v>
      </c>
      <c r="S3371" s="2">
        <v>0.65320860599999997</v>
      </c>
      <c r="T3371" s="2">
        <v>1.354541193</v>
      </c>
      <c r="U3371" s="2">
        <v>1.3145411929999999</v>
      </c>
      <c r="V3371" s="2">
        <v>1.9898886600000001</v>
      </c>
      <c r="W3371" s="2">
        <v>1.9876924739999999</v>
      </c>
      <c r="X3371">
        <f t="shared" si="156"/>
        <v>0</v>
      </c>
      <c r="Y3371">
        <f t="shared" si="157"/>
        <v>0</v>
      </c>
      <c r="Z3371">
        <f t="shared" si="158"/>
        <v>1</v>
      </c>
    </row>
    <row r="3372" spans="1:26" ht="15.75" customHeight="1" x14ac:dyDescent="0.2">
      <c r="A3372" s="2" t="s">
        <v>36</v>
      </c>
      <c r="B3372" s="2" t="s">
        <v>35</v>
      </c>
      <c r="C3372" s="2" t="s">
        <v>30</v>
      </c>
      <c r="D3372" s="2" t="s">
        <v>31</v>
      </c>
      <c r="E3372" s="2">
        <v>221</v>
      </c>
      <c r="F3372" s="2">
        <v>248</v>
      </c>
      <c r="G3372" s="2">
        <v>589</v>
      </c>
      <c r="H3372" s="2">
        <v>1320</v>
      </c>
      <c r="I3372" s="2">
        <v>2392</v>
      </c>
      <c r="J3372" s="2">
        <v>2.48</v>
      </c>
      <c r="K3372" s="2">
        <v>5.67</v>
      </c>
      <c r="L3372" s="2">
        <v>10.26</v>
      </c>
      <c r="M3372" s="2">
        <v>14.21</v>
      </c>
      <c r="N3372" s="2">
        <v>3.7848085010000001</v>
      </c>
      <c r="O3372" s="2">
        <v>3.987876043</v>
      </c>
      <c r="P3372" s="2">
        <v>1.440364352</v>
      </c>
      <c r="Q3372" s="2">
        <v>1.50422725</v>
      </c>
      <c r="R3372" s="2">
        <v>1.0550137310000001</v>
      </c>
      <c r="S3372" s="2">
        <v>1.1050137310000001</v>
      </c>
      <c r="T3372" s="2">
        <v>0.980609756</v>
      </c>
      <c r="U3372" s="2">
        <v>1.020609756</v>
      </c>
      <c r="V3372" s="2">
        <v>2.441693785</v>
      </c>
      <c r="W3372" s="2">
        <v>2.4394975990000001</v>
      </c>
      <c r="X3372">
        <f t="shared" si="156"/>
        <v>0</v>
      </c>
      <c r="Y3372">
        <f t="shared" si="157"/>
        <v>0</v>
      </c>
      <c r="Z3372">
        <f t="shared" si="158"/>
        <v>1</v>
      </c>
    </row>
    <row r="3373" spans="1:26" ht="15.75" customHeight="1" x14ac:dyDescent="0.2">
      <c r="A3373" s="2" t="s">
        <v>36</v>
      </c>
      <c r="B3373" s="2" t="s">
        <v>35</v>
      </c>
      <c r="C3373" s="2" t="s">
        <v>32</v>
      </c>
      <c r="D3373" s="2" t="s">
        <v>33</v>
      </c>
      <c r="E3373" s="2">
        <v>214</v>
      </c>
      <c r="F3373" s="2">
        <v>232</v>
      </c>
      <c r="G3373" s="2">
        <v>487</v>
      </c>
      <c r="H3373" s="2">
        <v>851</v>
      </c>
      <c r="I3373" s="2">
        <v>2436</v>
      </c>
      <c r="J3373" s="2">
        <v>2.31</v>
      </c>
      <c r="K3373" s="2">
        <v>4.8099999999999996</v>
      </c>
      <c r="L3373" s="2">
        <v>7.59</v>
      </c>
      <c r="M3373" s="2">
        <v>14.33</v>
      </c>
      <c r="N3373" s="2">
        <v>4.4968449000000001</v>
      </c>
      <c r="O3373" s="2">
        <v>4.4437912409999996</v>
      </c>
      <c r="P3373" s="2">
        <v>3.6567432059999998</v>
      </c>
      <c r="Q3373" s="2">
        <v>3.6997082890000001</v>
      </c>
      <c r="R3373" s="2">
        <v>0.19862980099999999</v>
      </c>
      <c r="S3373" s="2">
        <v>0.24862980100000001</v>
      </c>
      <c r="T3373" s="2">
        <v>3.6513445579999999</v>
      </c>
      <c r="U3373" s="2">
        <v>3.6913445579999999</v>
      </c>
      <c r="V3373" s="2">
        <v>1.585309855</v>
      </c>
      <c r="W3373" s="2">
        <v>1.5831136690000001</v>
      </c>
      <c r="X3373">
        <f t="shared" si="156"/>
        <v>0</v>
      </c>
      <c r="Y3373">
        <f t="shared" si="157"/>
        <v>0</v>
      </c>
      <c r="Z3373">
        <f t="shared" si="158"/>
        <v>1</v>
      </c>
    </row>
    <row r="3374" spans="1:26" ht="15.75" customHeight="1" x14ac:dyDescent="0.2">
      <c r="A3374" s="2" t="s">
        <v>36</v>
      </c>
      <c r="B3374" s="2" t="s">
        <v>35</v>
      </c>
      <c r="C3374" s="2" t="s">
        <v>26</v>
      </c>
      <c r="D3374" s="2" t="s">
        <v>26</v>
      </c>
      <c r="E3374" s="2">
        <v>205</v>
      </c>
      <c r="F3374" s="2">
        <v>265</v>
      </c>
      <c r="G3374" s="2">
        <v>462</v>
      </c>
      <c r="H3374" s="2">
        <v>1002</v>
      </c>
      <c r="I3374" s="2">
        <v>2765</v>
      </c>
      <c r="J3374" s="2">
        <v>2.66</v>
      </c>
      <c r="K3374" s="2">
        <v>4.59</v>
      </c>
      <c r="L3374" s="2">
        <v>8.5399999999999991</v>
      </c>
      <c r="M3374" s="2">
        <v>15.16</v>
      </c>
      <c r="N3374" s="2">
        <v>0.85536484700000004</v>
      </c>
      <c r="O3374" s="2">
        <v>0.96143640500000005</v>
      </c>
      <c r="P3374" s="2">
        <v>2.6986821910000001</v>
      </c>
      <c r="Q3374" s="2">
        <v>2.7387178570000001</v>
      </c>
      <c r="R3374" s="2">
        <v>2.2968211999999998E-2</v>
      </c>
      <c r="S3374" s="2">
        <v>2.7031788000000001E-2</v>
      </c>
      <c r="T3374" s="2">
        <v>2.6985844490000002</v>
      </c>
      <c r="U3374" s="2">
        <v>2.7385844490000002</v>
      </c>
      <c r="V3374" s="2">
        <v>1.363711841</v>
      </c>
      <c r="W3374" s="2">
        <v>1.3615156559999999</v>
      </c>
      <c r="X3374">
        <f t="shared" si="156"/>
        <v>0</v>
      </c>
      <c r="Y3374">
        <f t="shared" si="157"/>
        <v>0</v>
      </c>
      <c r="Z3374">
        <f t="shared" si="158"/>
        <v>0</v>
      </c>
    </row>
    <row r="3375" spans="1:26" ht="15.75" customHeight="1" x14ac:dyDescent="0.2">
      <c r="A3375" s="2" t="s">
        <v>36</v>
      </c>
      <c r="B3375" s="2" t="s">
        <v>35</v>
      </c>
      <c r="C3375" s="2" t="s">
        <v>32</v>
      </c>
      <c r="D3375" s="2" t="s">
        <v>33</v>
      </c>
      <c r="E3375" s="2">
        <v>213</v>
      </c>
      <c r="F3375" s="2">
        <v>245</v>
      </c>
      <c r="G3375" s="2">
        <v>549</v>
      </c>
      <c r="H3375" s="2">
        <v>836</v>
      </c>
      <c r="I3375" s="2">
        <v>2549</v>
      </c>
      <c r="J3375" s="2">
        <v>2.4500000000000002</v>
      </c>
      <c r="K3375" s="2">
        <v>5.34</v>
      </c>
      <c r="L3375" s="2">
        <v>7.48</v>
      </c>
      <c r="M3375" s="2">
        <v>14.63</v>
      </c>
      <c r="N3375" s="2">
        <v>4.2796522540000002</v>
      </c>
      <c r="O3375" s="2">
        <v>4.2523826189999996</v>
      </c>
      <c r="P3375" s="2">
        <v>3.8262056879999999</v>
      </c>
      <c r="Q3375" s="2">
        <v>3.8752227060000002</v>
      </c>
      <c r="R3375" s="2">
        <v>0.72913921400000004</v>
      </c>
      <c r="S3375" s="2">
        <v>0.77913921399999997</v>
      </c>
      <c r="T3375" s="2">
        <v>3.7560891860000001</v>
      </c>
      <c r="U3375" s="2">
        <v>3.7960891860000001</v>
      </c>
      <c r="V3375" s="2">
        <v>2.115819267</v>
      </c>
      <c r="W3375" s="2">
        <v>2.1136230820000002</v>
      </c>
      <c r="X3375">
        <f t="shared" si="156"/>
        <v>0</v>
      </c>
      <c r="Y3375">
        <f t="shared" si="157"/>
        <v>0</v>
      </c>
      <c r="Z3375">
        <f t="shared" si="158"/>
        <v>1</v>
      </c>
    </row>
    <row r="3376" spans="1:26" ht="15.75" customHeight="1" x14ac:dyDescent="0.2">
      <c r="A3376" s="2" t="s">
        <v>36</v>
      </c>
      <c r="B3376" s="2" t="s">
        <v>35</v>
      </c>
      <c r="C3376" s="2" t="s">
        <v>28</v>
      </c>
      <c r="D3376" s="2" t="s">
        <v>29</v>
      </c>
      <c r="E3376" s="2">
        <v>206</v>
      </c>
      <c r="F3376" s="2">
        <v>239</v>
      </c>
      <c r="G3376" s="2">
        <v>516</v>
      </c>
      <c r="H3376" s="2">
        <v>2025</v>
      </c>
      <c r="I3376" s="2">
        <v>3299</v>
      </c>
      <c r="J3376" s="2">
        <v>2.38</v>
      </c>
      <c r="K3376" s="2">
        <v>5.0599999999999996</v>
      </c>
      <c r="L3376" s="2">
        <v>13.09</v>
      </c>
      <c r="M3376" s="2">
        <v>16.29</v>
      </c>
      <c r="N3376" s="2">
        <v>5.3270307309999998</v>
      </c>
      <c r="O3376" s="2">
        <v>5.4188862379999998</v>
      </c>
      <c r="P3376" s="2">
        <v>1.907909767</v>
      </c>
      <c r="Q3376" s="2">
        <v>1.881637979</v>
      </c>
      <c r="R3376" s="2">
        <v>0.447221325</v>
      </c>
      <c r="S3376" s="2">
        <v>0.49722132499999999</v>
      </c>
      <c r="T3376" s="2">
        <v>1.8547540979999999</v>
      </c>
      <c r="U3376" s="2">
        <v>1.8147540980000001</v>
      </c>
      <c r="V3376" s="2">
        <v>1.833901378</v>
      </c>
      <c r="W3376" s="2">
        <v>1.8317051929999999</v>
      </c>
      <c r="X3376">
        <f t="shared" si="156"/>
        <v>0</v>
      </c>
      <c r="Y3376">
        <f t="shared" si="157"/>
        <v>0</v>
      </c>
      <c r="Z3376">
        <f t="shared" si="158"/>
        <v>1</v>
      </c>
    </row>
    <row r="3377" spans="1:26" ht="15.75" customHeight="1" x14ac:dyDescent="0.2">
      <c r="A3377" s="2" t="s">
        <v>36</v>
      </c>
      <c r="B3377" s="2" t="s">
        <v>35</v>
      </c>
      <c r="C3377" s="2" t="s">
        <v>32</v>
      </c>
      <c r="D3377" s="2" t="s">
        <v>33</v>
      </c>
      <c r="E3377" s="2">
        <v>224</v>
      </c>
      <c r="F3377" s="2">
        <v>232</v>
      </c>
      <c r="G3377" s="2">
        <v>482</v>
      </c>
      <c r="H3377" s="2">
        <v>943</v>
      </c>
      <c r="I3377" s="2">
        <v>2448</v>
      </c>
      <c r="J3377" s="2">
        <v>2.31</v>
      </c>
      <c r="K3377" s="2">
        <v>4.76</v>
      </c>
      <c r="L3377" s="2">
        <v>8.18</v>
      </c>
      <c r="M3377" s="2">
        <v>14.36</v>
      </c>
      <c r="N3377" s="2">
        <v>4.0841961930000004</v>
      </c>
      <c r="O3377" s="2">
        <v>4.0099292699999998</v>
      </c>
      <c r="P3377" s="2">
        <v>3.066827323</v>
      </c>
      <c r="Q3377" s="2">
        <v>3.109576648</v>
      </c>
      <c r="R3377" s="2">
        <v>0.14879863500000001</v>
      </c>
      <c r="S3377" s="2">
        <v>0.198798635</v>
      </c>
      <c r="T3377" s="2">
        <v>3.063215434</v>
      </c>
      <c r="U3377" s="2">
        <v>3.103215434</v>
      </c>
      <c r="V3377" s="2">
        <v>1.5354786890000001</v>
      </c>
      <c r="W3377" s="2">
        <v>1.5332825029999999</v>
      </c>
      <c r="X3377">
        <f t="shared" si="156"/>
        <v>0</v>
      </c>
      <c r="Y3377">
        <f t="shared" si="157"/>
        <v>0</v>
      </c>
      <c r="Z3377">
        <f t="shared" si="158"/>
        <v>1</v>
      </c>
    </row>
    <row r="3378" spans="1:26" ht="15.75" customHeight="1" x14ac:dyDescent="0.2">
      <c r="A3378" s="2" t="s">
        <v>36</v>
      </c>
      <c r="B3378" s="2" t="s">
        <v>35</v>
      </c>
      <c r="C3378" s="2" t="s">
        <v>25</v>
      </c>
      <c r="D3378" s="2" t="s">
        <v>25</v>
      </c>
      <c r="E3378" s="2">
        <v>217</v>
      </c>
      <c r="F3378" s="2">
        <v>226</v>
      </c>
      <c r="G3378" s="2">
        <v>811</v>
      </c>
      <c r="H3378" s="2">
        <v>1618</v>
      </c>
      <c r="I3378" s="2">
        <v>2677</v>
      </c>
      <c r="J3378" s="2">
        <v>2.2400000000000002</v>
      </c>
      <c r="K3378" s="2">
        <v>7.32</v>
      </c>
      <c r="L3378" s="2">
        <v>11.6</v>
      </c>
      <c r="M3378" s="2">
        <v>14.95</v>
      </c>
      <c r="N3378" s="2">
        <v>0.534477855</v>
      </c>
      <c r="O3378" s="2">
        <v>0.378846195</v>
      </c>
      <c r="P3378" s="2">
        <v>2.7297833009999999</v>
      </c>
      <c r="Q3378" s="2">
        <v>2.774539812</v>
      </c>
      <c r="R3378" s="2">
        <v>2.7065932880000001</v>
      </c>
      <c r="S3378" s="2">
        <v>2.7565932879999999</v>
      </c>
      <c r="T3378" s="2">
        <v>0.35506287800000003</v>
      </c>
      <c r="U3378" s="2">
        <v>0.31506287799999999</v>
      </c>
      <c r="V3378" s="2">
        <v>4.0932733409999997</v>
      </c>
      <c r="W3378" s="2">
        <v>4.0910771559999999</v>
      </c>
      <c r="X3378">
        <f t="shared" si="156"/>
        <v>0</v>
      </c>
      <c r="Y3378">
        <f t="shared" si="157"/>
        <v>0</v>
      </c>
      <c r="Z3378">
        <f t="shared" si="158"/>
        <v>0</v>
      </c>
    </row>
    <row r="3379" spans="1:26" ht="15.75" customHeight="1" x14ac:dyDescent="0.2">
      <c r="A3379" s="2" t="s">
        <v>36</v>
      </c>
      <c r="B3379" s="2" t="s">
        <v>35</v>
      </c>
      <c r="C3379" s="2" t="s">
        <v>27</v>
      </c>
      <c r="D3379" s="2" t="s">
        <v>27</v>
      </c>
      <c r="E3379" s="2">
        <v>251</v>
      </c>
      <c r="F3379" s="2">
        <v>219</v>
      </c>
      <c r="G3379" s="2">
        <v>408</v>
      </c>
      <c r="H3379" s="2">
        <v>2396</v>
      </c>
      <c r="I3379" s="2">
        <v>3030</v>
      </c>
      <c r="J3379" s="2">
        <v>2.16</v>
      </c>
      <c r="K3379" s="2">
        <v>4.09</v>
      </c>
      <c r="L3379" s="2">
        <v>14.22</v>
      </c>
      <c r="M3379" s="2">
        <v>15.75</v>
      </c>
      <c r="N3379" s="2">
        <v>0.50807623000000002</v>
      </c>
      <c r="O3379" s="2">
        <v>0.28062251999999999</v>
      </c>
      <c r="P3379" s="2">
        <v>3.0228399939999999</v>
      </c>
      <c r="Q3379" s="2">
        <v>2.975126613</v>
      </c>
      <c r="R3379" s="2">
        <v>0.52070945899999999</v>
      </c>
      <c r="S3379" s="2">
        <v>0.470709459</v>
      </c>
      <c r="T3379" s="2">
        <v>2.9776539899999999</v>
      </c>
      <c r="U3379" s="2">
        <v>2.9376539899999998</v>
      </c>
      <c r="V3379" s="2">
        <v>0.86597059399999998</v>
      </c>
      <c r="W3379" s="2">
        <v>0.86377440900000002</v>
      </c>
      <c r="X3379">
        <f t="shared" si="156"/>
        <v>0</v>
      </c>
      <c r="Y3379">
        <f t="shared" si="157"/>
        <v>0</v>
      </c>
      <c r="Z3379">
        <f t="shared" si="158"/>
        <v>0</v>
      </c>
    </row>
    <row r="3380" spans="1:26" ht="15.75" customHeight="1" x14ac:dyDescent="0.2">
      <c r="A3380" s="2" t="s">
        <v>36</v>
      </c>
      <c r="B3380" s="2" t="s">
        <v>35</v>
      </c>
      <c r="C3380" s="2" t="s">
        <v>30</v>
      </c>
      <c r="D3380" s="2" t="s">
        <v>31</v>
      </c>
      <c r="E3380" s="2">
        <v>224</v>
      </c>
      <c r="F3380" s="2">
        <v>266</v>
      </c>
      <c r="G3380" s="2">
        <v>519</v>
      </c>
      <c r="H3380" s="2">
        <v>1271</v>
      </c>
      <c r="I3380" s="2">
        <v>2468</v>
      </c>
      <c r="J3380" s="2">
        <v>2.67</v>
      </c>
      <c r="K3380" s="2">
        <v>5.09</v>
      </c>
      <c r="L3380" s="2">
        <v>10.02</v>
      </c>
      <c r="M3380" s="2">
        <v>14.41</v>
      </c>
      <c r="N3380" s="2">
        <v>3.8202837409999999</v>
      </c>
      <c r="O3380" s="2">
        <v>4.0383017030000001</v>
      </c>
      <c r="P3380" s="2">
        <v>1.312809839</v>
      </c>
      <c r="Q3380" s="2">
        <v>1.3685871650000001</v>
      </c>
      <c r="R3380" s="2">
        <v>0.47575423500000003</v>
      </c>
      <c r="S3380" s="2">
        <v>0.52575423499999996</v>
      </c>
      <c r="T3380" s="2">
        <v>1.22357165</v>
      </c>
      <c r="U3380" s="2">
        <v>1.26357165</v>
      </c>
      <c r="V3380" s="2">
        <v>1.8624342890000001</v>
      </c>
      <c r="W3380" s="2">
        <v>1.8602381029999999</v>
      </c>
      <c r="X3380">
        <f t="shared" si="156"/>
        <v>0</v>
      </c>
      <c r="Y3380">
        <f t="shared" si="157"/>
        <v>0</v>
      </c>
      <c r="Z3380">
        <f t="shared" si="158"/>
        <v>1</v>
      </c>
    </row>
    <row r="3381" spans="1:26" ht="15.75" customHeight="1" x14ac:dyDescent="0.2">
      <c r="A3381" s="2" t="s">
        <v>36</v>
      </c>
      <c r="B3381" s="2" t="s">
        <v>35</v>
      </c>
      <c r="C3381" s="2" t="s">
        <v>25</v>
      </c>
      <c r="D3381" s="2" t="s">
        <v>25</v>
      </c>
      <c r="E3381" s="2">
        <v>240</v>
      </c>
      <c r="F3381" s="2">
        <v>243</v>
      </c>
      <c r="G3381" s="2">
        <v>836</v>
      </c>
      <c r="H3381" s="2">
        <v>1436</v>
      </c>
      <c r="I3381" s="2">
        <v>2576</v>
      </c>
      <c r="J3381" s="2">
        <v>2.42</v>
      </c>
      <c r="K3381" s="2">
        <v>7.48</v>
      </c>
      <c r="L3381" s="2">
        <v>10.81</v>
      </c>
      <c r="M3381" s="2">
        <v>14.7</v>
      </c>
      <c r="N3381" s="2">
        <v>0.33735448000000001</v>
      </c>
      <c r="O3381" s="2">
        <v>0.428787906</v>
      </c>
      <c r="P3381" s="2">
        <v>2.906403616</v>
      </c>
      <c r="Q3381" s="2">
        <v>2.9619830349999998</v>
      </c>
      <c r="R3381" s="2">
        <v>2.8739108139999998</v>
      </c>
      <c r="S3381" s="2">
        <v>2.9239108140000001</v>
      </c>
      <c r="T3381" s="2">
        <v>0.43338044799999997</v>
      </c>
      <c r="U3381" s="2">
        <v>0.47338044800000001</v>
      </c>
      <c r="V3381" s="2">
        <v>4.2605908680000004</v>
      </c>
      <c r="W3381" s="2">
        <v>4.2583946829999997</v>
      </c>
      <c r="X3381">
        <f t="shared" si="156"/>
        <v>0</v>
      </c>
      <c r="Y3381">
        <f t="shared" si="157"/>
        <v>0</v>
      </c>
      <c r="Z3381">
        <f t="shared" si="158"/>
        <v>0</v>
      </c>
    </row>
    <row r="3382" spans="1:26" ht="15.75" customHeight="1" x14ac:dyDescent="0.2">
      <c r="A3382" s="2" t="s">
        <v>36</v>
      </c>
      <c r="B3382" s="2" t="s">
        <v>35</v>
      </c>
      <c r="C3382" s="2" t="s">
        <v>30</v>
      </c>
      <c r="D3382" s="2" t="s">
        <v>31</v>
      </c>
      <c r="E3382" s="2">
        <v>194</v>
      </c>
      <c r="F3382" s="2">
        <v>182</v>
      </c>
      <c r="G3382" s="2">
        <v>503</v>
      </c>
      <c r="H3382" s="2">
        <v>1182</v>
      </c>
      <c r="I3382" s="2">
        <v>2401</v>
      </c>
      <c r="J3382" s="2">
        <v>1.75</v>
      </c>
      <c r="K3382" s="2">
        <v>4.95</v>
      </c>
      <c r="L3382" s="2">
        <v>9.56</v>
      </c>
      <c r="M3382" s="2">
        <v>14.23</v>
      </c>
      <c r="N3382" s="2">
        <v>4.2356393729999997</v>
      </c>
      <c r="O3382" s="2">
        <v>4.4576532579999997</v>
      </c>
      <c r="P3382" s="2">
        <v>1.715544986</v>
      </c>
      <c r="Q3382" s="2">
        <v>1.7650250249999999</v>
      </c>
      <c r="R3382" s="2">
        <v>0.33520503499999998</v>
      </c>
      <c r="S3382" s="2">
        <v>0.38520503499999997</v>
      </c>
      <c r="T3382" s="2">
        <v>1.6824779889999999</v>
      </c>
      <c r="U3382" s="2">
        <v>1.7224779889999999</v>
      </c>
      <c r="V3382" s="2">
        <v>1.7218850880000001</v>
      </c>
      <c r="W3382" s="2">
        <v>1.719688903</v>
      </c>
      <c r="X3382">
        <f t="shared" si="156"/>
        <v>0</v>
      </c>
      <c r="Y3382">
        <f t="shared" si="157"/>
        <v>0</v>
      </c>
      <c r="Z3382">
        <f t="shared" si="158"/>
        <v>1</v>
      </c>
    </row>
    <row r="3383" spans="1:26" ht="15.75" customHeight="1" x14ac:dyDescent="0.2">
      <c r="A3383" s="2" t="s">
        <v>36</v>
      </c>
      <c r="B3383" s="2" t="s">
        <v>35</v>
      </c>
      <c r="C3383" s="2" t="s">
        <v>25</v>
      </c>
      <c r="D3383" s="2" t="s">
        <v>25</v>
      </c>
      <c r="E3383" s="2">
        <v>194</v>
      </c>
      <c r="F3383" s="2">
        <v>212</v>
      </c>
      <c r="G3383" s="2">
        <v>820</v>
      </c>
      <c r="H3383" s="2">
        <v>1484</v>
      </c>
      <c r="I3383" s="2">
        <v>2689</v>
      </c>
      <c r="J3383" s="2">
        <v>2.08</v>
      </c>
      <c r="K3383" s="2">
        <v>7.38</v>
      </c>
      <c r="L3383" s="2">
        <v>11.02</v>
      </c>
      <c r="M3383" s="2">
        <v>14.98</v>
      </c>
      <c r="N3383" s="2">
        <v>0.49282498699999999</v>
      </c>
      <c r="O3383" s="2">
        <v>0.56573096</v>
      </c>
      <c r="P3383" s="2">
        <v>2.5086272379999999</v>
      </c>
      <c r="Q3383" s="2">
        <v>2.621915488</v>
      </c>
      <c r="R3383" s="2">
        <v>2.480251768</v>
      </c>
      <c r="S3383" s="2">
        <v>2.5902517679999999</v>
      </c>
      <c r="T3383" s="2">
        <v>0.37624697600000001</v>
      </c>
      <c r="U3383" s="2">
        <v>0.40624697599999998</v>
      </c>
      <c r="V3383" s="2">
        <v>3.687998023</v>
      </c>
      <c r="W3383" s="2">
        <v>3.7663127260000002</v>
      </c>
      <c r="X3383">
        <f t="shared" si="156"/>
        <v>0</v>
      </c>
      <c r="Y3383">
        <f t="shared" si="157"/>
        <v>0</v>
      </c>
      <c r="Z3383">
        <f t="shared" si="158"/>
        <v>0</v>
      </c>
    </row>
    <row r="3384" spans="1:26" ht="15.75" customHeight="1" x14ac:dyDescent="0.2">
      <c r="A3384" s="2" t="s">
        <v>36</v>
      </c>
      <c r="B3384" s="2" t="s">
        <v>35</v>
      </c>
      <c r="C3384" s="2" t="s">
        <v>26</v>
      </c>
      <c r="D3384" s="2" t="s">
        <v>26</v>
      </c>
      <c r="E3384" s="2">
        <v>190</v>
      </c>
      <c r="F3384" s="2">
        <v>242</v>
      </c>
      <c r="G3384" s="2">
        <v>461</v>
      </c>
      <c r="H3384" s="2">
        <v>1052</v>
      </c>
      <c r="I3384" s="2">
        <v>2692</v>
      </c>
      <c r="J3384" s="2">
        <v>2.42</v>
      </c>
      <c r="K3384" s="2">
        <v>4.58</v>
      </c>
      <c r="L3384" s="2">
        <v>8.83</v>
      </c>
      <c r="M3384" s="2">
        <v>14.98</v>
      </c>
      <c r="N3384" s="2">
        <v>0.17082149599999999</v>
      </c>
      <c r="O3384" s="2">
        <v>0.25200780499999997</v>
      </c>
      <c r="P3384" s="2">
        <v>2.5861971609999999</v>
      </c>
      <c r="Q3384" s="2">
        <v>2.6047181589999999</v>
      </c>
      <c r="R3384" s="2">
        <v>0.32192731299999999</v>
      </c>
      <c r="S3384" s="2">
        <v>0.21192731300000001</v>
      </c>
      <c r="T3384" s="2">
        <v>2.5660823370000001</v>
      </c>
      <c r="U3384" s="2">
        <v>2.5960823369999999</v>
      </c>
      <c r="V3384" s="2">
        <v>0.885818942</v>
      </c>
      <c r="W3384" s="2">
        <v>0.96413364499999998</v>
      </c>
      <c r="X3384">
        <f t="shared" si="156"/>
        <v>0</v>
      </c>
      <c r="Y3384">
        <f t="shared" si="157"/>
        <v>0</v>
      </c>
      <c r="Z3384">
        <f t="shared" si="158"/>
        <v>0</v>
      </c>
    </row>
    <row r="3385" spans="1:26" ht="15.75" customHeight="1" x14ac:dyDescent="0.2">
      <c r="A3385" s="2" t="s">
        <v>36</v>
      </c>
      <c r="B3385" s="2" t="s">
        <v>35</v>
      </c>
      <c r="C3385" s="2" t="s">
        <v>27</v>
      </c>
      <c r="D3385" s="2" t="s">
        <v>27</v>
      </c>
      <c r="E3385" s="2">
        <v>189</v>
      </c>
      <c r="F3385" s="2">
        <v>238</v>
      </c>
      <c r="G3385" s="2">
        <v>450</v>
      </c>
      <c r="H3385" s="2">
        <v>1997</v>
      </c>
      <c r="I3385" s="2">
        <v>2731</v>
      </c>
      <c r="J3385" s="2">
        <v>2.37</v>
      </c>
      <c r="K3385" s="2">
        <v>4.4800000000000004</v>
      </c>
      <c r="L3385" s="2">
        <v>13</v>
      </c>
      <c r="M3385" s="2">
        <v>15.08</v>
      </c>
      <c r="N3385" s="2">
        <v>0.74329751700000002</v>
      </c>
      <c r="O3385" s="2">
        <v>0.83116362499999996</v>
      </c>
      <c r="P3385" s="2">
        <v>1.6566361430000001</v>
      </c>
      <c r="Q3385" s="2">
        <v>1.6025227689999999</v>
      </c>
      <c r="R3385" s="2">
        <v>0.42398340200000001</v>
      </c>
      <c r="S3385" s="2">
        <v>0.31398340200000002</v>
      </c>
      <c r="T3385" s="2">
        <v>1.601462264</v>
      </c>
      <c r="U3385" s="2">
        <v>1.571462264</v>
      </c>
      <c r="V3385" s="2">
        <v>0.78376285199999995</v>
      </c>
      <c r="W3385" s="2">
        <v>0.86207755500000005</v>
      </c>
      <c r="X3385">
        <f t="shared" si="156"/>
        <v>0</v>
      </c>
      <c r="Y3385">
        <f t="shared" si="157"/>
        <v>0</v>
      </c>
      <c r="Z3385">
        <f t="shared" si="158"/>
        <v>0</v>
      </c>
    </row>
    <row r="3386" spans="1:26" ht="15.75" customHeight="1" x14ac:dyDescent="0.2">
      <c r="A3386" s="2" t="s">
        <v>36</v>
      </c>
      <c r="B3386" s="2" t="s">
        <v>35</v>
      </c>
      <c r="C3386" s="2" t="s">
        <v>28</v>
      </c>
      <c r="D3386" s="2" t="s">
        <v>29</v>
      </c>
      <c r="E3386" s="2">
        <v>120</v>
      </c>
      <c r="F3386" s="2">
        <v>233</v>
      </c>
      <c r="G3386" s="2">
        <v>495</v>
      </c>
      <c r="H3386" s="2">
        <v>1095</v>
      </c>
      <c r="I3386" s="2">
        <v>2861</v>
      </c>
      <c r="J3386" s="2">
        <v>2.3199999999999998</v>
      </c>
      <c r="K3386" s="2">
        <v>4.87</v>
      </c>
      <c r="L3386" s="2">
        <v>9.08</v>
      </c>
      <c r="M3386" s="2">
        <v>15.38</v>
      </c>
      <c r="N3386" s="2">
        <v>0.534009336</v>
      </c>
      <c r="O3386" s="2">
        <v>0.63093518299999996</v>
      </c>
      <c r="P3386" s="2">
        <v>2.3206834239999998</v>
      </c>
      <c r="Q3386" s="2">
        <v>2.351980787</v>
      </c>
      <c r="R3386" s="2">
        <v>2.7224334999999999E-2</v>
      </c>
      <c r="S3386" s="2">
        <v>8.2775664999999998E-2</v>
      </c>
      <c r="T3386" s="2">
        <v>2.3205237319999998</v>
      </c>
      <c r="U3386" s="2">
        <v>2.3505237320000001</v>
      </c>
      <c r="V3386" s="2">
        <v>1.1805219199999999</v>
      </c>
      <c r="W3386" s="2">
        <v>1.2588366230000001</v>
      </c>
      <c r="X3386">
        <f t="shared" si="156"/>
        <v>0</v>
      </c>
      <c r="Y3386">
        <f t="shared" si="157"/>
        <v>0</v>
      </c>
      <c r="Z3386">
        <f t="shared" si="158"/>
        <v>1</v>
      </c>
    </row>
    <row r="3387" spans="1:26" ht="15.75" customHeight="1" x14ac:dyDescent="0.2">
      <c r="A3387" s="2" t="s">
        <v>36</v>
      </c>
      <c r="B3387" s="2" t="s">
        <v>35</v>
      </c>
      <c r="C3387" s="2" t="s">
        <v>30</v>
      </c>
      <c r="D3387" s="2" t="s">
        <v>31</v>
      </c>
      <c r="E3387" s="2">
        <v>202</v>
      </c>
      <c r="F3387" s="2">
        <v>238</v>
      </c>
      <c r="G3387" s="2">
        <v>682</v>
      </c>
      <c r="H3387" s="2">
        <v>1208</v>
      </c>
      <c r="I3387" s="2">
        <v>2366</v>
      </c>
      <c r="J3387" s="2">
        <v>2.37</v>
      </c>
      <c r="K3387" s="2">
        <v>6.39</v>
      </c>
      <c r="L3387" s="2">
        <v>9.69</v>
      </c>
      <c r="M3387" s="2">
        <v>14.13</v>
      </c>
      <c r="N3387" s="2">
        <v>4.4402041409999997</v>
      </c>
      <c r="O3387" s="2">
        <v>4.5851237610000002</v>
      </c>
      <c r="P3387" s="2">
        <v>2.264947083</v>
      </c>
      <c r="Q3387" s="2">
        <v>2.3607728610000001</v>
      </c>
      <c r="R3387" s="2">
        <v>1.4906737320000001</v>
      </c>
      <c r="S3387" s="2">
        <v>1.600673732</v>
      </c>
      <c r="T3387" s="2">
        <v>1.7052498679999999</v>
      </c>
      <c r="U3387" s="2">
        <v>1.7352498679999999</v>
      </c>
      <c r="V3387" s="2">
        <v>2.6984199860000002</v>
      </c>
      <c r="W3387" s="2">
        <v>2.7767346900000001</v>
      </c>
      <c r="X3387">
        <f t="shared" si="156"/>
        <v>0</v>
      </c>
      <c r="Y3387">
        <f t="shared" si="157"/>
        <v>0</v>
      </c>
      <c r="Z3387">
        <f t="shared" si="158"/>
        <v>1</v>
      </c>
    </row>
    <row r="3388" spans="1:26" ht="15.75" customHeight="1" x14ac:dyDescent="0.2">
      <c r="A3388" s="2" t="s">
        <v>36</v>
      </c>
      <c r="B3388" s="2" t="s">
        <v>35</v>
      </c>
      <c r="C3388" s="2" t="s">
        <v>26</v>
      </c>
      <c r="D3388" s="2" t="s">
        <v>26</v>
      </c>
      <c r="E3388" s="2">
        <v>195</v>
      </c>
      <c r="F3388" s="2">
        <v>233</v>
      </c>
      <c r="G3388" s="2">
        <v>455</v>
      </c>
      <c r="H3388" s="2">
        <v>869</v>
      </c>
      <c r="I3388" s="2">
        <v>2837</v>
      </c>
      <c r="J3388" s="2">
        <v>2.3199999999999998</v>
      </c>
      <c r="K3388" s="2">
        <v>4.5199999999999996</v>
      </c>
      <c r="L3388" s="2">
        <v>7.71</v>
      </c>
      <c r="M3388" s="2">
        <v>15.33</v>
      </c>
      <c r="N3388" s="2">
        <v>0.96469272100000003</v>
      </c>
      <c r="O3388" s="2">
        <v>0.92881299900000003</v>
      </c>
      <c r="P3388" s="2">
        <v>3.7142996720000001</v>
      </c>
      <c r="Q3388" s="2">
        <v>3.7345272139999999</v>
      </c>
      <c r="R3388" s="2">
        <v>0.38184428500000001</v>
      </c>
      <c r="S3388" s="2">
        <v>0.27184428500000002</v>
      </c>
      <c r="T3388" s="2">
        <v>3.6946200070000002</v>
      </c>
      <c r="U3388" s="2">
        <v>3.724620007</v>
      </c>
      <c r="V3388" s="2">
        <v>0.82590196900000001</v>
      </c>
      <c r="W3388" s="2">
        <v>0.90421667299999997</v>
      </c>
      <c r="X3388">
        <f t="shared" si="156"/>
        <v>0</v>
      </c>
      <c r="Y3388">
        <f t="shared" si="157"/>
        <v>0</v>
      </c>
      <c r="Z3388">
        <f t="shared" si="158"/>
        <v>0</v>
      </c>
    </row>
    <row r="3389" spans="1:26" ht="15.75" customHeight="1" x14ac:dyDescent="0.2">
      <c r="A3389" s="2" t="s">
        <v>36</v>
      </c>
      <c r="B3389" s="2" t="s">
        <v>35</v>
      </c>
      <c r="C3389" s="2" t="s">
        <v>28</v>
      </c>
      <c r="D3389" s="2" t="s">
        <v>29</v>
      </c>
      <c r="E3389" s="2">
        <v>171</v>
      </c>
      <c r="F3389" s="2">
        <v>233</v>
      </c>
      <c r="G3389" s="2">
        <v>492</v>
      </c>
      <c r="H3389" s="2">
        <v>1049</v>
      </c>
      <c r="I3389" s="2">
        <v>2835</v>
      </c>
      <c r="J3389" s="2">
        <v>2.3199999999999998</v>
      </c>
      <c r="K3389" s="2">
        <v>4.8499999999999996</v>
      </c>
      <c r="L3389" s="2">
        <v>8.81</v>
      </c>
      <c r="M3389" s="2">
        <v>15.32</v>
      </c>
      <c r="N3389" s="2">
        <v>0.34803623099999997</v>
      </c>
      <c r="O3389" s="2">
        <v>0.455645089</v>
      </c>
      <c r="P3389" s="2">
        <v>2.585962849</v>
      </c>
      <c r="Q3389" s="2">
        <v>2.6160229820000001</v>
      </c>
      <c r="R3389" s="2">
        <v>5.3419442999999997E-2</v>
      </c>
      <c r="S3389" s="2">
        <v>5.6580556999999997E-2</v>
      </c>
      <c r="T3389" s="2">
        <v>2.5854110349999999</v>
      </c>
      <c r="U3389" s="2">
        <v>2.6154110350000002</v>
      </c>
      <c r="V3389" s="2">
        <v>1.1543268120000001</v>
      </c>
      <c r="W3389" s="2">
        <v>1.2326415150000001</v>
      </c>
      <c r="X3389">
        <f t="shared" si="156"/>
        <v>0</v>
      </c>
      <c r="Y3389">
        <f t="shared" si="157"/>
        <v>0</v>
      </c>
      <c r="Z3389">
        <f t="shared" si="158"/>
        <v>1</v>
      </c>
    </row>
    <row r="3390" spans="1:26" ht="15.75" customHeight="1" x14ac:dyDescent="0.2">
      <c r="A3390" s="2" t="s">
        <v>36</v>
      </c>
      <c r="B3390" s="2" t="s">
        <v>35</v>
      </c>
      <c r="C3390" s="2" t="s">
        <v>32</v>
      </c>
      <c r="D3390" s="2" t="s">
        <v>33</v>
      </c>
      <c r="E3390" s="2">
        <v>154</v>
      </c>
      <c r="F3390" s="2">
        <v>216</v>
      </c>
      <c r="G3390" s="2">
        <v>623</v>
      </c>
      <c r="H3390" s="2">
        <v>930</v>
      </c>
      <c r="I3390" s="2">
        <v>2779</v>
      </c>
      <c r="J3390" s="2">
        <v>2.13</v>
      </c>
      <c r="K3390" s="2">
        <v>5.93</v>
      </c>
      <c r="L3390" s="2">
        <v>8.1</v>
      </c>
      <c r="M3390" s="2">
        <v>15.19</v>
      </c>
      <c r="N3390" s="2">
        <v>3.675898256</v>
      </c>
      <c r="O3390" s="2">
        <v>3.6868323300000001</v>
      </c>
      <c r="P3390" s="2">
        <v>3.460567959</v>
      </c>
      <c r="Q3390" s="2">
        <v>3.5233659570000002</v>
      </c>
      <c r="R3390" s="2">
        <v>1.0337429010000001</v>
      </c>
      <c r="S3390" s="2">
        <v>1.143742901</v>
      </c>
      <c r="T3390" s="2">
        <v>3.3025605539999998</v>
      </c>
      <c r="U3390" s="2">
        <v>3.3325605540000001</v>
      </c>
      <c r="V3390" s="2">
        <v>2.2414891560000001</v>
      </c>
      <c r="W3390" s="2">
        <v>2.3198038589999999</v>
      </c>
      <c r="X3390">
        <f t="shared" si="156"/>
        <v>0</v>
      </c>
      <c r="Y3390">
        <f t="shared" si="157"/>
        <v>0</v>
      </c>
      <c r="Z3390">
        <f t="shared" si="158"/>
        <v>1</v>
      </c>
    </row>
    <row r="3391" spans="1:26" ht="15.75" customHeight="1" x14ac:dyDescent="0.2">
      <c r="A3391" s="2" t="s">
        <v>36</v>
      </c>
      <c r="B3391" s="2" t="s">
        <v>35</v>
      </c>
      <c r="C3391" s="2" t="s">
        <v>32</v>
      </c>
      <c r="D3391" s="2" t="s">
        <v>33</v>
      </c>
      <c r="E3391" s="2">
        <v>175</v>
      </c>
      <c r="F3391" s="2">
        <v>212</v>
      </c>
      <c r="G3391" s="2">
        <v>590</v>
      </c>
      <c r="H3391" s="2">
        <v>914</v>
      </c>
      <c r="I3391" s="2">
        <v>2825</v>
      </c>
      <c r="J3391" s="2">
        <v>2.09</v>
      </c>
      <c r="K3391" s="2">
        <v>5.67</v>
      </c>
      <c r="L3391" s="2">
        <v>8</v>
      </c>
      <c r="M3391" s="2">
        <v>15.3</v>
      </c>
      <c r="N3391" s="2">
        <v>3.8713533139999998</v>
      </c>
      <c r="O3391" s="2">
        <v>3.876225459</v>
      </c>
      <c r="P3391" s="2">
        <v>3.4878143860000002</v>
      </c>
      <c r="Q3391" s="2">
        <v>3.542800867</v>
      </c>
      <c r="R3391" s="2">
        <v>0.77040397400000005</v>
      </c>
      <c r="S3391" s="2">
        <v>0.88040397400000003</v>
      </c>
      <c r="T3391" s="2">
        <v>3.4016653140000002</v>
      </c>
      <c r="U3391" s="2">
        <v>3.431665314</v>
      </c>
      <c r="V3391" s="2">
        <v>1.9781502289999999</v>
      </c>
      <c r="W3391" s="2">
        <v>2.0564649319999999</v>
      </c>
      <c r="X3391">
        <f t="shared" si="156"/>
        <v>0</v>
      </c>
      <c r="Y3391">
        <f t="shared" si="157"/>
        <v>0</v>
      </c>
      <c r="Z3391">
        <f t="shared" si="158"/>
        <v>1</v>
      </c>
    </row>
    <row r="3392" spans="1:26" ht="15.75" customHeight="1" x14ac:dyDescent="0.2">
      <c r="A3392" s="2" t="s">
        <v>36</v>
      </c>
      <c r="B3392" s="2" t="s">
        <v>35</v>
      </c>
      <c r="C3392" s="2" t="s">
        <v>25</v>
      </c>
      <c r="D3392" s="2" t="s">
        <v>25</v>
      </c>
      <c r="E3392" s="2">
        <v>214</v>
      </c>
      <c r="F3392" s="2">
        <v>200</v>
      </c>
      <c r="G3392" s="2">
        <v>883</v>
      </c>
      <c r="H3392" s="2">
        <v>1609</v>
      </c>
      <c r="I3392" s="2">
        <v>2761</v>
      </c>
      <c r="J3392" s="2">
        <v>1.95</v>
      </c>
      <c r="K3392" s="2">
        <v>7.79</v>
      </c>
      <c r="L3392" s="2">
        <v>11.56</v>
      </c>
      <c r="M3392" s="2">
        <v>15.15</v>
      </c>
      <c r="N3392" s="2">
        <v>0.496876755</v>
      </c>
      <c r="O3392" s="2">
        <v>0.59469042900000002</v>
      </c>
      <c r="P3392" s="2">
        <v>2.8989171740000002</v>
      </c>
      <c r="Q3392" s="2">
        <v>3.007349498</v>
      </c>
      <c r="R3392" s="2">
        <v>2.8946810510000001</v>
      </c>
      <c r="S3392" s="2">
        <v>3.0046810509999999</v>
      </c>
      <c r="T3392" s="2">
        <v>0.15666012900000001</v>
      </c>
      <c r="U3392" s="2">
        <v>0.12666012900000001</v>
      </c>
      <c r="V3392" s="2">
        <v>4.102427305</v>
      </c>
      <c r="W3392" s="2">
        <v>4.1807420080000002</v>
      </c>
      <c r="X3392">
        <f t="shared" si="156"/>
        <v>0</v>
      </c>
      <c r="Y3392">
        <f t="shared" si="157"/>
        <v>0</v>
      </c>
      <c r="Z3392">
        <f t="shared" si="158"/>
        <v>0</v>
      </c>
    </row>
    <row r="3393" spans="1:26" ht="15.75" customHeight="1" x14ac:dyDescent="0.2">
      <c r="A3393" s="2" t="s">
        <v>36</v>
      </c>
      <c r="B3393" s="2" t="s">
        <v>35</v>
      </c>
      <c r="C3393" s="2" t="s">
        <v>32</v>
      </c>
      <c r="D3393" s="2" t="s">
        <v>33</v>
      </c>
      <c r="E3393" s="2">
        <v>161</v>
      </c>
      <c r="F3393" s="2">
        <v>229</v>
      </c>
      <c r="G3393" s="2">
        <v>704</v>
      </c>
      <c r="H3393" s="2">
        <v>977</v>
      </c>
      <c r="I3393" s="2">
        <v>2642</v>
      </c>
      <c r="J3393" s="2">
        <v>2.27</v>
      </c>
      <c r="K3393" s="2">
        <v>6.56</v>
      </c>
      <c r="L3393" s="2">
        <v>8.39</v>
      </c>
      <c r="M3393" s="2">
        <v>14.86</v>
      </c>
      <c r="N3393" s="2">
        <v>3.2106810819999998</v>
      </c>
      <c r="O3393" s="2">
        <v>3.2380261950000002</v>
      </c>
      <c r="P3393" s="2">
        <v>3.4393111900000002</v>
      </c>
      <c r="Q3393" s="2">
        <v>3.5195603580000001</v>
      </c>
      <c r="R3393" s="2">
        <v>1.657392719</v>
      </c>
      <c r="S3393" s="2">
        <v>1.7673927190000001</v>
      </c>
      <c r="T3393" s="2">
        <v>3.0136208849999999</v>
      </c>
      <c r="U3393" s="2">
        <v>3.0436208850000002</v>
      </c>
      <c r="V3393" s="2">
        <v>2.8651389730000001</v>
      </c>
      <c r="W3393" s="2">
        <v>2.9434536759999999</v>
      </c>
      <c r="X3393">
        <f t="shared" si="156"/>
        <v>0</v>
      </c>
      <c r="Y3393">
        <f t="shared" si="157"/>
        <v>0</v>
      </c>
      <c r="Z3393">
        <f t="shared" si="158"/>
        <v>1</v>
      </c>
    </row>
    <row r="3394" spans="1:26" ht="15.75" customHeight="1" x14ac:dyDescent="0.2">
      <c r="A3394" s="2" t="s">
        <v>36</v>
      </c>
      <c r="B3394" s="2" t="s">
        <v>35</v>
      </c>
      <c r="C3394" s="2" t="s">
        <v>32</v>
      </c>
      <c r="D3394" s="2" t="s">
        <v>33</v>
      </c>
      <c r="E3394" s="2">
        <v>190</v>
      </c>
      <c r="F3394" s="2">
        <v>226</v>
      </c>
      <c r="G3394" s="2">
        <v>746</v>
      </c>
      <c r="H3394" s="2">
        <v>1008</v>
      </c>
      <c r="I3394" s="2">
        <v>2937</v>
      </c>
      <c r="J3394" s="2">
        <v>2.25</v>
      </c>
      <c r="K3394" s="2">
        <v>6.86</v>
      </c>
      <c r="L3394" s="2">
        <v>8.58</v>
      </c>
      <c r="M3394" s="2">
        <v>15.55</v>
      </c>
      <c r="N3394" s="2">
        <v>2.9673583080000001</v>
      </c>
      <c r="O3394" s="2">
        <v>3.003897942</v>
      </c>
      <c r="P3394" s="2">
        <v>3.4387290089999998</v>
      </c>
      <c r="Q3394" s="2">
        <v>3.526865125</v>
      </c>
      <c r="R3394" s="2">
        <v>1.9610790840000001</v>
      </c>
      <c r="S3394" s="2">
        <v>2.071079084</v>
      </c>
      <c r="T3394" s="2">
        <v>2.8247169809999999</v>
      </c>
      <c r="U3394" s="2">
        <v>2.8547169810000002</v>
      </c>
      <c r="V3394" s="2">
        <v>3.168825338</v>
      </c>
      <c r="W3394" s="2">
        <v>3.2471400410000002</v>
      </c>
      <c r="X3394">
        <f t="shared" si="156"/>
        <v>0</v>
      </c>
      <c r="Y3394">
        <f t="shared" si="157"/>
        <v>0</v>
      </c>
      <c r="Z3394">
        <f t="shared" si="158"/>
        <v>1</v>
      </c>
    </row>
    <row r="3395" spans="1:26" ht="15.75" customHeight="1" x14ac:dyDescent="0.2">
      <c r="A3395" s="2" t="s">
        <v>36</v>
      </c>
      <c r="B3395" s="2" t="s">
        <v>35</v>
      </c>
      <c r="C3395" s="2" t="s">
        <v>25</v>
      </c>
      <c r="D3395" s="2" t="s">
        <v>25</v>
      </c>
      <c r="E3395" s="2">
        <v>140</v>
      </c>
      <c r="F3395" s="2">
        <v>221</v>
      </c>
      <c r="G3395" s="2">
        <v>813</v>
      </c>
      <c r="H3395" s="2">
        <v>1720</v>
      </c>
      <c r="I3395" s="2">
        <v>2830</v>
      </c>
      <c r="J3395" s="2">
        <v>2.19</v>
      </c>
      <c r="K3395" s="2">
        <v>7.33</v>
      </c>
      <c r="L3395" s="2">
        <v>12</v>
      </c>
      <c r="M3395" s="2">
        <v>15.31</v>
      </c>
      <c r="N3395" s="2">
        <v>0.49284974100000001</v>
      </c>
      <c r="O3395" s="2">
        <v>0.46021072600000001</v>
      </c>
      <c r="P3395" s="2">
        <v>2.5015227059999998</v>
      </c>
      <c r="Q3395" s="2">
        <v>2.601663104</v>
      </c>
      <c r="R3395" s="2">
        <v>2.4279923060000002</v>
      </c>
      <c r="S3395" s="2">
        <v>2.537992306</v>
      </c>
      <c r="T3395" s="2">
        <v>0.60205416199999995</v>
      </c>
      <c r="U3395" s="2">
        <v>0.57205416200000003</v>
      </c>
      <c r="V3395" s="2">
        <v>3.6357385600000001</v>
      </c>
      <c r="W3395" s="2">
        <v>3.7140532629999998</v>
      </c>
      <c r="X3395">
        <f t="shared" ref="X3395:X3458" si="159">IF(B3395="normal",1,0)</f>
        <v>0</v>
      </c>
      <c r="Y3395">
        <f t="shared" ref="Y3395:Y3458" si="160">IF(A3395="lecture",1,0)</f>
        <v>0</v>
      </c>
      <c r="Z3395">
        <f t="shared" ref="Z3395:Z3458" si="161">IF(ISNUMBER(FIND("~",D3395)),1,0)</f>
        <v>0</v>
      </c>
    </row>
    <row r="3396" spans="1:26" ht="15.75" customHeight="1" x14ac:dyDescent="0.2">
      <c r="A3396" s="2" t="s">
        <v>36</v>
      </c>
      <c r="B3396" s="2" t="s">
        <v>35</v>
      </c>
      <c r="C3396" s="2" t="s">
        <v>25</v>
      </c>
      <c r="D3396" s="2" t="s">
        <v>25</v>
      </c>
      <c r="E3396" s="2">
        <v>212</v>
      </c>
      <c r="F3396" s="2">
        <v>222</v>
      </c>
      <c r="G3396" s="2">
        <v>850</v>
      </c>
      <c r="H3396" s="2">
        <v>1455</v>
      </c>
      <c r="I3396" s="2">
        <v>2783</v>
      </c>
      <c r="J3396" s="2">
        <v>2.19</v>
      </c>
      <c r="K3396" s="2">
        <v>7.58</v>
      </c>
      <c r="L3396" s="2">
        <v>10.89</v>
      </c>
      <c r="M3396" s="2">
        <v>15.2</v>
      </c>
      <c r="N3396" s="2">
        <v>0.68002342900000001</v>
      </c>
      <c r="O3396" s="2">
        <v>0.77020264100000002</v>
      </c>
      <c r="P3396" s="2">
        <v>2.7298386290000001</v>
      </c>
      <c r="Q3396" s="2">
        <v>2.8435167560000001</v>
      </c>
      <c r="R3396" s="2">
        <v>2.6820045069999998</v>
      </c>
      <c r="S3396" s="2">
        <v>2.7920045070000001</v>
      </c>
      <c r="T3396" s="2">
        <v>0.50879344000000004</v>
      </c>
      <c r="U3396" s="2">
        <v>0.53879343999999996</v>
      </c>
      <c r="V3396" s="2">
        <v>3.8897507610000002</v>
      </c>
      <c r="W3396" s="2">
        <v>3.968065465</v>
      </c>
      <c r="X3396">
        <f t="shared" si="159"/>
        <v>0</v>
      </c>
      <c r="Y3396">
        <f t="shared" si="160"/>
        <v>0</v>
      </c>
      <c r="Z3396">
        <f t="shared" si="161"/>
        <v>0</v>
      </c>
    </row>
    <row r="3397" spans="1:26" ht="15.75" customHeight="1" x14ac:dyDescent="0.2">
      <c r="A3397" s="2" t="s">
        <v>36</v>
      </c>
      <c r="B3397" s="2" t="s">
        <v>35</v>
      </c>
      <c r="C3397" s="2" t="s">
        <v>27</v>
      </c>
      <c r="D3397" s="2" t="s">
        <v>27</v>
      </c>
      <c r="E3397" s="2">
        <v>210</v>
      </c>
      <c r="F3397" s="2">
        <v>255</v>
      </c>
      <c r="G3397" s="2">
        <v>470</v>
      </c>
      <c r="H3397" s="2">
        <v>2381</v>
      </c>
      <c r="I3397" s="2">
        <v>2736</v>
      </c>
      <c r="J3397" s="2">
        <v>2.56</v>
      </c>
      <c r="K3397" s="2">
        <v>4.66</v>
      </c>
      <c r="L3397" s="2">
        <v>14.18</v>
      </c>
      <c r="M3397" s="2">
        <v>15.09</v>
      </c>
      <c r="N3397" s="2">
        <v>0.44540007700000001</v>
      </c>
      <c r="O3397" s="2">
        <v>0.42345566899999998</v>
      </c>
      <c r="P3397" s="2">
        <v>2.7857997819999998</v>
      </c>
      <c r="Q3397" s="2">
        <v>2.748341629</v>
      </c>
      <c r="R3397" s="2">
        <v>0.24452674899999999</v>
      </c>
      <c r="S3397" s="2">
        <v>0.134526749</v>
      </c>
      <c r="T3397" s="2">
        <v>2.7750472240000001</v>
      </c>
      <c r="U3397" s="2">
        <v>2.7450472239999999</v>
      </c>
      <c r="V3397" s="2">
        <v>0.96321950499999998</v>
      </c>
      <c r="W3397" s="2">
        <v>1.0415342089999999</v>
      </c>
      <c r="X3397">
        <f t="shared" si="159"/>
        <v>0</v>
      </c>
      <c r="Y3397">
        <f t="shared" si="160"/>
        <v>0</v>
      </c>
      <c r="Z3397">
        <f t="shared" si="161"/>
        <v>0</v>
      </c>
    </row>
    <row r="3398" spans="1:26" ht="15.75" customHeight="1" x14ac:dyDescent="0.2">
      <c r="A3398" s="2" t="s">
        <v>36</v>
      </c>
      <c r="B3398" s="2" t="s">
        <v>35</v>
      </c>
      <c r="C3398" s="2" t="s">
        <v>30</v>
      </c>
      <c r="D3398" s="2" t="s">
        <v>31</v>
      </c>
      <c r="E3398" s="2">
        <v>184</v>
      </c>
      <c r="F3398" s="2">
        <v>225</v>
      </c>
      <c r="G3398" s="2">
        <v>708</v>
      </c>
      <c r="H3398" s="2">
        <v>1092</v>
      </c>
      <c r="I3398" s="2">
        <v>2425</v>
      </c>
      <c r="J3398" s="2">
        <v>2.23</v>
      </c>
      <c r="K3398" s="2">
        <v>6.59</v>
      </c>
      <c r="L3398" s="2">
        <v>9.06</v>
      </c>
      <c r="M3398" s="2">
        <v>14.3</v>
      </c>
      <c r="N3398" s="2">
        <v>5.0977369399999999</v>
      </c>
      <c r="O3398" s="2">
        <v>5.2409490520000004</v>
      </c>
      <c r="P3398" s="2">
        <v>2.8826051380000002</v>
      </c>
      <c r="Q3398" s="2">
        <v>2.9721690810000001</v>
      </c>
      <c r="R3398" s="2">
        <v>1.686958151</v>
      </c>
      <c r="S3398" s="2">
        <v>1.7969581509999999</v>
      </c>
      <c r="T3398" s="2">
        <v>2.337431193</v>
      </c>
      <c r="U3398" s="2">
        <v>2.3674311929999998</v>
      </c>
      <c r="V3398" s="2">
        <v>2.8947044050000001</v>
      </c>
      <c r="W3398" s="2">
        <v>2.973019109</v>
      </c>
      <c r="X3398">
        <f t="shared" si="159"/>
        <v>0</v>
      </c>
      <c r="Y3398">
        <f t="shared" si="160"/>
        <v>0</v>
      </c>
      <c r="Z3398">
        <f t="shared" si="161"/>
        <v>1</v>
      </c>
    </row>
    <row r="3399" spans="1:26" ht="15.75" customHeight="1" x14ac:dyDescent="0.2">
      <c r="A3399" s="2" t="s">
        <v>36</v>
      </c>
      <c r="B3399" s="2" t="s">
        <v>35</v>
      </c>
      <c r="C3399" s="2" t="s">
        <v>28</v>
      </c>
      <c r="D3399" s="2" t="s">
        <v>29</v>
      </c>
      <c r="E3399" s="2">
        <v>198</v>
      </c>
      <c r="F3399" s="2">
        <v>247</v>
      </c>
      <c r="G3399" s="2">
        <v>529</v>
      </c>
      <c r="H3399" s="2">
        <v>1087</v>
      </c>
      <c r="I3399" s="2">
        <v>2973</v>
      </c>
      <c r="J3399" s="2">
        <v>2.4700000000000002</v>
      </c>
      <c r="K3399" s="2">
        <v>5.17</v>
      </c>
      <c r="L3399" s="2">
        <v>9.0299999999999994</v>
      </c>
      <c r="M3399" s="2">
        <v>15.63</v>
      </c>
      <c r="N3399" s="2">
        <v>0.731357806</v>
      </c>
      <c r="O3399" s="2">
        <v>0.83816853999999996</v>
      </c>
      <c r="P3399" s="2">
        <v>2.3823822360000002</v>
      </c>
      <c r="Q3399" s="2">
        <v>2.426757534</v>
      </c>
      <c r="R3399" s="2">
        <v>0.26523975399999999</v>
      </c>
      <c r="S3399" s="2">
        <v>0.37523975399999998</v>
      </c>
      <c r="T3399" s="2">
        <v>2.3675711160000001</v>
      </c>
      <c r="U3399" s="2">
        <v>2.3975711159999999</v>
      </c>
      <c r="V3399" s="2">
        <v>1.4729860079999999</v>
      </c>
      <c r="W3399" s="2">
        <v>1.5513007110000001</v>
      </c>
      <c r="X3399">
        <f t="shared" si="159"/>
        <v>0</v>
      </c>
      <c r="Y3399">
        <f t="shared" si="160"/>
        <v>0</v>
      </c>
      <c r="Z3399">
        <f t="shared" si="161"/>
        <v>1</v>
      </c>
    </row>
    <row r="3400" spans="1:26" ht="15.75" customHeight="1" x14ac:dyDescent="0.2">
      <c r="A3400" s="2" t="s">
        <v>36</v>
      </c>
      <c r="B3400" s="2" t="s">
        <v>35</v>
      </c>
      <c r="C3400" s="2" t="s">
        <v>28</v>
      </c>
      <c r="D3400" s="2" t="s">
        <v>29</v>
      </c>
      <c r="E3400" s="2">
        <v>205</v>
      </c>
      <c r="F3400" s="2">
        <v>230</v>
      </c>
      <c r="G3400" s="2">
        <v>432</v>
      </c>
      <c r="H3400" s="2">
        <v>1128</v>
      </c>
      <c r="I3400" s="2">
        <v>3103</v>
      </c>
      <c r="J3400" s="2">
        <v>2.29</v>
      </c>
      <c r="K3400" s="2">
        <v>4.32</v>
      </c>
      <c r="L3400" s="2">
        <v>9.26</v>
      </c>
      <c r="M3400" s="2">
        <v>15.9</v>
      </c>
      <c r="N3400" s="2">
        <v>0.631045093</v>
      </c>
      <c r="O3400" s="2">
        <v>0.64364684500000002</v>
      </c>
      <c r="P3400" s="2">
        <v>2.2153449269999999</v>
      </c>
      <c r="Q3400" s="2">
        <v>2.2181649819999998</v>
      </c>
      <c r="R3400" s="2">
        <v>0.58499930300000003</v>
      </c>
      <c r="S3400" s="2">
        <v>0.47499930299999998</v>
      </c>
      <c r="T3400" s="2">
        <v>2.1367098449999999</v>
      </c>
      <c r="U3400" s="2">
        <v>2.1667098450000002</v>
      </c>
      <c r="V3400" s="2">
        <v>0.62274695099999999</v>
      </c>
      <c r="W3400" s="2">
        <v>0.70106165399999998</v>
      </c>
      <c r="X3400">
        <f t="shared" si="159"/>
        <v>0</v>
      </c>
      <c r="Y3400">
        <f t="shared" si="160"/>
        <v>0</v>
      </c>
      <c r="Z3400">
        <f t="shared" si="161"/>
        <v>1</v>
      </c>
    </row>
    <row r="3401" spans="1:26" ht="15.75" customHeight="1" x14ac:dyDescent="0.2">
      <c r="A3401" s="2" t="s">
        <v>36</v>
      </c>
      <c r="B3401" s="2" t="s">
        <v>35</v>
      </c>
      <c r="C3401" s="2" t="s">
        <v>32</v>
      </c>
      <c r="D3401" s="2" t="s">
        <v>33</v>
      </c>
      <c r="E3401" s="2">
        <v>171</v>
      </c>
      <c r="F3401" s="2">
        <v>220</v>
      </c>
      <c r="G3401" s="2">
        <v>679</v>
      </c>
      <c r="H3401" s="2">
        <v>989</v>
      </c>
      <c r="I3401" s="2">
        <v>2682</v>
      </c>
      <c r="J3401" s="2">
        <v>2.1800000000000002</v>
      </c>
      <c r="K3401" s="2">
        <v>6.37</v>
      </c>
      <c r="L3401" s="2">
        <v>8.4600000000000009</v>
      </c>
      <c r="M3401" s="2">
        <v>14.96</v>
      </c>
      <c r="N3401" s="2">
        <v>3.1873061840000001</v>
      </c>
      <c r="O3401" s="2">
        <v>3.2078676709999998</v>
      </c>
      <c r="P3401" s="2">
        <v>3.2861929710000002</v>
      </c>
      <c r="Q3401" s="2">
        <v>3.3633195890000001</v>
      </c>
      <c r="R3401" s="2">
        <v>1.4705784289999999</v>
      </c>
      <c r="S3401" s="2">
        <v>1.580578429</v>
      </c>
      <c r="T3401" s="2">
        <v>2.9387860290000001</v>
      </c>
      <c r="U3401" s="2">
        <v>2.9687860289999999</v>
      </c>
      <c r="V3401" s="2">
        <v>2.678324683</v>
      </c>
      <c r="W3401" s="2">
        <v>2.7566393859999998</v>
      </c>
      <c r="X3401">
        <f t="shared" si="159"/>
        <v>0</v>
      </c>
      <c r="Y3401">
        <f t="shared" si="160"/>
        <v>0</v>
      </c>
      <c r="Z3401">
        <f t="shared" si="161"/>
        <v>1</v>
      </c>
    </row>
    <row r="3402" spans="1:26" ht="15.75" customHeight="1" x14ac:dyDescent="0.2">
      <c r="A3402" s="2" t="s">
        <v>36</v>
      </c>
      <c r="B3402" s="2" t="s">
        <v>35</v>
      </c>
      <c r="C3402" s="2" t="s">
        <v>26</v>
      </c>
      <c r="D3402" s="2" t="s">
        <v>26</v>
      </c>
      <c r="E3402" s="2">
        <v>179</v>
      </c>
      <c r="F3402" s="2">
        <v>241</v>
      </c>
      <c r="G3402" s="2">
        <v>478</v>
      </c>
      <c r="H3402" s="2">
        <v>1083</v>
      </c>
      <c r="I3402" s="2">
        <v>2677</v>
      </c>
      <c r="J3402" s="2">
        <v>2.4</v>
      </c>
      <c r="K3402" s="2">
        <v>4.7300000000000004</v>
      </c>
      <c r="L3402" s="2">
        <v>9.01</v>
      </c>
      <c r="M3402" s="2">
        <v>14.95</v>
      </c>
      <c r="N3402" s="2">
        <v>0.39720245999999998</v>
      </c>
      <c r="O3402" s="2">
        <v>0.486547444</v>
      </c>
      <c r="P3402" s="2">
        <v>2.3925538159999999</v>
      </c>
      <c r="Q3402" s="2">
        <v>2.417222508</v>
      </c>
      <c r="R3402" s="2">
        <v>0.17062200999999999</v>
      </c>
      <c r="S3402" s="2">
        <v>6.0622009999999997E-2</v>
      </c>
      <c r="T3402" s="2">
        <v>2.3864622120000001</v>
      </c>
      <c r="U3402" s="2">
        <v>2.4164622119999999</v>
      </c>
      <c r="V3402" s="2">
        <v>1.037124245</v>
      </c>
      <c r="W3402" s="2">
        <v>1.115438948</v>
      </c>
      <c r="X3402">
        <f t="shared" si="159"/>
        <v>0</v>
      </c>
      <c r="Y3402">
        <f t="shared" si="160"/>
        <v>0</v>
      </c>
      <c r="Z3402">
        <f t="shared" si="161"/>
        <v>0</v>
      </c>
    </row>
    <row r="3403" spans="1:26" ht="15.75" customHeight="1" x14ac:dyDescent="0.2">
      <c r="A3403" s="2" t="s">
        <v>36</v>
      </c>
      <c r="B3403" s="2" t="s">
        <v>35</v>
      </c>
      <c r="C3403" s="2" t="s">
        <v>25</v>
      </c>
      <c r="D3403" s="2" t="s">
        <v>25</v>
      </c>
      <c r="E3403" s="2">
        <v>182</v>
      </c>
      <c r="F3403" s="2">
        <v>219</v>
      </c>
      <c r="G3403" s="2">
        <v>786</v>
      </c>
      <c r="H3403" s="2">
        <v>1658</v>
      </c>
      <c r="I3403" s="2">
        <v>2736</v>
      </c>
      <c r="J3403" s="2">
        <v>2.16</v>
      </c>
      <c r="K3403" s="2">
        <v>7.15</v>
      </c>
      <c r="L3403" s="2">
        <v>11.76</v>
      </c>
      <c r="M3403" s="2">
        <v>15.09</v>
      </c>
      <c r="N3403" s="2">
        <v>0.29013860699999999</v>
      </c>
      <c r="O3403" s="2">
        <v>0.20329297700000001</v>
      </c>
      <c r="P3403" s="2">
        <v>2.274315584</v>
      </c>
      <c r="Q3403" s="2">
        <v>2.3787238099999999</v>
      </c>
      <c r="R3403" s="2">
        <v>2.2462701780000001</v>
      </c>
      <c r="S3403" s="2">
        <v>2.3562701779999999</v>
      </c>
      <c r="T3403" s="2">
        <v>0.35606412399999998</v>
      </c>
      <c r="U3403" s="2">
        <v>0.32606412400000001</v>
      </c>
      <c r="V3403" s="2">
        <v>3.4540164330000001</v>
      </c>
      <c r="W3403" s="2">
        <v>3.5323311359999998</v>
      </c>
      <c r="X3403">
        <f t="shared" si="159"/>
        <v>0</v>
      </c>
      <c r="Y3403">
        <f t="shared" si="160"/>
        <v>0</v>
      </c>
      <c r="Z3403">
        <f t="shared" si="161"/>
        <v>0</v>
      </c>
    </row>
    <row r="3404" spans="1:26" ht="15.75" customHeight="1" x14ac:dyDescent="0.2">
      <c r="A3404" s="2" t="s">
        <v>36</v>
      </c>
      <c r="B3404" s="2" t="s">
        <v>35</v>
      </c>
      <c r="C3404" s="2" t="s">
        <v>30</v>
      </c>
      <c r="D3404" s="2" t="s">
        <v>31</v>
      </c>
      <c r="E3404" s="2">
        <v>193</v>
      </c>
      <c r="F3404" s="2">
        <v>211</v>
      </c>
      <c r="G3404" s="2">
        <v>735</v>
      </c>
      <c r="H3404" s="2">
        <v>1094</v>
      </c>
      <c r="I3404" s="2">
        <v>2930</v>
      </c>
      <c r="J3404" s="2">
        <v>2.0699999999999998</v>
      </c>
      <c r="K3404" s="2">
        <v>6.78</v>
      </c>
      <c r="L3404" s="2">
        <v>9.07</v>
      </c>
      <c r="M3404" s="2">
        <v>15.53</v>
      </c>
      <c r="N3404" s="2">
        <v>5.1691592679999996</v>
      </c>
      <c r="O3404" s="2">
        <v>5.315823967</v>
      </c>
      <c r="P3404" s="2">
        <v>2.9935467290000002</v>
      </c>
      <c r="Q3404" s="2">
        <v>3.086814194</v>
      </c>
      <c r="R3404" s="2">
        <v>1.8842295330000001</v>
      </c>
      <c r="S3404" s="2">
        <v>1.9942295329999999</v>
      </c>
      <c r="T3404" s="2">
        <v>2.3261558610000002</v>
      </c>
      <c r="U3404" s="2">
        <v>2.356155861</v>
      </c>
      <c r="V3404" s="2">
        <v>3.091975787</v>
      </c>
      <c r="W3404" s="2">
        <v>3.1702904900000002</v>
      </c>
      <c r="X3404">
        <f t="shared" si="159"/>
        <v>0</v>
      </c>
      <c r="Y3404">
        <f t="shared" si="160"/>
        <v>0</v>
      </c>
      <c r="Z3404">
        <f t="shared" si="161"/>
        <v>1</v>
      </c>
    </row>
    <row r="3405" spans="1:26" ht="15.75" customHeight="1" x14ac:dyDescent="0.2">
      <c r="A3405" s="2" t="s">
        <v>36</v>
      </c>
      <c r="B3405" s="2" t="s">
        <v>35</v>
      </c>
      <c r="C3405" s="2" t="s">
        <v>27</v>
      </c>
      <c r="D3405" s="2" t="s">
        <v>27</v>
      </c>
      <c r="E3405" s="2">
        <v>170</v>
      </c>
      <c r="F3405" s="2">
        <v>245</v>
      </c>
      <c r="G3405" s="2">
        <v>468</v>
      </c>
      <c r="H3405" s="2">
        <v>2269</v>
      </c>
      <c r="I3405" s="2">
        <v>2884</v>
      </c>
      <c r="J3405" s="2">
        <v>2.4500000000000002</v>
      </c>
      <c r="K3405" s="2">
        <v>4.6399999999999997</v>
      </c>
      <c r="L3405" s="2">
        <v>13.86</v>
      </c>
      <c r="M3405" s="2">
        <v>15.43</v>
      </c>
      <c r="N3405" s="2">
        <v>0.13913260199999999</v>
      </c>
      <c r="O3405" s="2">
        <v>0.22907776699999999</v>
      </c>
      <c r="P3405" s="2">
        <v>2.4694157670000001</v>
      </c>
      <c r="Q3405" s="2">
        <v>2.4302207889999998</v>
      </c>
      <c r="R3405" s="2">
        <v>0.26233937400000001</v>
      </c>
      <c r="S3405" s="2">
        <v>0.152339374</v>
      </c>
      <c r="T3405" s="2">
        <v>2.4554413620000002</v>
      </c>
      <c r="U3405" s="2">
        <v>2.4254413619999999</v>
      </c>
      <c r="V3405" s="2">
        <v>0.94540687999999995</v>
      </c>
      <c r="W3405" s="2">
        <v>1.023721584</v>
      </c>
      <c r="X3405">
        <f t="shared" si="159"/>
        <v>0</v>
      </c>
      <c r="Y3405">
        <f t="shared" si="160"/>
        <v>0</v>
      </c>
      <c r="Z3405">
        <f t="shared" si="161"/>
        <v>0</v>
      </c>
    </row>
    <row r="3406" spans="1:26" ht="15.75" customHeight="1" x14ac:dyDescent="0.2">
      <c r="A3406" s="2" t="s">
        <v>36</v>
      </c>
      <c r="B3406" s="2" t="s">
        <v>35</v>
      </c>
      <c r="C3406" s="2" t="s">
        <v>30</v>
      </c>
      <c r="D3406" s="2" t="s">
        <v>31</v>
      </c>
      <c r="E3406" s="2">
        <v>223</v>
      </c>
      <c r="F3406" s="2">
        <v>232</v>
      </c>
      <c r="G3406" s="2">
        <v>766</v>
      </c>
      <c r="H3406" s="2">
        <v>1168</v>
      </c>
      <c r="I3406" s="2">
        <v>2340</v>
      </c>
      <c r="J3406" s="2">
        <v>2.31</v>
      </c>
      <c r="K3406" s="2">
        <v>7</v>
      </c>
      <c r="L3406" s="2">
        <v>9.48</v>
      </c>
      <c r="M3406" s="2">
        <v>14.06</v>
      </c>
      <c r="N3406" s="2">
        <v>4.9106674049999999</v>
      </c>
      <c r="O3406" s="2">
        <v>5.0640471549999999</v>
      </c>
      <c r="P3406" s="2">
        <v>2.8469023550000001</v>
      </c>
      <c r="Q3406" s="2">
        <v>2.9487911630000001</v>
      </c>
      <c r="R3406" s="2">
        <v>2.101193592</v>
      </c>
      <c r="S3406" s="2">
        <v>2.2111935919999999</v>
      </c>
      <c r="T3406" s="2">
        <v>1.920895236</v>
      </c>
      <c r="U3406" s="2">
        <v>1.950895236</v>
      </c>
      <c r="V3406" s="2">
        <v>3.3089398459999999</v>
      </c>
      <c r="W3406" s="2">
        <v>3.3872545490000001</v>
      </c>
      <c r="X3406">
        <f t="shared" si="159"/>
        <v>0</v>
      </c>
      <c r="Y3406">
        <f t="shared" si="160"/>
        <v>0</v>
      </c>
      <c r="Z3406">
        <f t="shared" si="161"/>
        <v>1</v>
      </c>
    </row>
    <row r="3407" spans="1:26" ht="15.75" customHeight="1" x14ac:dyDescent="0.2">
      <c r="A3407" s="2" t="s">
        <v>36</v>
      </c>
      <c r="B3407" s="2" t="s">
        <v>35</v>
      </c>
      <c r="C3407" s="2" t="s">
        <v>27</v>
      </c>
      <c r="D3407" s="2" t="s">
        <v>27</v>
      </c>
      <c r="E3407" s="2">
        <v>171</v>
      </c>
      <c r="F3407" s="2">
        <v>233</v>
      </c>
      <c r="G3407" s="2">
        <v>444</v>
      </c>
      <c r="H3407" s="2">
        <v>2254</v>
      </c>
      <c r="I3407" s="2">
        <v>2945</v>
      </c>
      <c r="J3407" s="2">
        <v>2.3199999999999998</v>
      </c>
      <c r="K3407" s="2">
        <v>4.42</v>
      </c>
      <c r="L3407" s="2">
        <v>13.81</v>
      </c>
      <c r="M3407" s="2">
        <v>15.57</v>
      </c>
      <c r="N3407" s="2">
        <v>0.157911893</v>
      </c>
      <c r="O3407" s="2">
        <v>2.1543664000000001E-2</v>
      </c>
      <c r="P3407" s="2">
        <v>2.4578445040000001</v>
      </c>
      <c r="Q3407" s="2">
        <v>2.4090392669999998</v>
      </c>
      <c r="R3407" s="2">
        <v>0.48143392000000002</v>
      </c>
      <c r="S3407" s="2">
        <v>0.37143391999999997</v>
      </c>
      <c r="T3407" s="2">
        <v>2.4102325580000001</v>
      </c>
      <c r="U3407" s="2">
        <v>2.3802325579999999</v>
      </c>
      <c r="V3407" s="2">
        <v>0.72631233399999995</v>
      </c>
      <c r="W3407" s="2">
        <v>0.80462703700000004</v>
      </c>
      <c r="X3407">
        <f t="shared" si="159"/>
        <v>0</v>
      </c>
      <c r="Y3407">
        <f t="shared" si="160"/>
        <v>0</v>
      </c>
      <c r="Z3407">
        <f t="shared" si="161"/>
        <v>0</v>
      </c>
    </row>
    <row r="3408" spans="1:26" ht="15.75" customHeight="1" x14ac:dyDescent="0.2">
      <c r="A3408" s="2" t="s">
        <v>36</v>
      </c>
      <c r="B3408" s="2" t="s">
        <v>35</v>
      </c>
      <c r="C3408" s="2" t="s">
        <v>26</v>
      </c>
      <c r="D3408" s="2" t="s">
        <v>26</v>
      </c>
      <c r="E3408" s="2">
        <v>153</v>
      </c>
      <c r="F3408" s="2">
        <v>246</v>
      </c>
      <c r="G3408" s="2">
        <v>474</v>
      </c>
      <c r="H3408" s="2">
        <v>1073</v>
      </c>
      <c r="I3408" s="2">
        <v>2657</v>
      </c>
      <c r="J3408" s="2">
        <v>2.46</v>
      </c>
      <c r="K3408" s="2">
        <v>4.6900000000000004</v>
      </c>
      <c r="L3408" s="2">
        <v>8.9499999999999993</v>
      </c>
      <c r="M3408" s="2">
        <v>14.9</v>
      </c>
      <c r="N3408" s="2">
        <v>0.32542949799999998</v>
      </c>
      <c r="O3408" s="2">
        <v>0.41512777699999998</v>
      </c>
      <c r="P3408" s="2">
        <v>2.4561003819999998</v>
      </c>
      <c r="Q3408" s="2">
        <v>2.4791698210000002</v>
      </c>
      <c r="R3408" s="2">
        <v>0.20898931800000001</v>
      </c>
      <c r="S3408" s="2">
        <v>9.8989318000000007E-2</v>
      </c>
      <c r="T3408" s="2">
        <v>2.4471927899999999</v>
      </c>
      <c r="U3408" s="2">
        <v>2.4771927900000001</v>
      </c>
      <c r="V3408" s="2">
        <v>0.99875693600000004</v>
      </c>
      <c r="W3408" s="2">
        <v>1.07707164</v>
      </c>
      <c r="X3408">
        <f t="shared" si="159"/>
        <v>0</v>
      </c>
      <c r="Y3408">
        <f t="shared" si="160"/>
        <v>0</v>
      </c>
      <c r="Z3408">
        <f t="shared" si="161"/>
        <v>0</v>
      </c>
    </row>
    <row r="3409" spans="1:26" ht="15.75" customHeight="1" x14ac:dyDescent="0.2">
      <c r="A3409" s="2" t="s">
        <v>36</v>
      </c>
      <c r="B3409" s="2" t="s">
        <v>35</v>
      </c>
      <c r="C3409" s="2" t="s">
        <v>27</v>
      </c>
      <c r="D3409" s="2" t="s">
        <v>27</v>
      </c>
      <c r="E3409" s="2">
        <v>142</v>
      </c>
      <c r="F3409" s="2">
        <v>246</v>
      </c>
      <c r="G3409" s="2">
        <v>483</v>
      </c>
      <c r="H3409" s="2">
        <v>2239</v>
      </c>
      <c r="I3409" s="2">
        <v>2819</v>
      </c>
      <c r="J3409" s="2">
        <v>2.46</v>
      </c>
      <c r="K3409" s="2">
        <v>4.7699999999999996</v>
      </c>
      <c r="L3409" s="2">
        <v>13.76</v>
      </c>
      <c r="M3409" s="2">
        <v>15.28</v>
      </c>
      <c r="N3409" s="2">
        <v>0.214902286</v>
      </c>
      <c r="O3409" s="2">
        <v>0.369299078</v>
      </c>
      <c r="P3409" s="2">
        <v>2.3680758439999998</v>
      </c>
      <c r="Q3409" s="2">
        <v>2.3347520080000002</v>
      </c>
      <c r="R3409" s="2">
        <v>0.126521146</v>
      </c>
      <c r="S3409" s="2">
        <v>1.6521146E-2</v>
      </c>
      <c r="T3409" s="2">
        <v>2.364693554</v>
      </c>
      <c r="U3409" s="2">
        <v>2.3346935539999998</v>
      </c>
      <c r="V3409" s="2">
        <v>1.0812251079999999</v>
      </c>
      <c r="W3409" s="2">
        <v>1.159539812</v>
      </c>
      <c r="X3409">
        <f t="shared" si="159"/>
        <v>0</v>
      </c>
      <c r="Y3409">
        <f t="shared" si="160"/>
        <v>0</v>
      </c>
      <c r="Z3409">
        <f t="shared" si="161"/>
        <v>0</v>
      </c>
    </row>
    <row r="3410" spans="1:26" ht="15.75" customHeight="1" x14ac:dyDescent="0.2">
      <c r="A3410" s="2" t="s">
        <v>36</v>
      </c>
      <c r="B3410" s="2" t="s">
        <v>35</v>
      </c>
      <c r="C3410" s="2" t="s">
        <v>30</v>
      </c>
      <c r="D3410" s="2" t="s">
        <v>31</v>
      </c>
      <c r="E3410" s="2">
        <v>207</v>
      </c>
      <c r="F3410" s="2">
        <v>210</v>
      </c>
      <c r="G3410" s="2">
        <v>722</v>
      </c>
      <c r="H3410" s="2">
        <v>1149</v>
      </c>
      <c r="I3410" s="2">
        <v>2930</v>
      </c>
      <c r="J3410" s="2">
        <v>2.0699999999999998</v>
      </c>
      <c r="K3410" s="2">
        <v>6.69</v>
      </c>
      <c r="L3410" s="2">
        <v>9.3800000000000008</v>
      </c>
      <c r="M3410" s="2">
        <v>15.53</v>
      </c>
      <c r="N3410" s="2">
        <v>4.855578929</v>
      </c>
      <c r="O3410" s="2">
        <v>5.0031604229999997</v>
      </c>
      <c r="P3410" s="2">
        <v>2.7014923240000002</v>
      </c>
      <c r="Q3410" s="2">
        <v>2.7975380360000002</v>
      </c>
      <c r="R3410" s="2">
        <v>1.7897427610000001</v>
      </c>
      <c r="S3410" s="2">
        <v>1.8997427609999999</v>
      </c>
      <c r="T3410" s="2">
        <v>2.023581385</v>
      </c>
      <c r="U3410" s="2">
        <v>2.0535813850000002</v>
      </c>
      <c r="V3410" s="2">
        <v>2.9974890159999998</v>
      </c>
      <c r="W3410" s="2">
        <v>3.075803719</v>
      </c>
      <c r="X3410">
        <f t="shared" si="159"/>
        <v>0</v>
      </c>
      <c r="Y3410">
        <f t="shared" si="160"/>
        <v>0</v>
      </c>
      <c r="Z3410">
        <f t="shared" si="161"/>
        <v>1</v>
      </c>
    </row>
    <row r="3411" spans="1:26" ht="15.75" customHeight="1" x14ac:dyDescent="0.2">
      <c r="A3411" s="2" t="s">
        <v>36</v>
      </c>
      <c r="B3411" s="2" t="s">
        <v>35</v>
      </c>
      <c r="C3411" s="2" t="s">
        <v>27</v>
      </c>
      <c r="D3411" s="2" t="s">
        <v>27</v>
      </c>
      <c r="E3411" s="2">
        <v>190</v>
      </c>
      <c r="F3411" s="2">
        <v>235</v>
      </c>
      <c r="G3411" s="2">
        <v>466</v>
      </c>
      <c r="H3411" s="2">
        <v>2220</v>
      </c>
      <c r="I3411" s="2">
        <v>2850</v>
      </c>
      <c r="J3411" s="2">
        <v>2.34</v>
      </c>
      <c r="K3411" s="2">
        <v>4.62</v>
      </c>
      <c r="L3411" s="2">
        <v>13.71</v>
      </c>
      <c r="M3411" s="2">
        <v>15.35</v>
      </c>
      <c r="N3411" s="2">
        <v>6.7464581999999995E-2</v>
      </c>
      <c r="O3411" s="2">
        <v>0.242306356</v>
      </c>
      <c r="P3411" s="2">
        <v>2.3257421859999998</v>
      </c>
      <c r="Q3411" s="2">
        <v>2.2851495759999998</v>
      </c>
      <c r="R3411" s="2">
        <v>0.28018136900000001</v>
      </c>
      <c r="S3411" s="2">
        <v>0.170181369</v>
      </c>
      <c r="T3411" s="2">
        <v>2.3088038279999998</v>
      </c>
      <c r="U3411" s="2">
        <v>2.278803828</v>
      </c>
      <c r="V3411" s="2">
        <v>0.92756488599999998</v>
      </c>
      <c r="W3411" s="2">
        <v>1.0058795890000001</v>
      </c>
      <c r="X3411">
        <f t="shared" si="159"/>
        <v>0</v>
      </c>
      <c r="Y3411">
        <f t="shared" si="160"/>
        <v>0</v>
      </c>
      <c r="Z3411">
        <f t="shared" si="161"/>
        <v>0</v>
      </c>
    </row>
    <row r="3412" spans="1:26" ht="15.75" customHeight="1" x14ac:dyDescent="0.2">
      <c r="A3412" s="2" t="s">
        <v>36</v>
      </c>
      <c r="B3412" s="2" t="s">
        <v>35</v>
      </c>
      <c r="C3412" s="2" t="s">
        <v>26</v>
      </c>
      <c r="D3412" s="2" t="s">
        <v>26</v>
      </c>
      <c r="E3412" s="2">
        <v>235</v>
      </c>
      <c r="F3412" s="2">
        <v>241</v>
      </c>
      <c r="G3412" s="2">
        <v>468</v>
      </c>
      <c r="H3412" s="2">
        <v>1039</v>
      </c>
      <c r="I3412" s="2">
        <v>2685</v>
      </c>
      <c r="J3412" s="2">
        <v>2.4</v>
      </c>
      <c r="K3412" s="2">
        <v>4.6399999999999997</v>
      </c>
      <c r="L3412" s="2">
        <v>8.76</v>
      </c>
      <c r="M3412" s="2">
        <v>14.97</v>
      </c>
      <c r="N3412" s="2">
        <v>0.140338094</v>
      </c>
      <c r="O3412" s="2">
        <v>0.245618955</v>
      </c>
      <c r="P3412" s="2">
        <v>2.656347791</v>
      </c>
      <c r="Q3412" s="2">
        <v>2.6778240800000002</v>
      </c>
      <c r="R3412" s="2">
        <v>0.25936856600000002</v>
      </c>
      <c r="S3412" s="2">
        <v>0.14936856600000001</v>
      </c>
      <c r="T3412" s="2">
        <v>2.6436549579999999</v>
      </c>
      <c r="U3412" s="2">
        <v>2.6736549580000002</v>
      </c>
      <c r="V3412" s="2">
        <v>0.94837768899999997</v>
      </c>
      <c r="W3412" s="2">
        <v>1.026692392</v>
      </c>
      <c r="X3412">
        <f t="shared" si="159"/>
        <v>0</v>
      </c>
      <c r="Y3412">
        <f t="shared" si="160"/>
        <v>0</v>
      </c>
      <c r="Z3412">
        <f t="shared" si="161"/>
        <v>0</v>
      </c>
    </row>
    <row r="3413" spans="1:26" ht="15.75" customHeight="1" x14ac:dyDescent="0.2">
      <c r="A3413" s="2" t="s">
        <v>36</v>
      </c>
      <c r="B3413" s="2" t="s">
        <v>35</v>
      </c>
      <c r="C3413" s="2" t="s">
        <v>30</v>
      </c>
      <c r="D3413" s="2" t="s">
        <v>31</v>
      </c>
      <c r="E3413" s="2">
        <v>192</v>
      </c>
      <c r="F3413" s="2">
        <v>222</v>
      </c>
      <c r="G3413" s="2">
        <v>712</v>
      </c>
      <c r="H3413" s="2">
        <v>1175</v>
      </c>
      <c r="I3413" s="2">
        <v>2375</v>
      </c>
      <c r="J3413" s="2">
        <v>2.2000000000000002</v>
      </c>
      <c r="K3413" s="2">
        <v>6.61</v>
      </c>
      <c r="L3413" s="2">
        <v>9.52</v>
      </c>
      <c r="M3413" s="2">
        <v>14.16</v>
      </c>
      <c r="N3413" s="2">
        <v>4.6952832090000003</v>
      </c>
      <c r="O3413" s="2">
        <v>4.842721429</v>
      </c>
      <c r="P3413" s="2">
        <v>2.5448849509999998</v>
      </c>
      <c r="Q3413" s="2">
        <v>2.6417755949999999</v>
      </c>
      <c r="R3413" s="2">
        <v>1.711528384</v>
      </c>
      <c r="S3413" s="2">
        <v>1.8215283840000001</v>
      </c>
      <c r="T3413" s="2">
        <v>1.883377286</v>
      </c>
      <c r="U3413" s="2">
        <v>1.913377286</v>
      </c>
      <c r="V3413" s="2">
        <v>2.9192746390000002</v>
      </c>
      <c r="W3413" s="2">
        <v>2.9975893419999999</v>
      </c>
      <c r="X3413">
        <f t="shared" si="159"/>
        <v>0</v>
      </c>
      <c r="Y3413">
        <f t="shared" si="160"/>
        <v>0</v>
      </c>
      <c r="Z3413">
        <f t="shared" si="161"/>
        <v>1</v>
      </c>
    </row>
    <row r="3414" spans="1:26" ht="15.75" customHeight="1" x14ac:dyDescent="0.2">
      <c r="A3414" s="2" t="s">
        <v>36</v>
      </c>
      <c r="B3414" s="2" t="s">
        <v>35</v>
      </c>
      <c r="C3414" s="2" t="s">
        <v>32</v>
      </c>
      <c r="D3414" s="2" t="s">
        <v>33</v>
      </c>
      <c r="E3414" s="2">
        <v>168</v>
      </c>
      <c r="F3414" s="2">
        <v>223</v>
      </c>
      <c r="G3414" s="2">
        <v>640</v>
      </c>
      <c r="H3414" s="2">
        <v>881</v>
      </c>
      <c r="I3414" s="2">
        <v>2461</v>
      </c>
      <c r="J3414" s="2">
        <v>2.21</v>
      </c>
      <c r="K3414" s="2">
        <v>6.07</v>
      </c>
      <c r="L3414" s="2">
        <v>7.78</v>
      </c>
      <c r="M3414" s="2">
        <v>14.39</v>
      </c>
      <c r="N3414" s="2">
        <v>3.9233069669999998</v>
      </c>
      <c r="O3414" s="2">
        <v>3.9410466839999998</v>
      </c>
      <c r="P3414" s="2">
        <v>3.8013370659999999</v>
      </c>
      <c r="Q3414" s="2">
        <v>3.864966736</v>
      </c>
      <c r="R3414" s="2">
        <v>1.1719753879999999</v>
      </c>
      <c r="S3414" s="2">
        <v>1.281975388</v>
      </c>
      <c r="T3414" s="2">
        <v>3.6161633229999999</v>
      </c>
      <c r="U3414" s="2">
        <v>3.6461633230000001</v>
      </c>
      <c r="V3414" s="2">
        <v>2.3797216419999998</v>
      </c>
      <c r="W3414" s="2">
        <v>2.458036345</v>
      </c>
      <c r="X3414">
        <f t="shared" si="159"/>
        <v>0</v>
      </c>
      <c r="Y3414">
        <f t="shared" si="160"/>
        <v>0</v>
      </c>
      <c r="Z3414">
        <f t="shared" si="161"/>
        <v>1</v>
      </c>
    </row>
    <row r="3415" spans="1:26" ht="15.75" customHeight="1" x14ac:dyDescent="0.2">
      <c r="A3415" s="2" t="s">
        <v>36</v>
      </c>
      <c r="B3415" s="2" t="s">
        <v>35</v>
      </c>
      <c r="C3415" s="2" t="s">
        <v>28</v>
      </c>
      <c r="D3415" s="2" t="s">
        <v>29</v>
      </c>
      <c r="E3415" s="2">
        <v>149</v>
      </c>
      <c r="F3415" s="2">
        <v>228</v>
      </c>
      <c r="G3415" s="2">
        <v>452</v>
      </c>
      <c r="H3415" s="2">
        <v>1153</v>
      </c>
      <c r="I3415" s="2">
        <v>2833</v>
      </c>
      <c r="J3415" s="2">
        <v>2.27</v>
      </c>
      <c r="K3415" s="2">
        <v>4.49</v>
      </c>
      <c r="L3415" s="2">
        <v>9.4</v>
      </c>
      <c r="M3415" s="2">
        <v>15.32</v>
      </c>
      <c r="N3415" s="2">
        <v>0.73098518400000001</v>
      </c>
      <c r="O3415" s="2">
        <v>0.77236793599999998</v>
      </c>
      <c r="P3415" s="2">
        <v>2.041425254</v>
      </c>
      <c r="Q3415" s="2">
        <v>2.0519402649999998</v>
      </c>
      <c r="R3415" s="2">
        <v>0.408914997</v>
      </c>
      <c r="S3415" s="2">
        <v>0.29891499700000002</v>
      </c>
      <c r="T3415" s="2">
        <v>2.000051397</v>
      </c>
      <c r="U3415" s="2">
        <v>2.0300513969999998</v>
      </c>
      <c r="V3415" s="2">
        <v>0.79883125799999999</v>
      </c>
      <c r="W3415" s="2">
        <v>0.87714596099999997</v>
      </c>
      <c r="X3415">
        <f t="shared" si="159"/>
        <v>0</v>
      </c>
      <c r="Y3415">
        <f t="shared" si="160"/>
        <v>0</v>
      </c>
      <c r="Z3415">
        <f t="shared" si="161"/>
        <v>1</v>
      </c>
    </row>
    <row r="3416" spans="1:26" ht="15.75" customHeight="1" x14ac:dyDescent="0.2">
      <c r="A3416" s="2" t="s">
        <v>36</v>
      </c>
      <c r="B3416" s="2" t="s">
        <v>35</v>
      </c>
      <c r="C3416" s="2" t="s">
        <v>28</v>
      </c>
      <c r="D3416" s="2" t="s">
        <v>29</v>
      </c>
      <c r="E3416" s="2">
        <v>130</v>
      </c>
      <c r="F3416" s="2">
        <v>233</v>
      </c>
      <c r="G3416" s="2">
        <v>478</v>
      </c>
      <c r="H3416" s="2">
        <v>1237</v>
      </c>
      <c r="I3416" s="2">
        <v>3098</v>
      </c>
      <c r="J3416" s="2">
        <v>2.3199999999999998</v>
      </c>
      <c r="K3416" s="2">
        <v>4.7300000000000004</v>
      </c>
      <c r="L3416" s="2">
        <v>9.84</v>
      </c>
      <c r="M3416" s="2">
        <v>15.89</v>
      </c>
      <c r="N3416" s="2">
        <v>1.1902829269999999</v>
      </c>
      <c r="O3416" s="2">
        <v>1.2498505129999999</v>
      </c>
      <c r="P3416" s="2">
        <v>1.5658578299999999</v>
      </c>
      <c r="Q3416" s="2">
        <v>1.5876920219999999</v>
      </c>
      <c r="R3416" s="2">
        <v>0.17062200999999999</v>
      </c>
      <c r="S3416" s="2">
        <v>6.0622009999999997E-2</v>
      </c>
      <c r="T3416" s="2">
        <v>1.556534251</v>
      </c>
      <c r="U3416" s="2">
        <v>1.586534251</v>
      </c>
      <c r="V3416" s="2">
        <v>1.037124245</v>
      </c>
      <c r="W3416" s="2">
        <v>1.115438948</v>
      </c>
      <c r="X3416">
        <f t="shared" si="159"/>
        <v>0</v>
      </c>
      <c r="Y3416">
        <f t="shared" si="160"/>
        <v>0</v>
      </c>
      <c r="Z3416">
        <f t="shared" si="161"/>
        <v>1</v>
      </c>
    </row>
    <row r="3417" spans="1:26" ht="15.75" customHeight="1" x14ac:dyDescent="0.2">
      <c r="A3417" s="2" t="s">
        <v>36</v>
      </c>
      <c r="B3417" s="2" t="s">
        <v>35</v>
      </c>
      <c r="C3417" s="2" t="s">
        <v>26</v>
      </c>
      <c r="D3417" s="2" t="s">
        <v>26</v>
      </c>
      <c r="E3417" s="2">
        <v>166</v>
      </c>
      <c r="F3417" s="2">
        <v>230</v>
      </c>
      <c r="G3417" s="2">
        <v>451</v>
      </c>
      <c r="H3417" s="2">
        <v>1045</v>
      </c>
      <c r="I3417" s="2">
        <v>2572</v>
      </c>
      <c r="J3417" s="2">
        <v>2.2799999999999998</v>
      </c>
      <c r="K3417" s="2">
        <v>4.49</v>
      </c>
      <c r="L3417" s="2">
        <v>8.8000000000000007</v>
      </c>
      <c r="M3417" s="2">
        <v>14.69</v>
      </c>
      <c r="N3417" s="2">
        <v>0.13205025300000001</v>
      </c>
      <c r="O3417" s="2">
        <v>0.17512640700000001</v>
      </c>
      <c r="P3417" s="2">
        <v>2.6371530669999999</v>
      </c>
      <c r="Q3417" s="2">
        <v>2.6520255119999998</v>
      </c>
      <c r="R3417" s="2">
        <v>0.41192701100000001</v>
      </c>
      <c r="S3417" s="2">
        <v>0.30192701100000002</v>
      </c>
      <c r="T3417" s="2">
        <v>2.6047826089999999</v>
      </c>
      <c r="U3417" s="2">
        <v>2.6347826090000002</v>
      </c>
      <c r="V3417" s="2">
        <v>0.79581924299999995</v>
      </c>
      <c r="W3417" s="2">
        <v>0.87413394600000005</v>
      </c>
      <c r="X3417">
        <f t="shared" si="159"/>
        <v>0</v>
      </c>
      <c r="Y3417">
        <f t="shared" si="160"/>
        <v>0</v>
      </c>
      <c r="Z3417">
        <f t="shared" si="161"/>
        <v>0</v>
      </c>
    </row>
    <row r="3418" spans="1:26" ht="15.75" customHeight="1" x14ac:dyDescent="0.2">
      <c r="A3418" s="2" t="s">
        <v>36</v>
      </c>
      <c r="B3418" s="2" t="s">
        <v>35</v>
      </c>
      <c r="C3418" s="2" t="s">
        <v>25</v>
      </c>
      <c r="D3418" s="2" t="s">
        <v>25</v>
      </c>
      <c r="E3418" s="2">
        <v>238</v>
      </c>
      <c r="F3418" s="2">
        <v>234</v>
      </c>
      <c r="G3418" s="2">
        <v>845</v>
      </c>
      <c r="H3418" s="2">
        <v>1492</v>
      </c>
      <c r="I3418" s="2">
        <v>2896</v>
      </c>
      <c r="J3418" s="2">
        <v>2.33</v>
      </c>
      <c r="K3418" s="2">
        <v>7.55</v>
      </c>
      <c r="L3418" s="2">
        <v>11.06</v>
      </c>
      <c r="M3418" s="2">
        <v>15.46</v>
      </c>
      <c r="N3418" s="2">
        <v>0.51492385100000004</v>
      </c>
      <c r="O3418" s="2">
        <v>0.61030461400000002</v>
      </c>
      <c r="P3418" s="2">
        <v>2.670525729</v>
      </c>
      <c r="Q3418" s="2">
        <v>2.783499709</v>
      </c>
      <c r="R3418" s="2">
        <v>2.6486787070000002</v>
      </c>
      <c r="S3418" s="2">
        <v>2.7586787070000001</v>
      </c>
      <c r="T3418" s="2">
        <v>0.34089408100000002</v>
      </c>
      <c r="U3418" s="2">
        <v>0.37089408099999999</v>
      </c>
      <c r="V3418" s="2">
        <v>3.8564249610000001</v>
      </c>
      <c r="W3418" s="2">
        <v>3.9347396649999999</v>
      </c>
      <c r="X3418">
        <f t="shared" si="159"/>
        <v>0</v>
      </c>
      <c r="Y3418">
        <f t="shared" si="160"/>
        <v>0</v>
      </c>
      <c r="Z3418">
        <f t="shared" si="161"/>
        <v>0</v>
      </c>
    </row>
    <row r="3419" spans="1:26" ht="15.75" customHeight="1" x14ac:dyDescent="0.2">
      <c r="A3419" s="2" t="s">
        <v>36</v>
      </c>
      <c r="B3419" s="2" t="s">
        <v>35</v>
      </c>
      <c r="C3419" s="2" t="s">
        <v>30</v>
      </c>
      <c r="D3419" s="2" t="s">
        <v>31</v>
      </c>
      <c r="E3419" s="2">
        <v>208</v>
      </c>
      <c r="F3419" s="2">
        <v>216</v>
      </c>
      <c r="G3419" s="2">
        <v>741</v>
      </c>
      <c r="H3419" s="2">
        <v>1351</v>
      </c>
      <c r="I3419" s="2">
        <v>2808</v>
      </c>
      <c r="J3419" s="2">
        <v>2.13</v>
      </c>
      <c r="K3419" s="2">
        <v>6.82</v>
      </c>
      <c r="L3419" s="2">
        <v>10.41</v>
      </c>
      <c r="M3419" s="2">
        <v>15.26</v>
      </c>
      <c r="N3419" s="2">
        <v>4.0252070910000004</v>
      </c>
      <c r="O3419" s="2">
        <v>4.184606789</v>
      </c>
      <c r="P3419" s="2">
        <v>2.1621847860000001</v>
      </c>
      <c r="Q3419" s="2">
        <v>2.2738479759999999</v>
      </c>
      <c r="R3419" s="2">
        <v>1.92273019</v>
      </c>
      <c r="S3419" s="2">
        <v>2.0327301900000001</v>
      </c>
      <c r="T3419" s="2">
        <v>0.98901550199999999</v>
      </c>
      <c r="U3419" s="2">
        <v>1.019015502</v>
      </c>
      <c r="V3419" s="2">
        <v>3.1304764440000001</v>
      </c>
      <c r="W3419" s="2">
        <v>3.208791148</v>
      </c>
      <c r="X3419">
        <f t="shared" si="159"/>
        <v>0</v>
      </c>
      <c r="Y3419">
        <f t="shared" si="160"/>
        <v>0</v>
      </c>
      <c r="Z3419">
        <f t="shared" si="161"/>
        <v>1</v>
      </c>
    </row>
    <row r="3420" spans="1:26" ht="15.75" customHeight="1" x14ac:dyDescent="0.2">
      <c r="A3420" s="2" t="s">
        <v>36</v>
      </c>
      <c r="B3420" s="2" t="s">
        <v>35</v>
      </c>
      <c r="C3420" s="2" t="s">
        <v>28</v>
      </c>
      <c r="D3420" s="2" t="s">
        <v>29</v>
      </c>
      <c r="E3420" s="2">
        <v>202</v>
      </c>
      <c r="F3420" s="2">
        <v>217</v>
      </c>
      <c r="G3420" s="2">
        <v>462</v>
      </c>
      <c r="H3420" s="2">
        <v>1152</v>
      </c>
      <c r="I3420" s="2">
        <v>2968</v>
      </c>
      <c r="J3420" s="2">
        <v>2.15</v>
      </c>
      <c r="K3420" s="2">
        <v>4.58</v>
      </c>
      <c r="L3420" s="2">
        <v>9.39</v>
      </c>
      <c r="M3420" s="2">
        <v>15.62</v>
      </c>
      <c r="N3420" s="2">
        <v>0.72632138099999999</v>
      </c>
      <c r="O3420" s="2">
        <v>0.77930525299999998</v>
      </c>
      <c r="P3420" s="2">
        <v>2.0306784819999999</v>
      </c>
      <c r="Q3420" s="2">
        <v>2.046171255</v>
      </c>
      <c r="R3420" s="2">
        <v>0.31894012399999999</v>
      </c>
      <c r="S3420" s="2">
        <v>0.208940124</v>
      </c>
      <c r="T3420" s="2">
        <v>2.005475578</v>
      </c>
      <c r="U3420" s="2">
        <v>2.0354755779999998</v>
      </c>
      <c r="V3420" s="2">
        <v>0.88880612999999997</v>
      </c>
      <c r="W3420" s="2">
        <v>0.96712083400000004</v>
      </c>
      <c r="X3420">
        <f t="shared" si="159"/>
        <v>0</v>
      </c>
      <c r="Y3420">
        <f t="shared" si="160"/>
        <v>0</v>
      </c>
      <c r="Z3420">
        <f t="shared" si="161"/>
        <v>1</v>
      </c>
    </row>
    <row r="3421" spans="1:26" ht="15.75" customHeight="1" x14ac:dyDescent="0.2">
      <c r="A3421" s="2" t="s">
        <v>36</v>
      </c>
      <c r="B3421" s="2" t="s">
        <v>35</v>
      </c>
      <c r="C3421" s="2" t="s">
        <v>28</v>
      </c>
      <c r="D3421" s="2" t="s">
        <v>29</v>
      </c>
      <c r="E3421" s="2">
        <v>197</v>
      </c>
      <c r="F3421" s="2">
        <v>243</v>
      </c>
      <c r="G3421" s="2">
        <v>487</v>
      </c>
      <c r="H3421" s="2">
        <v>1163</v>
      </c>
      <c r="I3421" s="2">
        <v>2692</v>
      </c>
      <c r="J3421" s="2">
        <v>2.4300000000000002</v>
      </c>
      <c r="K3421" s="2">
        <v>4.8099999999999996</v>
      </c>
      <c r="L3421" s="2">
        <v>9.4600000000000009</v>
      </c>
      <c r="M3421" s="2">
        <v>14.99</v>
      </c>
      <c r="N3421" s="2">
        <v>0.83275875300000002</v>
      </c>
      <c r="O3421" s="2">
        <v>0.90724403399999998</v>
      </c>
      <c r="P3421" s="2">
        <v>1.9464902479999999</v>
      </c>
      <c r="Q3421" s="2">
        <v>1.9742673749999999</v>
      </c>
      <c r="R3421" s="2">
        <v>9.4295055000000003E-2</v>
      </c>
      <c r="S3421" s="2">
        <v>1.5704945000000001E-2</v>
      </c>
      <c r="T3421" s="2">
        <v>1.944204909</v>
      </c>
      <c r="U3421" s="2">
        <v>1.974204909</v>
      </c>
      <c r="V3421" s="2">
        <v>1.113451199</v>
      </c>
      <c r="W3421" s="2">
        <v>1.191765902</v>
      </c>
      <c r="X3421">
        <f t="shared" si="159"/>
        <v>0</v>
      </c>
      <c r="Y3421">
        <f t="shared" si="160"/>
        <v>0</v>
      </c>
      <c r="Z3421">
        <f t="shared" si="161"/>
        <v>1</v>
      </c>
    </row>
    <row r="3422" spans="1:26" ht="15.75" customHeight="1" x14ac:dyDescent="0.2">
      <c r="A3422" s="2" t="s">
        <v>36</v>
      </c>
      <c r="B3422" s="2" t="s">
        <v>35</v>
      </c>
      <c r="C3422" s="2" t="s">
        <v>32</v>
      </c>
      <c r="D3422" s="2" t="s">
        <v>33</v>
      </c>
      <c r="E3422" s="2">
        <v>184</v>
      </c>
      <c r="F3422" s="2">
        <v>219</v>
      </c>
      <c r="G3422" s="2">
        <v>687</v>
      </c>
      <c r="H3422" s="2">
        <v>1015</v>
      </c>
      <c r="I3422" s="2">
        <v>2596</v>
      </c>
      <c r="J3422" s="2">
        <v>2.16</v>
      </c>
      <c r="K3422" s="2">
        <v>6.43</v>
      </c>
      <c r="L3422" s="2">
        <v>8.6199999999999992</v>
      </c>
      <c r="M3422" s="2">
        <v>14.75</v>
      </c>
      <c r="N3422" s="2">
        <v>3.0196528389999999</v>
      </c>
      <c r="O3422" s="2">
        <v>3.0406512339999998</v>
      </c>
      <c r="P3422" s="2">
        <v>3.1733158499999998</v>
      </c>
      <c r="Q3422" s="2">
        <v>3.2536151900000001</v>
      </c>
      <c r="R3422" s="2">
        <v>1.5282432939999999</v>
      </c>
      <c r="S3422" s="2">
        <v>1.638243294</v>
      </c>
      <c r="T3422" s="2">
        <v>2.7810799909999999</v>
      </c>
      <c r="U3422" s="2">
        <v>2.8110799910000002</v>
      </c>
      <c r="V3422" s="2">
        <v>2.7359895490000001</v>
      </c>
      <c r="W3422" s="2">
        <v>2.8143042519999999</v>
      </c>
      <c r="X3422">
        <f t="shared" si="159"/>
        <v>0</v>
      </c>
      <c r="Y3422">
        <f t="shared" si="160"/>
        <v>0</v>
      </c>
      <c r="Z3422">
        <f t="shared" si="161"/>
        <v>1</v>
      </c>
    </row>
    <row r="3423" spans="1:26" ht="15.75" customHeight="1" x14ac:dyDescent="0.2">
      <c r="A3423" s="2" t="s">
        <v>36</v>
      </c>
      <c r="B3423" s="2" t="s">
        <v>35</v>
      </c>
      <c r="C3423" s="2" t="s">
        <v>25</v>
      </c>
      <c r="D3423" s="2" t="s">
        <v>25</v>
      </c>
      <c r="E3423" s="2">
        <v>160</v>
      </c>
      <c r="F3423" s="2">
        <v>207</v>
      </c>
      <c r="G3423" s="2">
        <v>715</v>
      </c>
      <c r="H3423" s="2">
        <v>1779</v>
      </c>
      <c r="I3423" s="2">
        <v>2698</v>
      </c>
      <c r="J3423" s="2">
        <v>2.0299999999999998</v>
      </c>
      <c r="K3423" s="2">
        <v>6.63</v>
      </c>
      <c r="L3423" s="2">
        <v>12.23</v>
      </c>
      <c r="M3423" s="2">
        <v>15</v>
      </c>
      <c r="N3423" s="2">
        <v>0.97911812300000001</v>
      </c>
      <c r="O3423" s="2">
        <v>0.87530376499999996</v>
      </c>
      <c r="P3423" s="2">
        <v>1.9208889179999999</v>
      </c>
      <c r="Q3423" s="2">
        <v>2.0086223599999999</v>
      </c>
      <c r="R3423" s="2">
        <v>1.7335892319999999</v>
      </c>
      <c r="S3423" s="2">
        <v>1.843589232</v>
      </c>
      <c r="T3423" s="2">
        <v>0.82733464099999998</v>
      </c>
      <c r="U3423" s="2">
        <v>0.79733464099999996</v>
      </c>
      <c r="V3423" s="2">
        <v>2.9413354869999999</v>
      </c>
      <c r="W3423" s="2">
        <v>3.0196501900000001</v>
      </c>
      <c r="X3423">
        <f t="shared" si="159"/>
        <v>0</v>
      </c>
      <c r="Y3423">
        <f t="shared" si="160"/>
        <v>0</v>
      </c>
      <c r="Z3423">
        <f t="shared" si="161"/>
        <v>0</v>
      </c>
    </row>
    <row r="3424" spans="1:26" ht="15.75" customHeight="1" x14ac:dyDescent="0.2">
      <c r="A3424" s="2" t="s">
        <v>36</v>
      </c>
      <c r="B3424" s="2" t="s">
        <v>35</v>
      </c>
      <c r="C3424" s="2" t="s">
        <v>27</v>
      </c>
      <c r="D3424" s="2" t="s">
        <v>27</v>
      </c>
      <c r="E3424" s="2">
        <v>169</v>
      </c>
      <c r="F3424" s="2">
        <v>235</v>
      </c>
      <c r="G3424" s="2">
        <v>462</v>
      </c>
      <c r="H3424" s="2">
        <v>2230</v>
      </c>
      <c r="I3424" s="2">
        <v>2975</v>
      </c>
      <c r="J3424" s="2">
        <v>2.34</v>
      </c>
      <c r="K3424" s="2">
        <v>4.58</v>
      </c>
      <c r="L3424" s="2">
        <v>13.74</v>
      </c>
      <c r="M3424" s="2">
        <v>15.63</v>
      </c>
      <c r="N3424" s="2">
        <v>2.4145864E-2</v>
      </c>
      <c r="O3424" s="2">
        <v>0.19695505699999999</v>
      </c>
      <c r="P3424" s="2">
        <v>2.359062781</v>
      </c>
      <c r="Q3424" s="2">
        <v>2.3169805449999998</v>
      </c>
      <c r="R3424" s="2">
        <v>0.315953757</v>
      </c>
      <c r="S3424" s="2">
        <v>0.20595375699999999</v>
      </c>
      <c r="T3424" s="2">
        <v>2.3378088950000002</v>
      </c>
      <c r="U3424" s="2">
        <v>2.307808895</v>
      </c>
      <c r="V3424" s="2">
        <v>0.89179249699999996</v>
      </c>
      <c r="W3424" s="2">
        <v>0.97010719999999995</v>
      </c>
      <c r="X3424">
        <f t="shared" si="159"/>
        <v>0</v>
      </c>
      <c r="Y3424">
        <f t="shared" si="160"/>
        <v>0</v>
      </c>
      <c r="Z3424">
        <f t="shared" si="161"/>
        <v>0</v>
      </c>
    </row>
    <row r="3425" spans="1:26" ht="15.75" customHeight="1" x14ac:dyDescent="0.2">
      <c r="A3425" s="2" t="s">
        <v>36</v>
      </c>
      <c r="B3425" s="2" t="s">
        <v>35</v>
      </c>
      <c r="C3425" s="2" t="s">
        <v>32</v>
      </c>
      <c r="D3425" s="2" t="s">
        <v>33</v>
      </c>
      <c r="E3425" s="2">
        <v>160</v>
      </c>
      <c r="F3425" s="2">
        <v>228</v>
      </c>
      <c r="G3425" s="2">
        <v>672</v>
      </c>
      <c r="H3425" s="2">
        <v>1048</v>
      </c>
      <c r="I3425" s="2">
        <v>2930</v>
      </c>
      <c r="J3425" s="2">
        <v>2.2599999999999998</v>
      </c>
      <c r="K3425" s="2">
        <v>6.31</v>
      </c>
      <c r="L3425" s="2">
        <v>8.81</v>
      </c>
      <c r="M3425" s="2">
        <v>15.53</v>
      </c>
      <c r="N3425" s="2">
        <v>2.8723996729999999</v>
      </c>
      <c r="O3425" s="2">
        <v>2.8871144809999998</v>
      </c>
      <c r="P3425" s="2">
        <v>2.947835832</v>
      </c>
      <c r="Q3425" s="2">
        <v>3.0279933840000002</v>
      </c>
      <c r="R3425" s="2">
        <v>1.4125775810000001</v>
      </c>
      <c r="S3425" s="2">
        <v>1.522577581</v>
      </c>
      <c r="T3425" s="2">
        <v>2.5873462599999999</v>
      </c>
      <c r="U3425" s="2">
        <v>2.6173462600000001</v>
      </c>
      <c r="V3425" s="2">
        <v>2.6203238350000002</v>
      </c>
      <c r="W3425" s="2">
        <v>2.698638538</v>
      </c>
      <c r="X3425">
        <f t="shared" si="159"/>
        <v>0</v>
      </c>
      <c r="Y3425">
        <f t="shared" si="160"/>
        <v>0</v>
      </c>
      <c r="Z3425">
        <f t="shared" si="161"/>
        <v>1</v>
      </c>
    </row>
    <row r="3426" spans="1:26" ht="15.75" customHeight="1" x14ac:dyDescent="0.2">
      <c r="A3426" s="2" t="s">
        <v>36</v>
      </c>
      <c r="B3426" s="2" t="s">
        <v>35</v>
      </c>
      <c r="C3426" s="2" t="s">
        <v>28</v>
      </c>
      <c r="D3426" s="2" t="s">
        <v>29</v>
      </c>
      <c r="E3426" s="2">
        <v>127</v>
      </c>
      <c r="F3426" s="2">
        <v>222</v>
      </c>
      <c r="G3426" s="2">
        <v>446</v>
      </c>
      <c r="H3426" s="2">
        <v>1167</v>
      </c>
      <c r="I3426" s="2">
        <v>2866</v>
      </c>
      <c r="J3426" s="2">
        <v>2.2000000000000002</v>
      </c>
      <c r="K3426" s="2">
        <v>4.4400000000000004</v>
      </c>
      <c r="L3426" s="2">
        <v>9.48</v>
      </c>
      <c r="M3426" s="2">
        <v>15.39</v>
      </c>
      <c r="N3426" s="2">
        <v>0.81022972800000004</v>
      </c>
      <c r="O3426" s="2">
        <v>0.84561963500000004</v>
      </c>
      <c r="P3426" s="2">
        <v>1.9780421690000001</v>
      </c>
      <c r="Q3426" s="2">
        <v>1.985077789</v>
      </c>
      <c r="R3426" s="2">
        <v>0.45720736899999997</v>
      </c>
      <c r="S3426" s="2">
        <v>0.34720736899999999</v>
      </c>
      <c r="T3426" s="2">
        <v>1.9244771350000001</v>
      </c>
      <c r="U3426" s="2">
        <v>1.9544771350000001</v>
      </c>
      <c r="V3426" s="2">
        <v>0.75053888499999999</v>
      </c>
      <c r="W3426" s="2">
        <v>0.82885358799999997</v>
      </c>
      <c r="X3426">
        <f t="shared" si="159"/>
        <v>0</v>
      </c>
      <c r="Y3426">
        <f t="shared" si="160"/>
        <v>0</v>
      </c>
      <c r="Z3426">
        <f t="shared" si="161"/>
        <v>1</v>
      </c>
    </row>
    <row r="3427" spans="1:26" ht="15.75" customHeight="1" x14ac:dyDescent="0.2">
      <c r="A3427" s="2" t="s">
        <v>36</v>
      </c>
      <c r="B3427" s="2" t="s">
        <v>35</v>
      </c>
      <c r="C3427" s="2" t="s">
        <v>27</v>
      </c>
      <c r="D3427" s="2" t="s">
        <v>27</v>
      </c>
      <c r="E3427" s="2">
        <v>157</v>
      </c>
      <c r="F3427" s="2">
        <v>232</v>
      </c>
      <c r="G3427" s="2">
        <v>443</v>
      </c>
      <c r="H3427" s="2">
        <v>2300</v>
      </c>
      <c r="I3427" s="2">
        <v>2822</v>
      </c>
      <c r="J3427" s="2">
        <v>2.2999999999999998</v>
      </c>
      <c r="K3427" s="2">
        <v>4.41</v>
      </c>
      <c r="L3427" s="2">
        <v>13.95</v>
      </c>
      <c r="M3427" s="2">
        <v>15.29</v>
      </c>
      <c r="N3427" s="2">
        <v>0.25501646900000002</v>
      </c>
      <c r="O3427" s="2">
        <v>0.115848968</v>
      </c>
      <c r="P3427" s="2">
        <v>2.5926748929999999</v>
      </c>
      <c r="Q3427" s="2">
        <v>2.5444636040000002</v>
      </c>
      <c r="R3427" s="2">
        <v>0.49053274099999999</v>
      </c>
      <c r="S3427" s="2">
        <v>0.38053274100000001</v>
      </c>
      <c r="T3427" s="2">
        <v>2.5458477429999999</v>
      </c>
      <c r="U3427" s="2">
        <v>2.5158477430000001</v>
      </c>
      <c r="V3427" s="2">
        <v>0.71721351300000002</v>
      </c>
      <c r="W3427" s="2">
        <v>0.79552821600000001</v>
      </c>
      <c r="X3427">
        <f t="shared" si="159"/>
        <v>0</v>
      </c>
      <c r="Y3427">
        <f t="shared" si="160"/>
        <v>0</v>
      </c>
      <c r="Z3427">
        <f t="shared" si="161"/>
        <v>0</v>
      </c>
    </row>
    <row r="3428" spans="1:26" ht="15.75" customHeight="1" x14ac:dyDescent="0.2">
      <c r="A3428" s="2" t="s">
        <v>36</v>
      </c>
      <c r="B3428" s="2" t="s">
        <v>35</v>
      </c>
      <c r="C3428" s="2" t="s">
        <v>26</v>
      </c>
      <c r="D3428" s="2" t="s">
        <v>26</v>
      </c>
      <c r="E3428" s="2">
        <v>144</v>
      </c>
      <c r="F3428" s="2">
        <v>215</v>
      </c>
      <c r="G3428" s="2">
        <v>436</v>
      </c>
      <c r="H3428" s="2">
        <v>1018</v>
      </c>
      <c r="I3428" s="2">
        <v>2618</v>
      </c>
      <c r="J3428" s="2">
        <v>2.12</v>
      </c>
      <c r="K3428" s="2">
        <v>4.3499999999999996</v>
      </c>
      <c r="L3428" s="2">
        <v>8.64</v>
      </c>
      <c r="M3428" s="2">
        <v>14.8</v>
      </c>
      <c r="N3428" s="2">
        <v>0.18741751700000001</v>
      </c>
      <c r="O3428" s="2">
        <v>8.4703338000000003E-2</v>
      </c>
      <c r="P3428" s="2">
        <v>2.818363814</v>
      </c>
      <c r="Q3428" s="2">
        <v>2.8284263890000001</v>
      </c>
      <c r="R3428" s="2">
        <v>0.55443717800000003</v>
      </c>
      <c r="S3428" s="2">
        <v>0.44443717799999999</v>
      </c>
      <c r="T3428" s="2">
        <v>2.7632904310000002</v>
      </c>
      <c r="U3428" s="2">
        <v>2.793290431</v>
      </c>
      <c r="V3428" s="2">
        <v>0.65330907599999999</v>
      </c>
      <c r="W3428" s="2">
        <v>0.73162377899999997</v>
      </c>
      <c r="X3428">
        <f t="shared" si="159"/>
        <v>0</v>
      </c>
      <c r="Y3428">
        <f t="shared" si="160"/>
        <v>0</v>
      </c>
      <c r="Z3428">
        <f t="shared" si="161"/>
        <v>0</v>
      </c>
    </row>
    <row r="3429" spans="1:26" ht="15.75" customHeight="1" x14ac:dyDescent="0.2">
      <c r="A3429" s="2" t="s">
        <v>36</v>
      </c>
      <c r="B3429" s="2" t="s">
        <v>35</v>
      </c>
      <c r="C3429" s="2" t="s">
        <v>27</v>
      </c>
      <c r="D3429" s="2" t="s">
        <v>27</v>
      </c>
      <c r="E3429" s="2">
        <v>174</v>
      </c>
      <c r="F3429" s="2">
        <v>234</v>
      </c>
      <c r="G3429" s="2">
        <v>462</v>
      </c>
      <c r="H3429" s="2">
        <v>2117</v>
      </c>
      <c r="I3429" s="2">
        <v>2926</v>
      </c>
      <c r="J3429" s="2">
        <v>2.33</v>
      </c>
      <c r="K3429" s="2">
        <v>4.59</v>
      </c>
      <c r="L3429" s="2">
        <v>13.39</v>
      </c>
      <c r="M3429" s="2">
        <v>15.53</v>
      </c>
      <c r="N3429" s="2">
        <v>0.350887436</v>
      </c>
      <c r="O3429" s="2">
        <v>0.47413454300000002</v>
      </c>
      <c r="P3429" s="2">
        <v>2.0146134720000002</v>
      </c>
      <c r="Q3429" s="2">
        <v>1.9706357130000001</v>
      </c>
      <c r="R3429" s="2">
        <v>0.31296821200000002</v>
      </c>
      <c r="S3429" s="2">
        <v>0.20296821200000001</v>
      </c>
      <c r="T3429" s="2">
        <v>1.990155356</v>
      </c>
      <c r="U3429" s="2">
        <v>1.960155356</v>
      </c>
      <c r="V3429" s="2">
        <v>0.894778042</v>
      </c>
      <c r="W3429" s="2">
        <v>0.97309274499999998</v>
      </c>
      <c r="X3429">
        <f t="shared" si="159"/>
        <v>0</v>
      </c>
      <c r="Y3429">
        <f t="shared" si="160"/>
        <v>0</v>
      </c>
      <c r="Z3429">
        <f t="shared" si="161"/>
        <v>0</v>
      </c>
    </row>
    <row r="3430" spans="1:26" ht="15.75" customHeight="1" x14ac:dyDescent="0.2">
      <c r="A3430" s="2" t="s">
        <v>36</v>
      </c>
      <c r="B3430" s="2" t="s">
        <v>35</v>
      </c>
      <c r="C3430" s="2" t="s">
        <v>27</v>
      </c>
      <c r="D3430" s="2" t="s">
        <v>27</v>
      </c>
      <c r="E3430" s="2">
        <v>161</v>
      </c>
      <c r="F3430" s="2">
        <v>230</v>
      </c>
      <c r="G3430" s="2">
        <v>452</v>
      </c>
      <c r="H3430" s="2">
        <v>2341</v>
      </c>
      <c r="I3430" s="2">
        <v>2769</v>
      </c>
      <c r="J3430" s="2">
        <v>2.2799999999999998</v>
      </c>
      <c r="K3430" s="2">
        <v>4.5</v>
      </c>
      <c r="L3430" s="2">
        <v>14.06</v>
      </c>
      <c r="M3430" s="2">
        <v>15.17</v>
      </c>
      <c r="N3430" s="2">
        <v>0.32854523000000002</v>
      </c>
      <c r="O3430" s="2">
        <v>0.248252844</v>
      </c>
      <c r="P3430" s="2">
        <v>2.6927802270000001</v>
      </c>
      <c r="Q3430" s="2">
        <v>2.6487130149999998</v>
      </c>
      <c r="R3430" s="2">
        <v>0.40289346399999998</v>
      </c>
      <c r="S3430" s="2">
        <v>0.29289346399999999</v>
      </c>
      <c r="T3430" s="2">
        <v>2.6624691930000002</v>
      </c>
      <c r="U3430" s="2">
        <v>2.6324691929999999</v>
      </c>
      <c r="V3430" s="2">
        <v>0.80485278999999998</v>
      </c>
      <c r="W3430" s="2">
        <v>0.88316749299999997</v>
      </c>
      <c r="X3430">
        <f t="shared" si="159"/>
        <v>0</v>
      </c>
      <c r="Y3430">
        <f t="shared" si="160"/>
        <v>0</v>
      </c>
      <c r="Z3430">
        <f t="shared" si="161"/>
        <v>0</v>
      </c>
    </row>
    <row r="3431" spans="1:26" ht="15.75" customHeight="1" x14ac:dyDescent="0.2">
      <c r="A3431" s="2" t="s">
        <v>36</v>
      </c>
      <c r="B3431" s="2" t="s">
        <v>35</v>
      </c>
      <c r="C3431" s="2" t="s">
        <v>32</v>
      </c>
      <c r="D3431" s="2" t="s">
        <v>33</v>
      </c>
      <c r="E3431" s="2">
        <v>193</v>
      </c>
      <c r="F3431" s="2">
        <v>245</v>
      </c>
      <c r="G3431" s="2">
        <v>743</v>
      </c>
      <c r="H3431" s="2">
        <v>1140</v>
      </c>
      <c r="I3431" s="2">
        <v>2996</v>
      </c>
      <c r="J3431" s="2">
        <v>2.4500000000000002</v>
      </c>
      <c r="K3431" s="2">
        <v>6.84</v>
      </c>
      <c r="L3431" s="2">
        <v>9.33</v>
      </c>
      <c r="M3431" s="2">
        <v>15.68</v>
      </c>
      <c r="N3431" s="2">
        <v>2.2284280359999999</v>
      </c>
      <c r="O3431" s="2">
        <v>2.259393744</v>
      </c>
      <c r="P3431" s="2">
        <v>2.8389152929999999</v>
      </c>
      <c r="Q3431" s="2">
        <v>2.9366500549999999</v>
      </c>
      <c r="R3431" s="2">
        <v>1.9419235509999999</v>
      </c>
      <c r="S3431" s="2">
        <v>2.0519235509999998</v>
      </c>
      <c r="T3431" s="2">
        <v>2.0708387099999999</v>
      </c>
      <c r="U3431" s="2">
        <v>2.1008387100000001</v>
      </c>
      <c r="V3431" s="2">
        <v>3.1496698049999998</v>
      </c>
      <c r="W3431" s="2">
        <v>3.2279845090000001</v>
      </c>
      <c r="X3431">
        <f t="shared" si="159"/>
        <v>0</v>
      </c>
      <c r="Y3431">
        <f t="shared" si="160"/>
        <v>0</v>
      </c>
      <c r="Z3431">
        <f t="shared" si="161"/>
        <v>1</v>
      </c>
    </row>
    <row r="3432" spans="1:26" ht="15.75" customHeight="1" x14ac:dyDescent="0.2">
      <c r="A3432" s="2" t="s">
        <v>36</v>
      </c>
      <c r="B3432" s="2" t="s">
        <v>35</v>
      </c>
      <c r="C3432" s="2" t="s">
        <v>28</v>
      </c>
      <c r="D3432" s="2" t="s">
        <v>29</v>
      </c>
      <c r="E3432" s="2">
        <v>220</v>
      </c>
      <c r="F3432" s="2">
        <v>234</v>
      </c>
      <c r="G3432" s="2">
        <v>477</v>
      </c>
      <c r="H3432" s="2">
        <v>1136</v>
      </c>
      <c r="I3432" s="2">
        <v>3052</v>
      </c>
      <c r="J3432" s="2">
        <v>2.33</v>
      </c>
      <c r="K3432" s="2">
        <v>4.72</v>
      </c>
      <c r="L3432" s="2">
        <v>9.31</v>
      </c>
      <c r="M3432" s="2">
        <v>15.8</v>
      </c>
      <c r="N3432" s="2">
        <v>0.66338496700000005</v>
      </c>
      <c r="O3432" s="2">
        <v>0.73526968400000003</v>
      </c>
      <c r="P3432" s="2">
        <v>2.1022408339999998</v>
      </c>
      <c r="Q3432" s="2">
        <v>2.1257018759999999</v>
      </c>
      <c r="R3432" s="2">
        <v>0.17946389500000001</v>
      </c>
      <c r="S3432" s="2">
        <v>6.9463894999999998E-2</v>
      </c>
      <c r="T3432" s="2">
        <v>2.0945665980000001</v>
      </c>
      <c r="U3432" s="2">
        <v>2.1245665979999999</v>
      </c>
      <c r="V3432" s="2">
        <v>1.0282823590000001</v>
      </c>
      <c r="W3432" s="2">
        <v>1.1065970629999999</v>
      </c>
      <c r="X3432">
        <f t="shared" si="159"/>
        <v>0</v>
      </c>
      <c r="Y3432">
        <f t="shared" si="160"/>
        <v>0</v>
      </c>
      <c r="Z3432">
        <f t="shared" si="161"/>
        <v>1</v>
      </c>
    </row>
    <row r="3433" spans="1:26" ht="15.75" customHeight="1" x14ac:dyDescent="0.2">
      <c r="A3433" s="2" t="s">
        <v>36</v>
      </c>
      <c r="B3433" s="2" t="s">
        <v>35</v>
      </c>
      <c r="C3433" s="2" t="s">
        <v>26</v>
      </c>
      <c r="D3433" s="2" t="s">
        <v>26</v>
      </c>
      <c r="E3433" s="2">
        <v>164</v>
      </c>
      <c r="F3433" s="2">
        <v>226</v>
      </c>
      <c r="G3433" s="2">
        <v>440</v>
      </c>
      <c r="H3433" s="2">
        <v>1055</v>
      </c>
      <c r="I3433" s="2">
        <v>2766</v>
      </c>
      <c r="J3433" s="2">
        <v>2.2400000000000002</v>
      </c>
      <c r="K3433" s="2">
        <v>4.38</v>
      </c>
      <c r="L3433" s="2">
        <v>8.85</v>
      </c>
      <c r="M3433" s="2">
        <v>15.16</v>
      </c>
      <c r="N3433" s="2">
        <v>0.23245062999999999</v>
      </c>
      <c r="O3433" s="2">
        <v>0.224513567</v>
      </c>
      <c r="P3433" s="2">
        <v>2.6026929170000002</v>
      </c>
      <c r="Q3433" s="2">
        <v>2.612683868</v>
      </c>
      <c r="R3433" s="2">
        <v>0.51787470499999999</v>
      </c>
      <c r="S3433" s="2">
        <v>0.407874705</v>
      </c>
      <c r="T3433" s="2">
        <v>2.550650155</v>
      </c>
      <c r="U3433" s="2">
        <v>2.5806501549999998</v>
      </c>
      <c r="V3433" s="2">
        <v>0.68987154900000003</v>
      </c>
      <c r="W3433" s="2">
        <v>0.76818625299999999</v>
      </c>
      <c r="X3433">
        <f t="shared" si="159"/>
        <v>0</v>
      </c>
      <c r="Y3433">
        <f t="shared" si="160"/>
        <v>0</v>
      </c>
      <c r="Z3433">
        <f t="shared" si="161"/>
        <v>0</v>
      </c>
    </row>
    <row r="3434" spans="1:26" ht="15.75" customHeight="1" x14ac:dyDescent="0.2">
      <c r="A3434" s="2" t="s">
        <v>36</v>
      </c>
      <c r="B3434" s="2" t="s">
        <v>35</v>
      </c>
      <c r="C3434" s="2" t="s">
        <v>30</v>
      </c>
      <c r="D3434" s="2" t="s">
        <v>31</v>
      </c>
      <c r="E3434" s="2">
        <v>183</v>
      </c>
      <c r="F3434" s="2">
        <v>221</v>
      </c>
      <c r="G3434" s="2">
        <v>717</v>
      </c>
      <c r="H3434" s="2">
        <v>1127</v>
      </c>
      <c r="I3434" s="2">
        <v>2900</v>
      </c>
      <c r="J3434" s="2">
        <v>2.19</v>
      </c>
      <c r="K3434" s="2">
        <v>6.65</v>
      </c>
      <c r="L3434" s="2">
        <v>9.26</v>
      </c>
      <c r="M3434" s="2">
        <v>15.47</v>
      </c>
      <c r="N3434" s="2">
        <v>4.9452150460000004</v>
      </c>
      <c r="O3434" s="2">
        <v>5.0911853479999998</v>
      </c>
      <c r="P3434" s="2">
        <v>2.7667320069999999</v>
      </c>
      <c r="Q3434" s="2">
        <v>2.8604062099999998</v>
      </c>
      <c r="R3434" s="2">
        <v>1.7531573709999999</v>
      </c>
      <c r="S3434" s="2">
        <v>1.863157371</v>
      </c>
      <c r="T3434" s="2">
        <v>2.1403843660000001</v>
      </c>
      <c r="U3434" s="2">
        <v>2.170384366</v>
      </c>
      <c r="V3434" s="2">
        <v>2.9609036249999998</v>
      </c>
      <c r="W3434" s="2">
        <v>3.039218328</v>
      </c>
      <c r="X3434">
        <f t="shared" si="159"/>
        <v>0</v>
      </c>
      <c r="Y3434">
        <f t="shared" si="160"/>
        <v>0</v>
      </c>
      <c r="Z3434">
        <f t="shared" si="161"/>
        <v>1</v>
      </c>
    </row>
    <row r="3435" spans="1:26" ht="15.75" customHeight="1" x14ac:dyDescent="0.2">
      <c r="A3435" s="2" t="s">
        <v>36</v>
      </c>
      <c r="B3435" s="2" t="s">
        <v>35</v>
      </c>
      <c r="C3435" s="2" t="s">
        <v>27</v>
      </c>
      <c r="D3435" s="2" t="s">
        <v>27</v>
      </c>
      <c r="E3435" s="2">
        <v>136</v>
      </c>
      <c r="F3435" s="2">
        <v>229</v>
      </c>
      <c r="G3435" s="2">
        <v>457</v>
      </c>
      <c r="H3435" s="2">
        <v>2212</v>
      </c>
      <c r="I3435" s="2">
        <v>2886</v>
      </c>
      <c r="J3435" s="2">
        <v>2.27</v>
      </c>
      <c r="K3435" s="2">
        <v>4.54</v>
      </c>
      <c r="L3435" s="2">
        <v>13.68</v>
      </c>
      <c r="M3435" s="2">
        <v>15.44</v>
      </c>
      <c r="N3435" s="2">
        <v>5.8107669000000001E-2</v>
      </c>
      <c r="O3435" s="2">
        <v>0.19641668000000001</v>
      </c>
      <c r="P3435" s="2">
        <v>2.3125511470000002</v>
      </c>
      <c r="Q3435" s="2">
        <v>2.2682783350000002</v>
      </c>
      <c r="R3435" s="2">
        <v>0.35783783800000002</v>
      </c>
      <c r="S3435" s="2">
        <v>0.247837838</v>
      </c>
      <c r="T3435" s="2">
        <v>2.2846979869999999</v>
      </c>
      <c r="U3435" s="2">
        <v>2.2546979870000001</v>
      </c>
      <c r="V3435" s="2">
        <v>0.849908416</v>
      </c>
      <c r="W3435" s="2">
        <v>0.92822311999999996</v>
      </c>
      <c r="X3435">
        <f t="shared" si="159"/>
        <v>0</v>
      </c>
      <c r="Y3435">
        <f t="shared" si="160"/>
        <v>0</v>
      </c>
      <c r="Z3435">
        <f t="shared" si="161"/>
        <v>0</v>
      </c>
    </row>
    <row r="3436" spans="1:26" ht="15.75" customHeight="1" x14ac:dyDescent="0.2">
      <c r="A3436" s="2" t="s">
        <v>36</v>
      </c>
      <c r="B3436" s="2" t="s">
        <v>35</v>
      </c>
      <c r="C3436" s="2" t="s">
        <v>30</v>
      </c>
      <c r="D3436" s="2" t="s">
        <v>31</v>
      </c>
      <c r="E3436" s="2">
        <v>206</v>
      </c>
      <c r="F3436" s="2">
        <v>228</v>
      </c>
      <c r="G3436" s="2">
        <v>737</v>
      </c>
      <c r="H3436" s="2">
        <v>1147</v>
      </c>
      <c r="I3436" s="2">
        <v>2596</v>
      </c>
      <c r="J3436" s="2">
        <v>2.27</v>
      </c>
      <c r="K3436" s="2">
        <v>6.79</v>
      </c>
      <c r="L3436" s="2">
        <v>9.3699999999999992</v>
      </c>
      <c r="M3436" s="2">
        <v>14.75</v>
      </c>
      <c r="N3436" s="2">
        <v>4.908601182</v>
      </c>
      <c r="O3436" s="2">
        <v>5.0578529510000001</v>
      </c>
      <c r="P3436" s="2">
        <v>2.7768739259999999</v>
      </c>
      <c r="Q3436" s="2">
        <v>2.8744616980000002</v>
      </c>
      <c r="R3436" s="2">
        <v>1.8938689740000001</v>
      </c>
      <c r="S3436" s="2">
        <v>2.003868974</v>
      </c>
      <c r="T3436" s="2">
        <v>2.030834585</v>
      </c>
      <c r="U3436" s="2">
        <v>2.0608345849999998</v>
      </c>
      <c r="V3436" s="2">
        <v>3.101615228</v>
      </c>
      <c r="W3436" s="2">
        <v>3.1799299319999998</v>
      </c>
      <c r="X3436">
        <f t="shared" si="159"/>
        <v>0</v>
      </c>
      <c r="Y3436">
        <f t="shared" si="160"/>
        <v>0</v>
      </c>
      <c r="Z3436">
        <f t="shared" si="161"/>
        <v>1</v>
      </c>
    </row>
    <row r="3437" spans="1:26" ht="15.75" customHeight="1" x14ac:dyDescent="0.2">
      <c r="A3437" s="2" t="s">
        <v>36</v>
      </c>
      <c r="B3437" s="2" t="s">
        <v>35</v>
      </c>
      <c r="C3437" s="2" t="s">
        <v>26</v>
      </c>
      <c r="D3437" s="2" t="s">
        <v>26</v>
      </c>
      <c r="E3437" s="2">
        <v>172</v>
      </c>
      <c r="F3437" s="2">
        <v>237</v>
      </c>
      <c r="G3437" s="2">
        <v>453</v>
      </c>
      <c r="H3437" s="2">
        <v>1045</v>
      </c>
      <c r="I3437" s="2">
        <v>2607</v>
      </c>
      <c r="J3437" s="2">
        <v>2.36</v>
      </c>
      <c r="K3437" s="2">
        <v>4.5</v>
      </c>
      <c r="L3437" s="2">
        <v>8.8000000000000007</v>
      </c>
      <c r="M3437" s="2">
        <v>14.77</v>
      </c>
      <c r="N3437" s="2">
        <v>0.12873401000000001</v>
      </c>
      <c r="O3437" s="2">
        <v>0.17947993600000001</v>
      </c>
      <c r="P3437" s="2">
        <v>2.6352987699999999</v>
      </c>
      <c r="Q3437" s="2">
        <v>2.6506814400000001</v>
      </c>
      <c r="R3437" s="2">
        <v>0.39988394599999999</v>
      </c>
      <c r="S3437" s="2">
        <v>0.289883946</v>
      </c>
      <c r="T3437" s="2">
        <v>2.6047826089999999</v>
      </c>
      <c r="U3437" s="2">
        <v>2.6347826090000002</v>
      </c>
      <c r="V3437" s="2">
        <v>0.80786230800000003</v>
      </c>
      <c r="W3437" s="2">
        <v>0.88617701199999999</v>
      </c>
      <c r="X3437">
        <f t="shared" si="159"/>
        <v>0</v>
      </c>
      <c r="Y3437">
        <f t="shared" si="160"/>
        <v>0</v>
      </c>
      <c r="Z3437">
        <f t="shared" si="161"/>
        <v>0</v>
      </c>
    </row>
    <row r="3438" spans="1:26" ht="15.75" customHeight="1" x14ac:dyDescent="0.2">
      <c r="A3438" s="2" t="s">
        <v>36</v>
      </c>
      <c r="B3438" s="2" t="s">
        <v>35</v>
      </c>
      <c r="C3438" s="2" t="s">
        <v>26</v>
      </c>
      <c r="D3438" s="2" t="s">
        <v>26</v>
      </c>
      <c r="E3438" s="2">
        <v>157</v>
      </c>
      <c r="F3438" s="2">
        <v>244</v>
      </c>
      <c r="G3438" s="2">
        <v>449</v>
      </c>
      <c r="H3438" s="2">
        <v>1014</v>
      </c>
      <c r="I3438" s="2">
        <v>2691</v>
      </c>
      <c r="J3438" s="2">
        <v>2.44</v>
      </c>
      <c r="K3438" s="2">
        <v>4.46</v>
      </c>
      <c r="L3438" s="2">
        <v>8.61</v>
      </c>
      <c r="M3438" s="2">
        <v>14.98</v>
      </c>
      <c r="N3438" s="2">
        <v>8.989664E-2</v>
      </c>
      <c r="O3438" s="2">
        <v>3.990602E-2</v>
      </c>
      <c r="P3438" s="2">
        <v>2.824836957</v>
      </c>
      <c r="Q3438" s="2">
        <v>2.8397589430000001</v>
      </c>
      <c r="R3438" s="2">
        <v>0.43605314099999998</v>
      </c>
      <c r="S3438" s="2">
        <v>0.32605314099999999</v>
      </c>
      <c r="T3438" s="2">
        <v>2.7909785899999999</v>
      </c>
      <c r="U3438" s="2">
        <v>2.8209785900000002</v>
      </c>
      <c r="V3438" s="2">
        <v>0.77169311299999999</v>
      </c>
      <c r="W3438" s="2">
        <v>0.85000781599999997</v>
      </c>
      <c r="X3438">
        <f t="shared" si="159"/>
        <v>0</v>
      </c>
      <c r="Y3438">
        <f t="shared" si="160"/>
        <v>0</v>
      </c>
      <c r="Z3438">
        <f t="shared" si="161"/>
        <v>0</v>
      </c>
    </row>
    <row r="3439" spans="1:26" ht="15.75" customHeight="1" x14ac:dyDescent="0.2">
      <c r="A3439" s="2" t="s">
        <v>36</v>
      </c>
      <c r="B3439" s="2" t="s">
        <v>35</v>
      </c>
      <c r="C3439" s="2" t="s">
        <v>26</v>
      </c>
      <c r="D3439" s="2" t="s">
        <v>26</v>
      </c>
      <c r="E3439" s="2">
        <v>171</v>
      </c>
      <c r="F3439" s="2">
        <v>244</v>
      </c>
      <c r="G3439" s="2">
        <v>456</v>
      </c>
      <c r="H3439" s="2">
        <v>906</v>
      </c>
      <c r="I3439" s="2">
        <v>2822</v>
      </c>
      <c r="J3439" s="2">
        <v>2.44</v>
      </c>
      <c r="K3439" s="2">
        <v>4.53</v>
      </c>
      <c r="L3439" s="2">
        <v>7.94</v>
      </c>
      <c r="M3439" s="2">
        <v>15.29</v>
      </c>
      <c r="N3439" s="2">
        <v>0.72696028199999996</v>
      </c>
      <c r="O3439" s="2">
        <v>0.69379228900000001</v>
      </c>
      <c r="P3439" s="2">
        <v>3.4770019529999998</v>
      </c>
      <c r="Q3439" s="2">
        <v>3.496846583</v>
      </c>
      <c r="R3439" s="2">
        <v>0.37283565600000002</v>
      </c>
      <c r="S3439" s="2">
        <v>0.26283565599999997</v>
      </c>
      <c r="T3439" s="2">
        <v>3.4569547520000001</v>
      </c>
      <c r="U3439" s="2">
        <v>3.4869547519999999</v>
      </c>
      <c r="V3439" s="2">
        <v>0.834910598</v>
      </c>
      <c r="W3439" s="2">
        <v>0.91322530099999999</v>
      </c>
      <c r="X3439">
        <f t="shared" si="159"/>
        <v>0</v>
      </c>
      <c r="Y3439">
        <f t="shared" si="160"/>
        <v>0</v>
      </c>
      <c r="Z3439">
        <f t="shared" si="161"/>
        <v>0</v>
      </c>
    </row>
    <row r="3440" spans="1:26" ht="15.75" customHeight="1" x14ac:dyDescent="0.2">
      <c r="A3440" s="2" t="s">
        <v>36</v>
      </c>
      <c r="B3440" s="2" t="s">
        <v>35</v>
      </c>
      <c r="C3440" s="2" t="s">
        <v>25</v>
      </c>
      <c r="D3440" s="2" t="s">
        <v>25</v>
      </c>
      <c r="E3440" s="2">
        <v>208</v>
      </c>
      <c r="F3440" s="2">
        <v>208</v>
      </c>
      <c r="G3440" s="2">
        <v>790</v>
      </c>
      <c r="H3440" s="2">
        <v>1626</v>
      </c>
      <c r="I3440" s="2">
        <v>2776</v>
      </c>
      <c r="J3440" s="2">
        <v>2.04</v>
      </c>
      <c r="K3440" s="2">
        <v>7.17</v>
      </c>
      <c r="L3440" s="2">
        <v>11.63</v>
      </c>
      <c r="M3440" s="2">
        <v>15.18</v>
      </c>
      <c r="N3440" s="2">
        <v>0.172299278</v>
      </c>
      <c r="O3440" s="2">
        <v>7.0949158999999998E-2</v>
      </c>
      <c r="P3440" s="2">
        <v>2.2829062480000002</v>
      </c>
      <c r="Q3440" s="2">
        <v>2.3897588089999999</v>
      </c>
      <c r="R3440" s="2">
        <v>2.271781818</v>
      </c>
      <c r="S3440" s="2">
        <v>2.3817818179999999</v>
      </c>
      <c r="T3440" s="2">
        <v>0.22509621599999999</v>
      </c>
      <c r="U3440" s="2">
        <v>0.19509621599999999</v>
      </c>
      <c r="V3440" s="2">
        <v>3.4795280719999999</v>
      </c>
      <c r="W3440" s="2">
        <v>3.5578427760000002</v>
      </c>
      <c r="X3440">
        <f t="shared" si="159"/>
        <v>0</v>
      </c>
      <c r="Y3440">
        <f t="shared" si="160"/>
        <v>0</v>
      </c>
      <c r="Z3440">
        <f t="shared" si="161"/>
        <v>0</v>
      </c>
    </row>
    <row r="3441" spans="1:26" ht="15.75" customHeight="1" x14ac:dyDescent="0.2">
      <c r="A3441" s="2" t="s">
        <v>36</v>
      </c>
      <c r="B3441" s="2" t="s">
        <v>35</v>
      </c>
      <c r="C3441" s="2" t="s">
        <v>25</v>
      </c>
      <c r="D3441" s="2" t="s">
        <v>25</v>
      </c>
      <c r="E3441" s="2">
        <v>216</v>
      </c>
      <c r="F3441" s="2">
        <v>231</v>
      </c>
      <c r="G3441" s="2">
        <v>799</v>
      </c>
      <c r="H3441" s="2">
        <v>1496</v>
      </c>
      <c r="I3441" s="2">
        <v>2895</v>
      </c>
      <c r="J3441" s="2">
        <v>2.2999999999999998</v>
      </c>
      <c r="K3441" s="2">
        <v>7.24</v>
      </c>
      <c r="L3441" s="2">
        <v>11.08</v>
      </c>
      <c r="M3441" s="2">
        <v>15.46</v>
      </c>
      <c r="N3441" s="2">
        <v>0.43937073300000001</v>
      </c>
      <c r="O3441" s="2">
        <v>0.48611119800000002</v>
      </c>
      <c r="P3441" s="2">
        <v>2.3588753050000002</v>
      </c>
      <c r="Q3441" s="2">
        <v>2.4720009379999999</v>
      </c>
      <c r="R3441" s="2">
        <v>2.3364145930000002</v>
      </c>
      <c r="S3441" s="2">
        <v>2.4464145930000001</v>
      </c>
      <c r="T3441" s="2">
        <v>0.32474536999999998</v>
      </c>
      <c r="U3441" s="2">
        <v>0.35474537</v>
      </c>
      <c r="V3441" s="2">
        <v>3.5441608470000001</v>
      </c>
      <c r="W3441" s="2">
        <v>3.6224755499999999</v>
      </c>
      <c r="X3441">
        <f t="shared" si="159"/>
        <v>0</v>
      </c>
      <c r="Y3441">
        <f t="shared" si="160"/>
        <v>0</v>
      </c>
      <c r="Z3441">
        <f t="shared" si="161"/>
        <v>0</v>
      </c>
    </row>
    <row r="3442" spans="1:26" ht="15.75" customHeight="1" x14ac:dyDescent="0.2">
      <c r="A3442" s="2" t="s">
        <v>36</v>
      </c>
      <c r="B3442" s="2" t="s">
        <v>35</v>
      </c>
      <c r="C3442" s="2" t="s">
        <v>25</v>
      </c>
      <c r="D3442" s="2" t="s">
        <v>25</v>
      </c>
      <c r="E3442" s="2">
        <v>222</v>
      </c>
      <c r="F3442" s="2">
        <v>214</v>
      </c>
      <c r="G3442" s="2">
        <v>835</v>
      </c>
      <c r="H3442" s="2">
        <v>1595</v>
      </c>
      <c r="I3442" s="2">
        <v>2774</v>
      </c>
      <c r="J3442" s="2">
        <v>2.11</v>
      </c>
      <c r="K3442" s="2">
        <v>7.48</v>
      </c>
      <c r="L3442" s="2">
        <v>11.5</v>
      </c>
      <c r="M3442" s="2">
        <v>15.18</v>
      </c>
      <c r="N3442" s="2">
        <v>0.17764026199999999</v>
      </c>
      <c r="O3442" s="2">
        <v>0.28418990700000002</v>
      </c>
      <c r="P3442" s="2">
        <v>2.5790209019999999</v>
      </c>
      <c r="Q3442" s="2">
        <v>2.6880275349999998</v>
      </c>
      <c r="R3442" s="2">
        <v>2.5771851149999998</v>
      </c>
      <c r="S3442" s="2">
        <v>2.6871851150000001</v>
      </c>
      <c r="T3442" s="2">
        <v>9.7291822999999999E-2</v>
      </c>
      <c r="U3442" s="2">
        <v>6.7291823000000001E-2</v>
      </c>
      <c r="V3442" s="2">
        <v>3.7849313690000002</v>
      </c>
      <c r="W3442" s="2">
        <v>3.8632460719999999</v>
      </c>
      <c r="X3442">
        <f t="shared" si="159"/>
        <v>0</v>
      </c>
      <c r="Y3442">
        <f t="shared" si="160"/>
        <v>0</v>
      </c>
      <c r="Z3442">
        <f t="shared" si="161"/>
        <v>0</v>
      </c>
    </row>
    <row r="3443" spans="1:26" ht="15.75" customHeight="1" x14ac:dyDescent="0.2">
      <c r="A3443" s="2" t="s">
        <v>36</v>
      </c>
      <c r="B3443" s="2" t="s">
        <v>35</v>
      </c>
      <c r="C3443" s="2" t="s">
        <v>28</v>
      </c>
      <c r="D3443" s="2" t="s">
        <v>29</v>
      </c>
      <c r="E3443" s="2">
        <v>125</v>
      </c>
      <c r="F3443" s="2">
        <v>215</v>
      </c>
      <c r="G3443" s="2">
        <v>432</v>
      </c>
      <c r="H3443" s="2">
        <v>1090</v>
      </c>
      <c r="I3443" s="2">
        <v>2805</v>
      </c>
      <c r="J3443" s="2">
        <v>2.12</v>
      </c>
      <c r="K3443" s="2">
        <v>4.3099999999999996</v>
      </c>
      <c r="L3443" s="2">
        <v>9.0500000000000007</v>
      </c>
      <c r="M3443" s="2">
        <v>15.25</v>
      </c>
      <c r="N3443" s="2">
        <v>0.43913085800000001</v>
      </c>
      <c r="O3443" s="2">
        <v>0.43653541099999998</v>
      </c>
      <c r="P3443" s="2">
        <v>2.4237917370000002</v>
      </c>
      <c r="Q3443" s="2">
        <v>2.4287354360000002</v>
      </c>
      <c r="R3443" s="2">
        <v>0.59112195099999998</v>
      </c>
      <c r="S3443" s="2">
        <v>0.48112195099999999</v>
      </c>
      <c r="T3443" s="2">
        <v>2.350604438</v>
      </c>
      <c r="U3443" s="2">
        <v>2.3806044380000002</v>
      </c>
      <c r="V3443" s="2">
        <v>0.61662430300000004</v>
      </c>
      <c r="W3443" s="2">
        <v>0.69493900600000003</v>
      </c>
      <c r="X3443">
        <f t="shared" si="159"/>
        <v>0</v>
      </c>
      <c r="Y3443">
        <f t="shared" si="160"/>
        <v>0</v>
      </c>
      <c r="Z3443">
        <f t="shared" si="161"/>
        <v>1</v>
      </c>
    </row>
    <row r="3444" spans="1:26" ht="15.75" customHeight="1" x14ac:dyDescent="0.2">
      <c r="A3444" s="2" t="s">
        <v>36</v>
      </c>
      <c r="B3444" s="2" t="s">
        <v>35</v>
      </c>
      <c r="C3444" s="2" t="s">
        <v>30</v>
      </c>
      <c r="D3444" s="2" t="s">
        <v>31</v>
      </c>
      <c r="E3444" s="2">
        <v>195</v>
      </c>
      <c r="F3444" s="2">
        <v>217</v>
      </c>
      <c r="G3444" s="2">
        <v>746</v>
      </c>
      <c r="H3444" s="2">
        <v>1076</v>
      </c>
      <c r="I3444" s="2">
        <v>2472</v>
      </c>
      <c r="J3444" s="2">
        <v>2.15</v>
      </c>
      <c r="K3444" s="2">
        <v>6.86</v>
      </c>
      <c r="L3444" s="2">
        <v>8.9700000000000006</v>
      </c>
      <c r="M3444" s="2">
        <v>14.42</v>
      </c>
      <c r="N3444" s="2">
        <v>5.2933347509999997</v>
      </c>
      <c r="O3444" s="2">
        <v>5.4403923709999997</v>
      </c>
      <c r="P3444" s="2">
        <v>3.1196885380000001</v>
      </c>
      <c r="Q3444" s="2">
        <v>3.2127959430000002</v>
      </c>
      <c r="R3444" s="2">
        <v>1.958686707</v>
      </c>
      <c r="S3444" s="2">
        <v>2.0686867069999999</v>
      </c>
      <c r="T3444" s="2">
        <v>2.4281686429999998</v>
      </c>
      <c r="U3444" s="2">
        <v>2.458168643</v>
      </c>
      <c r="V3444" s="2">
        <v>3.1664329609999999</v>
      </c>
      <c r="W3444" s="2">
        <v>3.2447476640000001</v>
      </c>
      <c r="X3444">
        <f t="shared" si="159"/>
        <v>0</v>
      </c>
      <c r="Y3444">
        <f t="shared" si="160"/>
        <v>0</v>
      </c>
      <c r="Z3444">
        <f t="shared" si="161"/>
        <v>1</v>
      </c>
    </row>
    <row r="3445" spans="1:26" ht="15.75" customHeight="1" x14ac:dyDescent="0.2">
      <c r="A3445" s="2" t="s">
        <v>36</v>
      </c>
      <c r="B3445" s="2" t="s">
        <v>35</v>
      </c>
      <c r="C3445" s="2" t="s">
        <v>32</v>
      </c>
      <c r="D3445" s="2" t="s">
        <v>33</v>
      </c>
      <c r="E3445" s="2">
        <v>182</v>
      </c>
      <c r="F3445" s="2">
        <v>217</v>
      </c>
      <c r="G3445" s="2">
        <v>704</v>
      </c>
      <c r="H3445" s="2">
        <v>937</v>
      </c>
      <c r="I3445" s="2">
        <v>2809</v>
      </c>
      <c r="J3445" s="2">
        <v>2.14</v>
      </c>
      <c r="K3445" s="2">
        <v>6.55</v>
      </c>
      <c r="L3445" s="2">
        <v>8.14</v>
      </c>
      <c r="M3445" s="2">
        <v>15.26</v>
      </c>
      <c r="N3445" s="2">
        <v>3.4485371439999999</v>
      </c>
      <c r="O3445" s="2">
        <v>3.4773630340000001</v>
      </c>
      <c r="P3445" s="2">
        <v>3.6518024379999998</v>
      </c>
      <c r="Q3445" s="2">
        <v>3.72928865</v>
      </c>
      <c r="R3445" s="2">
        <v>1.652456514</v>
      </c>
      <c r="S3445" s="2">
        <v>1.7624565139999999</v>
      </c>
      <c r="T3445" s="2">
        <v>3.2565393469999999</v>
      </c>
      <c r="U3445" s="2">
        <v>3.2865393470000002</v>
      </c>
      <c r="V3445" s="2">
        <v>2.8602027680000002</v>
      </c>
      <c r="W3445" s="2">
        <v>2.9385174709999999</v>
      </c>
      <c r="X3445">
        <f t="shared" si="159"/>
        <v>0</v>
      </c>
      <c r="Y3445">
        <f t="shared" si="160"/>
        <v>0</v>
      </c>
      <c r="Z3445">
        <f t="shared" si="161"/>
        <v>1</v>
      </c>
    </row>
    <row r="3446" spans="1:26" ht="15.75" customHeight="1" x14ac:dyDescent="0.2">
      <c r="A3446" s="2" t="s">
        <v>36</v>
      </c>
      <c r="B3446" s="2" t="s">
        <v>35</v>
      </c>
      <c r="C3446" s="2" t="s">
        <v>26</v>
      </c>
      <c r="D3446" s="2" t="s">
        <v>26</v>
      </c>
      <c r="E3446" s="2">
        <v>179</v>
      </c>
      <c r="F3446" s="2">
        <v>228</v>
      </c>
      <c r="G3446" s="2">
        <v>455</v>
      </c>
      <c r="H3446" s="2">
        <v>1110</v>
      </c>
      <c r="I3446" s="2">
        <v>2670</v>
      </c>
      <c r="J3446" s="2">
        <v>2.2599999999999998</v>
      </c>
      <c r="K3446" s="2">
        <v>4.5199999999999996</v>
      </c>
      <c r="L3446" s="2">
        <v>9.16</v>
      </c>
      <c r="M3446" s="2">
        <v>14.93</v>
      </c>
      <c r="N3446" s="2">
        <v>0.49355243999999998</v>
      </c>
      <c r="O3446" s="2">
        <v>0.54176369800000002</v>
      </c>
      <c r="P3446" s="2">
        <v>2.2678417259999999</v>
      </c>
      <c r="Q3446" s="2">
        <v>2.2820190020000002</v>
      </c>
      <c r="R3446" s="2">
        <v>0.37583770399999999</v>
      </c>
      <c r="S3446" s="2">
        <v>0.26583770400000001</v>
      </c>
      <c r="T3446" s="2">
        <v>2.236482085</v>
      </c>
      <c r="U3446" s="2">
        <v>2.2664820849999998</v>
      </c>
      <c r="V3446" s="2">
        <v>0.83190855100000005</v>
      </c>
      <c r="W3446" s="2">
        <v>0.91022325400000004</v>
      </c>
      <c r="X3446">
        <f t="shared" si="159"/>
        <v>0</v>
      </c>
      <c r="Y3446">
        <f t="shared" si="160"/>
        <v>0</v>
      </c>
      <c r="Z3446">
        <f t="shared" si="161"/>
        <v>0</v>
      </c>
    </row>
    <row r="3447" spans="1:26" ht="15.75" customHeight="1" x14ac:dyDescent="0.2">
      <c r="A3447" s="2" t="s">
        <v>36</v>
      </c>
      <c r="B3447" s="2" t="s">
        <v>35</v>
      </c>
      <c r="C3447" s="2" t="s">
        <v>32</v>
      </c>
      <c r="D3447" s="2" t="s">
        <v>33</v>
      </c>
      <c r="E3447" s="2">
        <v>145</v>
      </c>
      <c r="F3447" s="2">
        <v>230</v>
      </c>
      <c r="G3447" s="2">
        <v>727</v>
      </c>
      <c r="H3447" s="2">
        <v>992</v>
      </c>
      <c r="I3447" s="2">
        <v>2420</v>
      </c>
      <c r="J3447" s="2">
        <v>2.29</v>
      </c>
      <c r="K3447" s="2">
        <v>6.72</v>
      </c>
      <c r="L3447" s="2">
        <v>8.48</v>
      </c>
      <c r="M3447" s="2">
        <v>14.28</v>
      </c>
      <c r="N3447" s="2">
        <v>3.084971871</v>
      </c>
      <c r="O3447" s="2">
        <v>3.117270032</v>
      </c>
      <c r="P3447" s="2">
        <v>3.4433240550000002</v>
      </c>
      <c r="Q3447" s="2">
        <v>3.52788177</v>
      </c>
      <c r="R3447" s="2">
        <v>1.823766282</v>
      </c>
      <c r="S3447" s="2">
        <v>1.9337662819999999</v>
      </c>
      <c r="T3447" s="2">
        <v>2.9206775070000002</v>
      </c>
      <c r="U3447" s="2">
        <v>2.950677507</v>
      </c>
      <c r="V3447" s="2">
        <v>3.0315125360000001</v>
      </c>
      <c r="W3447" s="2">
        <v>3.10982724</v>
      </c>
      <c r="X3447">
        <f t="shared" si="159"/>
        <v>0</v>
      </c>
      <c r="Y3447">
        <f t="shared" si="160"/>
        <v>0</v>
      </c>
      <c r="Z3447">
        <f t="shared" si="161"/>
        <v>1</v>
      </c>
    </row>
    <row r="3448" spans="1:26" ht="15.75" customHeight="1" x14ac:dyDescent="0.2">
      <c r="A3448" s="2" t="s">
        <v>36</v>
      </c>
      <c r="B3448" s="2" t="s">
        <v>35</v>
      </c>
      <c r="C3448" s="2" t="s">
        <v>28</v>
      </c>
      <c r="D3448" s="2" t="s">
        <v>29</v>
      </c>
      <c r="E3448" s="2">
        <v>165</v>
      </c>
      <c r="F3448" s="2">
        <v>248</v>
      </c>
      <c r="G3448" s="2">
        <v>548</v>
      </c>
      <c r="H3448" s="2">
        <v>1141</v>
      </c>
      <c r="I3448" s="2">
        <v>3073</v>
      </c>
      <c r="J3448" s="2">
        <v>2.48</v>
      </c>
      <c r="K3448" s="2">
        <v>5.33</v>
      </c>
      <c r="L3448" s="2">
        <v>9.33</v>
      </c>
      <c r="M3448" s="2">
        <v>15.84</v>
      </c>
      <c r="N3448" s="2">
        <v>1.036391198</v>
      </c>
      <c r="O3448" s="2">
        <v>1.139263439</v>
      </c>
      <c r="P3448" s="2">
        <v>2.1086907250000002</v>
      </c>
      <c r="Q3448" s="2">
        <v>2.162648286</v>
      </c>
      <c r="R3448" s="2">
        <v>0.42522132099999999</v>
      </c>
      <c r="S3448" s="2">
        <v>0.53522132099999997</v>
      </c>
      <c r="T3448" s="2">
        <v>2.0653724599999999</v>
      </c>
      <c r="U3448" s="2">
        <v>2.0953724600000001</v>
      </c>
      <c r="V3448" s="2">
        <v>1.632967576</v>
      </c>
      <c r="W3448" s="2">
        <v>1.711282279</v>
      </c>
      <c r="X3448">
        <f t="shared" si="159"/>
        <v>0</v>
      </c>
      <c r="Y3448">
        <f t="shared" si="160"/>
        <v>0</v>
      </c>
      <c r="Z3448">
        <f t="shared" si="161"/>
        <v>1</v>
      </c>
    </row>
    <row r="3449" spans="1:26" ht="15.75" customHeight="1" x14ac:dyDescent="0.2">
      <c r="A3449" s="2" t="s">
        <v>36</v>
      </c>
      <c r="B3449" s="2" t="s">
        <v>35</v>
      </c>
      <c r="C3449" s="2" t="s">
        <v>32</v>
      </c>
      <c r="D3449" s="2" t="s">
        <v>33</v>
      </c>
      <c r="E3449" s="2">
        <v>193</v>
      </c>
      <c r="F3449" s="2">
        <v>225</v>
      </c>
      <c r="G3449" s="2">
        <v>660</v>
      </c>
      <c r="H3449" s="2">
        <v>1052</v>
      </c>
      <c r="I3449" s="2">
        <v>2668</v>
      </c>
      <c r="J3449" s="2">
        <v>2.23</v>
      </c>
      <c r="K3449" s="2">
        <v>6.23</v>
      </c>
      <c r="L3449" s="2">
        <v>8.83</v>
      </c>
      <c r="M3449" s="2">
        <v>14.93</v>
      </c>
      <c r="N3449" s="2">
        <v>2.8834753059999998</v>
      </c>
      <c r="O3449" s="2">
        <v>2.8947851689999999</v>
      </c>
      <c r="P3449" s="2">
        <v>2.888533555</v>
      </c>
      <c r="Q3449" s="2">
        <v>2.966876885</v>
      </c>
      <c r="R3449" s="2">
        <v>1.3262154939999999</v>
      </c>
      <c r="S3449" s="2">
        <v>1.436215494</v>
      </c>
      <c r="T3449" s="2">
        <v>2.5660823370000001</v>
      </c>
      <c r="U3449" s="2">
        <v>2.5960823369999999</v>
      </c>
      <c r="V3449" s="2">
        <v>2.5339617479999998</v>
      </c>
      <c r="W3449" s="2">
        <v>2.6122764520000001</v>
      </c>
      <c r="X3449">
        <f t="shared" si="159"/>
        <v>0</v>
      </c>
      <c r="Y3449">
        <f t="shared" si="160"/>
        <v>0</v>
      </c>
      <c r="Z3449">
        <f t="shared" si="161"/>
        <v>1</v>
      </c>
    </row>
    <row r="3450" spans="1:26" ht="15.75" customHeight="1" x14ac:dyDescent="0.2">
      <c r="A3450" s="2" t="s">
        <v>36</v>
      </c>
      <c r="B3450" s="2" t="s">
        <v>35</v>
      </c>
      <c r="C3450" s="2" t="s">
        <v>25</v>
      </c>
      <c r="D3450" s="2" t="s">
        <v>25</v>
      </c>
      <c r="E3450" s="2">
        <v>236</v>
      </c>
      <c r="F3450" s="2">
        <v>224</v>
      </c>
      <c r="G3450" s="2">
        <v>760</v>
      </c>
      <c r="H3450" s="2">
        <v>1839</v>
      </c>
      <c r="I3450" s="2">
        <v>2771</v>
      </c>
      <c r="J3450" s="2">
        <v>2.2200000000000002</v>
      </c>
      <c r="K3450" s="2">
        <v>6.96</v>
      </c>
      <c r="L3450" s="2">
        <v>12.45</v>
      </c>
      <c r="M3450" s="2">
        <v>15.17</v>
      </c>
      <c r="N3450" s="2">
        <v>0.99741065900000003</v>
      </c>
      <c r="O3450" s="2">
        <v>0.91963551600000004</v>
      </c>
      <c r="P3450" s="2">
        <v>2.3121935320000002</v>
      </c>
      <c r="Q3450" s="2">
        <v>2.39787046</v>
      </c>
      <c r="R3450" s="2">
        <v>2.0610294119999999</v>
      </c>
      <c r="S3450" s="2">
        <v>2.1710294120000002</v>
      </c>
      <c r="T3450" s="2">
        <v>1.0480442219999999</v>
      </c>
      <c r="U3450" s="2">
        <v>1.0180442220000001</v>
      </c>
      <c r="V3450" s="2">
        <v>3.2687756659999998</v>
      </c>
      <c r="W3450" s="2">
        <v>3.347090369</v>
      </c>
      <c r="X3450">
        <f t="shared" si="159"/>
        <v>0</v>
      </c>
      <c r="Y3450">
        <f t="shared" si="160"/>
        <v>0</v>
      </c>
      <c r="Z3450">
        <f t="shared" si="161"/>
        <v>0</v>
      </c>
    </row>
    <row r="3451" spans="1:26" ht="15.75" customHeight="1" x14ac:dyDescent="0.2">
      <c r="A3451" s="2" t="s">
        <v>36</v>
      </c>
      <c r="B3451" s="2" t="s">
        <v>35</v>
      </c>
      <c r="C3451" s="2" t="s">
        <v>27</v>
      </c>
      <c r="D3451" s="2" t="s">
        <v>27</v>
      </c>
      <c r="E3451" s="2">
        <v>167</v>
      </c>
      <c r="F3451" s="2">
        <v>234</v>
      </c>
      <c r="G3451" s="2">
        <v>461</v>
      </c>
      <c r="H3451" s="2">
        <v>2232</v>
      </c>
      <c r="I3451" s="2">
        <v>2765</v>
      </c>
      <c r="J3451" s="2">
        <v>2.33</v>
      </c>
      <c r="K3451" s="2">
        <v>4.58</v>
      </c>
      <c r="L3451" s="2">
        <v>13.74</v>
      </c>
      <c r="M3451" s="2">
        <v>15.16</v>
      </c>
      <c r="N3451" s="2">
        <v>1.8466475E-2</v>
      </c>
      <c r="O3451" s="2">
        <v>0.188891592</v>
      </c>
      <c r="P3451" s="2">
        <v>2.3657987970000001</v>
      </c>
      <c r="Q3451" s="2">
        <v>2.3234785009999999</v>
      </c>
      <c r="R3451" s="2">
        <v>0.32192731299999999</v>
      </c>
      <c r="S3451" s="2">
        <v>0.21192731300000001</v>
      </c>
      <c r="T3451" s="2">
        <v>2.3437932410000002</v>
      </c>
      <c r="U3451" s="2">
        <v>2.3137932409999999</v>
      </c>
      <c r="V3451" s="2">
        <v>0.885818942</v>
      </c>
      <c r="W3451" s="2">
        <v>0.96413364499999998</v>
      </c>
      <c r="X3451">
        <f t="shared" si="159"/>
        <v>0</v>
      </c>
      <c r="Y3451">
        <f t="shared" si="160"/>
        <v>0</v>
      </c>
      <c r="Z3451">
        <f t="shared" si="161"/>
        <v>0</v>
      </c>
    </row>
    <row r="3452" spans="1:26" ht="15.75" customHeight="1" x14ac:dyDescent="0.2">
      <c r="A3452" s="2" t="s">
        <v>36</v>
      </c>
      <c r="B3452" s="2" t="s">
        <v>35</v>
      </c>
      <c r="C3452" s="2" t="s">
        <v>30</v>
      </c>
      <c r="D3452" s="2" t="s">
        <v>31</v>
      </c>
      <c r="E3452" s="2">
        <v>210</v>
      </c>
      <c r="F3452" s="2">
        <v>220</v>
      </c>
      <c r="G3452" s="2">
        <v>617</v>
      </c>
      <c r="H3452" s="2">
        <v>1144</v>
      </c>
      <c r="I3452" s="2">
        <v>2230</v>
      </c>
      <c r="J3452" s="2">
        <v>2.17</v>
      </c>
      <c r="K3452" s="2">
        <v>5.89</v>
      </c>
      <c r="L3452" s="2">
        <v>9.35</v>
      </c>
      <c r="M3452" s="2">
        <v>13.74</v>
      </c>
      <c r="N3452" s="2">
        <v>4.5875360670000003</v>
      </c>
      <c r="O3452" s="2">
        <v>4.7185945289999998</v>
      </c>
      <c r="P3452" s="2">
        <v>2.27683122</v>
      </c>
      <c r="Q3452" s="2">
        <v>2.3532084019999999</v>
      </c>
      <c r="R3452" s="2">
        <v>0.989002716</v>
      </c>
      <c r="S3452" s="2">
        <v>1.099002716</v>
      </c>
      <c r="T3452" s="2">
        <v>2.0508130169999998</v>
      </c>
      <c r="U3452" s="2">
        <v>2.0808130170000001</v>
      </c>
      <c r="V3452" s="2">
        <v>2.1967489709999999</v>
      </c>
      <c r="W3452" s="2">
        <v>2.2750636740000001</v>
      </c>
      <c r="X3452">
        <f t="shared" si="159"/>
        <v>0</v>
      </c>
      <c r="Y3452">
        <f t="shared" si="160"/>
        <v>0</v>
      </c>
      <c r="Z3452">
        <f t="shared" si="161"/>
        <v>1</v>
      </c>
    </row>
    <row r="3453" spans="1:26" ht="15.75" customHeight="1" x14ac:dyDescent="0.2">
      <c r="A3453" s="2" t="s">
        <v>36</v>
      </c>
      <c r="B3453" s="2" t="s">
        <v>35</v>
      </c>
      <c r="C3453" s="2" t="s">
        <v>25</v>
      </c>
      <c r="D3453" s="2" t="s">
        <v>25</v>
      </c>
      <c r="E3453" s="2">
        <v>224</v>
      </c>
      <c r="F3453" s="2">
        <v>228</v>
      </c>
      <c r="G3453" s="2">
        <v>806</v>
      </c>
      <c r="H3453" s="2">
        <v>1470</v>
      </c>
      <c r="I3453" s="2">
        <v>2821</v>
      </c>
      <c r="J3453" s="2">
        <v>2.2599999999999998</v>
      </c>
      <c r="K3453" s="2">
        <v>7.28</v>
      </c>
      <c r="L3453" s="2">
        <v>10.96</v>
      </c>
      <c r="M3453" s="2">
        <v>15.29</v>
      </c>
      <c r="N3453" s="2">
        <v>0.55021547500000001</v>
      </c>
      <c r="O3453" s="2">
        <v>0.60593536100000001</v>
      </c>
      <c r="P3453" s="2">
        <v>2.4248569639999999</v>
      </c>
      <c r="Q3453" s="2">
        <v>2.5384924560000002</v>
      </c>
      <c r="R3453" s="2">
        <v>2.3846029639999999</v>
      </c>
      <c r="S3453" s="2">
        <v>2.4946029639999998</v>
      </c>
      <c r="T3453" s="2">
        <v>0.44</v>
      </c>
      <c r="U3453" s="2">
        <v>0.47</v>
      </c>
      <c r="V3453" s="2">
        <v>3.5923492179999998</v>
      </c>
      <c r="W3453" s="2">
        <v>3.6706639220000001</v>
      </c>
      <c r="X3453">
        <f t="shared" si="159"/>
        <v>0</v>
      </c>
      <c r="Y3453">
        <f t="shared" si="160"/>
        <v>0</v>
      </c>
      <c r="Z3453">
        <f t="shared" si="161"/>
        <v>0</v>
      </c>
    </row>
    <row r="3454" spans="1:26" ht="15.75" customHeight="1" x14ac:dyDescent="0.2">
      <c r="A3454" s="2" t="s">
        <v>36</v>
      </c>
      <c r="B3454" s="2" t="s">
        <v>35</v>
      </c>
      <c r="C3454" s="2" t="s">
        <v>30</v>
      </c>
      <c r="D3454" s="2" t="s">
        <v>31</v>
      </c>
      <c r="E3454" s="2">
        <v>208</v>
      </c>
      <c r="F3454" s="2">
        <v>215</v>
      </c>
      <c r="G3454" s="2">
        <v>758</v>
      </c>
      <c r="H3454" s="2">
        <v>1157</v>
      </c>
      <c r="I3454" s="2">
        <v>2749</v>
      </c>
      <c r="J3454" s="2">
        <v>2.12</v>
      </c>
      <c r="K3454" s="2">
        <v>6.94</v>
      </c>
      <c r="L3454" s="2">
        <v>9.42</v>
      </c>
      <c r="M3454" s="2">
        <v>15.12</v>
      </c>
      <c r="N3454" s="2">
        <v>4.9329558970000003</v>
      </c>
      <c r="O3454" s="2">
        <v>5.0850070550000002</v>
      </c>
      <c r="P3454" s="2">
        <v>2.8449552210000002</v>
      </c>
      <c r="Q3454" s="2">
        <v>2.9453778929999999</v>
      </c>
      <c r="R3454" s="2">
        <v>2.044442536</v>
      </c>
      <c r="S3454" s="2">
        <v>2.1544425359999999</v>
      </c>
      <c r="T3454" s="2">
        <v>1.9783894769999999</v>
      </c>
      <c r="U3454" s="2">
        <v>2.0083894770000001</v>
      </c>
      <c r="V3454" s="2">
        <v>3.252188791</v>
      </c>
      <c r="W3454" s="2">
        <v>3.3305034939999998</v>
      </c>
      <c r="X3454">
        <f t="shared" si="159"/>
        <v>0</v>
      </c>
      <c r="Y3454">
        <f t="shared" si="160"/>
        <v>0</v>
      </c>
      <c r="Z3454">
        <f t="shared" si="161"/>
        <v>1</v>
      </c>
    </row>
    <row r="3455" spans="1:26" ht="15.75" customHeight="1" x14ac:dyDescent="0.2">
      <c r="A3455" s="2" t="s">
        <v>36</v>
      </c>
      <c r="B3455" s="2" t="s">
        <v>35</v>
      </c>
      <c r="C3455" s="2" t="s">
        <v>25</v>
      </c>
      <c r="D3455" s="2" t="s">
        <v>25</v>
      </c>
      <c r="E3455" s="2">
        <v>188</v>
      </c>
      <c r="F3455" s="2">
        <v>153</v>
      </c>
      <c r="G3455" s="2">
        <v>784</v>
      </c>
      <c r="H3455" s="2">
        <v>1464</v>
      </c>
      <c r="I3455" s="2">
        <v>2395</v>
      </c>
      <c r="J3455" s="2">
        <v>1.41</v>
      </c>
      <c r="K3455" s="2">
        <v>7.13</v>
      </c>
      <c r="L3455" s="2">
        <v>10.93</v>
      </c>
      <c r="M3455" s="2">
        <v>14.21</v>
      </c>
      <c r="N3455" s="2">
        <v>0.74893654499999995</v>
      </c>
      <c r="O3455" s="2">
        <v>0.63280198399999998</v>
      </c>
      <c r="P3455" s="2">
        <v>1.6635928419999999</v>
      </c>
      <c r="Q3455" s="2">
        <v>1.760428455</v>
      </c>
      <c r="R3455" s="2">
        <v>1.62</v>
      </c>
      <c r="S3455" s="2">
        <v>1.71</v>
      </c>
      <c r="T3455" s="2">
        <v>0.37833998600000002</v>
      </c>
      <c r="U3455" s="2">
        <v>0.418339986</v>
      </c>
      <c r="V3455" s="2">
        <v>3.4480948649999998</v>
      </c>
      <c r="W3455" s="2">
        <v>3.5147058250000001</v>
      </c>
      <c r="X3455">
        <f t="shared" si="159"/>
        <v>0</v>
      </c>
      <c r="Y3455">
        <f t="shared" si="160"/>
        <v>0</v>
      </c>
      <c r="Z3455">
        <f t="shared" si="161"/>
        <v>0</v>
      </c>
    </row>
    <row r="3456" spans="1:26" ht="15.75" customHeight="1" x14ac:dyDescent="0.2">
      <c r="A3456" s="2" t="s">
        <v>36</v>
      </c>
      <c r="B3456" s="2" t="s">
        <v>35</v>
      </c>
      <c r="C3456" s="2" t="s">
        <v>26</v>
      </c>
      <c r="D3456" s="2" t="s">
        <v>26</v>
      </c>
      <c r="E3456" s="2">
        <v>200</v>
      </c>
      <c r="F3456" s="2">
        <v>153</v>
      </c>
      <c r="G3456" s="2">
        <v>560</v>
      </c>
      <c r="H3456" s="2">
        <v>1047</v>
      </c>
      <c r="I3456" s="2">
        <v>3007</v>
      </c>
      <c r="J3456" s="2">
        <v>1.41</v>
      </c>
      <c r="K3456" s="2">
        <v>5.43</v>
      </c>
      <c r="L3456" s="2">
        <v>8.81</v>
      </c>
      <c r="M3456" s="2">
        <v>15.7</v>
      </c>
      <c r="N3456" s="2">
        <v>0.33603883000000001</v>
      </c>
      <c r="O3456" s="2">
        <v>0.34609000600000001</v>
      </c>
      <c r="P3456" s="2">
        <v>2.5045966229999999</v>
      </c>
      <c r="Q3456" s="2">
        <v>2.5431594639999999</v>
      </c>
      <c r="R3456" s="2">
        <v>8.4980818E-2</v>
      </c>
      <c r="S3456" s="2">
        <v>5.0191819999999996E-3</v>
      </c>
      <c r="T3456" s="2">
        <v>2.503154511</v>
      </c>
      <c r="U3456" s="2">
        <v>2.543154511</v>
      </c>
      <c r="V3456" s="2">
        <v>1.7431140469999999</v>
      </c>
      <c r="W3456" s="2">
        <v>1.809725008</v>
      </c>
      <c r="X3456">
        <f t="shared" si="159"/>
        <v>0</v>
      </c>
      <c r="Y3456">
        <f t="shared" si="160"/>
        <v>0</v>
      </c>
      <c r="Z3456">
        <f t="shared" si="161"/>
        <v>0</v>
      </c>
    </row>
    <row r="3457" spans="1:26" ht="15.75" customHeight="1" x14ac:dyDescent="0.2">
      <c r="A3457" s="2" t="s">
        <v>36</v>
      </c>
      <c r="B3457" s="2" t="s">
        <v>35</v>
      </c>
      <c r="C3457" s="2" t="s">
        <v>27</v>
      </c>
      <c r="D3457" s="2" t="s">
        <v>27</v>
      </c>
      <c r="E3457" s="2">
        <v>182</v>
      </c>
      <c r="F3457" s="2">
        <v>152</v>
      </c>
      <c r="G3457" s="2">
        <v>552</v>
      </c>
      <c r="H3457" s="2">
        <v>2421</v>
      </c>
      <c r="I3457" s="2">
        <v>3228</v>
      </c>
      <c r="J3457" s="2">
        <v>1.4</v>
      </c>
      <c r="K3457" s="2">
        <v>5.36</v>
      </c>
      <c r="L3457" s="2">
        <v>14.29</v>
      </c>
      <c r="M3457" s="2">
        <v>16.149999999999999</v>
      </c>
      <c r="N3457" s="2">
        <v>0.21951020900000001</v>
      </c>
      <c r="O3457" s="2">
        <v>0.31317368000000001</v>
      </c>
      <c r="P3457" s="2">
        <v>2.9794190519999999</v>
      </c>
      <c r="Q3457" s="2">
        <v>2.9362116930000002</v>
      </c>
      <c r="R3457" s="2">
        <v>0.151406768</v>
      </c>
      <c r="S3457" s="2">
        <v>6.1406768E-2</v>
      </c>
      <c r="T3457" s="2">
        <v>2.9755695050000002</v>
      </c>
      <c r="U3457" s="2">
        <v>2.9355695050000001</v>
      </c>
      <c r="V3457" s="2">
        <v>1.6766880959999999</v>
      </c>
      <c r="W3457" s="2">
        <v>1.743299057</v>
      </c>
      <c r="X3457">
        <f t="shared" si="159"/>
        <v>0</v>
      </c>
      <c r="Y3457">
        <f t="shared" si="160"/>
        <v>0</v>
      </c>
      <c r="Z3457">
        <f t="shared" si="161"/>
        <v>0</v>
      </c>
    </row>
    <row r="3458" spans="1:26" ht="15.75" customHeight="1" x14ac:dyDescent="0.2">
      <c r="A3458" s="2" t="s">
        <v>36</v>
      </c>
      <c r="B3458" s="2" t="s">
        <v>35</v>
      </c>
      <c r="C3458" s="2" t="s">
        <v>28</v>
      </c>
      <c r="D3458" s="2" t="s">
        <v>29</v>
      </c>
      <c r="E3458" s="2">
        <v>174</v>
      </c>
      <c r="F3458" s="2">
        <v>153</v>
      </c>
      <c r="G3458" s="2">
        <v>572</v>
      </c>
      <c r="H3458" s="2">
        <v>1334</v>
      </c>
      <c r="I3458" s="2">
        <v>2889</v>
      </c>
      <c r="J3458" s="2">
        <v>1.41</v>
      </c>
      <c r="K3458" s="2">
        <v>5.53</v>
      </c>
      <c r="L3458" s="2">
        <v>10.33</v>
      </c>
      <c r="M3458" s="2">
        <v>15.44</v>
      </c>
      <c r="N3458" s="2">
        <v>1.216545631</v>
      </c>
      <c r="O3458" s="2">
        <v>1.1773619070000001</v>
      </c>
      <c r="P3458" s="2">
        <v>0.98432411799999997</v>
      </c>
      <c r="Q3458" s="2">
        <v>1.029953908</v>
      </c>
      <c r="R3458" s="2">
        <v>1.9335264000000001E-2</v>
      </c>
      <c r="S3458" s="2">
        <v>0.109335264</v>
      </c>
      <c r="T3458" s="2">
        <v>0.98413419700000004</v>
      </c>
      <c r="U3458" s="2">
        <v>1.024134197</v>
      </c>
      <c r="V3458" s="2">
        <v>1.8474301289999999</v>
      </c>
      <c r="W3458" s="2">
        <v>1.9140410889999999</v>
      </c>
      <c r="X3458">
        <f t="shared" si="159"/>
        <v>0</v>
      </c>
      <c r="Y3458">
        <f t="shared" si="160"/>
        <v>0</v>
      </c>
      <c r="Z3458">
        <f t="shared" si="161"/>
        <v>1</v>
      </c>
    </row>
    <row r="3459" spans="1:26" ht="15.75" customHeight="1" x14ac:dyDescent="0.2">
      <c r="A3459" s="2" t="s">
        <v>36</v>
      </c>
      <c r="B3459" s="2" t="s">
        <v>35</v>
      </c>
      <c r="C3459" s="2" t="s">
        <v>30</v>
      </c>
      <c r="D3459" s="2" t="s">
        <v>31</v>
      </c>
      <c r="E3459" s="2">
        <v>198</v>
      </c>
      <c r="F3459" s="2">
        <v>273</v>
      </c>
      <c r="G3459" s="2">
        <v>777</v>
      </c>
      <c r="H3459" s="2">
        <v>1481</v>
      </c>
      <c r="I3459" s="2">
        <v>2463</v>
      </c>
      <c r="J3459" s="2">
        <v>2.75</v>
      </c>
      <c r="K3459" s="2">
        <v>7.08</v>
      </c>
      <c r="L3459" s="2">
        <v>11.01</v>
      </c>
      <c r="M3459" s="2">
        <v>14.4</v>
      </c>
      <c r="N3459" s="2">
        <v>3.4933627610000002</v>
      </c>
      <c r="O3459" s="2">
        <v>3.4703224819999998</v>
      </c>
      <c r="P3459" s="2">
        <v>1.6018992489999999</v>
      </c>
      <c r="Q3459" s="2">
        <v>1.697960023</v>
      </c>
      <c r="R3459" s="2">
        <v>1.573360935</v>
      </c>
      <c r="S3459" s="2">
        <v>1.663360935</v>
      </c>
      <c r="T3459" s="2">
        <v>0.301025865</v>
      </c>
      <c r="U3459" s="2">
        <v>0.34102586499999998</v>
      </c>
      <c r="V3459" s="2">
        <v>3.4014557999999999</v>
      </c>
      <c r="W3459" s="2">
        <v>3.4680667610000002</v>
      </c>
      <c r="X3459">
        <f t="shared" ref="X3459:X3522" si="162">IF(B3459="normal",1,0)</f>
        <v>0</v>
      </c>
      <c r="Y3459">
        <f t="shared" ref="Y3459:Y3522" si="163">IF(A3459="lecture",1,0)</f>
        <v>0</v>
      </c>
      <c r="Z3459">
        <f t="shared" ref="Z3459:Z3522" si="164">IF(ISNUMBER(FIND("~",D3459)),1,0)</f>
        <v>1</v>
      </c>
    </row>
    <row r="3460" spans="1:26" ht="15.75" customHeight="1" x14ac:dyDescent="0.2">
      <c r="A3460" s="2" t="s">
        <v>36</v>
      </c>
      <c r="B3460" s="2" t="s">
        <v>35</v>
      </c>
      <c r="C3460" s="2" t="s">
        <v>26</v>
      </c>
      <c r="D3460" s="2" t="s">
        <v>26</v>
      </c>
      <c r="E3460" s="2">
        <v>202</v>
      </c>
      <c r="F3460" s="2">
        <v>247</v>
      </c>
      <c r="G3460" s="2">
        <v>581</v>
      </c>
      <c r="H3460" s="2">
        <v>950</v>
      </c>
      <c r="I3460" s="2">
        <v>3203</v>
      </c>
      <c r="J3460" s="2">
        <v>2.4700000000000002</v>
      </c>
      <c r="K3460" s="2">
        <v>5.6</v>
      </c>
      <c r="L3460" s="2">
        <v>8.2200000000000006</v>
      </c>
      <c r="M3460" s="2">
        <v>16.100000000000001</v>
      </c>
      <c r="N3460" s="2">
        <v>0.88810507400000005</v>
      </c>
      <c r="O3460" s="2">
        <v>0.93667508899999996</v>
      </c>
      <c r="P3460" s="2">
        <v>3.0889091369999999</v>
      </c>
      <c r="Q3460" s="2">
        <v>3.1327762529999998</v>
      </c>
      <c r="R3460" s="2">
        <v>9.0110193000000005E-2</v>
      </c>
      <c r="S3460" s="2">
        <v>0.180110193</v>
      </c>
      <c r="T3460" s="2">
        <v>3.087594502</v>
      </c>
      <c r="U3460" s="2">
        <v>3.127594502</v>
      </c>
      <c r="V3460" s="2">
        <v>1.9182050580000001</v>
      </c>
      <c r="W3460" s="2">
        <v>1.9848160180000001</v>
      </c>
      <c r="X3460">
        <f t="shared" si="162"/>
        <v>0</v>
      </c>
      <c r="Y3460">
        <f t="shared" si="163"/>
        <v>0</v>
      </c>
      <c r="Z3460">
        <f t="shared" si="164"/>
        <v>0</v>
      </c>
    </row>
    <row r="3461" spans="1:26" ht="15.75" customHeight="1" x14ac:dyDescent="0.2">
      <c r="A3461" s="2" t="s">
        <v>36</v>
      </c>
      <c r="B3461" s="2" t="s">
        <v>35</v>
      </c>
      <c r="C3461" s="2" t="s">
        <v>28</v>
      </c>
      <c r="D3461" s="2" t="s">
        <v>29</v>
      </c>
      <c r="E3461" s="2">
        <v>202</v>
      </c>
      <c r="F3461" s="2">
        <v>155</v>
      </c>
      <c r="G3461" s="2">
        <v>489</v>
      </c>
      <c r="H3461" s="2">
        <v>1265</v>
      </c>
      <c r="I3461" s="2">
        <v>3346</v>
      </c>
      <c r="J3461" s="2">
        <v>1.43</v>
      </c>
      <c r="K3461" s="2">
        <v>4.82</v>
      </c>
      <c r="L3461" s="2">
        <v>9.99</v>
      </c>
      <c r="M3461" s="2">
        <v>16.38</v>
      </c>
      <c r="N3461" s="2">
        <v>1.154403182</v>
      </c>
      <c r="O3461" s="2">
        <v>1.060227617</v>
      </c>
      <c r="P3461" s="2">
        <v>1.491216122</v>
      </c>
      <c r="Q3461" s="2">
        <v>1.4883060809999999</v>
      </c>
      <c r="R3461" s="2">
        <v>0.68967873700000004</v>
      </c>
      <c r="S3461" s="2">
        <v>0.59967873699999996</v>
      </c>
      <c r="T3461" s="2">
        <v>1.3221455150000001</v>
      </c>
      <c r="U3461" s="2">
        <v>1.3621455149999999</v>
      </c>
      <c r="V3461" s="2">
        <v>1.138416128</v>
      </c>
      <c r="W3461" s="2">
        <v>1.2050270890000001</v>
      </c>
      <c r="X3461">
        <f t="shared" si="162"/>
        <v>0</v>
      </c>
      <c r="Y3461">
        <f t="shared" si="163"/>
        <v>0</v>
      </c>
      <c r="Z3461">
        <f t="shared" si="164"/>
        <v>1</v>
      </c>
    </row>
    <row r="3462" spans="1:26" ht="15.75" customHeight="1" x14ac:dyDescent="0.2">
      <c r="A3462" s="2" t="s">
        <v>36</v>
      </c>
      <c r="B3462" s="2" t="s">
        <v>35</v>
      </c>
      <c r="C3462" s="2" t="s">
        <v>32</v>
      </c>
      <c r="D3462" s="2" t="s">
        <v>33</v>
      </c>
      <c r="E3462" s="2">
        <v>216</v>
      </c>
      <c r="F3462" s="2">
        <v>235</v>
      </c>
      <c r="G3462" s="2">
        <v>848</v>
      </c>
      <c r="H3462" s="2">
        <v>1067</v>
      </c>
      <c r="I3462" s="2">
        <v>2647</v>
      </c>
      <c r="J3462" s="2">
        <v>2.34</v>
      </c>
      <c r="K3462" s="2">
        <v>7.56</v>
      </c>
      <c r="L3462" s="2">
        <v>8.92</v>
      </c>
      <c r="M3462" s="2">
        <v>14.87</v>
      </c>
      <c r="N3462" s="2">
        <v>2.26457044</v>
      </c>
      <c r="O3462" s="2">
        <v>2.1847992550000002</v>
      </c>
      <c r="P3462" s="2">
        <v>3.1497816740000002</v>
      </c>
      <c r="Q3462" s="2">
        <v>3.2390749090000002</v>
      </c>
      <c r="R3462" s="2">
        <v>2.0542455180000001</v>
      </c>
      <c r="S3462" s="2">
        <v>2.144245518</v>
      </c>
      <c r="T3462" s="2">
        <v>2.387718564</v>
      </c>
      <c r="U3462" s="2">
        <v>2.4277185640000001</v>
      </c>
      <c r="V3462" s="2">
        <v>3.8823403829999998</v>
      </c>
      <c r="W3462" s="2">
        <v>3.9489513440000001</v>
      </c>
      <c r="X3462">
        <f t="shared" si="162"/>
        <v>0</v>
      </c>
      <c r="Y3462">
        <f t="shared" si="163"/>
        <v>0</v>
      </c>
      <c r="Z3462">
        <f t="shared" si="164"/>
        <v>1</v>
      </c>
    </row>
    <row r="3463" spans="1:26" ht="15.75" customHeight="1" x14ac:dyDescent="0.2">
      <c r="A3463" s="2" t="s">
        <v>36</v>
      </c>
      <c r="B3463" s="2" t="s">
        <v>35</v>
      </c>
      <c r="C3463" s="2" t="s">
        <v>32</v>
      </c>
      <c r="D3463" s="2" t="s">
        <v>33</v>
      </c>
      <c r="E3463" s="2">
        <v>206</v>
      </c>
      <c r="F3463" s="2">
        <v>235</v>
      </c>
      <c r="G3463" s="2">
        <v>865</v>
      </c>
      <c r="H3463" s="2">
        <v>1296</v>
      </c>
      <c r="I3463" s="2">
        <v>3238</v>
      </c>
      <c r="J3463" s="2">
        <v>2.34</v>
      </c>
      <c r="K3463" s="2">
        <v>7.68</v>
      </c>
      <c r="L3463" s="2">
        <v>10.14</v>
      </c>
      <c r="M3463" s="2">
        <v>16.170000000000002</v>
      </c>
      <c r="N3463" s="2">
        <v>1.039918085</v>
      </c>
      <c r="O3463" s="2">
        <v>0.95912467199999996</v>
      </c>
      <c r="P3463" s="2">
        <v>2.4611754540000002</v>
      </c>
      <c r="Q3463" s="2">
        <v>2.559392018</v>
      </c>
      <c r="R3463" s="2">
        <v>2.1668845879999998</v>
      </c>
      <c r="S3463" s="2">
        <v>2.2568845880000001</v>
      </c>
      <c r="T3463" s="2">
        <v>1.1670457569999999</v>
      </c>
      <c r="U3463" s="2">
        <v>1.2070457569999999</v>
      </c>
      <c r="V3463" s="2">
        <v>3.994979453</v>
      </c>
      <c r="W3463" s="2">
        <v>4.0615904140000003</v>
      </c>
      <c r="X3463">
        <f t="shared" si="162"/>
        <v>0</v>
      </c>
      <c r="Y3463">
        <f t="shared" si="163"/>
        <v>0</v>
      </c>
      <c r="Z3463">
        <f t="shared" si="164"/>
        <v>1</v>
      </c>
    </row>
    <row r="3464" spans="1:26" ht="15.75" customHeight="1" x14ac:dyDescent="0.2">
      <c r="A3464" s="2" t="s">
        <v>36</v>
      </c>
      <c r="B3464" s="2" t="s">
        <v>35</v>
      </c>
      <c r="C3464" s="2" t="s">
        <v>25</v>
      </c>
      <c r="D3464" s="2" t="s">
        <v>25</v>
      </c>
      <c r="E3464" s="2">
        <v>196</v>
      </c>
      <c r="F3464" s="2">
        <v>276</v>
      </c>
      <c r="G3464" s="2">
        <v>932</v>
      </c>
      <c r="H3464" s="2">
        <v>1318</v>
      </c>
      <c r="I3464" s="2">
        <v>2062</v>
      </c>
      <c r="J3464" s="2">
        <v>2.78</v>
      </c>
      <c r="K3464" s="2">
        <v>8.11</v>
      </c>
      <c r="L3464" s="2">
        <v>10.25</v>
      </c>
      <c r="M3464" s="2">
        <v>13.21</v>
      </c>
      <c r="N3464" s="2">
        <v>0.96073850400000005</v>
      </c>
      <c r="O3464" s="2">
        <v>0.92889137700000002</v>
      </c>
      <c r="P3464" s="2">
        <v>2.8085489190000001</v>
      </c>
      <c r="Q3464" s="2">
        <v>2.9069934110000002</v>
      </c>
      <c r="R3464" s="2">
        <v>2.6000138310000001</v>
      </c>
      <c r="S3464" s="2">
        <v>2.6900138309999999</v>
      </c>
      <c r="T3464" s="2">
        <v>1.0620146450000001</v>
      </c>
      <c r="U3464" s="2">
        <v>1.1020146449999999</v>
      </c>
      <c r="V3464" s="2">
        <v>4.4281086959999998</v>
      </c>
      <c r="W3464" s="2">
        <v>4.4947196570000001</v>
      </c>
      <c r="X3464">
        <f t="shared" si="162"/>
        <v>0</v>
      </c>
      <c r="Y3464">
        <f t="shared" si="163"/>
        <v>0</v>
      </c>
      <c r="Z3464">
        <f t="shared" si="164"/>
        <v>0</v>
      </c>
    </row>
    <row r="3465" spans="1:26" ht="15.75" customHeight="1" x14ac:dyDescent="0.2">
      <c r="A3465" s="2" t="s">
        <v>36</v>
      </c>
      <c r="B3465" s="2" t="s">
        <v>35</v>
      </c>
      <c r="C3465" s="2" t="s">
        <v>32</v>
      </c>
      <c r="D3465" s="2" t="s">
        <v>33</v>
      </c>
      <c r="E3465" s="2">
        <v>169</v>
      </c>
      <c r="F3465" s="2">
        <v>268</v>
      </c>
      <c r="G3465" s="2">
        <v>851</v>
      </c>
      <c r="H3465" s="2">
        <v>1135</v>
      </c>
      <c r="I3465" s="2">
        <v>3194</v>
      </c>
      <c r="J3465" s="2">
        <v>2.69</v>
      </c>
      <c r="K3465" s="2">
        <v>7.59</v>
      </c>
      <c r="L3465" s="2">
        <v>9.3000000000000007</v>
      </c>
      <c r="M3465" s="2">
        <v>16.079999999999998</v>
      </c>
      <c r="N3465" s="2">
        <v>1.8871636270000001</v>
      </c>
      <c r="O3465" s="2">
        <v>1.806589913</v>
      </c>
      <c r="P3465" s="2">
        <v>2.889966561</v>
      </c>
      <c r="Q3465" s="2">
        <v>2.9826447790000001</v>
      </c>
      <c r="R3465" s="2">
        <v>2.0764389900000002</v>
      </c>
      <c r="S3465" s="2">
        <v>2.1664389900000001</v>
      </c>
      <c r="T3465" s="2">
        <v>2.0100517020000002</v>
      </c>
      <c r="U3465" s="2">
        <v>2.0500517020000002</v>
      </c>
      <c r="V3465" s="2">
        <v>3.9045338539999999</v>
      </c>
      <c r="W3465" s="2">
        <v>3.9711448150000002</v>
      </c>
      <c r="X3465">
        <f t="shared" si="162"/>
        <v>0</v>
      </c>
      <c r="Y3465">
        <f t="shared" si="163"/>
        <v>0</v>
      </c>
      <c r="Z3465">
        <f t="shared" si="164"/>
        <v>1</v>
      </c>
    </row>
    <row r="3466" spans="1:26" ht="15.75" customHeight="1" x14ac:dyDescent="0.2">
      <c r="A3466" s="2" t="s">
        <v>36</v>
      </c>
      <c r="B3466" s="2" t="s">
        <v>35</v>
      </c>
      <c r="C3466" s="2" t="s">
        <v>32</v>
      </c>
      <c r="D3466" s="2" t="s">
        <v>33</v>
      </c>
      <c r="E3466" s="2">
        <v>196</v>
      </c>
      <c r="F3466" s="2">
        <v>158</v>
      </c>
      <c r="G3466" s="2">
        <v>809</v>
      </c>
      <c r="H3466" s="2">
        <v>1248</v>
      </c>
      <c r="I3466" s="2">
        <v>3181</v>
      </c>
      <c r="J3466" s="2">
        <v>1.47</v>
      </c>
      <c r="K3466" s="2">
        <v>7.3</v>
      </c>
      <c r="L3466" s="2">
        <v>9.9</v>
      </c>
      <c r="M3466" s="2">
        <v>16.059999999999999</v>
      </c>
      <c r="N3466" s="2">
        <v>1.3774989609999999</v>
      </c>
      <c r="O3466" s="2">
        <v>1.2756945079999999</v>
      </c>
      <c r="P3466" s="2">
        <v>2.2799720950000002</v>
      </c>
      <c r="Q3466" s="2">
        <v>2.3755782280000002</v>
      </c>
      <c r="R3466" s="2">
        <v>1.7928963520000001</v>
      </c>
      <c r="S3466" s="2">
        <v>1.8828963519999999</v>
      </c>
      <c r="T3466" s="2">
        <v>1.4084727269999999</v>
      </c>
      <c r="U3466" s="2">
        <v>1.448472727</v>
      </c>
      <c r="V3466" s="2">
        <v>3.6209912169999998</v>
      </c>
      <c r="W3466" s="2">
        <v>3.6876021780000001</v>
      </c>
      <c r="X3466">
        <f t="shared" si="162"/>
        <v>0</v>
      </c>
      <c r="Y3466">
        <f t="shared" si="163"/>
        <v>0</v>
      </c>
      <c r="Z3466">
        <f t="shared" si="164"/>
        <v>1</v>
      </c>
    </row>
    <row r="3467" spans="1:26" ht="15.75" customHeight="1" x14ac:dyDescent="0.2">
      <c r="A3467" s="2" t="s">
        <v>36</v>
      </c>
      <c r="B3467" s="2" t="s">
        <v>35</v>
      </c>
      <c r="C3467" s="2" t="s">
        <v>25</v>
      </c>
      <c r="D3467" s="2" t="s">
        <v>25</v>
      </c>
      <c r="E3467" s="2">
        <v>153</v>
      </c>
      <c r="F3467" s="2">
        <v>243</v>
      </c>
      <c r="G3467" s="2">
        <v>924</v>
      </c>
      <c r="H3467" s="2">
        <v>1722</v>
      </c>
      <c r="I3467" s="2">
        <v>2985</v>
      </c>
      <c r="J3467" s="2">
        <v>2.4300000000000002</v>
      </c>
      <c r="K3467" s="2">
        <v>8.06</v>
      </c>
      <c r="L3467" s="2">
        <v>12.01</v>
      </c>
      <c r="M3467" s="2">
        <v>15.65</v>
      </c>
      <c r="N3467" s="2">
        <v>0.86858374599999999</v>
      </c>
      <c r="O3467" s="2">
        <v>0.96501525799999999</v>
      </c>
      <c r="P3467" s="2">
        <v>2.6459391399999999</v>
      </c>
      <c r="Q3467" s="2">
        <v>2.7228695030000001</v>
      </c>
      <c r="R3467" s="2">
        <v>2.5517173230000001</v>
      </c>
      <c r="S3467" s="2">
        <v>2.641717323</v>
      </c>
      <c r="T3467" s="2">
        <v>0.69980899799999996</v>
      </c>
      <c r="U3467" s="2">
        <v>0.65980899800000004</v>
      </c>
      <c r="V3467" s="2">
        <v>4.3798121879999998</v>
      </c>
      <c r="W3467" s="2">
        <v>4.4464231490000001</v>
      </c>
      <c r="X3467">
        <f t="shared" si="162"/>
        <v>0</v>
      </c>
      <c r="Y3467">
        <f t="shared" si="163"/>
        <v>0</v>
      </c>
      <c r="Z3467">
        <f t="shared" si="164"/>
        <v>0</v>
      </c>
    </row>
    <row r="3468" spans="1:26" ht="15.75" customHeight="1" x14ac:dyDescent="0.2">
      <c r="A3468" s="2" t="s">
        <v>36</v>
      </c>
      <c r="B3468" s="2" t="s">
        <v>35</v>
      </c>
      <c r="C3468" s="2" t="s">
        <v>25</v>
      </c>
      <c r="D3468" s="2" t="s">
        <v>25</v>
      </c>
      <c r="E3468" s="2">
        <v>189</v>
      </c>
      <c r="F3468" s="2">
        <v>246</v>
      </c>
      <c r="G3468" s="2">
        <v>931</v>
      </c>
      <c r="H3468" s="2">
        <v>1313</v>
      </c>
      <c r="I3468" s="2">
        <v>2274</v>
      </c>
      <c r="J3468" s="2">
        <v>2.46</v>
      </c>
      <c r="K3468" s="2">
        <v>8.1</v>
      </c>
      <c r="L3468" s="2">
        <v>10.23</v>
      </c>
      <c r="M3468" s="2">
        <v>13.87</v>
      </c>
      <c r="N3468" s="2">
        <v>0.97941378199999996</v>
      </c>
      <c r="O3468" s="2">
        <v>0.94596181700000004</v>
      </c>
      <c r="P3468" s="2">
        <v>2.8108422850000001</v>
      </c>
      <c r="Q3468" s="2">
        <v>2.9093065500000002</v>
      </c>
      <c r="R3468" s="2">
        <v>2.5937288139999999</v>
      </c>
      <c r="S3468" s="2">
        <v>2.6837288140000002</v>
      </c>
      <c r="T3468" s="2">
        <v>1.0832382890000001</v>
      </c>
      <c r="U3468" s="2">
        <v>1.1232382889999999</v>
      </c>
      <c r="V3468" s="2">
        <v>4.421823678</v>
      </c>
      <c r="W3468" s="2">
        <v>4.4884346390000003</v>
      </c>
      <c r="X3468">
        <f t="shared" si="162"/>
        <v>0</v>
      </c>
      <c r="Y3468">
        <f t="shared" si="163"/>
        <v>0</v>
      </c>
      <c r="Z3468">
        <f t="shared" si="164"/>
        <v>0</v>
      </c>
    </row>
    <row r="3469" spans="1:26" ht="15.75" customHeight="1" x14ac:dyDescent="0.2">
      <c r="A3469" s="2" t="s">
        <v>36</v>
      </c>
      <c r="B3469" s="2" t="s">
        <v>35</v>
      </c>
      <c r="C3469" s="2" t="s">
        <v>27</v>
      </c>
      <c r="D3469" s="2" t="s">
        <v>27</v>
      </c>
      <c r="E3469" s="2">
        <v>204</v>
      </c>
      <c r="F3469" s="2">
        <v>153</v>
      </c>
      <c r="G3469" s="2">
        <v>537</v>
      </c>
      <c r="H3469" s="2">
        <v>2165</v>
      </c>
      <c r="I3469" s="2">
        <v>3000</v>
      </c>
      <c r="J3469" s="2">
        <v>1.42</v>
      </c>
      <c r="K3469" s="2">
        <v>5.23</v>
      </c>
      <c r="L3469" s="2">
        <v>13.54</v>
      </c>
      <c r="M3469" s="2">
        <v>15.69</v>
      </c>
      <c r="N3469" s="2">
        <v>0.55556770200000005</v>
      </c>
      <c r="O3469" s="2">
        <v>0.44353282399999999</v>
      </c>
      <c r="P3469" s="2">
        <v>2.2473078200000001</v>
      </c>
      <c r="Q3469" s="2">
        <v>2.1981358609999999</v>
      </c>
      <c r="R3469" s="2">
        <v>0.27710280399999998</v>
      </c>
      <c r="S3469" s="2">
        <v>0.18710280400000001</v>
      </c>
      <c r="T3469" s="2">
        <v>2.2301583969999998</v>
      </c>
      <c r="U3469" s="2">
        <v>2.1901583969999998</v>
      </c>
      <c r="V3469" s="2">
        <v>1.5509920610000001</v>
      </c>
      <c r="W3469" s="2">
        <v>1.6176030219999999</v>
      </c>
      <c r="X3469">
        <f t="shared" si="162"/>
        <v>0</v>
      </c>
      <c r="Y3469">
        <f t="shared" si="163"/>
        <v>0</v>
      </c>
      <c r="Z3469">
        <f t="shared" si="164"/>
        <v>0</v>
      </c>
    </row>
    <row r="3470" spans="1:26" ht="15.75" customHeight="1" x14ac:dyDescent="0.2">
      <c r="A3470" s="2" t="s">
        <v>36</v>
      </c>
      <c r="B3470" s="2" t="s">
        <v>35</v>
      </c>
      <c r="C3470" s="2" t="s">
        <v>30</v>
      </c>
      <c r="D3470" s="2" t="s">
        <v>31</v>
      </c>
      <c r="E3470" s="2">
        <v>182</v>
      </c>
      <c r="F3470" s="2">
        <v>242</v>
      </c>
      <c r="G3470" s="2">
        <v>812</v>
      </c>
      <c r="H3470" s="2">
        <v>1461</v>
      </c>
      <c r="I3470" s="2">
        <v>2575</v>
      </c>
      <c r="J3470" s="2">
        <v>2.42</v>
      </c>
      <c r="K3470" s="2">
        <v>7.32</v>
      </c>
      <c r="L3470" s="2">
        <v>10.92</v>
      </c>
      <c r="M3470" s="2">
        <v>14.69</v>
      </c>
      <c r="N3470" s="2">
        <v>3.691072337</v>
      </c>
      <c r="O3470" s="2">
        <v>3.6742775929999998</v>
      </c>
      <c r="P3470" s="2">
        <v>1.854961276</v>
      </c>
      <c r="Q3470" s="2">
        <v>1.951467098</v>
      </c>
      <c r="R3470" s="2">
        <v>1.8134343429999999</v>
      </c>
      <c r="S3470" s="2">
        <v>1.903434343</v>
      </c>
      <c r="T3470" s="2">
        <v>0.39030400500000001</v>
      </c>
      <c r="U3470" s="2">
        <v>0.43030400499999999</v>
      </c>
      <c r="V3470" s="2">
        <v>3.6415292080000001</v>
      </c>
      <c r="W3470" s="2">
        <v>3.708140169</v>
      </c>
      <c r="X3470">
        <f t="shared" si="162"/>
        <v>0</v>
      </c>
      <c r="Y3470">
        <f t="shared" si="163"/>
        <v>0</v>
      </c>
      <c r="Z3470">
        <f t="shared" si="164"/>
        <v>1</v>
      </c>
    </row>
    <row r="3471" spans="1:26" ht="15.75" customHeight="1" x14ac:dyDescent="0.2">
      <c r="A3471" s="2" t="s">
        <v>36</v>
      </c>
      <c r="B3471" s="2" t="s">
        <v>35</v>
      </c>
      <c r="C3471" s="2" t="s">
        <v>28</v>
      </c>
      <c r="D3471" s="2" t="s">
        <v>29</v>
      </c>
      <c r="E3471" s="2">
        <v>130</v>
      </c>
      <c r="F3471" s="2">
        <v>158</v>
      </c>
      <c r="G3471" s="2">
        <v>491</v>
      </c>
      <c r="H3471" s="2">
        <v>1157</v>
      </c>
      <c r="I3471" s="2">
        <v>2625</v>
      </c>
      <c r="J3471" s="2">
        <v>1.47</v>
      </c>
      <c r="K3471" s="2">
        <v>4.84</v>
      </c>
      <c r="L3471" s="2">
        <v>9.42</v>
      </c>
      <c r="M3471" s="2">
        <v>14.82</v>
      </c>
      <c r="N3471" s="2">
        <v>0.79303571100000003</v>
      </c>
      <c r="O3471" s="2">
        <v>0.68536628200000005</v>
      </c>
      <c r="P3471" s="2">
        <v>2.0034743380000002</v>
      </c>
      <c r="Q3471" s="2">
        <v>2.0135083090000001</v>
      </c>
      <c r="R3471" s="2">
        <v>0.669249286</v>
      </c>
      <c r="S3471" s="2">
        <v>0.57924928600000003</v>
      </c>
      <c r="T3471" s="2">
        <v>1.888389477</v>
      </c>
      <c r="U3471" s="2">
        <v>1.9283894770000001</v>
      </c>
      <c r="V3471" s="2">
        <v>1.1588455790000001</v>
      </c>
      <c r="W3471" s="2">
        <v>1.2254565390000001</v>
      </c>
      <c r="X3471">
        <f t="shared" si="162"/>
        <v>0</v>
      </c>
      <c r="Y3471">
        <f t="shared" si="163"/>
        <v>0</v>
      </c>
      <c r="Z3471">
        <f t="shared" si="164"/>
        <v>1</v>
      </c>
    </row>
    <row r="3472" spans="1:26" ht="15.75" customHeight="1" x14ac:dyDescent="0.2">
      <c r="A3472" s="2" t="s">
        <v>36</v>
      </c>
      <c r="B3472" s="2" t="s">
        <v>35</v>
      </c>
      <c r="C3472" s="2" t="s">
        <v>28</v>
      </c>
      <c r="D3472" s="2" t="s">
        <v>29</v>
      </c>
      <c r="E3472" s="2">
        <v>235</v>
      </c>
      <c r="F3472" s="2">
        <v>213</v>
      </c>
      <c r="G3472" s="2">
        <v>431</v>
      </c>
      <c r="H3472" s="2">
        <v>1312</v>
      </c>
      <c r="I3472" s="2">
        <v>2527</v>
      </c>
      <c r="J3472" s="2">
        <v>2.09</v>
      </c>
      <c r="K3472" s="2">
        <v>4.3099999999999996</v>
      </c>
      <c r="L3472" s="2">
        <v>10.220000000000001</v>
      </c>
      <c r="M3472" s="2">
        <v>14.57</v>
      </c>
      <c r="N3472" s="2">
        <v>1.681404363</v>
      </c>
      <c r="O3472" s="2">
        <v>1.5802522000000001</v>
      </c>
      <c r="P3472" s="2">
        <v>1.6251922240000001</v>
      </c>
      <c r="Q3472" s="2">
        <v>1.5879262700000001</v>
      </c>
      <c r="R3472" s="2">
        <v>1.2041845550000001</v>
      </c>
      <c r="S3472" s="2">
        <v>1.114184555</v>
      </c>
      <c r="T3472" s="2">
        <v>1.0914162000000001</v>
      </c>
      <c r="U3472" s="2">
        <v>1.1314162000000001</v>
      </c>
      <c r="V3472" s="2">
        <v>0.623910309</v>
      </c>
      <c r="W3472" s="2">
        <v>0.69052126999999996</v>
      </c>
      <c r="X3472">
        <f t="shared" si="162"/>
        <v>0</v>
      </c>
      <c r="Y3472">
        <f t="shared" si="163"/>
        <v>0</v>
      </c>
      <c r="Z3472">
        <f t="shared" si="164"/>
        <v>1</v>
      </c>
    </row>
    <row r="3473" spans="1:26" ht="15.75" customHeight="1" x14ac:dyDescent="0.2">
      <c r="A3473" s="2" t="s">
        <v>36</v>
      </c>
      <c r="B3473" s="2" t="s">
        <v>35</v>
      </c>
      <c r="C3473" s="2" t="s">
        <v>32</v>
      </c>
      <c r="D3473" s="2" t="s">
        <v>33</v>
      </c>
      <c r="E3473" s="2">
        <v>194</v>
      </c>
      <c r="F3473" s="2">
        <v>150</v>
      </c>
      <c r="G3473" s="2">
        <v>796</v>
      </c>
      <c r="H3473" s="2">
        <v>1223</v>
      </c>
      <c r="I3473" s="2">
        <v>3210</v>
      </c>
      <c r="J3473" s="2">
        <v>1.37</v>
      </c>
      <c r="K3473" s="2">
        <v>7.21</v>
      </c>
      <c r="L3473" s="2">
        <v>9.77</v>
      </c>
      <c r="M3473" s="2">
        <v>16.12</v>
      </c>
      <c r="N3473" s="2">
        <v>1.5311882400000001</v>
      </c>
      <c r="O3473" s="2">
        <v>1.427767432</v>
      </c>
      <c r="P3473" s="2">
        <v>2.2943809750000002</v>
      </c>
      <c r="Q3473" s="2">
        <v>2.3881919370000002</v>
      </c>
      <c r="R3473" s="2">
        <v>1.703381713</v>
      </c>
      <c r="S3473" s="2">
        <v>1.793381713</v>
      </c>
      <c r="T3473" s="2">
        <v>1.5370994760000001</v>
      </c>
      <c r="U3473" s="2">
        <v>1.5770994759999999</v>
      </c>
      <c r="V3473" s="2">
        <v>3.5314765769999998</v>
      </c>
      <c r="W3473" s="2">
        <v>3.5980875380000001</v>
      </c>
      <c r="X3473">
        <f t="shared" si="162"/>
        <v>0</v>
      </c>
      <c r="Y3473">
        <f t="shared" si="163"/>
        <v>0</v>
      </c>
      <c r="Z3473">
        <f t="shared" si="164"/>
        <v>1</v>
      </c>
    </row>
    <row r="3474" spans="1:26" ht="15.75" customHeight="1" x14ac:dyDescent="0.2">
      <c r="A3474" s="2" t="s">
        <v>36</v>
      </c>
      <c r="B3474" s="2" t="s">
        <v>35</v>
      </c>
      <c r="C3474" s="2" t="s">
        <v>26</v>
      </c>
      <c r="D3474" s="2" t="s">
        <v>26</v>
      </c>
      <c r="E3474" s="2">
        <v>169</v>
      </c>
      <c r="F3474" s="2">
        <v>153</v>
      </c>
      <c r="G3474" s="2">
        <v>571</v>
      </c>
      <c r="H3474" s="2">
        <v>1071</v>
      </c>
      <c r="I3474" s="2">
        <v>3012</v>
      </c>
      <c r="J3474" s="2">
        <v>1.41</v>
      </c>
      <c r="K3474" s="2">
        <v>5.52</v>
      </c>
      <c r="L3474" s="2">
        <v>8.9499999999999993</v>
      </c>
      <c r="M3474" s="2">
        <v>15.71</v>
      </c>
      <c r="N3474" s="2">
        <v>0.17270169899999999</v>
      </c>
      <c r="O3474" s="2">
        <v>0.21045609700000001</v>
      </c>
      <c r="P3474" s="2">
        <v>2.3648290950000002</v>
      </c>
      <c r="Q3474" s="2">
        <v>2.4068266380000001</v>
      </c>
      <c r="R3474" s="2">
        <v>8.4037929999999997E-3</v>
      </c>
      <c r="S3474" s="2">
        <v>9.8403793000000003E-2</v>
      </c>
      <c r="T3474" s="2">
        <v>2.3648141630000001</v>
      </c>
      <c r="U3474" s="2">
        <v>2.4048141630000002</v>
      </c>
      <c r="V3474" s="2">
        <v>1.836498658</v>
      </c>
      <c r="W3474" s="2">
        <v>1.903109618</v>
      </c>
      <c r="X3474">
        <f t="shared" si="162"/>
        <v>0</v>
      </c>
      <c r="Y3474">
        <f t="shared" si="163"/>
        <v>0</v>
      </c>
      <c r="Z3474">
        <f t="shared" si="164"/>
        <v>0</v>
      </c>
    </row>
    <row r="3475" spans="1:26" ht="15.75" customHeight="1" x14ac:dyDescent="0.2">
      <c r="A3475" s="2" t="s">
        <v>36</v>
      </c>
      <c r="B3475" s="2" t="s">
        <v>35</v>
      </c>
      <c r="C3475" s="2" t="s">
        <v>25</v>
      </c>
      <c r="D3475" s="2" t="s">
        <v>25</v>
      </c>
      <c r="E3475" s="2">
        <v>210</v>
      </c>
      <c r="F3475" s="2">
        <v>241</v>
      </c>
      <c r="G3475" s="2">
        <v>932</v>
      </c>
      <c r="H3475" s="2">
        <v>1575</v>
      </c>
      <c r="I3475" s="2">
        <v>3236</v>
      </c>
      <c r="J3475" s="2">
        <v>2.41</v>
      </c>
      <c r="K3475" s="2">
        <v>8.11</v>
      </c>
      <c r="L3475" s="2">
        <v>11.42</v>
      </c>
      <c r="M3475" s="2">
        <v>16.170000000000002</v>
      </c>
      <c r="N3475" s="2">
        <v>0.36712507599999999</v>
      </c>
      <c r="O3475" s="2">
        <v>0.48847266499999997</v>
      </c>
      <c r="P3475" s="2">
        <v>2.604284394</v>
      </c>
      <c r="Q3475" s="2">
        <v>2.692927874</v>
      </c>
      <c r="R3475" s="2">
        <v>2.6021078709999999</v>
      </c>
      <c r="S3475" s="2">
        <v>2.6921078710000002</v>
      </c>
      <c r="T3475" s="2">
        <v>0.106451065</v>
      </c>
      <c r="U3475" s="2">
        <v>6.6451065000000004E-2</v>
      </c>
      <c r="V3475" s="2">
        <v>4.430202736</v>
      </c>
      <c r="W3475" s="2">
        <v>4.4968136970000003</v>
      </c>
      <c r="X3475">
        <f t="shared" si="162"/>
        <v>0</v>
      </c>
      <c r="Y3475">
        <f t="shared" si="163"/>
        <v>0</v>
      </c>
      <c r="Z3475">
        <f t="shared" si="164"/>
        <v>0</v>
      </c>
    </row>
    <row r="3476" spans="1:26" ht="15.75" customHeight="1" x14ac:dyDescent="0.2">
      <c r="A3476" s="2" t="s">
        <v>36</v>
      </c>
      <c r="B3476" s="2" t="s">
        <v>35</v>
      </c>
      <c r="C3476" s="2" t="s">
        <v>30</v>
      </c>
      <c r="D3476" s="2" t="s">
        <v>31</v>
      </c>
      <c r="E3476" s="2">
        <v>200</v>
      </c>
      <c r="F3476" s="2">
        <v>243</v>
      </c>
      <c r="G3476" s="2">
        <v>802</v>
      </c>
      <c r="H3476" s="2">
        <v>1378</v>
      </c>
      <c r="I3476" s="2">
        <v>2027</v>
      </c>
      <c r="J3476" s="2">
        <v>2.4300000000000002</v>
      </c>
      <c r="K3476" s="2">
        <v>7.25</v>
      </c>
      <c r="L3476" s="2">
        <v>10.54</v>
      </c>
      <c r="M3476" s="2">
        <v>13.1</v>
      </c>
      <c r="N3476" s="2">
        <v>3.989938301</v>
      </c>
      <c r="O3476" s="2">
        <v>3.9637447309999998</v>
      </c>
      <c r="P3476" s="2">
        <v>1.9065960900000001</v>
      </c>
      <c r="Q3476" s="2">
        <v>2.0050846629999999</v>
      </c>
      <c r="R3476" s="2">
        <v>1.7425045260000001</v>
      </c>
      <c r="S3476" s="2">
        <v>1.8325045259999999</v>
      </c>
      <c r="T3476" s="2">
        <v>0.77381304299999998</v>
      </c>
      <c r="U3476" s="2">
        <v>0.81381304300000001</v>
      </c>
      <c r="V3476" s="2">
        <v>3.570599391</v>
      </c>
      <c r="W3476" s="2">
        <v>3.6372103519999999</v>
      </c>
      <c r="X3476">
        <f t="shared" si="162"/>
        <v>0</v>
      </c>
      <c r="Y3476">
        <f t="shared" si="163"/>
        <v>0</v>
      </c>
      <c r="Z3476">
        <f t="shared" si="164"/>
        <v>1</v>
      </c>
    </row>
    <row r="3477" spans="1:26" ht="15.75" customHeight="1" x14ac:dyDescent="0.2">
      <c r="A3477" s="2" t="s">
        <v>36</v>
      </c>
      <c r="B3477" s="2" t="s">
        <v>35</v>
      </c>
      <c r="C3477" s="2" t="s">
        <v>27</v>
      </c>
      <c r="D3477" s="2" t="s">
        <v>27</v>
      </c>
      <c r="E3477" s="2">
        <v>180</v>
      </c>
      <c r="F3477" s="2">
        <v>151</v>
      </c>
      <c r="G3477" s="2">
        <v>551</v>
      </c>
      <c r="H3477" s="2">
        <v>2427</v>
      </c>
      <c r="I3477" s="2">
        <v>3271</v>
      </c>
      <c r="J3477" s="2">
        <v>1.39</v>
      </c>
      <c r="K3477" s="2">
        <v>5.35</v>
      </c>
      <c r="L3477" s="2">
        <v>14.3</v>
      </c>
      <c r="M3477" s="2">
        <v>16.23</v>
      </c>
      <c r="N3477" s="2">
        <v>0.23667977000000001</v>
      </c>
      <c r="O3477" s="2">
        <v>0.32808708399999997</v>
      </c>
      <c r="P3477" s="2">
        <v>2.996088345</v>
      </c>
      <c r="Q3477" s="2">
        <v>2.9527333790000001</v>
      </c>
      <c r="R3477" s="2">
        <v>0.15696136999999999</v>
      </c>
      <c r="S3477" s="2">
        <v>6.6961370000000006E-2</v>
      </c>
      <c r="T3477" s="2">
        <v>2.9919740140000002</v>
      </c>
      <c r="U3477" s="2">
        <v>2.9519740140000001</v>
      </c>
      <c r="V3477" s="2">
        <v>1.6711334950000001</v>
      </c>
      <c r="W3477" s="2">
        <v>1.7377444550000001</v>
      </c>
      <c r="X3477">
        <f t="shared" si="162"/>
        <v>0</v>
      </c>
      <c r="Y3477">
        <f t="shared" si="163"/>
        <v>0</v>
      </c>
      <c r="Z3477">
        <f t="shared" si="164"/>
        <v>0</v>
      </c>
    </row>
    <row r="3478" spans="1:26" ht="15.75" customHeight="1" x14ac:dyDescent="0.2">
      <c r="A3478" s="2" t="s">
        <v>36</v>
      </c>
      <c r="B3478" s="2" t="s">
        <v>35</v>
      </c>
      <c r="C3478" s="2" t="s">
        <v>30</v>
      </c>
      <c r="D3478" s="2" t="s">
        <v>31</v>
      </c>
      <c r="E3478" s="2">
        <v>192</v>
      </c>
      <c r="F3478" s="2">
        <v>245</v>
      </c>
      <c r="G3478" s="2">
        <v>932</v>
      </c>
      <c r="H3478" s="2">
        <v>1393</v>
      </c>
      <c r="I3478" s="2">
        <v>2698</v>
      </c>
      <c r="J3478" s="2">
        <v>2.4500000000000002</v>
      </c>
      <c r="K3478" s="2">
        <v>8.11</v>
      </c>
      <c r="L3478" s="2">
        <v>10.61</v>
      </c>
      <c r="M3478" s="2">
        <v>15</v>
      </c>
      <c r="N3478" s="2">
        <v>4.396338182</v>
      </c>
      <c r="O3478" s="2">
        <v>4.395489081</v>
      </c>
      <c r="P3478" s="2">
        <v>2.691453198</v>
      </c>
      <c r="Q3478" s="2">
        <v>2.7888197770000001</v>
      </c>
      <c r="R3478" s="2">
        <v>2.5979193079999998</v>
      </c>
      <c r="S3478" s="2">
        <v>2.6879193080000001</v>
      </c>
      <c r="T3478" s="2">
        <v>0.70337442800000005</v>
      </c>
      <c r="U3478" s="2">
        <v>0.74337442799999998</v>
      </c>
      <c r="V3478" s="2">
        <v>4.4260141730000004</v>
      </c>
      <c r="W3478" s="2">
        <v>4.4926251339999999</v>
      </c>
      <c r="X3478">
        <f t="shared" si="162"/>
        <v>0</v>
      </c>
      <c r="Y3478">
        <f t="shared" si="163"/>
        <v>0</v>
      </c>
      <c r="Z3478">
        <f t="shared" si="164"/>
        <v>1</v>
      </c>
    </row>
    <row r="3479" spans="1:26" ht="15.75" customHeight="1" x14ac:dyDescent="0.2">
      <c r="A3479" s="2" t="s">
        <v>36</v>
      </c>
      <c r="B3479" s="2" t="s">
        <v>35</v>
      </c>
      <c r="C3479" s="2" t="s">
        <v>27</v>
      </c>
      <c r="D3479" s="2" t="s">
        <v>27</v>
      </c>
      <c r="E3479" s="2">
        <v>186</v>
      </c>
      <c r="F3479" s="2">
        <v>245</v>
      </c>
      <c r="G3479" s="2">
        <v>537</v>
      </c>
      <c r="H3479" s="2">
        <v>2441</v>
      </c>
      <c r="I3479" s="2">
        <v>3276</v>
      </c>
      <c r="J3479" s="2">
        <v>2.4500000000000002</v>
      </c>
      <c r="K3479" s="2">
        <v>5.24</v>
      </c>
      <c r="L3479" s="2">
        <v>14.34</v>
      </c>
      <c r="M3479" s="2">
        <v>16.239999999999998</v>
      </c>
      <c r="N3479" s="2">
        <v>0.316896236</v>
      </c>
      <c r="O3479" s="2">
        <v>0.365041648</v>
      </c>
      <c r="P3479" s="2">
        <v>3.043367495</v>
      </c>
      <c r="Q3479" s="2">
        <v>2.9966538709999999</v>
      </c>
      <c r="R3479" s="2">
        <v>0.27429315199999998</v>
      </c>
      <c r="S3479" s="2">
        <v>0.18429315199999999</v>
      </c>
      <c r="T3479" s="2">
        <v>3.0309815210000002</v>
      </c>
      <c r="U3479" s="2">
        <v>2.9909815210000001</v>
      </c>
      <c r="V3479" s="2">
        <v>1.5538017129999999</v>
      </c>
      <c r="W3479" s="2">
        <v>1.620412674</v>
      </c>
      <c r="X3479">
        <f t="shared" si="162"/>
        <v>0</v>
      </c>
      <c r="Y3479">
        <f t="shared" si="163"/>
        <v>0</v>
      </c>
      <c r="Z3479">
        <f t="shared" si="164"/>
        <v>0</v>
      </c>
    </row>
    <row r="3480" spans="1:26" ht="15.75" customHeight="1" x14ac:dyDescent="0.2">
      <c r="A3480" s="2" t="s">
        <v>36</v>
      </c>
      <c r="B3480" s="2" t="s">
        <v>35</v>
      </c>
      <c r="C3480" s="2" t="s">
        <v>26</v>
      </c>
      <c r="D3480" s="2" t="s">
        <v>26</v>
      </c>
      <c r="E3480" s="2">
        <v>194</v>
      </c>
      <c r="F3480" s="2">
        <v>241</v>
      </c>
      <c r="G3480" s="2">
        <v>574</v>
      </c>
      <c r="H3480" s="2">
        <v>1078</v>
      </c>
      <c r="I3480" s="2">
        <v>2873</v>
      </c>
      <c r="J3480" s="2">
        <v>2.41</v>
      </c>
      <c r="K3480" s="2">
        <v>5.55</v>
      </c>
      <c r="L3480" s="2">
        <v>8.98</v>
      </c>
      <c r="M3480" s="2">
        <v>15.41</v>
      </c>
      <c r="N3480" s="2">
        <v>0.12908003900000001</v>
      </c>
      <c r="O3480" s="2">
        <v>0.18315505100000001</v>
      </c>
      <c r="P3480" s="2">
        <v>2.32704822</v>
      </c>
      <c r="Q3480" s="2">
        <v>2.3701104009999998</v>
      </c>
      <c r="R3480" s="2">
        <v>3.5710904000000002E-2</v>
      </c>
      <c r="S3480" s="2">
        <v>0.12571090400000001</v>
      </c>
      <c r="T3480" s="2">
        <v>2.326774194</v>
      </c>
      <c r="U3480" s="2">
        <v>2.366774194</v>
      </c>
      <c r="V3480" s="2">
        <v>1.863805768</v>
      </c>
      <c r="W3480" s="2">
        <v>1.9304167290000001</v>
      </c>
      <c r="X3480">
        <f t="shared" si="162"/>
        <v>0</v>
      </c>
      <c r="Y3480">
        <f t="shared" si="163"/>
        <v>0</v>
      </c>
      <c r="Z3480">
        <f t="shared" si="164"/>
        <v>0</v>
      </c>
    </row>
    <row r="3481" spans="1:26" ht="15.75" customHeight="1" x14ac:dyDescent="0.2">
      <c r="A3481" s="2" t="s">
        <v>36</v>
      </c>
      <c r="B3481" s="2" t="s">
        <v>35</v>
      </c>
      <c r="C3481" s="2" t="s">
        <v>27</v>
      </c>
      <c r="D3481" s="2" t="s">
        <v>27</v>
      </c>
      <c r="E3481" s="2">
        <v>224</v>
      </c>
      <c r="F3481" s="2">
        <v>154</v>
      </c>
      <c r="G3481" s="2">
        <v>599</v>
      </c>
      <c r="H3481" s="2">
        <v>2385</v>
      </c>
      <c r="I3481" s="2">
        <v>3362</v>
      </c>
      <c r="J3481" s="2">
        <v>1.42</v>
      </c>
      <c r="K3481" s="2">
        <v>5.75</v>
      </c>
      <c r="L3481" s="2">
        <v>14.19</v>
      </c>
      <c r="M3481" s="2">
        <v>16.41</v>
      </c>
      <c r="N3481" s="2">
        <v>0.36487963299999998</v>
      </c>
      <c r="O3481" s="2">
        <v>0.500444271</v>
      </c>
      <c r="P3481" s="2">
        <v>2.8867467310000001</v>
      </c>
      <c r="Q3481" s="2">
        <v>2.8557381249999998</v>
      </c>
      <c r="R3481" s="2">
        <v>0.235572489</v>
      </c>
      <c r="S3481" s="2">
        <v>0.32557248900000002</v>
      </c>
      <c r="T3481" s="2">
        <v>2.877118748</v>
      </c>
      <c r="U3481" s="2">
        <v>2.837118748</v>
      </c>
      <c r="V3481" s="2">
        <v>2.0636673540000001</v>
      </c>
      <c r="W3481" s="2">
        <v>2.130278315</v>
      </c>
      <c r="X3481">
        <f t="shared" si="162"/>
        <v>0</v>
      </c>
      <c r="Y3481">
        <f t="shared" si="163"/>
        <v>0</v>
      </c>
      <c r="Z3481">
        <f t="shared" si="164"/>
        <v>0</v>
      </c>
    </row>
    <row r="3482" spans="1:26" ht="15.75" customHeight="1" x14ac:dyDescent="0.2">
      <c r="A3482" s="2" t="s">
        <v>36</v>
      </c>
      <c r="B3482" s="2" t="s">
        <v>35</v>
      </c>
      <c r="C3482" s="2" t="s">
        <v>30</v>
      </c>
      <c r="D3482" s="2" t="s">
        <v>31</v>
      </c>
      <c r="E3482" s="2">
        <v>181</v>
      </c>
      <c r="F3482" s="2">
        <v>233</v>
      </c>
      <c r="G3482" s="2">
        <v>772</v>
      </c>
      <c r="H3482" s="2">
        <v>1240</v>
      </c>
      <c r="I3482" s="2">
        <v>1899</v>
      </c>
      <c r="J3482" s="2">
        <v>2.31</v>
      </c>
      <c r="K3482" s="2">
        <v>7.04</v>
      </c>
      <c r="L3482" s="2">
        <v>9.86</v>
      </c>
      <c r="M3482" s="2">
        <v>12.66</v>
      </c>
      <c r="N3482" s="2">
        <v>4.5204859659999999</v>
      </c>
      <c r="O3482" s="2">
        <v>4.4786794250000002</v>
      </c>
      <c r="P3482" s="2">
        <v>2.1112803800000002</v>
      </c>
      <c r="Q3482" s="2">
        <v>2.204389216</v>
      </c>
      <c r="R3482" s="2">
        <v>1.533538743</v>
      </c>
      <c r="S3482" s="2">
        <v>1.6235387429999999</v>
      </c>
      <c r="T3482" s="2">
        <v>1.451125</v>
      </c>
      <c r="U3482" s="2">
        <v>1.491125</v>
      </c>
      <c r="V3482" s="2">
        <v>3.361633608</v>
      </c>
      <c r="W3482" s="2">
        <v>3.4282445689999999</v>
      </c>
      <c r="X3482">
        <f t="shared" si="162"/>
        <v>0</v>
      </c>
      <c r="Y3482">
        <f t="shared" si="163"/>
        <v>0</v>
      </c>
      <c r="Z3482">
        <f t="shared" si="164"/>
        <v>1</v>
      </c>
    </row>
    <row r="3483" spans="1:26" ht="15.75" customHeight="1" x14ac:dyDescent="0.2">
      <c r="A3483" s="2" t="s">
        <v>36</v>
      </c>
      <c r="B3483" s="2" t="s">
        <v>35</v>
      </c>
      <c r="C3483" s="2" t="s">
        <v>27</v>
      </c>
      <c r="D3483" s="2" t="s">
        <v>27</v>
      </c>
      <c r="E3483" s="2">
        <v>184</v>
      </c>
      <c r="F3483" s="2">
        <v>201</v>
      </c>
      <c r="G3483" s="2">
        <v>575</v>
      </c>
      <c r="H3483" s="2">
        <v>2387</v>
      </c>
      <c r="I3483" s="2">
        <v>3276</v>
      </c>
      <c r="J3483" s="2">
        <v>1.96</v>
      </c>
      <c r="K3483" s="2">
        <v>5.55</v>
      </c>
      <c r="L3483" s="2">
        <v>14.19</v>
      </c>
      <c r="M3483" s="2">
        <v>16.239999999999998</v>
      </c>
      <c r="N3483" s="2">
        <v>0.192573723</v>
      </c>
      <c r="O3483" s="2">
        <v>0.334699423</v>
      </c>
      <c r="P3483" s="2">
        <v>2.8829383559999999</v>
      </c>
      <c r="Q3483" s="2">
        <v>2.8455821509999999</v>
      </c>
      <c r="R3483" s="2">
        <v>3.8437664000000003E-2</v>
      </c>
      <c r="S3483" s="2">
        <v>0.12843766400000001</v>
      </c>
      <c r="T3483" s="2">
        <v>2.8826821040000001</v>
      </c>
      <c r="U3483" s="2">
        <v>2.8426821040000001</v>
      </c>
      <c r="V3483" s="2">
        <v>1.8665325290000001</v>
      </c>
      <c r="W3483" s="2">
        <v>1.93314349</v>
      </c>
      <c r="X3483">
        <f t="shared" si="162"/>
        <v>0</v>
      </c>
      <c r="Y3483">
        <f t="shared" si="163"/>
        <v>0</v>
      </c>
      <c r="Z3483">
        <f t="shared" si="164"/>
        <v>0</v>
      </c>
    </row>
    <row r="3484" spans="1:26" ht="15.75" customHeight="1" x14ac:dyDescent="0.2">
      <c r="A3484" s="2" t="s">
        <v>36</v>
      </c>
      <c r="B3484" s="2" t="s">
        <v>35</v>
      </c>
      <c r="C3484" s="2" t="s">
        <v>26</v>
      </c>
      <c r="D3484" s="2" t="s">
        <v>26</v>
      </c>
      <c r="E3484" s="2">
        <v>186</v>
      </c>
      <c r="F3484" s="2">
        <v>240</v>
      </c>
      <c r="G3484" s="2">
        <v>549</v>
      </c>
      <c r="H3484" s="2">
        <v>1198</v>
      </c>
      <c r="I3484" s="2">
        <v>2915</v>
      </c>
      <c r="J3484" s="2">
        <v>2.39</v>
      </c>
      <c r="K3484" s="2">
        <v>5.34</v>
      </c>
      <c r="L3484" s="2">
        <v>9.64</v>
      </c>
      <c r="M3484" s="2">
        <v>15.5</v>
      </c>
      <c r="N3484" s="2">
        <v>0.57965457499999995</v>
      </c>
      <c r="O3484" s="2">
        <v>0.50836241400000004</v>
      </c>
      <c r="P3484" s="2">
        <v>1.6785244960000001</v>
      </c>
      <c r="Q3484" s="2">
        <v>1.711563688</v>
      </c>
      <c r="R3484" s="2">
        <v>0.173642886</v>
      </c>
      <c r="S3484" s="2">
        <v>8.3642886E-2</v>
      </c>
      <c r="T3484" s="2">
        <v>1.6695186829999999</v>
      </c>
      <c r="U3484" s="2">
        <v>1.709518683</v>
      </c>
      <c r="V3484" s="2">
        <v>1.6544519790000001</v>
      </c>
      <c r="W3484" s="2">
        <v>1.7210629399999999</v>
      </c>
      <c r="X3484">
        <f t="shared" si="162"/>
        <v>0</v>
      </c>
      <c r="Y3484">
        <f t="shared" si="163"/>
        <v>0</v>
      </c>
      <c r="Z3484">
        <f t="shared" si="164"/>
        <v>0</v>
      </c>
    </row>
    <row r="3485" spans="1:26" ht="15.75" customHeight="1" x14ac:dyDescent="0.2">
      <c r="A3485" s="2" t="s">
        <v>36</v>
      </c>
      <c r="B3485" s="2" t="s">
        <v>35</v>
      </c>
      <c r="C3485" s="2" t="s">
        <v>30</v>
      </c>
      <c r="D3485" s="2" t="s">
        <v>31</v>
      </c>
      <c r="E3485" s="2">
        <v>176</v>
      </c>
      <c r="F3485" s="2">
        <v>246</v>
      </c>
      <c r="G3485" s="2">
        <v>845</v>
      </c>
      <c r="H3485" s="2">
        <v>1461</v>
      </c>
      <c r="I3485" s="2">
        <v>2342</v>
      </c>
      <c r="J3485" s="2">
        <v>2.46</v>
      </c>
      <c r="K3485" s="2">
        <v>7.55</v>
      </c>
      <c r="L3485" s="2">
        <v>10.92</v>
      </c>
      <c r="M3485" s="2">
        <v>14.07</v>
      </c>
      <c r="N3485" s="2">
        <v>3.8120433870000001</v>
      </c>
      <c r="O3485" s="2">
        <v>3.8022414009999999</v>
      </c>
      <c r="P3485" s="2">
        <v>2.0735180419999999</v>
      </c>
      <c r="Q3485" s="2">
        <v>2.1695536149999999</v>
      </c>
      <c r="R3485" s="2">
        <v>2.0364527630000002</v>
      </c>
      <c r="S3485" s="2">
        <v>2.1264527630000001</v>
      </c>
      <c r="T3485" s="2">
        <v>0.39030400500000001</v>
      </c>
      <c r="U3485" s="2">
        <v>0.43030400499999999</v>
      </c>
      <c r="V3485" s="2">
        <v>3.864547628</v>
      </c>
      <c r="W3485" s="2">
        <v>3.9311585880000002</v>
      </c>
      <c r="X3485">
        <f t="shared" si="162"/>
        <v>0</v>
      </c>
      <c r="Y3485">
        <f t="shared" si="163"/>
        <v>0</v>
      </c>
      <c r="Z3485">
        <f t="shared" si="164"/>
        <v>1</v>
      </c>
    </row>
    <row r="3486" spans="1:26" ht="15.75" customHeight="1" x14ac:dyDescent="0.2">
      <c r="A3486" s="2" t="s">
        <v>36</v>
      </c>
      <c r="B3486" s="2" t="s">
        <v>35</v>
      </c>
      <c r="C3486" s="2" t="s">
        <v>32</v>
      </c>
      <c r="D3486" s="2" t="s">
        <v>33</v>
      </c>
      <c r="E3486" s="2">
        <v>207</v>
      </c>
      <c r="F3486" s="2">
        <v>237</v>
      </c>
      <c r="G3486" s="2">
        <v>851</v>
      </c>
      <c r="H3486" s="2">
        <v>1206</v>
      </c>
      <c r="I3486" s="2">
        <v>1848</v>
      </c>
      <c r="J3486" s="2">
        <v>2.36</v>
      </c>
      <c r="K3486" s="2">
        <v>7.59</v>
      </c>
      <c r="L3486" s="2">
        <v>9.68</v>
      </c>
      <c r="M3486" s="2">
        <v>12.48</v>
      </c>
      <c r="N3486" s="2">
        <v>1.50892994</v>
      </c>
      <c r="O3486" s="2">
        <v>1.4257668539999999</v>
      </c>
      <c r="P3486" s="2">
        <v>2.6382319339999998</v>
      </c>
      <c r="Q3486" s="2">
        <v>2.7338479489999998</v>
      </c>
      <c r="R3486" s="2">
        <v>2.0764389900000002</v>
      </c>
      <c r="S3486" s="2">
        <v>2.1664389900000001</v>
      </c>
      <c r="T3486" s="2">
        <v>1.6274731520000001</v>
      </c>
      <c r="U3486" s="2">
        <v>1.6674731519999999</v>
      </c>
      <c r="V3486" s="2">
        <v>3.9045338539999999</v>
      </c>
      <c r="W3486" s="2">
        <v>3.9711448150000002</v>
      </c>
      <c r="X3486">
        <f t="shared" si="162"/>
        <v>0</v>
      </c>
      <c r="Y3486">
        <f t="shared" si="163"/>
        <v>0</v>
      </c>
      <c r="Z3486">
        <f t="shared" si="164"/>
        <v>1</v>
      </c>
    </row>
    <row r="3487" spans="1:26" ht="15.75" customHeight="1" x14ac:dyDescent="0.2">
      <c r="A3487" s="2" t="s">
        <v>36</v>
      </c>
      <c r="B3487" s="2" t="s">
        <v>35</v>
      </c>
      <c r="C3487" s="2" t="s">
        <v>28</v>
      </c>
      <c r="D3487" s="2" t="s">
        <v>29</v>
      </c>
      <c r="E3487" s="2">
        <v>187</v>
      </c>
      <c r="F3487" s="2">
        <v>239</v>
      </c>
      <c r="G3487" s="2">
        <v>501</v>
      </c>
      <c r="H3487" s="2">
        <v>1218</v>
      </c>
      <c r="I3487" s="2">
        <v>2743</v>
      </c>
      <c r="J3487" s="2">
        <v>2.38</v>
      </c>
      <c r="K3487" s="2">
        <v>4.93</v>
      </c>
      <c r="L3487" s="2">
        <v>9.75</v>
      </c>
      <c r="M3487" s="2">
        <v>15.11</v>
      </c>
      <c r="N3487" s="2">
        <v>0.902392737</v>
      </c>
      <c r="O3487" s="2">
        <v>0.80443131599999995</v>
      </c>
      <c r="P3487" s="2">
        <v>1.6669437</v>
      </c>
      <c r="Q3487" s="2">
        <v>1.6760618190000001</v>
      </c>
      <c r="R3487" s="2">
        <v>0.57924160300000005</v>
      </c>
      <c r="S3487" s="2">
        <v>0.48924160300000002</v>
      </c>
      <c r="T3487" s="2">
        <v>1.5630676459999999</v>
      </c>
      <c r="U3487" s="2">
        <v>1.603067646</v>
      </c>
      <c r="V3487" s="2">
        <v>1.248853261</v>
      </c>
      <c r="W3487" s="2">
        <v>1.3154642219999999</v>
      </c>
      <c r="X3487">
        <f t="shared" si="162"/>
        <v>0</v>
      </c>
      <c r="Y3487">
        <f t="shared" si="163"/>
        <v>0</v>
      </c>
      <c r="Z3487">
        <f t="shared" si="164"/>
        <v>1</v>
      </c>
    </row>
    <row r="3488" spans="1:26" ht="15.75" customHeight="1" x14ac:dyDescent="0.2">
      <c r="A3488" s="2" t="s">
        <v>36</v>
      </c>
      <c r="B3488" s="2" t="s">
        <v>35</v>
      </c>
      <c r="C3488" s="2" t="s">
        <v>28</v>
      </c>
      <c r="D3488" s="2" t="s">
        <v>29</v>
      </c>
      <c r="E3488" s="2">
        <v>153</v>
      </c>
      <c r="F3488" s="2">
        <v>199</v>
      </c>
      <c r="G3488" s="2">
        <v>522</v>
      </c>
      <c r="H3488" s="2">
        <v>1345</v>
      </c>
      <c r="I3488" s="2">
        <v>2588</v>
      </c>
      <c r="J3488" s="2">
        <v>1.94</v>
      </c>
      <c r="K3488" s="2">
        <v>5.1100000000000003</v>
      </c>
      <c r="L3488" s="2">
        <v>10.38</v>
      </c>
      <c r="M3488" s="2">
        <v>14.73</v>
      </c>
      <c r="N3488" s="2">
        <v>1.3512510129999999</v>
      </c>
      <c r="O3488" s="2">
        <v>1.2818338199999999</v>
      </c>
      <c r="P3488" s="2">
        <v>1.0150310499999999</v>
      </c>
      <c r="Q3488" s="2">
        <v>1.0206336460000001</v>
      </c>
      <c r="R3488" s="2">
        <v>0.404318334</v>
      </c>
      <c r="S3488" s="2">
        <v>0.31431833399999998</v>
      </c>
      <c r="T3488" s="2">
        <v>0.93102884799999996</v>
      </c>
      <c r="U3488" s="2">
        <v>0.971028848</v>
      </c>
      <c r="V3488" s="2">
        <v>1.42377653</v>
      </c>
      <c r="W3488" s="2">
        <v>1.4903874909999999</v>
      </c>
      <c r="X3488">
        <f t="shared" si="162"/>
        <v>0</v>
      </c>
      <c r="Y3488">
        <f t="shared" si="163"/>
        <v>0</v>
      </c>
      <c r="Z3488">
        <f t="shared" si="164"/>
        <v>1</v>
      </c>
    </row>
    <row r="3489" spans="1:26" ht="15.75" customHeight="1" x14ac:dyDescent="0.2">
      <c r="A3489" s="2" t="s">
        <v>36</v>
      </c>
      <c r="B3489" s="2" t="s">
        <v>35</v>
      </c>
      <c r="C3489" s="2" t="s">
        <v>26</v>
      </c>
      <c r="D3489" s="2" t="s">
        <v>26</v>
      </c>
      <c r="E3489" s="2">
        <v>213</v>
      </c>
      <c r="F3489" s="2">
        <v>239</v>
      </c>
      <c r="G3489" s="2">
        <v>602</v>
      </c>
      <c r="H3489" s="2">
        <v>1088</v>
      </c>
      <c r="I3489" s="2">
        <v>2820</v>
      </c>
      <c r="J3489" s="2">
        <v>2.38</v>
      </c>
      <c r="K3489" s="2">
        <v>5.77</v>
      </c>
      <c r="L3489" s="2">
        <v>9.0399999999999991</v>
      </c>
      <c r="M3489" s="2">
        <v>15.29</v>
      </c>
      <c r="N3489" s="2">
        <v>0.20902733500000001</v>
      </c>
      <c r="O3489" s="2">
        <v>0.31667688100000002</v>
      </c>
      <c r="P3489" s="2">
        <v>2.2845222139999999</v>
      </c>
      <c r="Q3489" s="2">
        <v>2.3359354849999998</v>
      </c>
      <c r="R3489" s="2">
        <v>0.256948601</v>
      </c>
      <c r="S3489" s="2">
        <v>0.34694860100000002</v>
      </c>
      <c r="T3489" s="2">
        <v>2.2700262470000001</v>
      </c>
      <c r="U3489" s="2">
        <v>2.3100262470000001</v>
      </c>
      <c r="V3489" s="2">
        <v>2.0850434660000001</v>
      </c>
      <c r="W3489" s="2">
        <v>2.151654427</v>
      </c>
      <c r="X3489">
        <f t="shared" si="162"/>
        <v>0</v>
      </c>
      <c r="Y3489">
        <f t="shared" si="163"/>
        <v>0</v>
      </c>
      <c r="Z3489">
        <f t="shared" si="164"/>
        <v>0</v>
      </c>
    </row>
    <row r="3490" spans="1:26" ht="15.75" customHeight="1" x14ac:dyDescent="0.2">
      <c r="A3490" s="2" t="s">
        <v>36</v>
      </c>
      <c r="B3490" s="2" t="s">
        <v>35</v>
      </c>
      <c r="C3490" s="2" t="s">
        <v>25</v>
      </c>
      <c r="D3490" s="2" t="s">
        <v>25</v>
      </c>
      <c r="E3490" s="2">
        <v>217</v>
      </c>
      <c r="F3490" s="2">
        <v>240</v>
      </c>
      <c r="G3490" s="2">
        <v>875</v>
      </c>
      <c r="H3490" s="2">
        <v>1495</v>
      </c>
      <c r="I3490" s="2">
        <v>2280</v>
      </c>
      <c r="J3490" s="2">
        <v>2.39</v>
      </c>
      <c r="K3490" s="2">
        <v>7.74</v>
      </c>
      <c r="L3490" s="2">
        <v>11.07</v>
      </c>
      <c r="M3490" s="2">
        <v>13.89</v>
      </c>
      <c r="N3490" s="2">
        <v>0.13800411000000001</v>
      </c>
      <c r="O3490" s="2">
        <v>2.7792682999999999E-2</v>
      </c>
      <c r="P3490" s="2">
        <v>2.245128067</v>
      </c>
      <c r="Q3490" s="2">
        <v>2.3390524730000002</v>
      </c>
      <c r="R3490" s="2">
        <v>2.2325117589999999</v>
      </c>
      <c r="S3490" s="2">
        <v>2.3225117590000002</v>
      </c>
      <c r="T3490" s="2">
        <v>0.23767895</v>
      </c>
      <c r="U3490" s="2">
        <v>0.27767894999999998</v>
      </c>
      <c r="V3490" s="2">
        <v>4.0606066240000001</v>
      </c>
      <c r="W3490" s="2">
        <v>4.1272175850000004</v>
      </c>
      <c r="X3490">
        <f t="shared" si="162"/>
        <v>0</v>
      </c>
      <c r="Y3490">
        <f t="shared" si="163"/>
        <v>0</v>
      </c>
      <c r="Z3490">
        <f t="shared" si="164"/>
        <v>0</v>
      </c>
    </row>
    <row r="3491" spans="1:26" ht="15.75" customHeight="1" x14ac:dyDescent="0.2">
      <c r="A3491" s="2" t="s">
        <v>36</v>
      </c>
      <c r="B3491" s="2" t="s">
        <v>35</v>
      </c>
      <c r="C3491" s="2" t="s">
        <v>30</v>
      </c>
      <c r="D3491" s="2" t="s">
        <v>31</v>
      </c>
      <c r="E3491" s="2">
        <v>198</v>
      </c>
      <c r="F3491" s="2">
        <v>243</v>
      </c>
      <c r="G3491" s="2">
        <v>845</v>
      </c>
      <c r="H3491" s="2">
        <v>1629</v>
      </c>
      <c r="I3491" s="2">
        <v>2192</v>
      </c>
      <c r="J3491" s="2">
        <v>2.42</v>
      </c>
      <c r="K3491" s="2">
        <v>7.54</v>
      </c>
      <c r="L3491" s="2">
        <v>11.64</v>
      </c>
      <c r="M3491" s="2">
        <v>13.62</v>
      </c>
      <c r="N3491" s="2">
        <v>3.240722361</v>
      </c>
      <c r="O3491" s="2">
        <v>3.2491265349999998</v>
      </c>
      <c r="P3491" s="2">
        <v>2.0608301080000002</v>
      </c>
      <c r="Q3491" s="2">
        <v>2.1439393920000001</v>
      </c>
      <c r="R3491" s="2">
        <v>2.0342262899999999</v>
      </c>
      <c r="S3491" s="2">
        <v>2.1242262900000002</v>
      </c>
      <c r="T3491" s="2">
        <v>0.33006686499999999</v>
      </c>
      <c r="U3491" s="2">
        <v>0.29006686500000001</v>
      </c>
      <c r="V3491" s="2">
        <v>3.862321154</v>
      </c>
      <c r="W3491" s="2">
        <v>3.9289321149999998</v>
      </c>
      <c r="X3491">
        <f t="shared" si="162"/>
        <v>0</v>
      </c>
      <c r="Y3491">
        <f t="shared" si="163"/>
        <v>0</v>
      </c>
      <c r="Z3491">
        <f t="shared" si="164"/>
        <v>1</v>
      </c>
    </row>
    <row r="3492" spans="1:26" ht="15.75" customHeight="1" x14ac:dyDescent="0.2">
      <c r="A3492" s="2" t="s">
        <v>36</v>
      </c>
      <c r="B3492" s="2" t="s">
        <v>35</v>
      </c>
      <c r="C3492" s="2" t="s">
        <v>28</v>
      </c>
      <c r="D3492" s="2" t="s">
        <v>29</v>
      </c>
      <c r="E3492" s="2">
        <v>209</v>
      </c>
      <c r="F3492" s="2">
        <v>162</v>
      </c>
      <c r="G3492" s="2">
        <v>457</v>
      </c>
      <c r="H3492" s="2">
        <v>1278</v>
      </c>
      <c r="I3492" s="2">
        <v>3021</v>
      </c>
      <c r="J3492" s="2">
        <v>1.52</v>
      </c>
      <c r="K3492" s="2">
        <v>4.54</v>
      </c>
      <c r="L3492" s="2">
        <v>10.050000000000001</v>
      </c>
      <c r="M3492" s="2">
        <v>15.73</v>
      </c>
      <c r="N3492" s="2">
        <v>1.3972318939999999</v>
      </c>
      <c r="O3492" s="2">
        <v>1.2968796170000001</v>
      </c>
      <c r="P3492" s="2">
        <v>1.592533754</v>
      </c>
      <c r="Q3492" s="2">
        <v>1.5720624110000001</v>
      </c>
      <c r="R3492" s="2">
        <v>0.97383448299999997</v>
      </c>
      <c r="S3492" s="2">
        <v>0.883834483</v>
      </c>
      <c r="T3492" s="2">
        <v>1.2600833929999999</v>
      </c>
      <c r="U3492" s="2">
        <v>1.300083393</v>
      </c>
      <c r="V3492" s="2">
        <v>0.85426038199999998</v>
      </c>
      <c r="W3492" s="2">
        <v>0.92087134299999995</v>
      </c>
      <c r="X3492">
        <f t="shared" si="162"/>
        <v>0</v>
      </c>
      <c r="Y3492">
        <f t="shared" si="163"/>
        <v>0</v>
      </c>
      <c r="Z3492">
        <f t="shared" si="164"/>
        <v>1</v>
      </c>
    </row>
    <row r="3493" spans="1:26" ht="15.75" customHeight="1" x14ac:dyDescent="0.2">
      <c r="A3493" s="2" t="s">
        <v>36</v>
      </c>
      <c r="B3493" s="2" t="s">
        <v>35</v>
      </c>
      <c r="C3493" s="2" t="s">
        <v>28</v>
      </c>
      <c r="D3493" s="2" t="s">
        <v>29</v>
      </c>
      <c r="E3493" s="2">
        <v>222</v>
      </c>
      <c r="F3493" s="2">
        <v>158</v>
      </c>
      <c r="G3493" s="2">
        <v>486</v>
      </c>
      <c r="H3493" s="2">
        <v>1382</v>
      </c>
      <c r="I3493" s="2">
        <v>3217</v>
      </c>
      <c r="J3493" s="2">
        <v>1.47</v>
      </c>
      <c r="K3493" s="2">
        <v>4.8</v>
      </c>
      <c r="L3493" s="2">
        <v>10.56</v>
      </c>
      <c r="M3493" s="2">
        <v>16.13</v>
      </c>
      <c r="N3493" s="2">
        <v>1.638835144</v>
      </c>
      <c r="O3493" s="2">
        <v>1.5580831589999999</v>
      </c>
      <c r="P3493" s="2">
        <v>1.0353353489999999</v>
      </c>
      <c r="Q3493" s="2">
        <v>1.0070078099999999</v>
      </c>
      <c r="R3493" s="2">
        <v>0.71014715900000003</v>
      </c>
      <c r="S3493" s="2">
        <v>0.62014715899999995</v>
      </c>
      <c r="T3493" s="2">
        <v>0.75339916200000001</v>
      </c>
      <c r="U3493" s="2">
        <v>0.79339916200000005</v>
      </c>
      <c r="V3493" s="2">
        <v>1.117947706</v>
      </c>
      <c r="W3493" s="2">
        <v>1.184558666</v>
      </c>
      <c r="X3493">
        <f t="shared" si="162"/>
        <v>0</v>
      </c>
      <c r="Y3493">
        <f t="shared" si="163"/>
        <v>0</v>
      </c>
      <c r="Z3493">
        <f t="shared" si="164"/>
        <v>1</v>
      </c>
    </row>
    <row r="3494" spans="1:26" ht="15.75" customHeight="1" x14ac:dyDescent="0.2">
      <c r="A3494" s="2" t="s">
        <v>36</v>
      </c>
      <c r="B3494" s="2" t="s">
        <v>35</v>
      </c>
      <c r="C3494" s="2" t="s">
        <v>32</v>
      </c>
      <c r="D3494" s="2" t="s">
        <v>33</v>
      </c>
      <c r="E3494" s="2">
        <v>199</v>
      </c>
      <c r="F3494" s="2">
        <v>247</v>
      </c>
      <c r="G3494" s="2">
        <v>851</v>
      </c>
      <c r="H3494" s="2">
        <v>1409</v>
      </c>
      <c r="I3494" s="2">
        <v>3045</v>
      </c>
      <c r="J3494" s="2">
        <v>2.4700000000000002</v>
      </c>
      <c r="K3494" s="2">
        <v>7.58</v>
      </c>
      <c r="L3494" s="2">
        <v>10.68</v>
      </c>
      <c r="M3494" s="2">
        <v>15.78</v>
      </c>
      <c r="N3494" s="2">
        <v>0.54906067300000005</v>
      </c>
      <c r="O3494" s="2">
        <v>0.44406501999999998</v>
      </c>
      <c r="P3494" s="2">
        <v>2.1665822760000002</v>
      </c>
      <c r="Q3494" s="2">
        <v>2.2643335250000001</v>
      </c>
      <c r="R3494" s="2">
        <v>2.0742220109999998</v>
      </c>
      <c r="S3494" s="2">
        <v>2.1642220110000001</v>
      </c>
      <c r="T3494" s="2">
        <v>0.62584487499999997</v>
      </c>
      <c r="U3494" s="2">
        <v>0.665844875</v>
      </c>
      <c r="V3494" s="2">
        <v>3.902316876</v>
      </c>
      <c r="W3494" s="2">
        <v>3.9689278369999998</v>
      </c>
      <c r="X3494">
        <f t="shared" si="162"/>
        <v>0</v>
      </c>
      <c r="Y3494">
        <f t="shared" si="163"/>
        <v>0</v>
      </c>
      <c r="Z3494">
        <f t="shared" si="164"/>
        <v>1</v>
      </c>
    </row>
    <row r="3495" spans="1:26" ht="15.75" customHeight="1" x14ac:dyDescent="0.2">
      <c r="A3495" s="2" t="s">
        <v>36</v>
      </c>
      <c r="B3495" s="2" t="s">
        <v>35</v>
      </c>
      <c r="C3495" s="2" t="s">
        <v>25</v>
      </c>
      <c r="D3495" s="2" t="s">
        <v>25</v>
      </c>
      <c r="E3495" s="2">
        <v>180</v>
      </c>
      <c r="F3495" s="2">
        <v>264</v>
      </c>
      <c r="G3495" s="2">
        <v>927</v>
      </c>
      <c r="H3495" s="2">
        <v>1794</v>
      </c>
      <c r="I3495" s="2">
        <v>2838</v>
      </c>
      <c r="J3495" s="2">
        <v>2.66</v>
      </c>
      <c r="K3495" s="2">
        <v>8.08</v>
      </c>
      <c r="L3495" s="2">
        <v>12.28</v>
      </c>
      <c r="M3495" s="2">
        <v>15.33</v>
      </c>
      <c r="N3495" s="2">
        <v>1.1363154390000001</v>
      </c>
      <c r="O3495" s="2">
        <v>1.2285605639999999</v>
      </c>
      <c r="P3495" s="2">
        <v>2.7459524649999998</v>
      </c>
      <c r="Q3495" s="2">
        <v>2.8168446010000001</v>
      </c>
      <c r="R3495" s="2">
        <v>2.5685452030000002</v>
      </c>
      <c r="S3495" s="2">
        <v>2.6585452030000001</v>
      </c>
      <c r="T3495" s="2">
        <v>0.97099458299999997</v>
      </c>
      <c r="U3495" s="2">
        <v>0.93099458300000004</v>
      </c>
      <c r="V3495" s="2">
        <v>4.3966400669999999</v>
      </c>
      <c r="W3495" s="2">
        <v>4.4632510280000002</v>
      </c>
      <c r="X3495">
        <f t="shared" si="162"/>
        <v>0</v>
      </c>
      <c r="Y3495">
        <f t="shared" si="163"/>
        <v>0</v>
      </c>
      <c r="Z3495">
        <f t="shared" si="164"/>
        <v>0</v>
      </c>
    </row>
    <row r="3496" spans="1:26" ht="15.75" customHeight="1" x14ac:dyDescent="0.2">
      <c r="A3496" s="2" t="s">
        <v>36</v>
      </c>
      <c r="B3496" s="2" t="s">
        <v>35</v>
      </c>
      <c r="C3496" s="2" t="s">
        <v>27</v>
      </c>
      <c r="D3496" s="2" t="s">
        <v>27</v>
      </c>
      <c r="E3496" s="2">
        <v>157</v>
      </c>
      <c r="F3496" s="2">
        <v>204</v>
      </c>
      <c r="G3496" s="2">
        <v>554</v>
      </c>
      <c r="H3496" s="2">
        <v>2317</v>
      </c>
      <c r="I3496" s="2">
        <v>2612</v>
      </c>
      <c r="J3496" s="2">
        <v>2</v>
      </c>
      <c r="K3496" s="2">
        <v>5.38</v>
      </c>
      <c r="L3496" s="2">
        <v>13.99</v>
      </c>
      <c r="M3496" s="2">
        <v>14.79</v>
      </c>
      <c r="N3496" s="2">
        <v>8.0122368999999999E-2</v>
      </c>
      <c r="O3496" s="2">
        <v>8.8959355000000004E-2</v>
      </c>
      <c r="P3496" s="2">
        <v>2.6861986710000001</v>
      </c>
      <c r="Q3496" s="2">
        <v>2.6432875340000002</v>
      </c>
      <c r="R3496" s="2">
        <v>0.13198886200000001</v>
      </c>
      <c r="S3496" s="2">
        <v>4.1988862000000002E-2</v>
      </c>
      <c r="T3496" s="2">
        <v>2.6829540139999999</v>
      </c>
      <c r="U3496" s="2">
        <v>2.6429540139999999</v>
      </c>
      <c r="V3496" s="2">
        <v>1.6961060020000001</v>
      </c>
      <c r="W3496" s="2">
        <v>1.7627169629999999</v>
      </c>
      <c r="X3496">
        <f t="shared" si="162"/>
        <v>0</v>
      </c>
      <c r="Y3496">
        <f t="shared" si="163"/>
        <v>0</v>
      </c>
      <c r="Z3496">
        <f t="shared" si="164"/>
        <v>0</v>
      </c>
    </row>
    <row r="3497" spans="1:26" ht="15.75" customHeight="1" x14ac:dyDescent="0.2">
      <c r="A3497" s="2" t="s">
        <v>36</v>
      </c>
      <c r="B3497" s="2" t="s">
        <v>35</v>
      </c>
      <c r="C3497" s="2" t="s">
        <v>32</v>
      </c>
      <c r="D3497" s="2" t="s">
        <v>33</v>
      </c>
      <c r="E3497" s="2">
        <v>173</v>
      </c>
      <c r="F3497" s="2">
        <v>244</v>
      </c>
      <c r="G3497" s="2">
        <v>820</v>
      </c>
      <c r="H3497" s="2">
        <v>1068</v>
      </c>
      <c r="I3497" s="2">
        <v>2118</v>
      </c>
      <c r="J3497" s="2">
        <v>2.4300000000000002</v>
      </c>
      <c r="K3497" s="2">
        <v>7.38</v>
      </c>
      <c r="L3497" s="2">
        <v>8.92</v>
      </c>
      <c r="M3497" s="2">
        <v>13.39</v>
      </c>
      <c r="N3497" s="2">
        <v>2.2932964249999999</v>
      </c>
      <c r="O3497" s="2">
        <v>2.206091389</v>
      </c>
      <c r="P3497" s="2">
        <v>3.0286935690000001</v>
      </c>
      <c r="Q3497" s="2">
        <v>3.1159876030000002</v>
      </c>
      <c r="R3497" s="2">
        <v>1.8657189110000001</v>
      </c>
      <c r="S3497" s="2">
        <v>1.9557189109999999</v>
      </c>
      <c r="T3497" s="2">
        <v>2.3858075529999998</v>
      </c>
      <c r="U3497" s="2">
        <v>2.4258075529999998</v>
      </c>
      <c r="V3497" s="2">
        <v>3.6938137759999998</v>
      </c>
      <c r="W3497" s="2">
        <v>3.7604247370000001</v>
      </c>
      <c r="X3497">
        <f t="shared" si="162"/>
        <v>0</v>
      </c>
      <c r="Y3497">
        <f t="shared" si="163"/>
        <v>0</v>
      </c>
      <c r="Z3497">
        <f t="shared" si="164"/>
        <v>1</v>
      </c>
    </row>
    <row r="3498" spans="1:26" ht="15.75" customHeight="1" x14ac:dyDescent="0.2">
      <c r="A3498" s="2" t="s">
        <v>36</v>
      </c>
      <c r="B3498" s="2" t="s">
        <v>35</v>
      </c>
      <c r="C3498" s="2" t="s">
        <v>28</v>
      </c>
      <c r="D3498" s="2" t="s">
        <v>29</v>
      </c>
      <c r="E3498" s="2">
        <v>196</v>
      </c>
      <c r="F3498" s="2">
        <v>203</v>
      </c>
      <c r="G3498" s="2">
        <v>508</v>
      </c>
      <c r="H3498" s="2">
        <v>1285</v>
      </c>
      <c r="I3498" s="2">
        <v>2592</v>
      </c>
      <c r="J3498" s="2">
        <v>1.98</v>
      </c>
      <c r="K3498" s="2">
        <v>4.99</v>
      </c>
      <c r="L3498" s="2">
        <v>10.09</v>
      </c>
      <c r="M3498" s="2">
        <v>14.74</v>
      </c>
      <c r="N3498" s="2">
        <v>1.139547468</v>
      </c>
      <c r="O3498" s="2">
        <v>1.055944199</v>
      </c>
      <c r="P3498" s="2">
        <v>1.329548569</v>
      </c>
      <c r="Q3498" s="2">
        <v>1.3344429849999999</v>
      </c>
      <c r="R3498" s="2">
        <v>0.524448197</v>
      </c>
      <c r="S3498" s="2">
        <v>0.43444819699999998</v>
      </c>
      <c r="T3498" s="2">
        <v>1.221741988</v>
      </c>
      <c r="U3498" s="2">
        <v>1.261741988</v>
      </c>
      <c r="V3498" s="2">
        <v>1.3036466680000001</v>
      </c>
      <c r="W3498" s="2">
        <v>1.3702576289999999</v>
      </c>
      <c r="X3498">
        <f t="shared" si="162"/>
        <v>0</v>
      </c>
      <c r="Y3498">
        <f t="shared" si="163"/>
        <v>0</v>
      </c>
      <c r="Z3498">
        <f t="shared" si="164"/>
        <v>1</v>
      </c>
    </row>
    <row r="3499" spans="1:26" ht="15.75" customHeight="1" x14ac:dyDescent="0.2">
      <c r="A3499" s="2" t="s">
        <v>36</v>
      </c>
      <c r="B3499" s="2" t="s">
        <v>35</v>
      </c>
      <c r="C3499" s="2" t="s">
        <v>27</v>
      </c>
      <c r="D3499" s="2" t="s">
        <v>27</v>
      </c>
      <c r="E3499" s="2">
        <v>184</v>
      </c>
      <c r="F3499" s="2">
        <v>236</v>
      </c>
      <c r="G3499" s="2">
        <v>542</v>
      </c>
      <c r="H3499" s="2">
        <v>2375</v>
      </c>
      <c r="I3499" s="2">
        <v>3267</v>
      </c>
      <c r="J3499" s="2">
        <v>2.35</v>
      </c>
      <c r="K3499" s="2">
        <v>5.27</v>
      </c>
      <c r="L3499" s="2">
        <v>14.16</v>
      </c>
      <c r="M3499" s="2">
        <v>16.23</v>
      </c>
      <c r="N3499" s="2">
        <v>0.152532204</v>
      </c>
      <c r="O3499" s="2">
        <v>0.17799707400000001</v>
      </c>
      <c r="P3499" s="2">
        <v>2.8570449450000002</v>
      </c>
      <c r="Q3499" s="2">
        <v>2.8111048279999999</v>
      </c>
      <c r="R3499" s="2">
        <v>0.23503664199999999</v>
      </c>
      <c r="S3499" s="2">
        <v>0.14503664199999999</v>
      </c>
      <c r="T3499" s="2">
        <v>2.8473608119999998</v>
      </c>
      <c r="U3499" s="2">
        <v>2.8073608120000002</v>
      </c>
      <c r="V3499" s="2">
        <v>1.5930582230000001</v>
      </c>
      <c r="W3499" s="2">
        <v>1.6596691830000001</v>
      </c>
      <c r="X3499">
        <f t="shared" si="162"/>
        <v>0</v>
      </c>
      <c r="Y3499">
        <f t="shared" si="163"/>
        <v>0</v>
      </c>
      <c r="Z3499">
        <f t="shared" si="164"/>
        <v>0</v>
      </c>
    </row>
    <row r="3500" spans="1:26" ht="15.75" customHeight="1" x14ac:dyDescent="0.2">
      <c r="A3500" s="2" t="s">
        <v>36</v>
      </c>
      <c r="B3500" s="2" t="s">
        <v>35</v>
      </c>
      <c r="C3500" s="2" t="s">
        <v>26</v>
      </c>
      <c r="D3500" s="2" t="s">
        <v>26</v>
      </c>
      <c r="E3500" s="2">
        <v>188</v>
      </c>
      <c r="F3500" s="2">
        <v>240</v>
      </c>
      <c r="G3500" s="2">
        <v>583</v>
      </c>
      <c r="H3500" s="2">
        <v>1074</v>
      </c>
      <c r="I3500" s="2">
        <v>3049</v>
      </c>
      <c r="J3500" s="2">
        <v>2.39</v>
      </c>
      <c r="K3500" s="2">
        <v>5.61</v>
      </c>
      <c r="L3500" s="2">
        <v>8.9600000000000009</v>
      </c>
      <c r="M3500" s="2">
        <v>15.79</v>
      </c>
      <c r="N3500" s="2">
        <v>0.15399584999999999</v>
      </c>
      <c r="O3500" s="2">
        <v>0.236351115</v>
      </c>
      <c r="P3500" s="2">
        <v>2.3499631349999999</v>
      </c>
      <c r="Q3500" s="2">
        <v>2.3955167620000002</v>
      </c>
      <c r="R3500" s="2">
        <v>0.103665443</v>
      </c>
      <c r="S3500" s="2">
        <v>0.19366544299999999</v>
      </c>
      <c r="T3500" s="2">
        <v>2.347675492</v>
      </c>
      <c r="U3500" s="2">
        <v>2.3876754920000001</v>
      </c>
      <c r="V3500" s="2">
        <v>1.9317603080000001</v>
      </c>
      <c r="W3500" s="2">
        <v>1.9983712680000001</v>
      </c>
      <c r="X3500">
        <f t="shared" si="162"/>
        <v>0</v>
      </c>
      <c r="Y3500">
        <f t="shared" si="163"/>
        <v>0</v>
      </c>
      <c r="Z3500">
        <f t="shared" si="164"/>
        <v>0</v>
      </c>
    </row>
    <row r="3501" spans="1:26" ht="15.75" customHeight="1" x14ac:dyDescent="0.2">
      <c r="A3501" s="2" t="s">
        <v>36</v>
      </c>
      <c r="B3501" s="2" t="s">
        <v>35</v>
      </c>
      <c r="C3501" s="2" t="s">
        <v>27</v>
      </c>
      <c r="D3501" s="2" t="s">
        <v>27</v>
      </c>
      <c r="E3501" s="2">
        <v>186</v>
      </c>
      <c r="F3501" s="2">
        <v>238</v>
      </c>
      <c r="G3501" s="2">
        <v>567</v>
      </c>
      <c r="H3501" s="2">
        <v>2183</v>
      </c>
      <c r="I3501" s="2">
        <v>3181</v>
      </c>
      <c r="J3501" s="2">
        <v>2.38</v>
      </c>
      <c r="K3501" s="2">
        <v>5.48</v>
      </c>
      <c r="L3501" s="2">
        <v>13.6</v>
      </c>
      <c r="M3501" s="2">
        <v>16.059999999999999</v>
      </c>
      <c r="N3501" s="2">
        <v>0.47964596399999998</v>
      </c>
      <c r="O3501" s="2">
        <v>0.42829350799999999</v>
      </c>
      <c r="P3501" s="2">
        <v>2.2877160459999999</v>
      </c>
      <c r="Q3501" s="2">
        <v>2.248431407</v>
      </c>
      <c r="R3501" s="2">
        <v>2.7203166000000001E-2</v>
      </c>
      <c r="S3501" s="2">
        <v>6.2796833999999996E-2</v>
      </c>
      <c r="T3501" s="2">
        <v>2.2875543039999999</v>
      </c>
      <c r="U3501" s="2">
        <v>2.2475543039999999</v>
      </c>
      <c r="V3501" s="2">
        <v>1.8008916989999999</v>
      </c>
      <c r="W3501" s="2">
        <v>1.8675026589999999</v>
      </c>
      <c r="X3501">
        <f t="shared" si="162"/>
        <v>0</v>
      </c>
      <c r="Y3501">
        <f t="shared" si="163"/>
        <v>0</v>
      </c>
      <c r="Z3501">
        <f t="shared" si="164"/>
        <v>0</v>
      </c>
    </row>
    <row r="3502" spans="1:26" ht="15.75" customHeight="1" x14ac:dyDescent="0.2">
      <c r="A3502" s="2" t="s">
        <v>36</v>
      </c>
      <c r="B3502" s="2" t="s">
        <v>35</v>
      </c>
      <c r="C3502" s="2" t="s">
        <v>27</v>
      </c>
      <c r="D3502" s="2" t="s">
        <v>27</v>
      </c>
      <c r="E3502" s="2">
        <v>192</v>
      </c>
      <c r="F3502" s="2">
        <v>205</v>
      </c>
      <c r="G3502" s="2">
        <v>568</v>
      </c>
      <c r="H3502" s="2">
        <v>2593</v>
      </c>
      <c r="I3502" s="2">
        <v>3243</v>
      </c>
      <c r="J3502" s="2">
        <v>2</v>
      </c>
      <c r="K3502" s="2">
        <v>5.49</v>
      </c>
      <c r="L3502" s="2">
        <v>14.74</v>
      </c>
      <c r="M3502" s="2">
        <v>16.18</v>
      </c>
      <c r="N3502" s="2">
        <v>0.67439185700000004</v>
      </c>
      <c r="O3502" s="2">
        <v>0.78475750200000005</v>
      </c>
      <c r="P3502" s="2">
        <v>3.42788</v>
      </c>
      <c r="Q3502" s="2">
        <v>3.38864454</v>
      </c>
      <c r="R3502" s="2">
        <v>1.6234176999999999E-2</v>
      </c>
      <c r="S3502" s="2">
        <v>7.3765822999999994E-2</v>
      </c>
      <c r="T3502" s="2">
        <v>3.4278415579999999</v>
      </c>
      <c r="U3502" s="2">
        <v>3.3878415579999999</v>
      </c>
      <c r="V3502" s="2">
        <v>1.8118606880000001</v>
      </c>
      <c r="W3502" s="2">
        <v>1.8784716480000001</v>
      </c>
      <c r="X3502">
        <f t="shared" si="162"/>
        <v>0</v>
      </c>
      <c r="Y3502">
        <f t="shared" si="163"/>
        <v>0</v>
      </c>
      <c r="Z3502">
        <f t="shared" si="164"/>
        <v>0</v>
      </c>
    </row>
    <row r="3503" spans="1:26" ht="15.75" customHeight="1" x14ac:dyDescent="0.2">
      <c r="A3503" s="2" t="s">
        <v>36</v>
      </c>
      <c r="B3503" s="2" t="s">
        <v>35</v>
      </c>
      <c r="C3503" s="2" t="s">
        <v>32</v>
      </c>
      <c r="D3503" s="2" t="s">
        <v>33</v>
      </c>
      <c r="E3503" s="2">
        <v>196</v>
      </c>
      <c r="F3503" s="2">
        <v>196</v>
      </c>
      <c r="G3503" s="2">
        <v>834</v>
      </c>
      <c r="H3503" s="2">
        <v>1500</v>
      </c>
      <c r="I3503" s="2">
        <v>2941</v>
      </c>
      <c r="J3503" s="2">
        <v>1.91</v>
      </c>
      <c r="K3503" s="2">
        <v>7.47</v>
      </c>
      <c r="L3503" s="2">
        <v>11.09</v>
      </c>
      <c r="M3503" s="2">
        <v>15.56</v>
      </c>
      <c r="N3503" s="2">
        <v>0.37562362300000002</v>
      </c>
      <c r="O3503" s="2">
        <v>0.26744066500000002</v>
      </c>
      <c r="P3503" s="2">
        <v>1.974838074</v>
      </c>
      <c r="Q3503" s="2">
        <v>2.068927655</v>
      </c>
      <c r="R3503" s="2">
        <v>1.9626986399999999</v>
      </c>
      <c r="S3503" s="2">
        <v>2.05269864</v>
      </c>
      <c r="T3503" s="2">
        <v>0.21863088899999999</v>
      </c>
      <c r="U3503" s="2">
        <v>0.25863088899999997</v>
      </c>
      <c r="V3503" s="2">
        <v>3.7907935049999999</v>
      </c>
      <c r="W3503" s="2">
        <v>3.8574044650000001</v>
      </c>
      <c r="X3503">
        <f t="shared" si="162"/>
        <v>0</v>
      </c>
      <c r="Y3503">
        <f t="shared" si="163"/>
        <v>0</v>
      </c>
      <c r="Z3503">
        <f t="shared" si="164"/>
        <v>1</v>
      </c>
    </row>
    <row r="3504" spans="1:26" ht="15.75" customHeight="1" x14ac:dyDescent="0.2">
      <c r="A3504" s="2" t="s">
        <v>36</v>
      </c>
      <c r="B3504" s="2" t="s">
        <v>35</v>
      </c>
      <c r="C3504" s="2" t="s">
        <v>28</v>
      </c>
      <c r="D3504" s="2" t="s">
        <v>29</v>
      </c>
      <c r="E3504" s="2">
        <v>192</v>
      </c>
      <c r="F3504" s="2">
        <v>243</v>
      </c>
      <c r="G3504" s="2">
        <v>572</v>
      </c>
      <c r="H3504" s="2">
        <v>1387</v>
      </c>
      <c r="I3504" s="2">
        <v>2915</v>
      </c>
      <c r="J3504" s="2">
        <v>2.4300000000000002</v>
      </c>
      <c r="K3504" s="2">
        <v>5.53</v>
      </c>
      <c r="L3504" s="2">
        <v>10.58</v>
      </c>
      <c r="M3504" s="2">
        <v>15.5</v>
      </c>
      <c r="N3504" s="2">
        <v>1.470730018</v>
      </c>
      <c r="O3504" s="2">
        <v>1.431209387</v>
      </c>
      <c r="P3504" s="2">
        <v>0.73009918500000004</v>
      </c>
      <c r="Q3504" s="2">
        <v>0.77725560500000002</v>
      </c>
      <c r="R3504" s="2">
        <v>1.6603475999999999E-2</v>
      </c>
      <c r="S3504" s="2">
        <v>0.106603476</v>
      </c>
      <c r="T3504" s="2">
        <v>0.729910367</v>
      </c>
      <c r="U3504" s="2">
        <v>0.76991036700000004</v>
      </c>
      <c r="V3504" s="2">
        <v>1.8446983400000001</v>
      </c>
      <c r="W3504" s="2">
        <v>1.911309301</v>
      </c>
      <c r="X3504">
        <f t="shared" si="162"/>
        <v>0</v>
      </c>
      <c r="Y3504">
        <f t="shared" si="163"/>
        <v>0</v>
      </c>
      <c r="Z3504">
        <f t="shared" si="164"/>
        <v>1</v>
      </c>
    </row>
    <row r="3505" spans="1:26" ht="15.75" customHeight="1" x14ac:dyDescent="0.2">
      <c r="A3505" s="2" t="s">
        <v>36</v>
      </c>
      <c r="B3505" s="2" t="s">
        <v>35</v>
      </c>
      <c r="C3505" s="2" t="s">
        <v>26</v>
      </c>
      <c r="D3505" s="2" t="s">
        <v>26</v>
      </c>
      <c r="E3505" s="2">
        <v>203</v>
      </c>
      <c r="F3505" s="2">
        <v>229</v>
      </c>
      <c r="G3505" s="2">
        <v>569</v>
      </c>
      <c r="H3505" s="2">
        <v>1193</v>
      </c>
      <c r="I3505" s="2">
        <v>2775</v>
      </c>
      <c r="J3505" s="2">
        <v>2.27</v>
      </c>
      <c r="K3505" s="2">
        <v>5.5</v>
      </c>
      <c r="L3505" s="2">
        <v>9.6199999999999992</v>
      </c>
      <c r="M3505" s="2">
        <v>15.18</v>
      </c>
      <c r="N3505" s="2">
        <v>0.51005057300000001</v>
      </c>
      <c r="O3505" s="2">
        <v>0.46714851699999999</v>
      </c>
      <c r="P3505" s="2">
        <v>1.6941519810000001</v>
      </c>
      <c r="Q3505" s="2">
        <v>1.736212147</v>
      </c>
      <c r="R3505" s="2">
        <v>5.2767530000000003E-3</v>
      </c>
      <c r="S3505" s="2">
        <v>8.4723247000000002E-2</v>
      </c>
      <c r="T3505" s="2">
        <v>1.694143763</v>
      </c>
      <c r="U3505" s="2">
        <v>1.7341437630000001</v>
      </c>
      <c r="V3505" s="2">
        <v>1.822818112</v>
      </c>
      <c r="W3505" s="2">
        <v>1.8894290730000001</v>
      </c>
      <c r="X3505">
        <f t="shared" si="162"/>
        <v>0</v>
      </c>
      <c r="Y3505">
        <f t="shared" si="163"/>
        <v>0</v>
      </c>
      <c r="Z3505">
        <f t="shared" si="164"/>
        <v>0</v>
      </c>
    </row>
    <row r="3506" spans="1:26" ht="15.75" customHeight="1" x14ac:dyDescent="0.2">
      <c r="A3506" s="2" t="s">
        <v>36</v>
      </c>
      <c r="B3506" s="2" t="s">
        <v>35</v>
      </c>
      <c r="C3506" s="2" t="s">
        <v>30</v>
      </c>
      <c r="D3506" s="2" t="s">
        <v>31</v>
      </c>
      <c r="E3506" s="2">
        <v>180</v>
      </c>
      <c r="F3506" s="2">
        <v>240</v>
      </c>
      <c r="G3506" s="2">
        <v>818</v>
      </c>
      <c r="H3506" s="2">
        <v>1409</v>
      </c>
      <c r="I3506" s="2">
        <v>2712</v>
      </c>
      <c r="J3506" s="2">
        <v>2.39</v>
      </c>
      <c r="K3506" s="2">
        <v>7.36</v>
      </c>
      <c r="L3506" s="2">
        <v>10.68</v>
      </c>
      <c r="M3506" s="2">
        <v>15.03</v>
      </c>
      <c r="N3506" s="2">
        <v>3.9146215799999999</v>
      </c>
      <c r="O3506" s="2">
        <v>3.8944057160000001</v>
      </c>
      <c r="P3506" s="2">
        <v>1.955483836</v>
      </c>
      <c r="Q3506" s="2">
        <v>2.0535791630000002</v>
      </c>
      <c r="R3506" s="2">
        <v>1.8521072839999999</v>
      </c>
      <c r="S3506" s="2">
        <v>1.942107284</v>
      </c>
      <c r="T3506" s="2">
        <v>0.62738794899999994</v>
      </c>
      <c r="U3506" s="2">
        <v>0.66738794899999998</v>
      </c>
      <c r="V3506" s="2">
        <v>3.6802021489999999</v>
      </c>
      <c r="W3506" s="2">
        <v>3.7468131100000002</v>
      </c>
      <c r="X3506">
        <f t="shared" si="162"/>
        <v>0</v>
      </c>
      <c r="Y3506">
        <f t="shared" si="163"/>
        <v>0</v>
      </c>
      <c r="Z3506">
        <f t="shared" si="164"/>
        <v>1</v>
      </c>
    </row>
    <row r="3507" spans="1:26" ht="15.75" customHeight="1" x14ac:dyDescent="0.2">
      <c r="A3507" s="2" t="s">
        <v>36</v>
      </c>
      <c r="B3507" s="2" t="s">
        <v>35</v>
      </c>
      <c r="C3507" s="2" t="s">
        <v>27</v>
      </c>
      <c r="D3507" s="2" t="s">
        <v>27</v>
      </c>
      <c r="E3507" s="2">
        <v>210</v>
      </c>
      <c r="F3507" s="2">
        <v>241</v>
      </c>
      <c r="G3507" s="2">
        <v>537</v>
      </c>
      <c r="H3507" s="2">
        <v>2127</v>
      </c>
      <c r="I3507" s="2">
        <v>3089</v>
      </c>
      <c r="J3507" s="2">
        <v>2.4</v>
      </c>
      <c r="K3507" s="2">
        <v>5.24</v>
      </c>
      <c r="L3507" s="2">
        <v>13.42</v>
      </c>
      <c r="M3507" s="2">
        <v>15.87</v>
      </c>
      <c r="N3507" s="2">
        <v>0.66676431199999997</v>
      </c>
      <c r="O3507" s="2">
        <v>0.55884975100000001</v>
      </c>
      <c r="P3507" s="2">
        <v>2.1315161520000001</v>
      </c>
      <c r="Q3507" s="2">
        <v>2.0819665789999999</v>
      </c>
      <c r="R3507" s="2">
        <v>0.27429315199999998</v>
      </c>
      <c r="S3507" s="2">
        <v>0.18429315199999999</v>
      </c>
      <c r="T3507" s="2">
        <v>2.1137938350000001</v>
      </c>
      <c r="U3507" s="2">
        <v>2.073793835</v>
      </c>
      <c r="V3507" s="2">
        <v>1.5538017129999999</v>
      </c>
      <c r="W3507" s="2">
        <v>1.620412674</v>
      </c>
      <c r="X3507">
        <f t="shared" si="162"/>
        <v>0</v>
      </c>
      <c r="Y3507">
        <f t="shared" si="163"/>
        <v>0</v>
      </c>
      <c r="Z3507">
        <f t="shared" si="164"/>
        <v>0</v>
      </c>
    </row>
    <row r="3508" spans="1:26" ht="15.75" customHeight="1" x14ac:dyDescent="0.2">
      <c r="A3508" s="2" t="s">
        <v>36</v>
      </c>
      <c r="B3508" s="2" t="s">
        <v>35</v>
      </c>
      <c r="C3508" s="2" t="s">
        <v>30</v>
      </c>
      <c r="D3508" s="2" t="s">
        <v>31</v>
      </c>
      <c r="E3508" s="2">
        <v>190</v>
      </c>
      <c r="F3508" s="2">
        <v>243</v>
      </c>
      <c r="G3508" s="2">
        <v>798</v>
      </c>
      <c r="H3508" s="2">
        <v>1376</v>
      </c>
      <c r="I3508" s="2">
        <v>1883</v>
      </c>
      <c r="J3508" s="2">
        <v>2.42</v>
      </c>
      <c r="K3508" s="2">
        <v>7.23</v>
      </c>
      <c r="L3508" s="2">
        <v>10.53</v>
      </c>
      <c r="M3508" s="2">
        <v>12.61</v>
      </c>
      <c r="N3508" s="2">
        <v>3.9876996880000002</v>
      </c>
      <c r="O3508" s="2">
        <v>3.960638286</v>
      </c>
      <c r="P3508" s="2">
        <v>1.889497669</v>
      </c>
      <c r="Q3508" s="2">
        <v>1.987982285</v>
      </c>
      <c r="R3508" s="2">
        <v>1.7195105740000001</v>
      </c>
      <c r="S3508" s="2">
        <v>1.8095105739999999</v>
      </c>
      <c r="T3508" s="2">
        <v>0.78325272300000004</v>
      </c>
      <c r="U3508" s="2">
        <v>0.82325272299999996</v>
      </c>
      <c r="V3508" s="2">
        <v>3.5476054389999998</v>
      </c>
      <c r="W3508" s="2">
        <v>3.614216399</v>
      </c>
      <c r="X3508">
        <f t="shared" si="162"/>
        <v>0</v>
      </c>
      <c r="Y3508">
        <f t="shared" si="163"/>
        <v>0</v>
      </c>
      <c r="Z3508">
        <f t="shared" si="164"/>
        <v>1</v>
      </c>
    </row>
    <row r="3509" spans="1:26" ht="15.75" customHeight="1" x14ac:dyDescent="0.2">
      <c r="A3509" s="2" t="s">
        <v>36</v>
      </c>
      <c r="B3509" s="2" t="s">
        <v>35</v>
      </c>
      <c r="C3509" s="2" t="s">
        <v>26</v>
      </c>
      <c r="D3509" s="2" t="s">
        <v>26</v>
      </c>
      <c r="E3509" s="2">
        <v>174</v>
      </c>
      <c r="F3509" s="2">
        <v>201</v>
      </c>
      <c r="G3509" s="2">
        <v>582</v>
      </c>
      <c r="H3509" s="2">
        <v>1214</v>
      </c>
      <c r="I3509" s="2">
        <v>2945</v>
      </c>
      <c r="J3509" s="2">
        <v>1.96</v>
      </c>
      <c r="K3509" s="2">
        <v>5.61</v>
      </c>
      <c r="L3509" s="2">
        <v>9.73</v>
      </c>
      <c r="M3509" s="2">
        <v>15.57</v>
      </c>
      <c r="N3509" s="2">
        <v>0.61745870800000002</v>
      </c>
      <c r="O3509" s="2">
        <v>0.59309232499999998</v>
      </c>
      <c r="P3509" s="2">
        <v>1.587115217</v>
      </c>
      <c r="Q3509" s="2">
        <v>1.635089859</v>
      </c>
      <c r="R3509" s="2">
        <v>0.100955815</v>
      </c>
      <c r="S3509" s="2">
        <v>0.190955815</v>
      </c>
      <c r="T3509" s="2">
        <v>1.5839010819999999</v>
      </c>
      <c r="U3509" s="2">
        <v>1.6239010819999999</v>
      </c>
      <c r="V3509" s="2">
        <v>1.92905068</v>
      </c>
      <c r="W3509" s="2">
        <v>1.99566164</v>
      </c>
      <c r="X3509">
        <f t="shared" si="162"/>
        <v>0</v>
      </c>
      <c r="Y3509">
        <f t="shared" si="163"/>
        <v>0</v>
      </c>
      <c r="Z3509">
        <f t="shared" si="164"/>
        <v>0</v>
      </c>
    </row>
    <row r="3510" spans="1:26" ht="15.75" customHeight="1" x14ac:dyDescent="0.2">
      <c r="A3510" s="2" t="s">
        <v>36</v>
      </c>
      <c r="B3510" s="2" t="s">
        <v>35</v>
      </c>
      <c r="C3510" s="2" t="s">
        <v>26</v>
      </c>
      <c r="D3510" s="2" t="s">
        <v>26</v>
      </c>
      <c r="E3510" s="2">
        <v>162</v>
      </c>
      <c r="F3510" s="2">
        <v>153</v>
      </c>
      <c r="G3510" s="2">
        <v>591</v>
      </c>
      <c r="H3510" s="2">
        <v>1135</v>
      </c>
      <c r="I3510" s="2">
        <v>3011</v>
      </c>
      <c r="J3510" s="2">
        <v>1.42</v>
      </c>
      <c r="K3510" s="2">
        <v>5.68</v>
      </c>
      <c r="L3510" s="2">
        <v>9.3000000000000007</v>
      </c>
      <c r="M3510" s="2">
        <v>15.71</v>
      </c>
      <c r="N3510" s="2">
        <v>0.21874447799999999</v>
      </c>
      <c r="O3510" s="2">
        <v>0.25680750400000002</v>
      </c>
      <c r="P3510" s="2">
        <v>2.017100573</v>
      </c>
      <c r="Q3510" s="2">
        <v>2.0662831330000002</v>
      </c>
      <c r="R3510" s="2">
        <v>0.16848405599999999</v>
      </c>
      <c r="S3510" s="2">
        <v>0.25848405600000002</v>
      </c>
      <c r="T3510" s="2">
        <v>2.0100517020000002</v>
      </c>
      <c r="U3510" s="2">
        <v>2.0500517020000002</v>
      </c>
      <c r="V3510" s="2">
        <v>1.996578921</v>
      </c>
      <c r="W3510" s="2">
        <v>2.0631898820000001</v>
      </c>
      <c r="X3510">
        <f t="shared" si="162"/>
        <v>0</v>
      </c>
      <c r="Y3510">
        <f t="shared" si="163"/>
        <v>0</v>
      </c>
      <c r="Z3510">
        <f t="shared" si="164"/>
        <v>0</v>
      </c>
    </row>
    <row r="3511" spans="1:26" ht="15.75" customHeight="1" x14ac:dyDescent="0.2">
      <c r="A3511" s="2" t="s">
        <v>36</v>
      </c>
      <c r="B3511" s="2" t="s">
        <v>35</v>
      </c>
      <c r="C3511" s="2" t="s">
        <v>26</v>
      </c>
      <c r="D3511" s="2" t="s">
        <v>26</v>
      </c>
      <c r="E3511" s="2">
        <v>178</v>
      </c>
      <c r="F3511" s="2">
        <v>238</v>
      </c>
      <c r="G3511" s="2">
        <v>587</v>
      </c>
      <c r="H3511" s="2">
        <v>931</v>
      </c>
      <c r="I3511" s="2">
        <v>3180</v>
      </c>
      <c r="J3511" s="2">
        <v>2.38</v>
      </c>
      <c r="K3511" s="2">
        <v>5.65</v>
      </c>
      <c r="L3511" s="2">
        <v>8.11</v>
      </c>
      <c r="M3511" s="2">
        <v>16.059999999999999</v>
      </c>
      <c r="N3511" s="2">
        <v>1.0070570720000001</v>
      </c>
      <c r="O3511" s="2">
        <v>1.0589254619999999</v>
      </c>
      <c r="P3511" s="2">
        <v>3.2070659629999998</v>
      </c>
      <c r="Q3511" s="2">
        <v>3.2520468579999999</v>
      </c>
      <c r="R3511" s="2">
        <v>0.13612565400000001</v>
      </c>
      <c r="S3511" s="2">
        <v>0.22612565400000001</v>
      </c>
      <c r="T3511" s="2">
        <v>3.2041756970000002</v>
      </c>
      <c r="U3511" s="2">
        <v>3.2441756970000002</v>
      </c>
      <c r="V3511" s="2">
        <v>1.9642205189999999</v>
      </c>
      <c r="W3511" s="2">
        <v>2.0308314799999998</v>
      </c>
      <c r="X3511">
        <f t="shared" si="162"/>
        <v>0</v>
      </c>
      <c r="Y3511">
        <f t="shared" si="163"/>
        <v>0</v>
      </c>
      <c r="Z3511">
        <f t="shared" si="164"/>
        <v>0</v>
      </c>
    </row>
    <row r="3512" spans="1:26" ht="15.75" customHeight="1" x14ac:dyDescent="0.2">
      <c r="A3512" s="2" t="s">
        <v>36</v>
      </c>
      <c r="B3512" s="2" t="s">
        <v>35</v>
      </c>
      <c r="C3512" s="2" t="s">
        <v>25</v>
      </c>
      <c r="D3512" s="2" t="s">
        <v>25</v>
      </c>
      <c r="E3512" s="2">
        <v>218</v>
      </c>
      <c r="F3512" s="2">
        <v>250</v>
      </c>
      <c r="G3512" s="2">
        <v>930</v>
      </c>
      <c r="H3512" s="2">
        <v>1641</v>
      </c>
      <c r="I3512" s="2">
        <v>3211</v>
      </c>
      <c r="J3512" s="2">
        <v>2.5</v>
      </c>
      <c r="K3512" s="2">
        <v>8.1</v>
      </c>
      <c r="L3512" s="2">
        <v>11.69</v>
      </c>
      <c r="M3512" s="2">
        <v>16.12</v>
      </c>
      <c r="N3512" s="2">
        <v>0.57678661899999994</v>
      </c>
      <c r="O3512" s="2">
        <v>0.68653570600000002</v>
      </c>
      <c r="P3512" s="2">
        <v>2.6146375389999998</v>
      </c>
      <c r="Q3512" s="2">
        <v>2.6984582270000002</v>
      </c>
      <c r="R3512" s="2">
        <v>2.5874394459999999</v>
      </c>
      <c r="S3512" s="2">
        <v>2.6774394460000002</v>
      </c>
      <c r="T3512" s="2">
        <v>0.37614701</v>
      </c>
      <c r="U3512" s="2">
        <v>0.33614701000000002</v>
      </c>
      <c r="V3512" s="2">
        <v>4.415534311</v>
      </c>
      <c r="W3512" s="2">
        <v>4.4821452720000003</v>
      </c>
      <c r="X3512">
        <f t="shared" si="162"/>
        <v>0</v>
      </c>
      <c r="Y3512">
        <f t="shared" si="163"/>
        <v>0</v>
      </c>
      <c r="Z3512">
        <f t="shared" si="164"/>
        <v>0</v>
      </c>
    </row>
    <row r="3513" spans="1:26" ht="15.75" customHeight="1" x14ac:dyDescent="0.2">
      <c r="A3513" s="2" t="s">
        <v>36</v>
      </c>
      <c r="B3513" s="2" t="s">
        <v>35</v>
      </c>
      <c r="C3513" s="2" t="s">
        <v>25</v>
      </c>
      <c r="D3513" s="2" t="s">
        <v>25</v>
      </c>
      <c r="E3513" s="2">
        <v>184</v>
      </c>
      <c r="F3513" s="2">
        <v>237</v>
      </c>
      <c r="G3513" s="2">
        <v>892</v>
      </c>
      <c r="H3513" s="2">
        <v>1618</v>
      </c>
      <c r="I3513" s="2">
        <v>3184</v>
      </c>
      <c r="J3513" s="2">
        <v>2.36</v>
      </c>
      <c r="K3513" s="2">
        <v>7.86</v>
      </c>
      <c r="L3513" s="2">
        <v>11.6</v>
      </c>
      <c r="M3513" s="2">
        <v>16.07</v>
      </c>
      <c r="N3513" s="2">
        <v>0.42533368199999999</v>
      </c>
      <c r="O3513" s="2">
        <v>0.50828398299999999</v>
      </c>
      <c r="P3513" s="2">
        <v>2.3624369000000001</v>
      </c>
      <c r="Q3513" s="2">
        <v>2.4474751549999998</v>
      </c>
      <c r="R3513" s="2">
        <v>2.3451753160000002</v>
      </c>
      <c r="S3513" s="2">
        <v>2.435175316</v>
      </c>
      <c r="T3513" s="2">
        <v>0.28506287800000002</v>
      </c>
      <c r="U3513" s="2">
        <v>0.24506287800000001</v>
      </c>
      <c r="V3513" s="2">
        <v>4.1732701800000003</v>
      </c>
      <c r="W3513" s="2">
        <v>4.2398811409999997</v>
      </c>
      <c r="X3513">
        <f t="shared" si="162"/>
        <v>0</v>
      </c>
      <c r="Y3513">
        <f t="shared" si="163"/>
        <v>0</v>
      </c>
      <c r="Z3513">
        <f t="shared" si="164"/>
        <v>0</v>
      </c>
    </row>
    <row r="3514" spans="1:26" ht="15.75" customHeight="1" x14ac:dyDescent="0.2">
      <c r="A3514" s="2" t="s">
        <v>36</v>
      </c>
      <c r="B3514" s="2" t="s">
        <v>35</v>
      </c>
      <c r="C3514" s="2" t="s">
        <v>25</v>
      </c>
      <c r="D3514" s="2" t="s">
        <v>25</v>
      </c>
      <c r="E3514" s="2">
        <v>177</v>
      </c>
      <c r="F3514" s="2">
        <v>272</v>
      </c>
      <c r="G3514" s="2">
        <v>871</v>
      </c>
      <c r="H3514" s="2">
        <v>1351</v>
      </c>
      <c r="I3514" s="2">
        <v>2016</v>
      </c>
      <c r="J3514" s="2">
        <v>2.74</v>
      </c>
      <c r="K3514" s="2">
        <v>7.72</v>
      </c>
      <c r="L3514" s="2">
        <v>10.41</v>
      </c>
      <c r="M3514" s="2">
        <v>13.06</v>
      </c>
      <c r="N3514" s="2">
        <v>0.76833586099999995</v>
      </c>
      <c r="O3514" s="2">
        <v>0.68928610400000001</v>
      </c>
      <c r="P3514" s="2">
        <v>2.3864970749999999</v>
      </c>
      <c r="Q3514" s="2">
        <v>2.4849372810000001</v>
      </c>
      <c r="R3514" s="2">
        <v>2.2106875439999998</v>
      </c>
      <c r="S3514" s="2">
        <v>2.3006875440000001</v>
      </c>
      <c r="T3514" s="2">
        <v>0.89901550200000002</v>
      </c>
      <c r="U3514" s="2">
        <v>0.93901550199999995</v>
      </c>
      <c r="V3514" s="2">
        <v>4.0387824090000004</v>
      </c>
      <c r="W3514" s="2">
        <v>4.1053933699999998</v>
      </c>
      <c r="X3514">
        <f t="shared" si="162"/>
        <v>0</v>
      </c>
      <c r="Y3514">
        <f t="shared" si="163"/>
        <v>0</v>
      </c>
      <c r="Z3514">
        <f t="shared" si="164"/>
        <v>0</v>
      </c>
    </row>
    <row r="3515" spans="1:26" ht="15.75" customHeight="1" x14ac:dyDescent="0.2">
      <c r="A3515" s="2" t="s">
        <v>36</v>
      </c>
      <c r="B3515" s="2" t="s">
        <v>35</v>
      </c>
      <c r="C3515" s="2" t="s">
        <v>28</v>
      </c>
      <c r="D3515" s="2" t="s">
        <v>29</v>
      </c>
      <c r="E3515" s="2">
        <v>175</v>
      </c>
      <c r="F3515" s="2">
        <v>236</v>
      </c>
      <c r="G3515" s="2">
        <v>398</v>
      </c>
      <c r="H3515" s="2">
        <v>1266</v>
      </c>
      <c r="I3515" s="2">
        <v>2637</v>
      </c>
      <c r="J3515" s="2">
        <v>2.35</v>
      </c>
      <c r="K3515" s="2">
        <v>4</v>
      </c>
      <c r="L3515" s="2">
        <v>9.99</v>
      </c>
      <c r="M3515" s="2">
        <v>14.85</v>
      </c>
      <c r="N3515" s="2">
        <v>1.8018576079999999</v>
      </c>
      <c r="O3515" s="2">
        <v>1.695128185</v>
      </c>
      <c r="P3515" s="2">
        <v>2.0060700040000001</v>
      </c>
      <c r="Q3515" s="2">
        <v>1.966575435</v>
      </c>
      <c r="R3515" s="2">
        <v>1.5116678450000001</v>
      </c>
      <c r="S3515" s="2">
        <v>1.421667845</v>
      </c>
      <c r="T3515" s="2">
        <v>1.318778673</v>
      </c>
      <c r="U3515" s="2">
        <v>1.358778673</v>
      </c>
      <c r="V3515" s="2">
        <v>0.31642702</v>
      </c>
      <c r="W3515" s="2">
        <v>0.38303798100000003</v>
      </c>
      <c r="X3515">
        <f t="shared" si="162"/>
        <v>0</v>
      </c>
      <c r="Y3515">
        <f t="shared" si="163"/>
        <v>0</v>
      </c>
      <c r="Z3515">
        <f t="shared" si="164"/>
        <v>1</v>
      </c>
    </row>
    <row r="3516" spans="1:26" ht="15.75" customHeight="1" x14ac:dyDescent="0.2">
      <c r="A3516" s="2" t="s">
        <v>36</v>
      </c>
      <c r="B3516" s="2" t="s">
        <v>35</v>
      </c>
      <c r="C3516" s="2" t="s">
        <v>30</v>
      </c>
      <c r="D3516" s="2" t="s">
        <v>31</v>
      </c>
      <c r="E3516" s="2">
        <v>184</v>
      </c>
      <c r="F3516" s="2">
        <v>211</v>
      </c>
      <c r="G3516" s="2">
        <v>900</v>
      </c>
      <c r="H3516" s="2">
        <v>1173</v>
      </c>
      <c r="I3516" s="2">
        <v>1852</v>
      </c>
      <c r="J3516" s="2">
        <v>2.08</v>
      </c>
      <c r="K3516" s="2">
        <v>7.91</v>
      </c>
      <c r="L3516" s="2">
        <v>9.51</v>
      </c>
      <c r="M3516" s="2">
        <v>12.5</v>
      </c>
      <c r="N3516" s="2">
        <v>5.2050559950000004</v>
      </c>
      <c r="O3516" s="2">
        <v>5.181106443</v>
      </c>
      <c r="P3516" s="2">
        <v>2.99939014</v>
      </c>
      <c r="Q3516" s="2">
        <v>3.095460525</v>
      </c>
      <c r="R3516" s="2">
        <v>2.3988544460000001</v>
      </c>
      <c r="S3516" s="2">
        <v>2.4888544459999999</v>
      </c>
      <c r="T3516" s="2">
        <v>1.800510638</v>
      </c>
      <c r="U3516" s="2">
        <v>1.840510638</v>
      </c>
      <c r="V3516" s="2">
        <v>4.2269493110000003</v>
      </c>
      <c r="W3516" s="2">
        <v>4.2935602709999996</v>
      </c>
      <c r="X3516">
        <f t="shared" si="162"/>
        <v>0</v>
      </c>
      <c r="Y3516">
        <f t="shared" si="163"/>
        <v>0</v>
      </c>
      <c r="Z3516">
        <f t="shared" si="164"/>
        <v>1</v>
      </c>
    </row>
    <row r="3517" spans="1:26" ht="15.75" customHeight="1" x14ac:dyDescent="0.2">
      <c r="A3517" s="2" t="s">
        <v>36</v>
      </c>
      <c r="B3517" s="2" t="s">
        <v>35</v>
      </c>
      <c r="C3517" s="2" t="s">
        <v>32</v>
      </c>
      <c r="D3517" s="2" t="s">
        <v>33</v>
      </c>
      <c r="E3517" s="2">
        <v>204</v>
      </c>
      <c r="F3517" s="2">
        <v>239</v>
      </c>
      <c r="G3517" s="2">
        <v>867</v>
      </c>
      <c r="H3517" s="2">
        <v>1142</v>
      </c>
      <c r="I3517" s="2">
        <v>2232</v>
      </c>
      <c r="J3517" s="2">
        <v>2.39</v>
      </c>
      <c r="K3517" s="2">
        <v>7.69</v>
      </c>
      <c r="L3517" s="2">
        <v>9.34</v>
      </c>
      <c r="M3517" s="2">
        <v>13.74</v>
      </c>
      <c r="N3517" s="2">
        <v>1.8342293949999999</v>
      </c>
      <c r="O3517" s="2">
        <v>1.7587991249999999</v>
      </c>
      <c r="P3517" s="2">
        <v>2.9370022769999999</v>
      </c>
      <c r="Q3517" s="2">
        <v>3.030765256</v>
      </c>
      <c r="R3517" s="2">
        <v>2.1800471699999999</v>
      </c>
      <c r="S3517" s="2">
        <v>2.2700471699999998</v>
      </c>
      <c r="T3517" s="2">
        <v>1.96808961</v>
      </c>
      <c r="U3517" s="2">
        <v>2.0080896099999999</v>
      </c>
      <c r="V3517" s="2">
        <v>4.0081420349999997</v>
      </c>
      <c r="W3517" s="2">
        <v>4.0747529949999999</v>
      </c>
      <c r="X3517">
        <f t="shared" si="162"/>
        <v>0</v>
      </c>
      <c r="Y3517">
        <f t="shared" si="163"/>
        <v>0</v>
      </c>
      <c r="Z3517">
        <f t="shared" si="164"/>
        <v>1</v>
      </c>
    </row>
    <row r="3518" spans="1:26" ht="15.75" customHeight="1" x14ac:dyDescent="0.2">
      <c r="A3518" s="2" t="s">
        <v>36</v>
      </c>
      <c r="B3518" s="2" t="s">
        <v>35</v>
      </c>
      <c r="C3518" s="2" t="s">
        <v>26</v>
      </c>
      <c r="D3518" s="2" t="s">
        <v>26</v>
      </c>
      <c r="E3518" s="2">
        <v>195</v>
      </c>
      <c r="F3518" s="2">
        <v>218</v>
      </c>
      <c r="G3518" s="2">
        <v>584</v>
      </c>
      <c r="H3518" s="2">
        <v>1257</v>
      </c>
      <c r="I3518" s="2">
        <v>2884</v>
      </c>
      <c r="J3518" s="2">
        <v>2.15</v>
      </c>
      <c r="K3518" s="2">
        <v>5.62</v>
      </c>
      <c r="L3518" s="2">
        <v>9.94</v>
      </c>
      <c r="M3518" s="2">
        <v>15.43</v>
      </c>
      <c r="N3518" s="2">
        <v>0.83573726100000001</v>
      </c>
      <c r="O3518" s="2">
        <v>0.80885070100000001</v>
      </c>
      <c r="P3518" s="2">
        <v>1.370831417</v>
      </c>
      <c r="Q3518" s="2">
        <v>1.4208347990000001</v>
      </c>
      <c r="R3518" s="2">
        <v>0.11449685499999999</v>
      </c>
      <c r="S3518" s="2">
        <v>0.20449685500000001</v>
      </c>
      <c r="T3518" s="2">
        <v>1.3660414510000001</v>
      </c>
      <c r="U3518" s="2">
        <v>1.4060414510000001</v>
      </c>
      <c r="V3518" s="2">
        <v>1.94259172</v>
      </c>
      <c r="W3518" s="2">
        <v>2.0092026810000001</v>
      </c>
      <c r="X3518">
        <f t="shared" si="162"/>
        <v>0</v>
      </c>
      <c r="Y3518">
        <f t="shared" si="163"/>
        <v>0</v>
      </c>
      <c r="Z3518">
        <f t="shared" si="164"/>
        <v>0</v>
      </c>
    </row>
    <row r="3519" spans="1:26" ht="15.75" customHeight="1" x14ac:dyDescent="0.2">
      <c r="A3519" s="2" t="s">
        <v>36</v>
      </c>
      <c r="B3519" s="2" t="s">
        <v>35</v>
      </c>
      <c r="C3519" s="2" t="s">
        <v>32</v>
      </c>
      <c r="D3519" s="2" t="s">
        <v>33</v>
      </c>
      <c r="E3519" s="2">
        <v>177</v>
      </c>
      <c r="F3519" s="2">
        <v>249</v>
      </c>
      <c r="G3519" s="2">
        <v>861</v>
      </c>
      <c r="H3519" s="2">
        <v>1417</v>
      </c>
      <c r="I3519" s="2">
        <v>3472</v>
      </c>
      <c r="J3519" s="2">
        <v>2.5</v>
      </c>
      <c r="K3519" s="2">
        <v>7.65</v>
      </c>
      <c r="L3519" s="2">
        <v>10.72</v>
      </c>
      <c r="M3519" s="2">
        <v>16.61</v>
      </c>
      <c r="N3519" s="2">
        <v>0.48556505599999999</v>
      </c>
      <c r="O3519" s="2">
        <v>0.38834027799999998</v>
      </c>
      <c r="P3519" s="2">
        <v>2.2242809320000001</v>
      </c>
      <c r="Q3519" s="2">
        <v>2.321706453</v>
      </c>
      <c r="R3519" s="2">
        <v>2.144905482</v>
      </c>
      <c r="S3519" s="2">
        <v>2.2349054819999998</v>
      </c>
      <c r="T3519" s="2">
        <v>0.58890248700000003</v>
      </c>
      <c r="U3519" s="2">
        <v>0.62890248699999995</v>
      </c>
      <c r="V3519" s="2">
        <v>3.9730003470000002</v>
      </c>
      <c r="W3519" s="2">
        <v>4.0396113070000004</v>
      </c>
      <c r="X3519">
        <f t="shared" si="162"/>
        <v>0</v>
      </c>
      <c r="Y3519">
        <f t="shared" si="163"/>
        <v>0</v>
      </c>
      <c r="Z3519">
        <f t="shared" si="164"/>
        <v>1</v>
      </c>
    </row>
    <row r="3520" spans="1:26" ht="15.75" customHeight="1" x14ac:dyDescent="0.2">
      <c r="A3520" s="2" t="s">
        <v>36</v>
      </c>
      <c r="B3520" s="2" t="s">
        <v>35</v>
      </c>
      <c r="C3520" s="2" t="s">
        <v>28</v>
      </c>
      <c r="D3520" s="2" t="s">
        <v>29</v>
      </c>
      <c r="E3520" s="2">
        <v>206</v>
      </c>
      <c r="F3520" s="2">
        <v>157</v>
      </c>
      <c r="G3520" s="2">
        <v>451</v>
      </c>
      <c r="H3520" s="2">
        <v>1244</v>
      </c>
      <c r="I3520" s="2">
        <v>3213</v>
      </c>
      <c r="J3520" s="2">
        <v>1.45</v>
      </c>
      <c r="K3520" s="2">
        <v>4.49</v>
      </c>
      <c r="L3520" s="2">
        <v>9.8800000000000008</v>
      </c>
      <c r="M3520" s="2">
        <v>16.12</v>
      </c>
      <c r="N3520" s="2">
        <v>1.3300502199999999</v>
      </c>
      <c r="O3520" s="2">
        <v>1.2256000789999999</v>
      </c>
      <c r="P3520" s="2">
        <v>1.7598827720000001</v>
      </c>
      <c r="Q3520" s="2">
        <v>1.7426554839999999</v>
      </c>
      <c r="R3520" s="2">
        <v>1.0249398590000001</v>
      </c>
      <c r="S3520" s="2">
        <v>0.93493985899999998</v>
      </c>
      <c r="T3520" s="2">
        <v>1.4306242199999999</v>
      </c>
      <c r="U3520" s="2">
        <v>1.4706242199999999</v>
      </c>
      <c r="V3520" s="2">
        <v>0.803155006</v>
      </c>
      <c r="W3520" s="2">
        <v>0.869765966</v>
      </c>
      <c r="X3520">
        <f t="shared" si="162"/>
        <v>0</v>
      </c>
      <c r="Y3520">
        <f t="shared" si="163"/>
        <v>0</v>
      </c>
      <c r="Z3520">
        <f t="shared" si="164"/>
        <v>1</v>
      </c>
    </row>
    <row r="3521" spans="1:26" ht="15.75" customHeight="1" x14ac:dyDescent="0.2">
      <c r="A3521" s="2" t="s">
        <v>36</v>
      </c>
      <c r="B3521" s="2" t="s">
        <v>35</v>
      </c>
      <c r="C3521" s="2" t="s">
        <v>32</v>
      </c>
      <c r="D3521" s="2" t="s">
        <v>33</v>
      </c>
      <c r="E3521" s="2">
        <v>169</v>
      </c>
      <c r="F3521" s="2">
        <v>202</v>
      </c>
      <c r="G3521" s="2">
        <v>924</v>
      </c>
      <c r="H3521" s="2">
        <v>1530</v>
      </c>
      <c r="I3521" s="2">
        <v>3608</v>
      </c>
      <c r="J3521" s="2">
        <v>1.97</v>
      </c>
      <c r="K3521" s="2">
        <v>8.06</v>
      </c>
      <c r="L3521" s="2">
        <v>11.22</v>
      </c>
      <c r="M3521" s="2">
        <v>16.84</v>
      </c>
      <c r="N3521" s="2">
        <v>0.22362178099999999</v>
      </c>
      <c r="O3521" s="2">
        <v>0.34011733599999999</v>
      </c>
      <c r="P3521" s="2">
        <v>2.549026928</v>
      </c>
      <c r="Q3521" s="2">
        <v>2.6406123990000001</v>
      </c>
      <c r="R3521" s="2">
        <v>2.5475054909999999</v>
      </c>
      <c r="S3521" s="2">
        <v>2.6375054910000002</v>
      </c>
      <c r="T3521" s="2">
        <v>8.8057121000000002E-2</v>
      </c>
      <c r="U3521" s="2">
        <v>0.128057121</v>
      </c>
      <c r="V3521" s="2">
        <v>4.3756003550000004</v>
      </c>
      <c r="W3521" s="2">
        <v>4.4422113159999999</v>
      </c>
      <c r="X3521">
        <f t="shared" si="162"/>
        <v>0</v>
      </c>
      <c r="Y3521">
        <f t="shared" si="163"/>
        <v>0</v>
      </c>
      <c r="Z3521">
        <f t="shared" si="164"/>
        <v>1</v>
      </c>
    </row>
    <row r="3522" spans="1:26" ht="15.75" customHeight="1" x14ac:dyDescent="0.2">
      <c r="A3522" s="2" t="s">
        <v>36</v>
      </c>
      <c r="B3522" s="2" t="s">
        <v>35</v>
      </c>
      <c r="C3522" s="2" t="s">
        <v>25</v>
      </c>
      <c r="D3522" s="2" t="s">
        <v>25</v>
      </c>
      <c r="E3522" s="2">
        <v>200</v>
      </c>
      <c r="F3522" s="2">
        <v>152</v>
      </c>
      <c r="G3522" s="2">
        <v>775</v>
      </c>
      <c r="H3522" s="2">
        <v>1449</v>
      </c>
      <c r="I3522" s="2">
        <v>2679</v>
      </c>
      <c r="J3522" s="2">
        <v>1.4</v>
      </c>
      <c r="K3522" s="2">
        <v>7.06</v>
      </c>
      <c r="L3522" s="2">
        <v>10.86</v>
      </c>
      <c r="M3522" s="2">
        <v>14.95</v>
      </c>
      <c r="N3522" s="2">
        <v>0.83351294499999995</v>
      </c>
      <c r="O3522" s="2">
        <v>0.71536620299999998</v>
      </c>
      <c r="P3522" s="2">
        <v>1.617318944</v>
      </c>
      <c r="Q3522" s="2">
        <v>1.7149129860000001</v>
      </c>
      <c r="R3522" s="2">
        <v>1.5546416380000001</v>
      </c>
      <c r="S3522" s="2">
        <v>1.644641638</v>
      </c>
      <c r="T3522" s="2">
        <v>0.44588108700000001</v>
      </c>
      <c r="U3522" s="2">
        <v>0.48588108699999999</v>
      </c>
      <c r="V3522" s="2">
        <v>3.3827365029999998</v>
      </c>
      <c r="W3522" s="2">
        <v>3.4493474640000001</v>
      </c>
      <c r="X3522">
        <f t="shared" si="162"/>
        <v>0</v>
      </c>
      <c r="Y3522">
        <f t="shared" si="163"/>
        <v>0</v>
      </c>
      <c r="Z3522">
        <f t="shared" si="164"/>
        <v>0</v>
      </c>
    </row>
    <row r="3523" spans="1:26" ht="15.75" customHeight="1" x14ac:dyDescent="0.2">
      <c r="A3523" s="2" t="s">
        <v>36</v>
      </c>
      <c r="B3523" s="2" t="s">
        <v>35</v>
      </c>
      <c r="C3523" s="2" t="s">
        <v>27</v>
      </c>
      <c r="D3523" s="2" t="s">
        <v>27</v>
      </c>
      <c r="E3523" s="2">
        <v>184</v>
      </c>
      <c r="F3523" s="2">
        <v>268</v>
      </c>
      <c r="G3523" s="2">
        <v>559</v>
      </c>
      <c r="H3523" s="2">
        <v>2347</v>
      </c>
      <c r="I3523" s="2">
        <v>3016</v>
      </c>
      <c r="J3523" s="2">
        <v>2.69</v>
      </c>
      <c r="K3523" s="2">
        <v>5.42</v>
      </c>
      <c r="L3523" s="2">
        <v>14.08</v>
      </c>
      <c r="M3523" s="2">
        <v>15.72</v>
      </c>
      <c r="N3523" s="2">
        <v>2.3843581999999999E-2</v>
      </c>
      <c r="O3523" s="2">
        <v>0.16493563999999999</v>
      </c>
      <c r="P3523" s="2">
        <v>2.7699348640000001</v>
      </c>
      <c r="Q3523" s="2">
        <v>2.728545827</v>
      </c>
      <c r="R3523" s="2">
        <v>8.7740143000000007E-2</v>
      </c>
      <c r="S3523" s="2">
        <v>2.2598570000000001E-3</v>
      </c>
      <c r="T3523" s="2">
        <v>2.768544892</v>
      </c>
      <c r="U3523" s="2">
        <v>2.7285448919999999</v>
      </c>
      <c r="V3523" s="2">
        <v>1.740354722</v>
      </c>
      <c r="W3523" s="2">
        <v>1.806965682</v>
      </c>
      <c r="X3523">
        <f t="shared" ref="X3523:X3586" si="165">IF(B3523="normal",1,0)</f>
        <v>0</v>
      </c>
      <c r="Y3523">
        <f t="shared" ref="Y3523:Y3586" si="166">IF(A3523="lecture",1,0)</f>
        <v>0</v>
      </c>
      <c r="Z3523">
        <f t="shared" ref="Z3523:Z3586" si="167">IF(ISNUMBER(FIND("~",D3523)),1,0)</f>
        <v>0</v>
      </c>
    </row>
    <row r="3524" spans="1:26" ht="15.75" customHeight="1" x14ac:dyDescent="0.2">
      <c r="A3524" s="2" t="s">
        <v>36</v>
      </c>
      <c r="B3524" s="2" t="s">
        <v>35</v>
      </c>
      <c r="C3524" s="2" t="s">
        <v>30</v>
      </c>
      <c r="D3524" s="2" t="s">
        <v>31</v>
      </c>
      <c r="E3524" s="2">
        <v>188</v>
      </c>
      <c r="F3524" s="2">
        <v>239</v>
      </c>
      <c r="G3524" s="2">
        <v>790</v>
      </c>
      <c r="H3524" s="2">
        <v>1372</v>
      </c>
      <c r="I3524" s="2">
        <v>2155</v>
      </c>
      <c r="J3524" s="2">
        <v>2.39</v>
      </c>
      <c r="K3524" s="2">
        <v>7.17</v>
      </c>
      <c r="L3524" s="2">
        <v>10.51</v>
      </c>
      <c r="M3524" s="2">
        <v>13.51</v>
      </c>
      <c r="N3524" s="2">
        <v>3.9756468649999999</v>
      </c>
      <c r="O3524" s="2">
        <v>3.9465349449999998</v>
      </c>
      <c r="P3524" s="2">
        <v>1.8438917850000001</v>
      </c>
      <c r="Q3524" s="2">
        <v>1.9423384100000001</v>
      </c>
      <c r="R3524" s="2">
        <v>1.6617818179999999</v>
      </c>
      <c r="S3524" s="2">
        <v>1.751781818</v>
      </c>
      <c r="T3524" s="2">
        <v>0.79901070299999999</v>
      </c>
      <c r="U3524" s="2">
        <v>0.83901070300000002</v>
      </c>
      <c r="V3524" s="2">
        <v>3.4898766829999999</v>
      </c>
      <c r="W3524" s="2">
        <v>3.5564876440000002</v>
      </c>
      <c r="X3524">
        <f t="shared" si="165"/>
        <v>0</v>
      </c>
      <c r="Y3524">
        <f t="shared" si="166"/>
        <v>0</v>
      </c>
      <c r="Z3524">
        <f t="shared" si="167"/>
        <v>1</v>
      </c>
    </row>
    <row r="3525" spans="1:26" ht="15.75" customHeight="1" x14ac:dyDescent="0.2">
      <c r="A3525" s="2" t="s">
        <v>36</v>
      </c>
      <c r="B3525" s="2" t="s">
        <v>35</v>
      </c>
      <c r="C3525" s="2" t="s">
        <v>25</v>
      </c>
      <c r="D3525" s="2" t="s">
        <v>25</v>
      </c>
      <c r="E3525" s="2">
        <v>193</v>
      </c>
      <c r="F3525" s="2">
        <v>203</v>
      </c>
      <c r="G3525" s="2">
        <v>915</v>
      </c>
      <c r="H3525" s="2">
        <v>1540</v>
      </c>
      <c r="I3525" s="2">
        <v>2298</v>
      </c>
      <c r="J3525" s="2">
        <v>1.99</v>
      </c>
      <c r="K3525" s="2">
        <v>8</v>
      </c>
      <c r="L3525" s="2">
        <v>11.27</v>
      </c>
      <c r="M3525" s="2">
        <v>13.94</v>
      </c>
      <c r="N3525" s="2">
        <v>0.18718605999999999</v>
      </c>
      <c r="O3525" s="2">
        <v>0.30907204700000002</v>
      </c>
      <c r="P3525" s="2">
        <v>2.4908361650000002</v>
      </c>
      <c r="Q3525" s="2">
        <v>2.581808401</v>
      </c>
      <c r="R3525" s="2">
        <v>2.490454545</v>
      </c>
      <c r="S3525" s="2">
        <v>2.5804545449999998</v>
      </c>
      <c r="T3525" s="2">
        <v>4.36E-2</v>
      </c>
      <c r="U3525" s="2">
        <v>8.3599999999999994E-2</v>
      </c>
      <c r="V3525" s="2">
        <v>4.3185494100000001</v>
      </c>
      <c r="W3525" s="2">
        <v>4.3851603709999996</v>
      </c>
      <c r="X3525">
        <f t="shared" si="165"/>
        <v>0</v>
      </c>
      <c r="Y3525">
        <f t="shared" si="166"/>
        <v>0</v>
      </c>
      <c r="Z3525">
        <f t="shared" si="167"/>
        <v>0</v>
      </c>
    </row>
    <row r="3526" spans="1:26" ht="15.75" customHeight="1" x14ac:dyDescent="0.2">
      <c r="A3526" s="2" t="s">
        <v>36</v>
      </c>
      <c r="B3526" s="2" t="s">
        <v>35</v>
      </c>
      <c r="C3526" s="2" t="s">
        <v>30</v>
      </c>
      <c r="D3526" s="2" t="s">
        <v>31</v>
      </c>
      <c r="E3526" s="2">
        <v>200</v>
      </c>
      <c r="F3526" s="2">
        <v>216</v>
      </c>
      <c r="G3526" s="2">
        <v>828</v>
      </c>
      <c r="H3526" s="2">
        <v>1319</v>
      </c>
      <c r="I3526" s="2">
        <v>2600</v>
      </c>
      <c r="J3526" s="2">
        <v>2.13</v>
      </c>
      <c r="K3526" s="2">
        <v>7.43</v>
      </c>
      <c r="L3526" s="2">
        <v>10.25</v>
      </c>
      <c r="M3526" s="2">
        <v>14.76</v>
      </c>
      <c r="N3526" s="2">
        <v>4.3240146990000001</v>
      </c>
      <c r="O3526" s="2">
        <v>4.2986159229999998</v>
      </c>
      <c r="P3526" s="2">
        <v>2.1949220010000001</v>
      </c>
      <c r="Q3526" s="2">
        <v>2.2930826620000002</v>
      </c>
      <c r="R3526" s="2">
        <v>1.924476987</v>
      </c>
      <c r="S3526" s="2">
        <v>2.0144769870000001</v>
      </c>
      <c r="T3526" s="2">
        <v>1.0554955779999999</v>
      </c>
      <c r="U3526" s="2">
        <v>1.095495578</v>
      </c>
      <c r="V3526" s="2">
        <v>3.752571852</v>
      </c>
      <c r="W3526" s="2">
        <v>3.8191828129999998</v>
      </c>
      <c r="X3526">
        <f t="shared" si="165"/>
        <v>0</v>
      </c>
      <c r="Y3526">
        <f t="shared" si="166"/>
        <v>0</v>
      </c>
      <c r="Z3526">
        <f t="shared" si="167"/>
        <v>1</v>
      </c>
    </row>
    <row r="3527" spans="1:26" ht="15.75" customHeight="1" x14ac:dyDescent="0.2">
      <c r="A3527" s="2" t="s">
        <v>36</v>
      </c>
      <c r="B3527" s="2" t="s">
        <v>35</v>
      </c>
      <c r="C3527" s="2" t="s">
        <v>25</v>
      </c>
      <c r="D3527" s="2" t="s">
        <v>25</v>
      </c>
      <c r="E3527" s="2">
        <v>172</v>
      </c>
      <c r="F3527" s="2">
        <v>163</v>
      </c>
      <c r="G3527" s="2">
        <v>773</v>
      </c>
      <c r="H3527" s="2">
        <v>1317</v>
      </c>
      <c r="I3527" s="2">
        <v>2651</v>
      </c>
      <c r="J3527" s="2">
        <v>1.52</v>
      </c>
      <c r="K3527" s="2">
        <v>7.05</v>
      </c>
      <c r="L3527" s="2">
        <v>10.24</v>
      </c>
      <c r="M3527" s="2">
        <v>14.88</v>
      </c>
      <c r="N3527" s="2">
        <v>1.032482951</v>
      </c>
      <c r="O3527" s="2">
        <v>1.0404153899999999</v>
      </c>
      <c r="P3527" s="2">
        <v>2.812722902</v>
      </c>
      <c r="Q3527" s="2">
        <v>2.8462188660000001</v>
      </c>
      <c r="R3527" s="2">
        <v>2.7529235270000001</v>
      </c>
      <c r="S3527" s="2">
        <v>2.7829235269999999</v>
      </c>
      <c r="T3527" s="2">
        <v>0.576907426</v>
      </c>
      <c r="U3527" s="2">
        <v>0.59690742600000002</v>
      </c>
      <c r="V3527" s="2">
        <v>3.615541753</v>
      </c>
      <c r="W3527" s="2">
        <v>3.6603258969999999</v>
      </c>
      <c r="X3527">
        <f t="shared" si="165"/>
        <v>0</v>
      </c>
      <c r="Y3527">
        <f t="shared" si="166"/>
        <v>0</v>
      </c>
      <c r="Z3527">
        <f t="shared" si="167"/>
        <v>0</v>
      </c>
    </row>
    <row r="3528" spans="1:26" ht="15.75" customHeight="1" x14ac:dyDescent="0.2">
      <c r="A3528" s="2" t="s">
        <v>36</v>
      </c>
      <c r="B3528" s="2" t="s">
        <v>35</v>
      </c>
      <c r="C3528" s="2" t="s">
        <v>26</v>
      </c>
      <c r="D3528" s="2" t="s">
        <v>26</v>
      </c>
      <c r="E3528" s="2">
        <v>157</v>
      </c>
      <c r="F3528" s="2">
        <v>166</v>
      </c>
      <c r="G3528" s="2">
        <v>397</v>
      </c>
      <c r="H3528" s="2">
        <v>938</v>
      </c>
      <c r="I3528" s="2">
        <v>2497</v>
      </c>
      <c r="J3528" s="2">
        <v>1.56</v>
      </c>
      <c r="K3528" s="2">
        <v>3.99</v>
      </c>
      <c r="L3528" s="2">
        <v>8.15</v>
      </c>
      <c r="M3528" s="2">
        <v>14.49</v>
      </c>
      <c r="N3528" s="2">
        <v>0.228079844</v>
      </c>
      <c r="O3528" s="2">
        <v>0.209220723</v>
      </c>
      <c r="P3528" s="2">
        <v>2.69078303</v>
      </c>
      <c r="Q3528" s="2">
        <v>2.7073329410000002</v>
      </c>
      <c r="R3528" s="2">
        <v>0.31427238000000002</v>
      </c>
      <c r="S3528" s="2">
        <v>0.28427237999999999</v>
      </c>
      <c r="T3528" s="2">
        <v>2.6723671499999999</v>
      </c>
      <c r="U3528" s="2">
        <v>2.6923671499999999</v>
      </c>
      <c r="V3528" s="2">
        <v>0.54834584600000003</v>
      </c>
      <c r="W3528" s="2">
        <v>0.59312998900000002</v>
      </c>
      <c r="X3528">
        <f t="shared" si="165"/>
        <v>0</v>
      </c>
      <c r="Y3528">
        <f t="shared" si="166"/>
        <v>0</v>
      </c>
      <c r="Z3528">
        <f t="shared" si="167"/>
        <v>0</v>
      </c>
    </row>
    <row r="3529" spans="1:26" ht="15.75" customHeight="1" x14ac:dyDescent="0.2">
      <c r="A3529" s="2" t="s">
        <v>36</v>
      </c>
      <c r="B3529" s="2" t="s">
        <v>35</v>
      </c>
      <c r="C3529" s="2" t="s">
        <v>27</v>
      </c>
      <c r="D3529" s="2" t="s">
        <v>27</v>
      </c>
      <c r="E3529" s="2">
        <v>150</v>
      </c>
      <c r="F3529" s="2">
        <v>187</v>
      </c>
      <c r="G3529" s="2">
        <v>369</v>
      </c>
      <c r="H3529" s="2">
        <v>1715</v>
      </c>
      <c r="I3529" s="2">
        <v>2526</v>
      </c>
      <c r="J3529" s="2">
        <v>1.81</v>
      </c>
      <c r="K3529" s="2">
        <v>3.72</v>
      </c>
      <c r="L3529" s="2">
        <v>11.98</v>
      </c>
      <c r="M3529" s="2">
        <v>14.57</v>
      </c>
      <c r="N3529" s="2">
        <v>0.81723051400000002</v>
      </c>
      <c r="O3529" s="2">
        <v>0.91315838199999999</v>
      </c>
      <c r="P3529" s="2">
        <v>1.2988587469999999</v>
      </c>
      <c r="Q3529" s="2">
        <v>1.2677083570000001</v>
      </c>
      <c r="R3529" s="2">
        <v>0.579072696</v>
      </c>
      <c r="S3529" s="2">
        <v>0.54907269599999997</v>
      </c>
      <c r="T3529" s="2">
        <v>1.162630147</v>
      </c>
      <c r="U3529" s="2">
        <v>1.142630147</v>
      </c>
      <c r="V3529" s="2">
        <v>0.28354552999999999</v>
      </c>
      <c r="W3529" s="2">
        <v>0.32832967299999999</v>
      </c>
      <c r="X3529">
        <f t="shared" si="165"/>
        <v>0</v>
      </c>
      <c r="Y3529">
        <f t="shared" si="166"/>
        <v>0</v>
      </c>
      <c r="Z3529">
        <f t="shared" si="167"/>
        <v>0</v>
      </c>
    </row>
    <row r="3530" spans="1:26" ht="15.75" customHeight="1" x14ac:dyDescent="0.2">
      <c r="A3530" s="2" t="s">
        <v>36</v>
      </c>
      <c r="B3530" s="2" t="s">
        <v>35</v>
      </c>
      <c r="C3530" s="2" t="s">
        <v>28</v>
      </c>
      <c r="D3530" s="2" t="s">
        <v>29</v>
      </c>
      <c r="E3530" s="2">
        <v>183</v>
      </c>
      <c r="F3530" s="2">
        <v>168</v>
      </c>
      <c r="G3530" s="2">
        <v>558</v>
      </c>
      <c r="H3530" s="2">
        <v>1336</v>
      </c>
      <c r="I3530" s="2">
        <v>2409</v>
      </c>
      <c r="J3530" s="2">
        <v>1.59</v>
      </c>
      <c r="K3530" s="2">
        <v>5.41</v>
      </c>
      <c r="L3530" s="2">
        <v>10.34</v>
      </c>
      <c r="M3530" s="2">
        <v>14.25</v>
      </c>
      <c r="N3530" s="2">
        <v>2.7975702170000001</v>
      </c>
      <c r="O3530" s="2">
        <v>2.8008345960000001</v>
      </c>
      <c r="P3530" s="2">
        <v>1.2122266180000001</v>
      </c>
      <c r="Q3530" s="2">
        <v>1.2477357019999999</v>
      </c>
      <c r="R3530" s="2">
        <v>1.1112152500000001</v>
      </c>
      <c r="S3530" s="2">
        <v>1.1412152499999999</v>
      </c>
      <c r="T3530" s="2">
        <v>0.48445231100000002</v>
      </c>
      <c r="U3530" s="2">
        <v>0.50445231099999999</v>
      </c>
      <c r="V3530" s="2">
        <v>1.973833476</v>
      </c>
      <c r="W3530" s="2">
        <v>2.0186176200000001</v>
      </c>
      <c r="X3530">
        <f t="shared" si="165"/>
        <v>0</v>
      </c>
      <c r="Y3530">
        <f t="shared" si="166"/>
        <v>0</v>
      </c>
      <c r="Z3530">
        <f t="shared" si="167"/>
        <v>1</v>
      </c>
    </row>
    <row r="3531" spans="1:26" ht="15.75" customHeight="1" x14ac:dyDescent="0.2">
      <c r="A3531" s="2" t="s">
        <v>36</v>
      </c>
      <c r="B3531" s="2" t="s">
        <v>35</v>
      </c>
      <c r="C3531" s="2" t="s">
        <v>30</v>
      </c>
      <c r="D3531" s="2" t="s">
        <v>31</v>
      </c>
      <c r="E3531" s="2">
        <v>187</v>
      </c>
      <c r="F3531" s="2">
        <v>162</v>
      </c>
      <c r="G3531" s="2">
        <v>663</v>
      </c>
      <c r="H3531" s="2">
        <v>1342</v>
      </c>
      <c r="I3531" s="2">
        <v>2826</v>
      </c>
      <c r="J3531" s="2">
        <v>1.52</v>
      </c>
      <c r="K3531" s="2">
        <v>6.25</v>
      </c>
      <c r="L3531" s="2">
        <v>10.37</v>
      </c>
      <c r="M3531" s="2">
        <v>15.3</v>
      </c>
      <c r="N3531" s="2">
        <v>3.3653475460000002</v>
      </c>
      <c r="O3531" s="2">
        <v>3.4445680400000001</v>
      </c>
      <c r="P3531" s="2">
        <v>1.998451027</v>
      </c>
      <c r="Q3531" s="2">
        <v>2.0322384840000001</v>
      </c>
      <c r="R3531" s="2">
        <v>1.9466031260000001</v>
      </c>
      <c r="S3531" s="2">
        <v>1.9766031260000001</v>
      </c>
      <c r="T3531" s="2">
        <v>0.45226405600000003</v>
      </c>
      <c r="U3531" s="2">
        <v>0.47226405599999999</v>
      </c>
      <c r="V3531" s="2">
        <v>2.8092213519999998</v>
      </c>
      <c r="W3531" s="2">
        <v>2.8540054960000001</v>
      </c>
      <c r="X3531">
        <f t="shared" si="165"/>
        <v>0</v>
      </c>
      <c r="Y3531">
        <f t="shared" si="166"/>
        <v>0</v>
      </c>
      <c r="Z3531">
        <f t="shared" si="167"/>
        <v>1</v>
      </c>
    </row>
    <row r="3532" spans="1:26" ht="15.75" customHeight="1" x14ac:dyDescent="0.2">
      <c r="A3532" s="2" t="s">
        <v>36</v>
      </c>
      <c r="B3532" s="2" t="s">
        <v>35</v>
      </c>
      <c r="C3532" s="2" t="s">
        <v>26</v>
      </c>
      <c r="D3532" s="2" t="s">
        <v>26</v>
      </c>
      <c r="E3532" s="2">
        <v>172</v>
      </c>
      <c r="F3532" s="2">
        <v>155</v>
      </c>
      <c r="G3532" s="2">
        <v>413</v>
      </c>
      <c r="H3532" s="2">
        <v>781</v>
      </c>
      <c r="I3532" s="2">
        <v>2714</v>
      </c>
      <c r="J3532" s="2">
        <v>1.43</v>
      </c>
      <c r="K3532" s="2">
        <v>4.1399999999999997</v>
      </c>
      <c r="L3532" s="2">
        <v>7.11</v>
      </c>
      <c r="M3532" s="2">
        <v>15.04</v>
      </c>
      <c r="N3532" s="2">
        <v>0.822812294</v>
      </c>
      <c r="O3532" s="2">
        <v>0.85005354899999996</v>
      </c>
      <c r="P3532" s="2">
        <v>3.71444354</v>
      </c>
      <c r="Q3532" s="2">
        <v>3.7332530899999998</v>
      </c>
      <c r="R3532" s="2">
        <v>0.16084269700000001</v>
      </c>
      <c r="S3532" s="2">
        <v>0.13084269700000001</v>
      </c>
      <c r="T3532" s="2">
        <v>3.7109595039999999</v>
      </c>
      <c r="U3532" s="2">
        <v>3.7309595039999999</v>
      </c>
      <c r="V3532" s="2">
        <v>0.70177552899999995</v>
      </c>
      <c r="W3532" s="2">
        <v>0.74655967300000003</v>
      </c>
      <c r="X3532">
        <f t="shared" si="165"/>
        <v>0</v>
      </c>
      <c r="Y3532">
        <f t="shared" si="166"/>
        <v>0</v>
      </c>
      <c r="Z3532">
        <f t="shared" si="167"/>
        <v>0</v>
      </c>
    </row>
    <row r="3533" spans="1:26" ht="15.75" customHeight="1" x14ac:dyDescent="0.2">
      <c r="A3533" s="2" t="s">
        <v>36</v>
      </c>
      <c r="B3533" s="2" t="s">
        <v>35</v>
      </c>
      <c r="C3533" s="2" t="s">
        <v>28</v>
      </c>
      <c r="D3533" s="2" t="s">
        <v>29</v>
      </c>
      <c r="E3533" s="2">
        <v>168</v>
      </c>
      <c r="F3533" s="2">
        <v>173</v>
      </c>
      <c r="G3533" s="2">
        <v>613</v>
      </c>
      <c r="H3533" s="2">
        <v>1688</v>
      </c>
      <c r="I3533" s="2">
        <v>2985</v>
      </c>
      <c r="J3533" s="2">
        <v>1.64</v>
      </c>
      <c r="K3533" s="2">
        <v>5.86</v>
      </c>
      <c r="L3533" s="2">
        <v>11.88</v>
      </c>
      <c r="M3533" s="2">
        <v>15.65</v>
      </c>
      <c r="N3533" s="2">
        <v>4.3710412649999997</v>
      </c>
      <c r="O3533" s="2">
        <v>4.3701616840000002</v>
      </c>
      <c r="P3533" s="2">
        <v>1.882036499</v>
      </c>
      <c r="Q3533" s="2">
        <v>1.895923714</v>
      </c>
      <c r="R3533" s="2">
        <v>1.5573027589999999</v>
      </c>
      <c r="S3533" s="2">
        <v>1.587302759</v>
      </c>
      <c r="T3533" s="2">
        <v>1.056820466</v>
      </c>
      <c r="U3533" s="2">
        <v>1.036820466</v>
      </c>
      <c r="V3533" s="2">
        <v>2.4199209850000001</v>
      </c>
      <c r="W3533" s="2">
        <v>2.4647051289999999</v>
      </c>
      <c r="X3533">
        <f t="shared" si="165"/>
        <v>0</v>
      </c>
      <c r="Y3533">
        <f t="shared" si="166"/>
        <v>0</v>
      </c>
      <c r="Z3533">
        <f t="shared" si="167"/>
        <v>1</v>
      </c>
    </row>
    <row r="3534" spans="1:26" ht="15.75" customHeight="1" x14ac:dyDescent="0.2">
      <c r="A3534" s="2" t="s">
        <v>36</v>
      </c>
      <c r="B3534" s="2" t="s">
        <v>35</v>
      </c>
      <c r="C3534" s="2" t="s">
        <v>32</v>
      </c>
      <c r="D3534" s="2" t="s">
        <v>33</v>
      </c>
      <c r="E3534" s="2">
        <v>160</v>
      </c>
      <c r="F3534" s="2">
        <v>153</v>
      </c>
      <c r="G3534" s="2">
        <v>706</v>
      </c>
      <c r="H3534" s="2">
        <v>1693</v>
      </c>
      <c r="I3534" s="2">
        <v>2853</v>
      </c>
      <c r="J3534" s="2">
        <v>1.41</v>
      </c>
      <c r="K3534" s="2">
        <v>6.57</v>
      </c>
      <c r="L3534" s="2">
        <v>11.9</v>
      </c>
      <c r="M3534" s="2">
        <v>15.36</v>
      </c>
      <c r="N3534" s="2">
        <v>1.14892412</v>
      </c>
      <c r="O3534" s="2">
        <v>1.209474798</v>
      </c>
      <c r="P3534" s="2">
        <v>2.5092940069999998</v>
      </c>
      <c r="Q3534" s="2">
        <v>2.5280195929999998</v>
      </c>
      <c r="R3534" s="2">
        <v>2.2672577220000001</v>
      </c>
      <c r="S3534" s="2">
        <v>2.2972577219999999</v>
      </c>
      <c r="T3534" s="2">
        <v>1.075220367</v>
      </c>
      <c r="U3534" s="2">
        <v>1.055220367</v>
      </c>
      <c r="V3534" s="2">
        <v>3.129875948</v>
      </c>
      <c r="W3534" s="2">
        <v>3.1746600909999998</v>
      </c>
      <c r="X3534">
        <f t="shared" si="165"/>
        <v>0</v>
      </c>
      <c r="Y3534">
        <f t="shared" si="166"/>
        <v>0</v>
      </c>
      <c r="Z3534">
        <f t="shared" si="167"/>
        <v>1</v>
      </c>
    </row>
    <row r="3535" spans="1:26" ht="15.75" customHeight="1" x14ac:dyDescent="0.2">
      <c r="A3535" s="2" t="s">
        <v>36</v>
      </c>
      <c r="B3535" s="2" t="s">
        <v>35</v>
      </c>
      <c r="C3535" s="2" t="s">
        <v>32</v>
      </c>
      <c r="D3535" s="2" t="s">
        <v>33</v>
      </c>
      <c r="E3535" s="2">
        <v>181</v>
      </c>
      <c r="F3535" s="2">
        <v>150</v>
      </c>
      <c r="G3535" s="2">
        <v>659</v>
      </c>
      <c r="H3535" s="2">
        <v>1503</v>
      </c>
      <c r="I3535" s="2">
        <v>3293</v>
      </c>
      <c r="J3535" s="2">
        <v>1.38</v>
      </c>
      <c r="K3535" s="2">
        <v>6.22</v>
      </c>
      <c r="L3535" s="2">
        <v>11.1</v>
      </c>
      <c r="M3535" s="2">
        <v>16.28</v>
      </c>
      <c r="N3535" s="2">
        <v>0.29590971900000002</v>
      </c>
      <c r="O3535" s="2">
        <v>0.35128356999999999</v>
      </c>
      <c r="P3535" s="2">
        <v>1.939542895</v>
      </c>
      <c r="Q3535" s="2">
        <v>1.9664330839999999</v>
      </c>
      <c r="R3535" s="2">
        <v>1.91855943</v>
      </c>
      <c r="S3535" s="2">
        <v>1.94855943</v>
      </c>
      <c r="T3535" s="2">
        <v>0.28452830200000001</v>
      </c>
      <c r="U3535" s="2">
        <v>0.26452830199999999</v>
      </c>
      <c r="V3535" s="2">
        <v>2.7811776560000001</v>
      </c>
      <c r="W3535" s="2">
        <v>2.8259617989999999</v>
      </c>
      <c r="X3535">
        <f t="shared" si="165"/>
        <v>0</v>
      </c>
      <c r="Y3535">
        <f t="shared" si="166"/>
        <v>0</v>
      </c>
      <c r="Z3535">
        <f t="shared" si="167"/>
        <v>1</v>
      </c>
    </row>
    <row r="3536" spans="1:26" ht="15.75" customHeight="1" x14ac:dyDescent="0.2">
      <c r="A3536" s="2" t="s">
        <v>36</v>
      </c>
      <c r="B3536" s="2" t="s">
        <v>35</v>
      </c>
      <c r="C3536" s="2" t="s">
        <v>25</v>
      </c>
      <c r="D3536" s="2" t="s">
        <v>25</v>
      </c>
      <c r="E3536" s="2">
        <v>123</v>
      </c>
      <c r="F3536" s="2">
        <v>151</v>
      </c>
      <c r="G3536" s="2">
        <v>649</v>
      </c>
      <c r="H3536" s="2">
        <v>1556</v>
      </c>
      <c r="I3536" s="2">
        <v>2704</v>
      </c>
      <c r="J3536" s="2">
        <v>1.39</v>
      </c>
      <c r="K3536" s="2">
        <v>6.14</v>
      </c>
      <c r="L3536" s="2">
        <v>11.33</v>
      </c>
      <c r="M3536" s="2">
        <v>15.01</v>
      </c>
      <c r="N3536" s="2">
        <v>0.525773563</v>
      </c>
      <c r="O3536" s="2">
        <v>0.57340780700000005</v>
      </c>
      <c r="P3536" s="2">
        <v>1.909392964</v>
      </c>
      <c r="Q3536" s="2">
        <v>1.9331051459999999</v>
      </c>
      <c r="R3536" s="2">
        <v>1.839103105</v>
      </c>
      <c r="S3536" s="2">
        <v>1.869103105</v>
      </c>
      <c r="T3536" s="2">
        <v>0.51330425700000004</v>
      </c>
      <c r="U3536" s="2">
        <v>0.49330425700000002</v>
      </c>
      <c r="V3536" s="2">
        <v>2.7017213309999999</v>
      </c>
      <c r="W3536" s="2">
        <v>2.7465054740000001</v>
      </c>
      <c r="X3536">
        <f t="shared" si="165"/>
        <v>0</v>
      </c>
      <c r="Y3536">
        <f t="shared" si="166"/>
        <v>0</v>
      </c>
      <c r="Z3536">
        <f t="shared" si="167"/>
        <v>0</v>
      </c>
    </row>
    <row r="3537" spans="1:26" ht="15.75" customHeight="1" x14ac:dyDescent="0.2">
      <c r="A3537" s="2" t="s">
        <v>36</v>
      </c>
      <c r="B3537" s="2" t="s">
        <v>35</v>
      </c>
      <c r="C3537" s="2" t="s">
        <v>32</v>
      </c>
      <c r="D3537" s="2" t="s">
        <v>33</v>
      </c>
      <c r="E3537" s="2">
        <v>115</v>
      </c>
      <c r="F3537" s="2">
        <v>118</v>
      </c>
      <c r="G3537" s="2">
        <v>673</v>
      </c>
      <c r="H3537" s="2">
        <v>1553</v>
      </c>
      <c r="I3537" s="2">
        <v>3142</v>
      </c>
      <c r="J3537" s="2">
        <v>0.99</v>
      </c>
      <c r="K3537" s="2">
        <v>6.33</v>
      </c>
      <c r="L3537" s="2">
        <v>11.32</v>
      </c>
      <c r="M3537" s="2">
        <v>15.98</v>
      </c>
      <c r="N3537" s="2">
        <v>0.52814128800000004</v>
      </c>
      <c r="O3537" s="2">
        <v>0.58728556499999995</v>
      </c>
      <c r="P3537" s="2">
        <v>2.0861533639999998</v>
      </c>
      <c r="Q3537" s="2">
        <v>2.1106461589999999</v>
      </c>
      <c r="R3537" s="2">
        <v>2.0252151899999999</v>
      </c>
      <c r="S3537" s="2">
        <v>2.0552151900000002</v>
      </c>
      <c r="T3537" s="2">
        <v>0.50053900200000001</v>
      </c>
      <c r="U3537" s="2">
        <v>0.48053900199999999</v>
      </c>
      <c r="V3537" s="2">
        <v>2.8878334159999999</v>
      </c>
      <c r="W3537" s="2">
        <v>2.9326175590000001</v>
      </c>
      <c r="X3537">
        <f t="shared" si="165"/>
        <v>0</v>
      </c>
      <c r="Y3537">
        <f t="shared" si="166"/>
        <v>0</v>
      </c>
      <c r="Z3537">
        <f t="shared" si="167"/>
        <v>1</v>
      </c>
    </row>
    <row r="3538" spans="1:26" ht="15.75" customHeight="1" x14ac:dyDescent="0.2">
      <c r="A3538" s="2" t="s">
        <v>36</v>
      </c>
      <c r="B3538" s="2" t="s">
        <v>35</v>
      </c>
      <c r="C3538" s="2" t="s">
        <v>32</v>
      </c>
      <c r="D3538" s="2" t="s">
        <v>33</v>
      </c>
      <c r="E3538" s="2">
        <v>160</v>
      </c>
      <c r="F3538" s="2">
        <v>106</v>
      </c>
      <c r="G3538" s="2">
        <v>664</v>
      </c>
      <c r="H3538" s="2">
        <v>1541</v>
      </c>
      <c r="I3538" s="2">
        <v>3139</v>
      </c>
      <c r="J3538" s="2">
        <v>0.85</v>
      </c>
      <c r="K3538" s="2">
        <v>6.25</v>
      </c>
      <c r="L3538" s="2">
        <v>11.27</v>
      </c>
      <c r="M3538" s="2">
        <v>15.97</v>
      </c>
      <c r="N3538" s="2">
        <v>0.463384395</v>
      </c>
      <c r="O3538" s="2">
        <v>0.51931349000000004</v>
      </c>
      <c r="P3538" s="2">
        <v>2.0027335229999998</v>
      </c>
      <c r="Q3538" s="2">
        <v>2.0276520439999999</v>
      </c>
      <c r="R3538" s="2">
        <v>1.951693559</v>
      </c>
      <c r="S3538" s="2">
        <v>1.981693559</v>
      </c>
      <c r="T3538" s="2">
        <v>0.449259189</v>
      </c>
      <c r="U3538" s="2">
        <v>0.42925918899999999</v>
      </c>
      <c r="V3538" s="2">
        <v>2.8143117850000001</v>
      </c>
      <c r="W3538" s="2">
        <v>2.8590959279999999</v>
      </c>
      <c r="X3538">
        <f t="shared" si="165"/>
        <v>0</v>
      </c>
      <c r="Y3538">
        <f t="shared" si="166"/>
        <v>0</v>
      </c>
      <c r="Z3538">
        <f t="shared" si="167"/>
        <v>1</v>
      </c>
    </row>
    <row r="3539" spans="1:26" ht="15.75" customHeight="1" x14ac:dyDescent="0.2">
      <c r="A3539" s="2" t="s">
        <v>36</v>
      </c>
      <c r="B3539" s="2" t="s">
        <v>35</v>
      </c>
      <c r="C3539" s="2" t="s">
        <v>25</v>
      </c>
      <c r="D3539" s="2" t="s">
        <v>25</v>
      </c>
      <c r="E3539" s="2">
        <v>100</v>
      </c>
      <c r="F3539" s="2">
        <v>155</v>
      </c>
      <c r="G3539" s="2">
        <v>661</v>
      </c>
      <c r="H3539" s="2">
        <v>1461</v>
      </c>
      <c r="I3539" s="2">
        <v>2718</v>
      </c>
      <c r="J3539" s="2">
        <v>1.43</v>
      </c>
      <c r="K3539" s="2">
        <v>6.23</v>
      </c>
      <c r="L3539" s="2">
        <v>10.92</v>
      </c>
      <c r="M3539" s="2">
        <v>15.05</v>
      </c>
      <c r="N3539" s="2">
        <v>0.115819251</v>
      </c>
      <c r="O3539" s="2">
        <v>0.17787445099999999</v>
      </c>
      <c r="P3539" s="2">
        <v>1.9338111840000001</v>
      </c>
      <c r="Q3539" s="2">
        <v>1.9628746029999999</v>
      </c>
      <c r="R3539" s="2">
        <v>1.9313162909999999</v>
      </c>
      <c r="S3539" s="2">
        <v>1.9613162909999999</v>
      </c>
      <c r="T3539" s="2">
        <v>9.8199180999999996E-2</v>
      </c>
      <c r="U3539" s="2">
        <v>7.8199181000000006E-2</v>
      </c>
      <c r="V3539" s="2">
        <v>2.7939345169999998</v>
      </c>
      <c r="W3539" s="2">
        <v>2.8387186610000001</v>
      </c>
      <c r="X3539">
        <f t="shared" si="165"/>
        <v>0</v>
      </c>
      <c r="Y3539">
        <f t="shared" si="166"/>
        <v>0</v>
      </c>
      <c r="Z3539">
        <f t="shared" si="167"/>
        <v>0</v>
      </c>
    </row>
    <row r="3540" spans="1:26" ht="15.75" customHeight="1" x14ac:dyDescent="0.2">
      <c r="A3540" s="2" t="s">
        <v>36</v>
      </c>
      <c r="B3540" s="2" t="s">
        <v>35</v>
      </c>
      <c r="C3540" s="2" t="s">
        <v>25</v>
      </c>
      <c r="D3540" s="2" t="s">
        <v>25</v>
      </c>
      <c r="E3540" s="2">
        <v>144</v>
      </c>
      <c r="F3540" s="2">
        <v>116</v>
      </c>
      <c r="G3540" s="2">
        <v>734</v>
      </c>
      <c r="H3540" s="2">
        <v>1387</v>
      </c>
      <c r="I3540" s="2">
        <v>2824</v>
      </c>
      <c r="J3540" s="2">
        <v>0.97</v>
      </c>
      <c r="K3540" s="2">
        <v>6.77</v>
      </c>
      <c r="L3540" s="2">
        <v>10.58</v>
      </c>
      <c r="M3540" s="2">
        <v>15.3</v>
      </c>
      <c r="N3540" s="2">
        <v>0.62816653499999997</v>
      </c>
      <c r="O3540" s="2">
        <v>0.64997584799999997</v>
      </c>
      <c r="P3540" s="2">
        <v>2.486182994</v>
      </c>
      <c r="Q3540" s="2">
        <v>2.5180304059999998</v>
      </c>
      <c r="R3540" s="2">
        <v>2.4745805490000001</v>
      </c>
      <c r="S3540" s="2">
        <v>2.5045805489999999</v>
      </c>
      <c r="T3540" s="2">
        <v>0.23991036700000001</v>
      </c>
      <c r="U3540" s="2">
        <v>0.25991036699999998</v>
      </c>
      <c r="V3540" s="2">
        <v>3.3371987750000001</v>
      </c>
      <c r="W3540" s="2">
        <v>3.3819829189999999</v>
      </c>
      <c r="X3540">
        <f t="shared" si="165"/>
        <v>0</v>
      </c>
      <c r="Y3540">
        <f t="shared" si="166"/>
        <v>0</v>
      </c>
      <c r="Z3540">
        <f t="shared" si="167"/>
        <v>0</v>
      </c>
    </row>
    <row r="3541" spans="1:26" ht="15.75" customHeight="1" x14ac:dyDescent="0.2">
      <c r="A3541" s="2" t="s">
        <v>36</v>
      </c>
      <c r="B3541" s="2" t="s">
        <v>35</v>
      </c>
      <c r="C3541" s="2" t="s">
        <v>27</v>
      </c>
      <c r="D3541" s="2" t="s">
        <v>27</v>
      </c>
      <c r="E3541" s="2">
        <v>143</v>
      </c>
      <c r="F3541" s="2">
        <v>186</v>
      </c>
      <c r="G3541" s="2">
        <v>379</v>
      </c>
      <c r="H3541" s="2">
        <v>2080</v>
      </c>
      <c r="I3541" s="2">
        <v>2662</v>
      </c>
      <c r="J3541" s="2">
        <v>1.8</v>
      </c>
      <c r="K3541" s="2">
        <v>3.81</v>
      </c>
      <c r="L3541" s="2">
        <v>13.27</v>
      </c>
      <c r="M3541" s="2">
        <v>14.91</v>
      </c>
      <c r="N3541" s="2">
        <v>0.50164039299999996</v>
      </c>
      <c r="O3541" s="2">
        <v>0.40146980199999999</v>
      </c>
      <c r="P3541" s="2">
        <v>2.5018675930000001</v>
      </c>
      <c r="Q3541" s="2">
        <v>2.4765543380000001</v>
      </c>
      <c r="R3541" s="2">
        <v>0.48584010300000002</v>
      </c>
      <c r="S3541" s="2">
        <v>0.455840103</v>
      </c>
      <c r="T3541" s="2">
        <v>2.4542413989999998</v>
      </c>
      <c r="U3541" s="2">
        <v>2.4342413989999998</v>
      </c>
      <c r="V3541" s="2">
        <v>0.37677812300000002</v>
      </c>
      <c r="W3541" s="2">
        <v>0.42156226699999999</v>
      </c>
      <c r="X3541">
        <f t="shared" si="165"/>
        <v>0</v>
      </c>
      <c r="Y3541">
        <f t="shared" si="166"/>
        <v>0</v>
      </c>
      <c r="Z3541">
        <f t="shared" si="167"/>
        <v>0</v>
      </c>
    </row>
    <row r="3542" spans="1:26" ht="15.75" customHeight="1" x14ac:dyDescent="0.2">
      <c r="A3542" s="2" t="s">
        <v>36</v>
      </c>
      <c r="B3542" s="2" t="s">
        <v>35</v>
      </c>
      <c r="C3542" s="2" t="s">
        <v>30</v>
      </c>
      <c r="D3542" s="2" t="s">
        <v>31</v>
      </c>
      <c r="E3542" s="2">
        <v>170</v>
      </c>
      <c r="F3542" s="2">
        <v>156</v>
      </c>
      <c r="G3542" s="2">
        <v>653</v>
      </c>
      <c r="H3542" s="2">
        <v>1256</v>
      </c>
      <c r="I3542" s="2">
        <v>2550</v>
      </c>
      <c r="J3542" s="2">
        <v>1.44</v>
      </c>
      <c r="K3542" s="2">
        <v>6.17</v>
      </c>
      <c r="L3542" s="2">
        <v>9.94</v>
      </c>
      <c r="M3542" s="2">
        <v>14.63</v>
      </c>
      <c r="N3542" s="2">
        <v>3.6368402259999999</v>
      </c>
      <c r="O3542" s="2">
        <v>3.7215645089999998</v>
      </c>
      <c r="P3542" s="2">
        <v>2.0687314020000001</v>
      </c>
      <c r="Q3542" s="2">
        <v>2.104394622</v>
      </c>
      <c r="R3542" s="2">
        <v>1.8725000000000001</v>
      </c>
      <c r="S3542" s="2">
        <v>1.9025000000000001</v>
      </c>
      <c r="T3542" s="2">
        <v>0.87942786100000003</v>
      </c>
      <c r="U3542" s="2">
        <v>0.89942786100000005</v>
      </c>
      <c r="V3542" s="2">
        <v>2.735118226</v>
      </c>
      <c r="W3542" s="2">
        <v>2.7799023690000002</v>
      </c>
      <c r="X3542">
        <f t="shared" si="165"/>
        <v>0</v>
      </c>
      <c r="Y3542">
        <f t="shared" si="166"/>
        <v>0</v>
      </c>
      <c r="Z3542">
        <f t="shared" si="167"/>
        <v>1</v>
      </c>
    </row>
    <row r="3543" spans="1:26" ht="15.75" customHeight="1" x14ac:dyDescent="0.2">
      <c r="A3543" s="2" t="s">
        <v>36</v>
      </c>
      <c r="B3543" s="2" t="s">
        <v>35</v>
      </c>
      <c r="C3543" s="2" t="s">
        <v>28</v>
      </c>
      <c r="D3543" s="2" t="s">
        <v>29</v>
      </c>
      <c r="E3543" s="2">
        <v>128</v>
      </c>
      <c r="F3543" s="2">
        <v>183</v>
      </c>
      <c r="G3543" s="2">
        <v>544</v>
      </c>
      <c r="H3543" s="2">
        <v>1542</v>
      </c>
      <c r="I3543" s="2">
        <v>2607</v>
      </c>
      <c r="J3543" s="2">
        <v>1.76</v>
      </c>
      <c r="K3543" s="2">
        <v>5.29</v>
      </c>
      <c r="L3543" s="2">
        <v>11.27</v>
      </c>
      <c r="M3543" s="2">
        <v>14.77</v>
      </c>
      <c r="N3543" s="2">
        <v>3.5960642279999999</v>
      </c>
      <c r="O3543" s="2">
        <v>3.5920804409999998</v>
      </c>
      <c r="P3543" s="2">
        <v>1.093665828</v>
      </c>
      <c r="Q3543" s="2">
        <v>1.1130490449999999</v>
      </c>
      <c r="R3543" s="2">
        <v>0.994536741</v>
      </c>
      <c r="S3543" s="2">
        <v>1.0245367409999999</v>
      </c>
      <c r="T3543" s="2">
        <v>0.4549743</v>
      </c>
      <c r="U3543" s="2">
        <v>0.43497429999999998</v>
      </c>
      <c r="V3543" s="2">
        <v>1.857154967</v>
      </c>
      <c r="W3543" s="2">
        <v>1.9019391109999999</v>
      </c>
      <c r="X3543">
        <f t="shared" si="165"/>
        <v>0</v>
      </c>
      <c r="Y3543">
        <f t="shared" si="166"/>
        <v>0</v>
      </c>
      <c r="Z3543">
        <f t="shared" si="167"/>
        <v>1</v>
      </c>
    </row>
    <row r="3544" spans="1:26" ht="15.75" customHeight="1" x14ac:dyDescent="0.2">
      <c r="A3544" s="2" t="s">
        <v>36</v>
      </c>
      <c r="B3544" s="2" t="s">
        <v>35</v>
      </c>
      <c r="C3544" s="2" t="s">
        <v>28</v>
      </c>
      <c r="D3544" s="2" t="s">
        <v>29</v>
      </c>
      <c r="E3544" s="2">
        <v>180</v>
      </c>
      <c r="F3544" s="2">
        <v>128</v>
      </c>
      <c r="G3544" s="2">
        <v>495</v>
      </c>
      <c r="H3544" s="2">
        <v>1897</v>
      </c>
      <c r="I3544" s="2">
        <v>2788</v>
      </c>
      <c r="J3544" s="2">
        <v>1.1200000000000001</v>
      </c>
      <c r="K3544" s="2">
        <v>4.88</v>
      </c>
      <c r="L3544" s="2">
        <v>12.66</v>
      </c>
      <c r="M3544" s="2">
        <v>15.21</v>
      </c>
      <c r="N3544" s="2">
        <v>4.8163189300000004</v>
      </c>
      <c r="O3544" s="2">
        <v>4.8041170749999997</v>
      </c>
      <c r="P3544" s="2">
        <v>1.9241793140000001</v>
      </c>
      <c r="Q3544" s="2">
        <v>1.9143837720000001</v>
      </c>
      <c r="R3544" s="2">
        <v>0.57568228099999996</v>
      </c>
      <c r="S3544" s="2">
        <v>0.60568228099999999</v>
      </c>
      <c r="T3544" s="2">
        <v>1.836043557</v>
      </c>
      <c r="U3544" s="2">
        <v>1.816043557</v>
      </c>
      <c r="V3544" s="2">
        <v>1.4383005069999999</v>
      </c>
      <c r="W3544" s="2">
        <v>1.4830846499999999</v>
      </c>
      <c r="X3544">
        <f t="shared" si="165"/>
        <v>0</v>
      </c>
      <c r="Y3544">
        <f t="shared" si="166"/>
        <v>0</v>
      </c>
      <c r="Z3544">
        <f t="shared" si="167"/>
        <v>1</v>
      </c>
    </row>
    <row r="3545" spans="1:26" ht="15.75" customHeight="1" x14ac:dyDescent="0.2">
      <c r="A3545" s="2" t="s">
        <v>36</v>
      </c>
      <c r="B3545" s="2" t="s">
        <v>35</v>
      </c>
      <c r="C3545" s="2" t="s">
        <v>32</v>
      </c>
      <c r="D3545" s="2" t="s">
        <v>33</v>
      </c>
      <c r="E3545" s="2">
        <v>159</v>
      </c>
      <c r="F3545" s="2">
        <v>162</v>
      </c>
      <c r="G3545" s="2">
        <v>617</v>
      </c>
      <c r="H3545" s="2">
        <v>872</v>
      </c>
      <c r="I3545" s="2">
        <v>2480</v>
      </c>
      <c r="J3545" s="2">
        <v>1.52</v>
      </c>
      <c r="K3545" s="2">
        <v>5.89</v>
      </c>
      <c r="L3545" s="2">
        <v>7.73</v>
      </c>
      <c r="M3545" s="2">
        <v>14.44</v>
      </c>
      <c r="N3545" s="2">
        <v>3.097676919</v>
      </c>
      <c r="O3545" s="2">
        <v>3.044197021</v>
      </c>
      <c r="P3545" s="2">
        <v>3.4758763620000002</v>
      </c>
      <c r="Q3545" s="2">
        <v>3.5074076989999998</v>
      </c>
      <c r="R3545" s="2">
        <v>1.586364812</v>
      </c>
      <c r="S3545" s="2">
        <v>1.616364812</v>
      </c>
      <c r="T3545" s="2">
        <v>3.0927597979999999</v>
      </c>
      <c r="U3545" s="2">
        <v>3.1127597979999999</v>
      </c>
      <c r="V3545" s="2">
        <v>2.4489830380000002</v>
      </c>
      <c r="W3545" s="2">
        <v>2.493767182</v>
      </c>
      <c r="X3545">
        <f t="shared" si="165"/>
        <v>0</v>
      </c>
      <c r="Y3545">
        <f t="shared" si="166"/>
        <v>0</v>
      </c>
      <c r="Z3545">
        <f t="shared" si="167"/>
        <v>1</v>
      </c>
    </row>
    <row r="3546" spans="1:26" ht="15.75" customHeight="1" x14ac:dyDescent="0.2">
      <c r="A3546" s="2" t="s">
        <v>36</v>
      </c>
      <c r="B3546" s="2" t="s">
        <v>35</v>
      </c>
      <c r="C3546" s="2" t="s">
        <v>26</v>
      </c>
      <c r="D3546" s="2" t="s">
        <v>26</v>
      </c>
      <c r="E3546" s="2">
        <v>155</v>
      </c>
      <c r="F3546" s="2">
        <v>116</v>
      </c>
      <c r="G3546" s="2">
        <v>460</v>
      </c>
      <c r="H3546" s="2">
        <v>914</v>
      </c>
      <c r="I3546" s="2">
        <v>2358</v>
      </c>
      <c r="J3546" s="2">
        <v>0.97</v>
      </c>
      <c r="K3546" s="2">
        <v>4.57</v>
      </c>
      <c r="L3546" s="2">
        <v>8</v>
      </c>
      <c r="M3546" s="2">
        <v>14.11</v>
      </c>
      <c r="N3546" s="2">
        <v>0.571222911</v>
      </c>
      <c r="O3546" s="2">
        <v>0.60871692600000005</v>
      </c>
      <c r="P3546" s="2">
        <v>2.8362974190000001</v>
      </c>
      <c r="Q3546" s="2">
        <v>2.859160964</v>
      </c>
      <c r="R3546" s="2">
        <v>0.26611570200000001</v>
      </c>
      <c r="S3546" s="2">
        <v>0.29611570199999998</v>
      </c>
      <c r="T3546" s="2">
        <v>2.8237856649999999</v>
      </c>
      <c r="U3546" s="2">
        <v>2.843785665</v>
      </c>
      <c r="V3546" s="2">
        <v>1.1287339279999999</v>
      </c>
      <c r="W3546" s="2">
        <v>1.173518072</v>
      </c>
      <c r="X3546">
        <f t="shared" si="165"/>
        <v>0</v>
      </c>
      <c r="Y3546">
        <f t="shared" si="166"/>
        <v>0</v>
      </c>
      <c r="Z3546">
        <f t="shared" si="167"/>
        <v>0</v>
      </c>
    </row>
    <row r="3547" spans="1:26" ht="15.75" customHeight="1" x14ac:dyDescent="0.2">
      <c r="A3547" s="2" t="s">
        <v>36</v>
      </c>
      <c r="B3547" s="2" t="s">
        <v>35</v>
      </c>
      <c r="C3547" s="2" t="s">
        <v>25</v>
      </c>
      <c r="D3547" s="2" t="s">
        <v>25</v>
      </c>
      <c r="E3547" s="2">
        <v>120</v>
      </c>
      <c r="F3547" s="2">
        <v>153</v>
      </c>
      <c r="G3547" s="2">
        <v>699</v>
      </c>
      <c r="H3547" s="2">
        <v>1311</v>
      </c>
      <c r="I3547" s="2">
        <v>2804</v>
      </c>
      <c r="J3547" s="2">
        <v>1.41</v>
      </c>
      <c r="K3547" s="2">
        <v>6.52</v>
      </c>
      <c r="L3547" s="2">
        <v>10.220000000000001</v>
      </c>
      <c r="M3547" s="2">
        <v>15.25</v>
      </c>
      <c r="N3547" s="2">
        <v>0.67763307500000003</v>
      </c>
      <c r="O3547" s="2">
        <v>0.65590243800000003</v>
      </c>
      <c r="P3547" s="2">
        <v>2.298360132</v>
      </c>
      <c r="Q3547" s="2">
        <v>2.332584711</v>
      </c>
      <c r="R3547" s="2">
        <v>2.2178337720000001</v>
      </c>
      <c r="S3547" s="2">
        <v>2.2478337719999999</v>
      </c>
      <c r="T3547" s="2">
        <v>0.60305278200000001</v>
      </c>
      <c r="U3547" s="2">
        <v>0.62305278200000003</v>
      </c>
      <c r="V3547" s="2">
        <v>3.080451998</v>
      </c>
      <c r="W3547" s="2">
        <v>3.1252361419999999</v>
      </c>
      <c r="X3547">
        <f t="shared" si="165"/>
        <v>0</v>
      </c>
      <c r="Y3547">
        <f t="shared" si="166"/>
        <v>0</v>
      </c>
      <c r="Z3547">
        <f t="shared" si="167"/>
        <v>0</v>
      </c>
    </row>
    <row r="3548" spans="1:26" ht="15.75" customHeight="1" x14ac:dyDescent="0.2">
      <c r="A3548" s="2" t="s">
        <v>36</v>
      </c>
      <c r="B3548" s="2" t="s">
        <v>35</v>
      </c>
      <c r="C3548" s="2" t="s">
        <v>30</v>
      </c>
      <c r="D3548" s="2" t="s">
        <v>31</v>
      </c>
      <c r="E3548" s="2">
        <v>192</v>
      </c>
      <c r="F3548" s="2">
        <v>178</v>
      </c>
      <c r="G3548" s="2">
        <v>501</v>
      </c>
      <c r="H3548" s="2">
        <v>1214</v>
      </c>
      <c r="I3548" s="2">
        <v>2133</v>
      </c>
      <c r="J3548" s="2">
        <v>1.7</v>
      </c>
      <c r="K3548" s="2">
        <v>4.93</v>
      </c>
      <c r="L3548" s="2">
        <v>9.7200000000000006</v>
      </c>
      <c r="M3548" s="2">
        <v>13.44</v>
      </c>
      <c r="N3548" s="2">
        <v>3.2238863480000002</v>
      </c>
      <c r="O3548" s="2">
        <v>3.3219314309999999</v>
      </c>
      <c r="P3548" s="2">
        <v>1.2627916260000001</v>
      </c>
      <c r="Q3548" s="2">
        <v>1.2951603279999999</v>
      </c>
      <c r="R3548" s="2">
        <v>0.62786672099999996</v>
      </c>
      <c r="S3548" s="2">
        <v>0.65786672099999999</v>
      </c>
      <c r="T3548" s="2">
        <v>1.0956395720000001</v>
      </c>
      <c r="U3548" s="2">
        <v>1.1156395720000001</v>
      </c>
      <c r="V3548" s="2">
        <v>1.4904849469999999</v>
      </c>
      <c r="W3548" s="2">
        <v>1.5352690899999999</v>
      </c>
      <c r="X3548">
        <f t="shared" si="165"/>
        <v>0</v>
      </c>
      <c r="Y3548">
        <f t="shared" si="166"/>
        <v>0</v>
      </c>
      <c r="Z3548">
        <f t="shared" si="167"/>
        <v>1</v>
      </c>
    </row>
    <row r="3549" spans="1:26" ht="15.75" customHeight="1" x14ac:dyDescent="0.2">
      <c r="A3549" s="2" t="s">
        <v>36</v>
      </c>
      <c r="B3549" s="2" t="s">
        <v>35</v>
      </c>
      <c r="C3549" s="2" t="s">
        <v>27</v>
      </c>
      <c r="D3549" s="2" t="s">
        <v>27</v>
      </c>
      <c r="E3549" s="2">
        <v>130</v>
      </c>
      <c r="F3549" s="2">
        <v>169</v>
      </c>
      <c r="G3549" s="2">
        <v>363</v>
      </c>
      <c r="H3549" s="2">
        <v>2062</v>
      </c>
      <c r="I3549" s="2">
        <v>2708</v>
      </c>
      <c r="J3549" s="2">
        <v>1.6</v>
      </c>
      <c r="K3549" s="2">
        <v>3.66</v>
      </c>
      <c r="L3549" s="2">
        <v>13.21</v>
      </c>
      <c r="M3549" s="2">
        <v>15.02</v>
      </c>
      <c r="N3549" s="2">
        <v>0.49454381400000003</v>
      </c>
      <c r="O3549" s="2">
        <v>0.40392076799999999</v>
      </c>
      <c r="P3549" s="2">
        <v>2.4772622210000002</v>
      </c>
      <c r="Q3549" s="2">
        <v>2.4503332900000001</v>
      </c>
      <c r="R3549" s="2">
        <v>0.63733141999999998</v>
      </c>
      <c r="S3549" s="2">
        <v>0.60733141999999996</v>
      </c>
      <c r="T3549" s="2">
        <v>2.393874845</v>
      </c>
      <c r="U3549" s="2">
        <v>2.373874845</v>
      </c>
      <c r="V3549" s="2">
        <v>0.22528680600000001</v>
      </c>
      <c r="W3549" s="2">
        <v>0.270070949</v>
      </c>
      <c r="X3549">
        <f t="shared" si="165"/>
        <v>0</v>
      </c>
      <c r="Y3549">
        <f t="shared" si="166"/>
        <v>0</v>
      </c>
      <c r="Z3549">
        <f t="shared" si="167"/>
        <v>0</v>
      </c>
    </row>
    <row r="3550" spans="1:26" ht="15.75" customHeight="1" x14ac:dyDescent="0.2">
      <c r="A3550" s="2" t="s">
        <v>36</v>
      </c>
      <c r="B3550" s="2" t="s">
        <v>35</v>
      </c>
      <c r="C3550" s="2" t="s">
        <v>30</v>
      </c>
      <c r="D3550" s="2" t="s">
        <v>31</v>
      </c>
      <c r="E3550" s="2">
        <v>149</v>
      </c>
      <c r="F3550" s="2">
        <v>160</v>
      </c>
      <c r="G3550" s="2">
        <v>699</v>
      </c>
      <c r="H3550" s="2">
        <v>1320</v>
      </c>
      <c r="I3550" s="2">
        <v>2599</v>
      </c>
      <c r="J3550" s="2">
        <v>1.49</v>
      </c>
      <c r="K3550" s="2">
        <v>6.52</v>
      </c>
      <c r="L3550" s="2">
        <v>10.26</v>
      </c>
      <c r="M3550" s="2">
        <v>14.75</v>
      </c>
      <c r="N3550" s="2">
        <v>3.6369923929999999</v>
      </c>
      <c r="O3550" s="2">
        <v>3.714117323</v>
      </c>
      <c r="P3550" s="2">
        <v>2.2903912110000002</v>
      </c>
      <c r="Q3550" s="2">
        <v>2.32441392</v>
      </c>
      <c r="R3550" s="2">
        <v>2.2203108550000001</v>
      </c>
      <c r="S3550" s="2">
        <v>2.2503108549999999</v>
      </c>
      <c r="T3550" s="2">
        <v>0.562238032</v>
      </c>
      <c r="U3550" s="2">
        <v>0.58223803200000002</v>
      </c>
      <c r="V3550" s="2">
        <v>3.0829290810000001</v>
      </c>
      <c r="W3550" s="2">
        <v>3.1277132239999998</v>
      </c>
      <c r="X3550">
        <f t="shared" si="165"/>
        <v>0</v>
      </c>
      <c r="Y3550">
        <f t="shared" si="166"/>
        <v>0</v>
      </c>
      <c r="Z3550">
        <f t="shared" si="167"/>
        <v>1</v>
      </c>
    </row>
    <row r="3551" spans="1:26" ht="15.75" customHeight="1" x14ac:dyDescent="0.2">
      <c r="A3551" s="2" t="s">
        <v>36</v>
      </c>
      <c r="B3551" s="2" t="s">
        <v>35</v>
      </c>
      <c r="C3551" s="2" t="s">
        <v>27</v>
      </c>
      <c r="D3551" s="2" t="s">
        <v>27</v>
      </c>
      <c r="E3551" s="2">
        <v>102</v>
      </c>
      <c r="F3551" s="2">
        <v>109</v>
      </c>
      <c r="G3551" s="2">
        <v>415</v>
      </c>
      <c r="H3551" s="2">
        <v>1967</v>
      </c>
      <c r="I3551" s="2">
        <v>2715</v>
      </c>
      <c r="J3551" s="2">
        <v>0.88</v>
      </c>
      <c r="K3551" s="2">
        <v>4.1500000000000004</v>
      </c>
      <c r="L3551" s="2">
        <v>12.9</v>
      </c>
      <c r="M3551" s="2">
        <v>15.04</v>
      </c>
      <c r="N3551" s="2">
        <v>0.28107897399999998</v>
      </c>
      <c r="O3551" s="2">
        <v>0.26536826899999999</v>
      </c>
      <c r="P3551" s="2">
        <v>2.0839667309999999</v>
      </c>
      <c r="Q3551" s="2">
        <v>2.0621210510000001</v>
      </c>
      <c r="R3551" s="2">
        <v>0.14530526299999999</v>
      </c>
      <c r="S3551" s="2">
        <v>0.11530526300000001</v>
      </c>
      <c r="T3551" s="2">
        <v>2.0788948309999999</v>
      </c>
      <c r="U3551" s="2">
        <v>2.0588948309999999</v>
      </c>
      <c r="V3551" s="2">
        <v>0.71731296300000003</v>
      </c>
      <c r="W3551" s="2">
        <v>0.76209710600000002</v>
      </c>
      <c r="X3551">
        <f t="shared" si="165"/>
        <v>0</v>
      </c>
      <c r="Y3551">
        <f t="shared" si="166"/>
        <v>0</v>
      </c>
      <c r="Z3551">
        <f t="shared" si="167"/>
        <v>0</v>
      </c>
    </row>
    <row r="3552" spans="1:26" ht="15.75" customHeight="1" x14ac:dyDescent="0.2">
      <c r="A3552" s="2" t="s">
        <v>36</v>
      </c>
      <c r="B3552" s="2" t="s">
        <v>35</v>
      </c>
      <c r="C3552" s="2" t="s">
        <v>26</v>
      </c>
      <c r="D3552" s="2" t="s">
        <v>26</v>
      </c>
      <c r="E3552" s="2">
        <v>129</v>
      </c>
      <c r="F3552" s="2">
        <v>101</v>
      </c>
      <c r="G3552" s="2">
        <v>384</v>
      </c>
      <c r="H3552" s="2">
        <v>896</v>
      </c>
      <c r="I3552" s="2">
        <v>2564</v>
      </c>
      <c r="J3552" s="2">
        <v>0.78</v>
      </c>
      <c r="K3552" s="2">
        <v>3.87</v>
      </c>
      <c r="L3552" s="2">
        <v>7.88</v>
      </c>
      <c r="M3552" s="2">
        <v>14.66</v>
      </c>
      <c r="N3552" s="2">
        <v>0.14026707599999999</v>
      </c>
      <c r="O3552" s="2">
        <v>0.111611793</v>
      </c>
      <c r="P3552" s="2">
        <v>2.9709976290000002</v>
      </c>
      <c r="Q3552" s="2">
        <v>2.986570586</v>
      </c>
      <c r="R3552" s="2">
        <v>0.43473055599999999</v>
      </c>
      <c r="S3552" s="2">
        <v>0.40473055600000002</v>
      </c>
      <c r="T3552" s="2">
        <v>2.9390196080000002</v>
      </c>
      <c r="U3552" s="2">
        <v>2.9590196080000002</v>
      </c>
      <c r="V3552" s="2">
        <v>0.42788767</v>
      </c>
      <c r="W3552" s="2">
        <v>0.472671813</v>
      </c>
      <c r="X3552">
        <f t="shared" si="165"/>
        <v>0</v>
      </c>
      <c r="Y3552">
        <f t="shared" si="166"/>
        <v>0</v>
      </c>
      <c r="Z3552">
        <f t="shared" si="167"/>
        <v>0</v>
      </c>
    </row>
    <row r="3553" spans="1:26" ht="15.75" customHeight="1" x14ac:dyDescent="0.2">
      <c r="A3553" s="2" t="s">
        <v>36</v>
      </c>
      <c r="B3553" s="2" t="s">
        <v>35</v>
      </c>
      <c r="C3553" s="2" t="s">
        <v>27</v>
      </c>
      <c r="D3553" s="2" t="s">
        <v>27</v>
      </c>
      <c r="E3553" s="2">
        <v>124</v>
      </c>
      <c r="F3553" s="2">
        <v>117</v>
      </c>
      <c r="G3553" s="2">
        <v>350</v>
      </c>
      <c r="H3553" s="2">
        <v>1795</v>
      </c>
      <c r="I3553" s="2">
        <v>2466</v>
      </c>
      <c r="J3553" s="2">
        <v>0.98</v>
      </c>
      <c r="K3553" s="2">
        <v>3.54</v>
      </c>
      <c r="L3553" s="2">
        <v>12.29</v>
      </c>
      <c r="M3553" s="2">
        <v>14.41</v>
      </c>
      <c r="N3553" s="2">
        <v>0.61400406200000002</v>
      </c>
      <c r="O3553" s="2">
        <v>0.69182076999999997</v>
      </c>
      <c r="P3553" s="2">
        <v>1.6533791659999999</v>
      </c>
      <c r="Q3553" s="2">
        <v>1.621865669</v>
      </c>
      <c r="R3553" s="2">
        <v>0.76459673900000003</v>
      </c>
      <c r="S3553" s="2">
        <v>0.734596739</v>
      </c>
      <c r="T3553" s="2">
        <v>1.465965379</v>
      </c>
      <c r="U3553" s="2">
        <v>1.445965379</v>
      </c>
      <c r="V3553" s="2">
        <v>9.8021487000000004E-2</v>
      </c>
      <c r="W3553" s="2">
        <v>0.14280562999999999</v>
      </c>
      <c r="X3553">
        <f t="shared" si="165"/>
        <v>0</v>
      </c>
      <c r="Y3553">
        <f t="shared" si="166"/>
        <v>0</v>
      </c>
      <c r="Z3553">
        <f t="shared" si="167"/>
        <v>0</v>
      </c>
    </row>
    <row r="3554" spans="1:26" ht="15.75" customHeight="1" x14ac:dyDescent="0.2">
      <c r="A3554" s="2" t="s">
        <v>36</v>
      </c>
      <c r="B3554" s="2" t="s">
        <v>35</v>
      </c>
      <c r="C3554" s="2" t="s">
        <v>30</v>
      </c>
      <c r="D3554" s="2" t="s">
        <v>31</v>
      </c>
      <c r="E3554" s="2">
        <v>160</v>
      </c>
      <c r="F3554" s="2">
        <v>180</v>
      </c>
      <c r="G3554" s="2">
        <v>704</v>
      </c>
      <c r="H3554" s="2">
        <v>1253</v>
      </c>
      <c r="I3554" s="2">
        <v>2778</v>
      </c>
      <c r="J3554" s="2">
        <v>1.73</v>
      </c>
      <c r="K3554" s="2">
        <v>6.56</v>
      </c>
      <c r="L3554" s="2">
        <v>9.92</v>
      </c>
      <c r="M3554" s="2">
        <v>15.19</v>
      </c>
      <c r="N3554" s="2">
        <v>3.9013649450000001</v>
      </c>
      <c r="O3554" s="2">
        <v>3.9818554069999998</v>
      </c>
      <c r="P3554" s="2">
        <v>2.4288517390000002</v>
      </c>
      <c r="Q3554" s="2">
        <v>2.464126533</v>
      </c>
      <c r="R3554" s="2">
        <v>2.2573927189999998</v>
      </c>
      <c r="S3554" s="2">
        <v>2.2873927190000001</v>
      </c>
      <c r="T3554" s="2">
        <v>0.89638099199999999</v>
      </c>
      <c r="U3554" s="2">
        <v>0.91638099200000001</v>
      </c>
      <c r="V3554" s="2">
        <v>3.1200109450000002</v>
      </c>
      <c r="W3554" s="2">
        <v>3.164795088</v>
      </c>
      <c r="X3554">
        <f t="shared" si="165"/>
        <v>0</v>
      </c>
      <c r="Y3554">
        <f t="shared" si="166"/>
        <v>0</v>
      </c>
      <c r="Z3554">
        <f t="shared" si="167"/>
        <v>1</v>
      </c>
    </row>
    <row r="3555" spans="1:26" ht="15.75" customHeight="1" x14ac:dyDescent="0.2">
      <c r="A3555" s="2" t="s">
        <v>36</v>
      </c>
      <c r="B3555" s="2" t="s">
        <v>35</v>
      </c>
      <c r="C3555" s="2" t="s">
        <v>27</v>
      </c>
      <c r="D3555" s="2" t="s">
        <v>27</v>
      </c>
      <c r="E3555" s="2">
        <v>110</v>
      </c>
      <c r="F3555" s="2">
        <v>116</v>
      </c>
      <c r="G3555" s="2">
        <v>423</v>
      </c>
      <c r="H3555" s="2">
        <v>2027</v>
      </c>
      <c r="I3555" s="2">
        <v>2697</v>
      </c>
      <c r="J3555" s="2">
        <v>0.97</v>
      </c>
      <c r="K3555" s="2">
        <v>4.2300000000000004</v>
      </c>
      <c r="L3555" s="2">
        <v>13.1</v>
      </c>
      <c r="M3555" s="2">
        <v>15</v>
      </c>
      <c r="N3555" s="2">
        <v>0.45912168799999997</v>
      </c>
      <c r="O3555" s="2">
        <v>0.40425114600000001</v>
      </c>
      <c r="P3555" s="2">
        <v>2.2813718249999999</v>
      </c>
      <c r="Q3555" s="2">
        <v>2.260638202</v>
      </c>
      <c r="R3555" s="2">
        <v>7.1028116000000002E-2</v>
      </c>
      <c r="S3555" s="2">
        <v>4.1028116000000003E-2</v>
      </c>
      <c r="T3555" s="2">
        <v>2.280265864</v>
      </c>
      <c r="U3555" s="2">
        <v>2.260265864</v>
      </c>
      <c r="V3555" s="2">
        <v>0.79159011000000001</v>
      </c>
      <c r="W3555" s="2">
        <v>0.83637425399999998</v>
      </c>
      <c r="X3555">
        <f t="shared" si="165"/>
        <v>0</v>
      </c>
      <c r="Y3555">
        <f t="shared" si="166"/>
        <v>0</v>
      </c>
      <c r="Z3555">
        <f t="shared" si="167"/>
        <v>0</v>
      </c>
    </row>
    <row r="3556" spans="1:26" ht="15.75" customHeight="1" x14ac:dyDescent="0.2">
      <c r="A3556" s="2" t="s">
        <v>36</v>
      </c>
      <c r="B3556" s="2" t="s">
        <v>35</v>
      </c>
      <c r="C3556" s="2" t="s">
        <v>26</v>
      </c>
      <c r="D3556" s="2" t="s">
        <v>26</v>
      </c>
      <c r="E3556" s="2">
        <v>107</v>
      </c>
      <c r="F3556" s="2">
        <v>129</v>
      </c>
      <c r="G3556" s="2">
        <v>385</v>
      </c>
      <c r="H3556" s="2">
        <v>949</v>
      </c>
      <c r="I3556" s="2">
        <v>2455</v>
      </c>
      <c r="J3556" s="2">
        <v>1.1299999999999999</v>
      </c>
      <c r="K3556" s="2">
        <v>3.87</v>
      </c>
      <c r="L3556" s="2">
        <v>8.2200000000000006</v>
      </c>
      <c r="M3556" s="2">
        <v>14.38</v>
      </c>
      <c r="N3556" s="2">
        <v>0.32409422100000002</v>
      </c>
      <c r="O3556" s="2">
        <v>0.29097358899999998</v>
      </c>
      <c r="P3556" s="2">
        <v>2.639320933</v>
      </c>
      <c r="Q3556" s="2">
        <v>2.6543500959999999</v>
      </c>
      <c r="R3556" s="2">
        <v>0.43154392899999999</v>
      </c>
      <c r="S3556" s="2">
        <v>0.40154392900000002</v>
      </c>
      <c r="T3556" s="2">
        <v>2.6038019939999999</v>
      </c>
      <c r="U3556" s="2">
        <v>2.6238019939999999</v>
      </c>
      <c r="V3556" s="2">
        <v>0.43107429600000002</v>
      </c>
      <c r="W3556" s="2">
        <v>0.47585843999999999</v>
      </c>
      <c r="X3556">
        <f t="shared" si="165"/>
        <v>0</v>
      </c>
      <c r="Y3556">
        <f t="shared" si="166"/>
        <v>0</v>
      </c>
      <c r="Z3556">
        <f t="shared" si="167"/>
        <v>0</v>
      </c>
    </row>
    <row r="3557" spans="1:26" ht="15.75" customHeight="1" x14ac:dyDescent="0.2">
      <c r="A3557" s="2" t="s">
        <v>36</v>
      </c>
      <c r="B3557" s="2" t="s">
        <v>35</v>
      </c>
      <c r="C3557" s="2" t="s">
        <v>30</v>
      </c>
      <c r="D3557" s="2" t="s">
        <v>31</v>
      </c>
      <c r="E3557" s="2">
        <v>130</v>
      </c>
      <c r="F3557" s="2">
        <v>108</v>
      </c>
      <c r="G3557" s="2">
        <v>827</v>
      </c>
      <c r="H3557" s="2">
        <v>1520</v>
      </c>
      <c r="I3557" s="2">
        <v>3373</v>
      </c>
      <c r="J3557" s="2">
        <v>0.87</v>
      </c>
      <c r="K3557" s="2">
        <v>7.43</v>
      </c>
      <c r="L3557" s="2">
        <v>11.18</v>
      </c>
      <c r="M3557" s="2">
        <v>16.43</v>
      </c>
      <c r="N3557" s="2">
        <v>3.8741504729999998</v>
      </c>
      <c r="O3557" s="2">
        <v>3.9255525109999998</v>
      </c>
      <c r="P3557" s="2">
        <v>3.148213707</v>
      </c>
      <c r="Q3557" s="2">
        <v>3.1758252090000001</v>
      </c>
      <c r="R3557" s="2">
        <v>3.1277158570000001</v>
      </c>
      <c r="S3557" s="2">
        <v>3.1577158569999999</v>
      </c>
      <c r="T3557" s="2">
        <v>0.358668455</v>
      </c>
      <c r="U3557" s="2">
        <v>0.33866845499999998</v>
      </c>
      <c r="V3557" s="2">
        <v>3.990334083</v>
      </c>
      <c r="W3557" s="2">
        <v>4.0351182269999999</v>
      </c>
      <c r="X3557">
        <f t="shared" si="165"/>
        <v>0</v>
      </c>
      <c r="Y3557">
        <f t="shared" si="166"/>
        <v>0</v>
      </c>
      <c r="Z3557">
        <f t="shared" si="167"/>
        <v>1</v>
      </c>
    </row>
    <row r="3558" spans="1:26" ht="15.75" customHeight="1" x14ac:dyDescent="0.2">
      <c r="A3558" s="2" t="s">
        <v>36</v>
      </c>
      <c r="B3558" s="2" t="s">
        <v>35</v>
      </c>
      <c r="C3558" s="2" t="s">
        <v>32</v>
      </c>
      <c r="D3558" s="2" t="s">
        <v>33</v>
      </c>
      <c r="E3558" s="2">
        <v>181</v>
      </c>
      <c r="F3558" s="2">
        <v>124</v>
      </c>
      <c r="G3558" s="2">
        <v>690</v>
      </c>
      <c r="H3558" s="2">
        <v>838</v>
      </c>
      <c r="I3558" s="2">
        <v>2340</v>
      </c>
      <c r="J3558" s="2">
        <v>1.06</v>
      </c>
      <c r="K3558" s="2">
        <v>6.45</v>
      </c>
      <c r="L3558" s="2">
        <v>7.5</v>
      </c>
      <c r="M3558" s="2">
        <v>14.06</v>
      </c>
      <c r="N3558" s="2">
        <v>3.3206653020000001</v>
      </c>
      <c r="O3558" s="2">
        <v>3.274253189</v>
      </c>
      <c r="P3558" s="2">
        <v>3.9561011779999999</v>
      </c>
      <c r="Q3558" s="2">
        <v>3.9892224970000001</v>
      </c>
      <c r="R3558" s="2">
        <v>2.150716981</v>
      </c>
      <c r="S3558" s="2">
        <v>2.1807169810000002</v>
      </c>
      <c r="T3558" s="2">
        <v>3.3204145820000002</v>
      </c>
      <c r="U3558" s="2">
        <v>3.3404145820000002</v>
      </c>
      <c r="V3558" s="2">
        <v>3.0133352069999999</v>
      </c>
      <c r="W3558" s="2">
        <v>3.0581193510000002</v>
      </c>
      <c r="X3558">
        <f t="shared" si="165"/>
        <v>0</v>
      </c>
      <c r="Y3558">
        <f t="shared" si="166"/>
        <v>0</v>
      </c>
      <c r="Z3558">
        <f t="shared" si="167"/>
        <v>1</v>
      </c>
    </row>
    <row r="3559" spans="1:26" ht="15.75" customHeight="1" x14ac:dyDescent="0.2">
      <c r="A3559" s="2" t="s">
        <v>36</v>
      </c>
      <c r="B3559" s="2" t="s">
        <v>35</v>
      </c>
      <c r="C3559" s="2" t="s">
        <v>28</v>
      </c>
      <c r="D3559" s="2" t="s">
        <v>29</v>
      </c>
      <c r="E3559" s="2">
        <v>176</v>
      </c>
      <c r="F3559" s="2">
        <v>160</v>
      </c>
      <c r="G3559" s="2">
        <v>521</v>
      </c>
      <c r="H3559" s="2">
        <v>1355</v>
      </c>
      <c r="I3559" s="2">
        <v>2492</v>
      </c>
      <c r="J3559" s="2">
        <v>1.49</v>
      </c>
      <c r="K3559" s="2">
        <v>5.0999999999999996</v>
      </c>
      <c r="L3559" s="2">
        <v>10.43</v>
      </c>
      <c r="M3559" s="2">
        <v>14.48</v>
      </c>
      <c r="N3559" s="2">
        <v>2.737653168</v>
      </c>
      <c r="O3559" s="2">
        <v>2.735775303</v>
      </c>
      <c r="P3559" s="2">
        <v>0.89133663799999996</v>
      </c>
      <c r="Q3559" s="2">
        <v>0.92709374</v>
      </c>
      <c r="R3559" s="2">
        <v>0.79999193899999999</v>
      </c>
      <c r="S3559" s="2">
        <v>0.82999193900000001</v>
      </c>
      <c r="T3559" s="2">
        <v>0.39305711999999998</v>
      </c>
      <c r="U3559" s="2">
        <v>0.41305712</v>
      </c>
      <c r="V3559" s="2">
        <v>1.662610165</v>
      </c>
      <c r="W3559" s="2">
        <v>1.707394308</v>
      </c>
      <c r="X3559">
        <f t="shared" si="165"/>
        <v>0</v>
      </c>
      <c r="Y3559">
        <f t="shared" si="166"/>
        <v>0</v>
      </c>
      <c r="Z3559">
        <f t="shared" si="167"/>
        <v>1</v>
      </c>
    </row>
    <row r="3560" spans="1:26" ht="15.75" customHeight="1" x14ac:dyDescent="0.2">
      <c r="A3560" s="2" t="s">
        <v>36</v>
      </c>
      <c r="B3560" s="2" t="s">
        <v>35</v>
      </c>
      <c r="C3560" s="2" t="s">
        <v>28</v>
      </c>
      <c r="D3560" s="2" t="s">
        <v>29</v>
      </c>
      <c r="E3560" s="2">
        <v>150</v>
      </c>
      <c r="F3560" s="2">
        <v>154</v>
      </c>
      <c r="G3560" s="2">
        <v>574</v>
      </c>
      <c r="H3560" s="2">
        <v>1084</v>
      </c>
      <c r="I3560" s="2">
        <v>2261</v>
      </c>
      <c r="J3560" s="2">
        <v>1.42</v>
      </c>
      <c r="K3560" s="2">
        <v>5.55</v>
      </c>
      <c r="L3560" s="2">
        <v>9.02</v>
      </c>
      <c r="M3560" s="2">
        <v>13.83</v>
      </c>
      <c r="N3560" s="2">
        <v>1.895608578</v>
      </c>
      <c r="O3560" s="2">
        <v>1.9170539849999999</v>
      </c>
      <c r="P3560" s="2">
        <v>2.191221874</v>
      </c>
      <c r="Q3560" s="2">
        <v>2.224770366</v>
      </c>
      <c r="R3560" s="2">
        <v>1.2457109040000001</v>
      </c>
      <c r="S3560" s="2">
        <v>1.2757109040000001</v>
      </c>
      <c r="T3560" s="2">
        <v>1.802680683</v>
      </c>
      <c r="U3560" s="2">
        <v>1.822680683</v>
      </c>
      <c r="V3560" s="2">
        <v>2.10832913</v>
      </c>
      <c r="W3560" s="2">
        <v>2.1531132730000002</v>
      </c>
      <c r="X3560">
        <f t="shared" si="165"/>
        <v>0</v>
      </c>
      <c r="Y3560">
        <f t="shared" si="166"/>
        <v>0</v>
      </c>
      <c r="Z3560">
        <f t="shared" si="167"/>
        <v>1</v>
      </c>
    </row>
    <row r="3561" spans="1:26" ht="15.75" customHeight="1" x14ac:dyDescent="0.2">
      <c r="A3561" s="2" t="s">
        <v>36</v>
      </c>
      <c r="B3561" s="2" t="s">
        <v>35</v>
      </c>
      <c r="C3561" s="2" t="s">
        <v>26</v>
      </c>
      <c r="D3561" s="2" t="s">
        <v>26</v>
      </c>
      <c r="E3561" s="2">
        <v>200</v>
      </c>
      <c r="F3561" s="2">
        <v>163</v>
      </c>
      <c r="G3561" s="2">
        <v>403</v>
      </c>
      <c r="H3561" s="2">
        <v>937</v>
      </c>
      <c r="I3561" s="2">
        <v>2645</v>
      </c>
      <c r="J3561" s="2">
        <v>1.53</v>
      </c>
      <c r="K3561" s="2">
        <v>4.04</v>
      </c>
      <c r="L3561" s="2">
        <v>8.14</v>
      </c>
      <c r="M3561" s="2">
        <v>14.87</v>
      </c>
      <c r="N3561" s="2">
        <v>0.22743570900000001</v>
      </c>
      <c r="O3561" s="2">
        <v>0.219489081</v>
      </c>
      <c r="P3561" s="2">
        <v>2.6889130899999998</v>
      </c>
      <c r="Q3561" s="2">
        <v>2.7061329120000002</v>
      </c>
      <c r="R3561" s="2">
        <v>0.25766398600000001</v>
      </c>
      <c r="S3561" s="2">
        <v>0.22766398600000001</v>
      </c>
      <c r="T3561" s="2">
        <v>2.6765393469999998</v>
      </c>
      <c r="U3561" s="2">
        <v>2.6965393469999999</v>
      </c>
      <c r="V3561" s="2">
        <v>0.60495423999999998</v>
      </c>
      <c r="W3561" s="2">
        <v>0.64973838299999997</v>
      </c>
      <c r="X3561">
        <f t="shared" si="165"/>
        <v>0</v>
      </c>
      <c r="Y3561">
        <f t="shared" si="166"/>
        <v>0</v>
      </c>
      <c r="Z3561">
        <f t="shared" si="167"/>
        <v>0</v>
      </c>
    </row>
    <row r="3562" spans="1:26" ht="15.75" customHeight="1" x14ac:dyDescent="0.2">
      <c r="A3562" s="2" t="s">
        <v>36</v>
      </c>
      <c r="B3562" s="2" t="s">
        <v>35</v>
      </c>
      <c r="C3562" s="2" t="s">
        <v>25</v>
      </c>
      <c r="D3562" s="2" t="s">
        <v>25</v>
      </c>
      <c r="E3562" s="2">
        <v>197</v>
      </c>
      <c r="F3562" s="2">
        <v>112</v>
      </c>
      <c r="G3562" s="2">
        <v>719</v>
      </c>
      <c r="H3562" s="2">
        <v>1432</v>
      </c>
      <c r="I3562" s="2">
        <v>2874</v>
      </c>
      <c r="J3562" s="2">
        <v>0.92</v>
      </c>
      <c r="K3562" s="2">
        <v>6.67</v>
      </c>
      <c r="L3562" s="2">
        <v>10.79</v>
      </c>
      <c r="M3562" s="2">
        <v>15.41</v>
      </c>
      <c r="N3562" s="2">
        <v>0.47579264700000001</v>
      </c>
      <c r="O3562" s="2">
        <v>0.51623399999999997</v>
      </c>
      <c r="P3562" s="2">
        <v>2.3655592479999998</v>
      </c>
      <c r="Q3562" s="2">
        <v>2.3958916549999998</v>
      </c>
      <c r="R3562" s="2">
        <v>2.3653676749999999</v>
      </c>
      <c r="S3562" s="2">
        <v>2.3953676750000001</v>
      </c>
      <c r="T3562" s="2">
        <v>3.0105139E-2</v>
      </c>
      <c r="U3562" s="2">
        <v>5.0105139E-2</v>
      </c>
      <c r="V3562" s="2">
        <v>3.2279859000000002</v>
      </c>
      <c r="W3562" s="2">
        <v>3.272770044</v>
      </c>
      <c r="X3562">
        <f t="shared" si="165"/>
        <v>0</v>
      </c>
      <c r="Y3562">
        <f t="shared" si="166"/>
        <v>0</v>
      </c>
      <c r="Z3562">
        <f t="shared" si="167"/>
        <v>0</v>
      </c>
    </row>
    <row r="3563" spans="1:26" ht="15.75" customHeight="1" x14ac:dyDescent="0.2">
      <c r="A3563" s="2" t="s">
        <v>36</v>
      </c>
      <c r="B3563" s="2" t="s">
        <v>35</v>
      </c>
      <c r="C3563" s="2" t="s">
        <v>30</v>
      </c>
      <c r="D3563" s="2" t="s">
        <v>31</v>
      </c>
      <c r="E3563" s="2">
        <v>126</v>
      </c>
      <c r="F3563" s="2">
        <v>122</v>
      </c>
      <c r="G3563" s="2">
        <v>637</v>
      </c>
      <c r="H3563" s="2">
        <v>1465</v>
      </c>
      <c r="I3563" s="2">
        <v>2863</v>
      </c>
      <c r="J3563" s="2">
        <v>1.04</v>
      </c>
      <c r="K3563" s="2">
        <v>6.05</v>
      </c>
      <c r="L3563" s="2">
        <v>10.94</v>
      </c>
      <c r="M3563" s="2">
        <v>15.38</v>
      </c>
      <c r="N3563" s="2">
        <v>2.8283894040000002</v>
      </c>
      <c r="O3563" s="2">
        <v>2.9019442400000002</v>
      </c>
      <c r="P3563" s="2">
        <v>1.7499959359999999</v>
      </c>
      <c r="Q3563" s="2">
        <v>1.778719382</v>
      </c>
      <c r="R3563" s="2">
        <v>1.7460377359999999</v>
      </c>
      <c r="S3563" s="2">
        <v>1.7760377359999999</v>
      </c>
      <c r="T3563" s="2">
        <v>0.117635036</v>
      </c>
      <c r="U3563" s="2">
        <v>9.7635035999999994E-2</v>
      </c>
      <c r="V3563" s="2">
        <v>2.6086559619999998</v>
      </c>
      <c r="W3563" s="2">
        <v>2.653440105</v>
      </c>
      <c r="X3563">
        <f t="shared" si="165"/>
        <v>0</v>
      </c>
      <c r="Y3563">
        <f t="shared" si="166"/>
        <v>0</v>
      </c>
      <c r="Z3563">
        <f t="shared" si="167"/>
        <v>1</v>
      </c>
    </row>
    <row r="3564" spans="1:26" ht="15.75" customHeight="1" x14ac:dyDescent="0.2">
      <c r="A3564" s="2" t="s">
        <v>36</v>
      </c>
      <c r="B3564" s="2" t="s">
        <v>35</v>
      </c>
      <c r="C3564" s="2" t="s">
        <v>28</v>
      </c>
      <c r="D3564" s="2" t="s">
        <v>29</v>
      </c>
      <c r="E3564" s="2">
        <v>99</v>
      </c>
      <c r="F3564" s="2">
        <v>137</v>
      </c>
      <c r="G3564" s="2">
        <v>576</v>
      </c>
      <c r="H3564" s="2">
        <v>1311</v>
      </c>
      <c r="I3564" s="2">
        <v>2747</v>
      </c>
      <c r="J3564" s="2">
        <v>1.23</v>
      </c>
      <c r="K3564" s="2">
        <v>5.56</v>
      </c>
      <c r="L3564" s="2">
        <v>10.220000000000001</v>
      </c>
      <c r="M3564" s="2">
        <v>15.12</v>
      </c>
      <c r="N3564" s="2">
        <v>2.7762384779999998</v>
      </c>
      <c r="O3564" s="2">
        <v>2.782511312</v>
      </c>
      <c r="P3564" s="2">
        <v>1.3962820970000001</v>
      </c>
      <c r="Q3564" s="2">
        <v>1.4319867529999999</v>
      </c>
      <c r="R3564" s="2">
        <v>1.2593375389999999</v>
      </c>
      <c r="S3564" s="2">
        <v>1.2893375389999999</v>
      </c>
      <c r="T3564" s="2">
        <v>0.60305278200000001</v>
      </c>
      <c r="U3564" s="2">
        <v>0.62305278200000003</v>
      </c>
      <c r="V3564" s="2">
        <v>2.121955765</v>
      </c>
      <c r="W3564" s="2">
        <v>2.1667399089999999</v>
      </c>
      <c r="X3564">
        <f t="shared" si="165"/>
        <v>0</v>
      </c>
      <c r="Y3564">
        <f t="shared" si="166"/>
        <v>0</v>
      </c>
      <c r="Z3564">
        <f t="shared" si="167"/>
        <v>1</v>
      </c>
    </row>
    <row r="3565" spans="1:26" ht="15.75" customHeight="1" x14ac:dyDescent="0.2">
      <c r="A3565" s="2" t="s">
        <v>36</v>
      </c>
      <c r="B3565" s="2" t="s">
        <v>35</v>
      </c>
      <c r="C3565" s="2" t="s">
        <v>28</v>
      </c>
      <c r="D3565" s="2" t="s">
        <v>29</v>
      </c>
      <c r="E3565" s="2">
        <v>184</v>
      </c>
      <c r="F3565" s="2">
        <v>176</v>
      </c>
      <c r="G3565" s="2">
        <v>516</v>
      </c>
      <c r="H3565" s="2">
        <v>1092</v>
      </c>
      <c r="I3565" s="2">
        <v>2306</v>
      </c>
      <c r="J3565" s="2">
        <v>1.68</v>
      </c>
      <c r="K3565" s="2">
        <v>5.05</v>
      </c>
      <c r="L3565" s="2">
        <v>9.06</v>
      </c>
      <c r="M3565" s="2">
        <v>13.96</v>
      </c>
      <c r="N3565" s="2">
        <v>1.553335924</v>
      </c>
      <c r="O3565" s="2">
        <v>1.566388863</v>
      </c>
      <c r="P3565" s="2">
        <v>1.914221237</v>
      </c>
      <c r="Q3565" s="2">
        <v>1.9445249410000001</v>
      </c>
      <c r="R3565" s="2">
        <v>0.75436380800000002</v>
      </c>
      <c r="S3565" s="2">
        <v>0.78436380800000005</v>
      </c>
      <c r="T3565" s="2">
        <v>1.7593118510000001</v>
      </c>
      <c r="U3565" s="2">
        <v>1.7793118510000001</v>
      </c>
      <c r="V3565" s="2">
        <v>1.6169820340000001</v>
      </c>
      <c r="W3565" s="2">
        <v>1.6617661770000001</v>
      </c>
      <c r="X3565">
        <f t="shared" si="165"/>
        <v>0</v>
      </c>
      <c r="Y3565">
        <f t="shared" si="166"/>
        <v>0</v>
      </c>
      <c r="Z3565">
        <f t="shared" si="167"/>
        <v>1</v>
      </c>
    </row>
    <row r="3566" spans="1:26" ht="15.75" customHeight="1" x14ac:dyDescent="0.2">
      <c r="A3566" s="2" t="s">
        <v>36</v>
      </c>
      <c r="B3566" s="2" t="s">
        <v>35</v>
      </c>
      <c r="C3566" s="2" t="s">
        <v>32</v>
      </c>
      <c r="D3566" s="2" t="s">
        <v>33</v>
      </c>
      <c r="E3566" s="2">
        <v>110</v>
      </c>
      <c r="F3566" s="2">
        <v>117</v>
      </c>
      <c r="G3566" s="2">
        <v>651</v>
      </c>
      <c r="H3566" s="2">
        <v>1848</v>
      </c>
      <c r="I3566" s="2">
        <v>3251</v>
      </c>
      <c r="J3566" s="2">
        <v>0.98</v>
      </c>
      <c r="K3566" s="2">
        <v>6.15</v>
      </c>
      <c r="L3566" s="2">
        <v>12.48</v>
      </c>
      <c r="M3566" s="2">
        <v>16.2</v>
      </c>
      <c r="N3566" s="2">
        <v>1.6723757669999999</v>
      </c>
      <c r="O3566" s="2">
        <v>1.721944224</v>
      </c>
      <c r="P3566" s="2">
        <v>2.488335814</v>
      </c>
      <c r="Q3566" s="2">
        <v>2.497549813</v>
      </c>
      <c r="R3566" s="2">
        <v>1.851961185</v>
      </c>
      <c r="S3566" s="2">
        <v>1.881961185</v>
      </c>
      <c r="T3566" s="2">
        <v>1.6619431069999999</v>
      </c>
      <c r="U3566" s="2">
        <v>1.6419431069999999</v>
      </c>
      <c r="V3566" s="2">
        <v>2.7145794109999999</v>
      </c>
      <c r="W3566" s="2">
        <v>2.7593635540000001</v>
      </c>
      <c r="X3566">
        <f t="shared" si="165"/>
        <v>0</v>
      </c>
      <c r="Y3566">
        <f t="shared" si="166"/>
        <v>0</v>
      </c>
      <c r="Z3566">
        <f t="shared" si="167"/>
        <v>1</v>
      </c>
    </row>
    <row r="3567" spans="1:26" ht="15.75" customHeight="1" x14ac:dyDescent="0.2">
      <c r="A3567" s="2" t="s">
        <v>36</v>
      </c>
      <c r="B3567" s="2" t="s">
        <v>35</v>
      </c>
      <c r="C3567" s="2" t="s">
        <v>25</v>
      </c>
      <c r="D3567" s="2" t="s">
        <v>25</v>
      </c>
      <c r="E3567" s="2">
        <v>106</v>
      </c>
      <c r="F3567" s="2">
        <v>153</v>
      </c>
      <c r="G3567" s="2">
        <v>614</v>
      </c>
      <c r="H3567" s="2">
        <v>1457</v>
      </c>
      <c r="I3567" s="2">
        <v>2816</v>
      </c>
      <c r="J3567" s="2">
        <v>1.41</v>
      </c>
      <c r="K3567" s="2">
        <v>5.87</v>
      </c>
      <c r="L3567" s="2">
        <v>10.9</v>
      </c>
      <c r="M3567" s="2">
        <v>15.28</v>
      </c>
      <c r="N3567" s="2">
        <v>0.33451419199999999</v>
      </c>
      <c r="O3567" s="2">
        <v>0.31504227699999998</v>
      </c>
      <c r="P3567" s="2">
        <v>1.569930955</v>
      </c>
      <c r="Q3567" s="2">
        <v>1.599014521</v>
      </c>
      <c r="R3567" s="2">
        <v>1.5678803569999999</v>
      </c>
      <c r="S3567" s="2">
        <v>1.597880357</v>
      </c>
      <c r="T3567" s="2">
        <v>8.0214634000000007E-2</v>
      </c>
      <c r="U3567" s="2">
        <v>6.0214634000000003E-2</v>
      </c>
      <c r="V3567" s="2">
        <v>2.4304985829999999</v>
      </c>
      <c r="W3567" s="2">
        <v>2.4752827270000002</v>
      </c>
      <c r="X3567">
        <f t="shared" si="165"/>
        <v>0</v>
      </c>
      <c r="Y3567">
        <f t="shared" si="166"/>
        <v>0</v>
      </c>
      <c r="Z3567">
        <f t="shared" si="167"/>
        <v>0</v>
      </c>
    </row>
    <row r="3568" spans="1:26" ht="15.75" customHeight="1" x14ac:dyDescent="0.2">
      <c r="A3568" s="2" t="s">
        <v>36</v>
      </c>
      <c r="B3568" s="2" t="s">
        <v>35</v>
      </c>
      <c r="C3568" s="2" t="s">
        <v>27</v>
      </c>
      <c r="D3568" s="2" t="s">
        <v>27</v>
      </c>
      <c r="E3568" s="2">
        <v>106</v>
      </c>
      <c r="F3568" s="2">
        <v>119</v>
      </c>
      <c r="G3568" s="2">
        <v>380</v>
      </c>
      <c r="H3568" s="2">
        <v>1975</v>
      </c>
      <c r="I3568" s="2">
        <v>2872</v>
      </c>
      <c r="J3568" s="2">
        <v>1</v>
      </c>
      <c r="K3568" s="2">
        <v>3.82</v>
      </c>
      <c r="L3568" s="2">
        <v>12.93</v>
      </c>
      <c r="M3568" s="2">
        <v>15.41</v>
      </c>
      <c r="N3568" s="2">
        <v>0.16629928399999999</v>
      </c>
      <c r="O3568" s="2">
        <v>8.3347803999999998E-2</v>
      </c>
      <c r="P3568" s="2">
        <v>2.1599803</v>
      </c>
      <c r="Q3568" s="2">
        <v>2.1339645300000001</v>
      </c>
      <c r="R3568" s="2">
        <v>0.47943866600000001</v>
      </c>
      <c r="S3568" s="2">
        <v>0.44943866599999999</v>
      </c>
      <c r="T3568" s="2">
        <v>2.1060991109999998</v>
      </c>
      <c r="U3568" s="2">
        <v>2.0860991109999998</v>
      </c>
      <c r="V3568" s="2">
        <v>0.383179559</v>
      </c>
      <c r="W3568" s="2">
        <v>0.42796370299999997</v>
      </c>
      <c r="X3568">
        <f t="shared" si="165"/>
        <v>0</v>
      </c>
      <c r="Y3568">
        <f t="shared" si="166"/>
        <v>0</v>
      </c>
      <c r="Z3568">
        <f t="shared" si="167"/>
        <v>0</v>
      </c>
    </row>
    <row r="3569" spans="1:26" ht="15.75" customHeight="1" x14ac:dyDescent="0.2">
      <c r="A3569" s="2" t="s">
        <v>36</v>
      </c>
      <c r="B3569" s="2" t="s">
        <v>35</v>
      </c>
      <c r="C3569" s="2" t="s">
        <v>32</v>
      </c>
      <c r="D3569" s="2" t="s">
        <v>33</v>
      </c>
      <c r="E3569" s="2">
        <v>106</v>
      </c>
      <c r="F3569" s="2">
        <v>159</v>
      </c>
      <c r="G3569" s="2">
        <v>665</v>
      </c>
      <c r="H3569" s="2">
        <v>1800</v>
      </c>
      <c r="I3569" s="2">
        <v>2950</v>
      </c>
      <c r="J3569" s="2">
        <v>1.48</v>
      </c>
      <c r="K3569" s="2">
        <v>6.26</v>
      </c>
      <c r="L3569" s="2">
        <v>12.3</v>
      </c>
      <c r="M3569" s="2">
        <v>15.58</v>
      </c>
      <c r="N3569" s="2">
        <v>1.4961813749999999</v>
      </c>
      <c r="O3569" s="2">
        <v>1.5484386020000001</v>
      </c>
      <c r="P3569" s="2">
        <v>2.4582337750000001</v>
      </c>
      <c r="Q3569" s="2">
        <v>2.4703015559999999</v>
      </c>
      <c r="R3569" s="2">
        <v>1.959324359</v>
      </c>
      <c r="S3569" s="2">
        <v>1.989324359</v>
      </c>
      <c r="T3569" s="2">
        <v>1.4845744679999999</v>
      </c>
      <c r="U3569" s="2">
        <v>1.4645744679999999</v>
      </c>
      <c r="V3569" s="2">
        <v>2.8219425849999999</v>
      </c>
      <c r="W3569" s="2">
        <v>2.8667267280000002</v>
      </c>
      <c r="X3569">
        <f t="shared" si="165"/>
        <v>0</v>
      </c>
      <c r="Y3569">
        <f t="shared" si="166"/>
        <v>0</v>
      </c>
      <c r="Z3569">
        <f t="shared" si="167"/>
        <v>1</v>
      </c>
    </row>
    <row r="3570" spans="1:26" ht="15.75" customHeight="1" x14ac:dyDescent="0.2">
      <c r="A3570" s="2" t="s">
        <v>36</v>
      </c>
      <c r="B3570" s="2" t="s">
        <v>35</v>
      </c>
      <c r="C3570" s="2" t="s">
        <v>28</v>
      </c>
      <c r="D3570" s="2" t="s">
        <v>29</v>
      </c>
      <c r="E3570" s="2">
        <v>163</v>
      </c>
      <c r="F3570" s="2">
        <v>160</v>
      </c>
      <c r="G3570" s="2">
        <v>501</v>
      </c>
      <c r="H3570" s="2">
        <v>1350</v>
      </c>
      <c r="I3570" s="2">
        <v>2369</v>
      </c>
      <c r="J3570" s="2">
        <v>1.49</v>
      </c>
      <c r="K3570" s="2">
        <v>4.93</v>
      </c>
      <c r="L3570" s="2">
        <v>10.4</v>
      </c>
      <c r="M3570" s="2">
        <v>14.14</v>
      </c>
      <c r="N3570" s="2">
        <v>2.6506965390000001</v>
      </c>
      <c r="O3570" s="2">
        <v>2.6463374220000002</v>
      </c>
      <c r="P3570" s="2">
        <v>0.75373154799999997</v>
      </c>
      <c r="Q3570" s="2">
        <v>0.78978700899999998</v>
      </c>
      <c r="R3570" s="2">
        <v>0.62786672099999996</v>
      </c>
      <c r="S3570" s="2">
        <v>0.65786672099999999</v>
      </c>
      <c r="T3570" s="2">
        <v>0.41700674799999998</v>
      </c>
      <c r="U3570" s="2">
        <v>0.437006748</v>
      </c>
      <c r="V3570" s="2">
        <v>1.4904849469999999</v>
      </c>
      <c r="W3570" s="2">
        <v>1.5352690899999999</v>
      </c>
      <c r="X3570">
        <f t="shared" si="165"/>
        <v>0</v>
      </c>
      <c r="Y3570">
        <f t="shared" si="166"/>
        <v>0</v>
      </c>
      <c r="Z3570">
        <f t="shared" si="167"/>
        <v>1</v>
      </c>
    </row>
    <row r="3571" spans="1:26" ht="15.75" customHeight="1" x14ac:dyDescent="0.2">
      <c r="A3571" s="2" t="s">
        <v>36</v>
      </c>
      <c r="B3571" s="2" t="s">
        <v>35</v>
      </c>
      <c r="C3571" s="2" t="s">
        <v>27</v>
      </c>
      <c r="D3571" s="2" t="s">
        <v>27</v>
      </c>
      <c r="E3571" s="2">
        <v>130</v>
      </c>
      <c r="F3571" s="2">
        <v>156</v>
      </c>
      <c r="G3571" s="2">
        <v>393</v>
      </c>
      <c r="H3571" s="2">
        <v>1915</v>
      </c>
      <c r="I3571" s="2">
        <v>2731</v>
      </c>
      <c r="J3571" s="2">
        <v>1.44</v>
      </c>
      <c r="K3571" s="2">
        <v>3.95</v>
      </c>
      <c r="L3571" s="2">
        <v>12.72</v>
      </c>
      <c r="M3571" s="2">
        <v>15.08</v>
      </c>
      <c r="N3571" s="2">
        <v>8.0149978999999996E-2</v>
      </c>
      <c r="O3571" s="2">
        <v>0.17294902300000001</v>
      </c>
      <c r="P3571" s="2">
        <v>1.929981221</v>
      </c>
      <c r="Q3571" s="2">
        <v>1.905061812</v>
      </c>
      <c r="R3571" s="2">
        <v>0.34900849900000003</v>
      </c>
      <c r="S3571" s="2">
        <v>0.319008499</v>
      </c>
      <c r="T3571" s="2">
        <v>1.898162423</v>
      </c>
      <c r="U3571" s="2">
        <v>1.878162423</v>
      </c>
      <c r="V3571" s="2">
        <v>0.51360972699999996</v>
      </c>
      <c r="W3571" s="2">
        <v>0.55839387100000004</v>
      </c>
      <c r="X3571">
        <f t="shared" si="165"/>
        <v>0</v>
      </c>
      <c r="Y3571">
        <f t="shared" si="166"/>
        <v>0</v>
      </c>
      <c r="Z3571">
        <f t="shared" si="167"/>
        <v>0</v>
      </c>
    </row>
    <row r="3572" spans="1:26" ht="15.75" customHeight="1" x14ac:dyDescent="0.2">
      <c r="A3572" s="2" t="s">
        <v>36</v>
      </c>
      <c r="B3572" s="2" t="s">
        <v>35</v>
      </c>
      <c r="C3572" s="2" t="s">
        <v>26</v>
      </c>
      <c r="D3572" s="2" t="s">
        <v>26</v>
      </c>
      <c r="E3572" s="2">
        <v>162</v>
      </c>
      <c r="F3572" s="2">
        <v>169</v>
      </c>
      <c r="G3572" s="2">
        <v>375</v>
      </c>
      <c r="H3572" s="2">
        <v>873</v>
      </c>
      <c r="I3572" s="2">
        <v>2507</v>
      </c>
      <c r="J3572" s="2">
        <v>1.59</v>
      </c>
      <c r="K3572" s="2">
        <v>3.78</v>
      </c>
      <c r="L3572" s="2">
        <v>7.73</v>
      </c>
      <c r="M3572" s="2">
        <v>14.52</v>
      </c>
      <c r="N3572" s="2">
        <v>0.292940598</v>
      </c>
      <c r="O3572" s="2">
        <v>0.27821558699999999</v>
      </c>
      <c r="P3572" s="2">
        <v>3.1325858759999998</v>
      </c>
      <c r="Q3572" s="2">
        <v>3.1474546060000002</v>
      </c>
      <c r="R3572" s="2">
        <v>0.52432548199999995</v>
      </c>
      <c r="S3572" s="2">
        <v>0.49432548199999998</v>
      </c>
      <c r="T3572" s="2">
        <v>3.088393929</v>
      </c>
      <c r="U3572" s="2">
        <v>3.108393929</v>
      </c>
      <c r="V3572" s="2">
        <v>0.33829274399999998</v>
      </c>
      <c r="W3572" s="2">
        <v>0.383076888</v>
      </c>
      <c r="X3572">
        <f t="shared" si="165"/>
        <v>0</v>
      </c>
      <c r="Y3572">
        <f t="shared" si="166"/>
        <v>0</v>
      </c>
      <c r="Z3572">
        <f t="shared" si="167"/>
        <v>0</v>
      </c>
    </row>
    <row r="3573" spans="1:26" ht="15.75" customHeight="1" x14ac:dyDescent="0.2">
      <c r="A3573" s="2" t="s">
        <v>36</v>
      </c>
      <c r="B3573" s="2" t="s">
        <v>35</v>
      </c>
      <c r="C3573" s="2" t="s">
        <v>27</v>
      </c>
      <c r="D3573" s="2" t="s">
        <v>27</v>
      </c>
      <c r="E3573" s="2">
        <v>110</v>
      </c>
      <c r="F3573" s="2">
        <v>152</v>
      </c>
      <c r="G3573" s="2">
        <v>410</v>
      </c>
      <c r="H3573" s="2">
        <v>1989</v>
      </c>
      <c r="I3573" s="2">
        <v>2598</v>
      </c>
      <c r="J3573" s="2">
        <v>1.4</v>
      </c>
      <c r="K3573" s="2">
        <v>4.1100000000000003</v>
      </c>
      <c r="L3573" s="2">
        <v>12.97</v>
      </c>
      <c r="M3573" s="2">
        <v>14.75</v>
      </c>
      <c r="N3573" s="2">
        <v>0.28406088800000001</v>
      </c>
      <c r="O3573" s="2">
        <v>0.23719749200000001</v>
      </c>
      <c r="P3573" s="2">
        <v>2.1619822580000001</v>
      </c>
      <c r="Q3573" s="2">
        <v>2.1395818850000001</v>
      </c>
      <c r="R3573" s="2">
        <v>0.19198312200000001</v>
      </c>
      <c r="S3573" s="2">
        <v>0.16198312200000001</v>
      </c>
      <c r="T3573" s="2">
        <v>2.1534413780000001</v>
      </c>
      <c r="U3573" s="2">
        <v>2.1334413780000001</v>
      </c>
      <c r="V3573" s="2">
        <v>0.67063510400000004</v>
      </c>
      <c r="W3573" s="2">
        <v>0.71541924700000004</v>
      </c>
      <c r="X3573">
        <f t="shared" si="165"/>
        <v>0</v>
      </c>
      <c r="Y3573">
        <f t="shared" si="166"/>
        <v>0</v>
      </c>
      <c r="Z3573">
        <f t="shared" si="167"/>
        <v>0</v>
      </c>
    </row>
    <row r="3574" spans="1:26" ht="15.75" customHeight="1" x14ac:dyDescent="0.2">
      <c r="A3574" s="2" t="s">
        <v>36</v>
      </c>
      <c r="B3574" s="2" t="s">
        <v>35</v>
      </c>
      <c r="C3574" s="2" t="s">
        <v>27</v>
      </c>
      <c r="D3574" s="2" t="s">
        <v>27</v>
      </c>
      <c r="E3574" s="2">
        <v>150</v>
      </c>
      <c r="F3574" s="2">
        <v>122</v>
      </c>
      <c r="G3574" s="2">
        <v>390</v>
      </c>
      <c r="H3574" s="2">
        <v>1794</v>
      </c>
      <c r="I3574" s="2">
        <v>2646</v>
      </c>
      <c r="J3574" s="2">
        <v>1.04</v>
      </c>
      <c r="K3574" s="2">
        <v>3.92</v>
      </c>
      <c r="L3574" s="2">
        <v>12.28</v>
      </c>
      <c r="M3574" s="2">
        <v>14.87</v>
      </c>
      <c r="N3574" s="2">
        <v>0.49702868100000003</v>
      </c>
      <c r="O3574" s="2">
        <v>0.59740374500000004</v>
      </c>
      <c r="P3574" s="2">
        <v>1.511386259</v>
      </c>
      <c r="Q3574" s="2">
        <v>1.484721736</v>
      </c>
      <c r="R3574" s="2">
        <v>0.37750957299999999</v>
      </c>
      <c r="S3574" s="2">
        <v>0.34750957300000002</v>
      </c>
      <c r="T3574" s="2">
        <v>1.463480423</v>
      </c>
      <c r="U3574" s="2">
        <v>1.443480423</v>
      </c>
      <c r="V3574" s="2">
        <v>0.485108653</v>
      </c>
      <c r="W3574" s="2">
        <v>0.52989279600000005</v>
      </c>
      <c r="X3574">
        <f t="shared" si="165"/>
        <v>0</v>
      </c>
      <c r="Y3574">
        <f t="shared" si="166"/>
        <v>0</v>
      </c>
      <c r="Z3574">
        <f t="shared" si="167"/>
        <v>0</v>
      </c>
    </row>
    <row r="3575" spans="1:26" ht="15.75" customHeight="1" x14ac:dyDescent="0.2">
      <c r="A3575" s="2" t="s">
        <v>36</v>
      </c>
      <c r="B3575" s="2" t="s">
        <v>35</v>
      </c>
      <c r="C3575" s="2" t="s">
        <v>32</v>
      </c>
      <c r="D3575" s="2" t="s">
        <v>33</v>
      </c>
      <c r="E3575" s="2">
        <v>137</v>
      </c>
      <c r="F3575" s="2">
        <v>124</v>
      </c>
      <c r="G3575" s="2">
        <v>636</v>
      </c>
      <c r="H3575" s="2">
        <v>2000</v>
      </c>
      <c r="I3575" s="2">
        <v>3451</v>
      </c>
      <c r="J3575" s="2">
        <v>1.07</v>
      </c>
      <c r="K3575" s="2">
        <v>6.04</v>
      </c>
      <c r="L3575" s="2">
        <v>13.01</v>
      </c>
      <c r="M3575" s="2">
        <v>16.57</v>
      </c>
      <c r="N3575" s="2">
        <v>2.2065680109999999</v>
      </c>
      <c r="O3575" s="2">
        <v>2.254165446</v>
      </c>
      <c r="P3575" s="2">
        <v>2.798802518</v>
      </c>
      <c r="Q3575" s="2">
        <v>2.8020323399999998</v>
      </c>
      <c r="R3575" s="2">
        <v>1.7408422130000001</v>
      </c>
      <c r="S3575" s="2">
        <v>1.7708422130000001</v>
      </c>
      <c r="T3575" s="2">
        <v>2.191520916</v>
      </c>
      <c r="U3575" s="2">
        <v>2.171520916</v>
      </c>
      <c r="V3575" s="2">
        <v>2.603460439</v>
      </c>
      <c r="W3575" s="2">
        <v>2.6482445829999999</v>
      </c>
      <c r="X3575">
        <f t="shared" si="165"/>
        <v>0</v>
      </c>
      <c r="Y3575">
        <f t="shared" si="166"/>
        <v>0</v>
      </c>
      <c r="Z3575">
        <f t="shared" si="167"/>
        <v>1</v>
      </c>
    </row>
    <row r="3576" spans="1:26" ht="15.75" customHeight="1" x14ac:dyDescent="0.2">
      <c r="A3576" s="2" t="s">
        <v>36</v>
      </c>
      <c r="B3576" s="2" t="s">
        <v>35</v>
      </c>
      <c r="C3576" s="2" t="s">
        <v>28</v>
      </c>
      <c r="D3576" s="2" t="s">
        <v>29</v>
      </c>
      <c r="E3576" s="2">
        <v>151</v>
      </c>
      <c r="F3576" s="2">
        <v>154</v>
      </c>
      <c r="G3576" s="2">
        <v>546</v>
      </c>
      <c r="H3576" s="2">
        <v>1684</v>
      </c>
      <c r="I3576" s="2">
        <v>3037</v>
      </c>
      <c r="J3576" s="2">
        <v>1.43</v>
      </c>
      <c r="K3576" s="2">
        <v>5.31</v>
      </c>
      <c r="L3576" s="2">
        <v>11.86</v>
      </c>
      <c r="M3576" s="2">
        <v>15.76</v>
      </c>
      <c r="N3576" s="2">
        <v>4.1513056229999998</v>
      </c>
      <c r="O3576" s="2">
        <v>4.1451695150000001</v>
      </c>
      <c r="P3576" s="2">
        <v>1.448455657</v>
      </c>
      <c r="Q3576" s="2">
        <v>1.455419461</v>
      </c>
      <c r="R3576" s="2">
        <v>1.0084954100000001</v>
      </c>
      <c r="S3576" s="2">
        <v>1.0384954099999999</v>
      </c>
      <c r="T3576" s="2">
        <v>1.0396926449999999</v>
      </c>
      <c r="U3576" s="2">
        <v>1.0196926449999999</v>
      </c>
      <c r="V3576" s="2">
        <v>1.871113636</v>
      </c>
      <c r="W3576" s="2">
        <v>1.9158977800000001</v>
      </c>
      <c r="X3576">
        <f t="shared" si="165"/>
        <v>0</v>
      </c>
      <c r="Y3576">
        <f t="shared" si="166"/>
        <v>0</v>
      </c>
      <c r="Z3576">
        <f t="shared" si="167"/>
        <v>1</v>
      </c>
    </row>
    <row r="3577" spans="1:26" ht="15.75" customHeight="1" x14ac:dyDescent="0.2">
      <c r="A3577" s="2" t="s">
        <v>36</v>
      </c>
      <c r="B3577" s="2" t="s">
        <v>35</v>
      </c>
      <c r="C3577" s="2" t="s">
        <v>26</v>
      </c>
      <c r="D3577" s="2" t="s">
        <v>26</v>
      </c>
      <c r="E3577" s="2">
        <v>102</v>
      </c>
      <c r="F3577" s="2">
        <v>120</v>
      </c>
      <c r="G3577" s="2">
        <v>356</v>
      </c>
      <c r="H3577" s="2">
        <v>936</v>
      </c>
      <c r="I3577" s="2">
        <v>2395</v>
      </c>
      <c r="J3577" s="2">
        <v>1.01</v>
      </c>
      <c r="K3577" s="2">
        <v>3.59</v>
      </c>
      <c r="L3577" s="2">
        <v>8.1300000000000008</v>
      </c>
      <c r="M3577" s="2">
        <v>14.21</v>
      </c>
      <c r="N3577" s="2">
        <v>0.45820918999999999</v>
      </c>
      <c r="O3577" s="2">
        <v>0.41349761800000001</v>
      </c>
      <c r="P3577" s="2">
        <v>2.778099766</v>
      </c>
      <c r="Q3577" s="2">
        <v>2.79003164</v>
      </c>
      <c r="R3577" s="2">
        <v>0.70568139299999999</v>
      </c>
      <c r="S3577" s="2">
        <v>0.67568139299999996</v>
      </c>
      <c r="T3577" s="2">
        <v>2.686978243</v>
      </c>
      <c r="U3577" s="2">
        <v>2.706978243</v>
      </c>
      <c r="V3577" s="2">
        <v>0.156936833</v>
      </c>
      <c r="W3577" s="2">
        <v>0.201720976</v>
      </c>
      <c r="X3577">
        <f t="shared" si="165"/>
        <v>0</v>
      </c>
      <c r="Y3577">
        <f t="shared" si="166"/>
        <v>0</v>
      </c>
      <c r="Z3577">
        <f t="shared" si="167"/>
        <v>0</v>
      </c>
    </row>
    <row r="3578" spans="1:26" ht="15.75" customHeight="1" x14ac:dyDescent="0.2">
      <c r="A3578" s="2" t="s">
        <v>36</v>
      </c>
      <c r="B3578" s="2" t="s">
        <v>35</v>
      </c>
      <c r="C3578" s="2" t="s">
        <v>30</v>
      </c>
      <c r="D3578" s="2" t="s">
        <v>31</v>
      </c>
      <c r="E3578" s="2">
        <v>133</v>
      </c>
      <c r="F3578" s="2">
        <v>158</v>
      </c>
      <c r="G3578" s="2">
        <v>609</v>
      </c>
      <c r="H3578" s="2">
        <v>1312</v>
      </c>
      <c r="I3578" s="2">
        <v>2424</v>
      </c>
      <c r="J3578" s="2">
        <v>1.47</v>
      </c>
      <c r="K3578" s="2">
        <v>5.82</v>
      </c>
      <c r="L3578" s="2">
        <v>10.220000000000001</v>
      </c>
      <c r="M3578" s="2">
        <v>14.29</v>
      </c>
      <c r="N3578" s="2">
        <v>3.2028431159999999</v>
      </c>
      <c r="O3578" s="2">
        <v>3.2892315600000002</v>
      </c>
      <c r="P3578" s="2">
        <v>1.6373065499999999</v>
      </c>
      <c r="Q3578" s="2">
        <v>1.6725729789999999</v>
      </c>
      <c r="R3578" s="2">
        <v>1.5228497270000001</v>
      </c>
      <c r="S3578" s="2">
        <v>1.5528497269999999</v>
      </c>
      <c r="T3578" s="2">
        <v>0.60141619999999996</v>
      </c>
      <c r="U3578" s="2">
        <v>0.62141619999999997</v>
      </c>
      <c r="V3578" s="2">
        <v>2.385467953</v>
      </c>
      <c r="W3578" s="2">
        <v>2.4302520969999999</v>
      </c>
      <c r="X3578">
        <f t="shared" si="165"/>
        <v>0</v>
      </c>
      <c r="Y3578">
        <f t="shared" si="166"/>
        <v>0</v>
      </c>
      <c r="Z3578">
        <f t="shared" si="167"/>
        <v>1</v>
      </c>
    </row>
    <row r="3579" spans="1:26" ht="15.75" customHeight="1" x14ac:dyDescent="0.2">
      <c r="A3579" s="2" t="s">
        <v>36</v>
      </c>
      <c r="B3579" s="2" t="s">
        <v>35</v>
      </c>
      <c r="C3579" s="2" t="s">
        <v>27</v>
      </c>
      <c r="D3579" s="2" t="s">
        <v>27</v>
      </c>
      <c r="E3579" s="2">
        <v>130</v>
      </c>
      <c r="F3579" s="2">
        <v>161</v>
      </c>
      <c r="G3579" s="2">
        <v>376</v>
      </c>
      <c r="H3579" s="2">
        <v>1934</v>
      </c>
      <c r="I3579" s="2">
        <v>2697</v>
      </c>
      <c r="J3579" s="2">
        <v>1.5</v>
      </c>
      <c r="K3579" s="2">
        <v>3.79</v>
      </c>
      <c r="L3579" s="2">
        <v>12.78</v>
      </c>
      <c r="M3579" s="2">
        <v>15</v>
      </c>
      <c r="N3579" s="2">
        <v>0.11477387999999999</v>
      </c>
      <c r="O3579" s="2">
        <v>0.141813721</v>
      </c>
      <c r="P3579" s="2">
        <v>2.0306503309999999</v>
      </c>
      <c r="Q3579" s="2">
        <v>2.0038427190000001</v>
      </c>
      <c r="R3579" s="2">
        <v>0.51469178100000001</v>
      </c>
      <c r="S3579" s="2">
        <v>0.48469178099999999</v>
      </c>
      <c r="T3579" s="2">
        <v>1.9643403820000001</v>
      </c>
      <c r="U3579" s="2">
        <v>1.944340382</v>
      </c>
      <c r="V3579" s="2">
        <v>0.34792644499999997</v>
      </c>
      <c r="W3579" s="2">
        <v>0.392710589</v>
      </c>
      <c r="X3579">
        <f t="shared" si="165"/>
        <v>0</v>
      </c>
      <c r="Y3579">
        <f t="shared" si="166"/>
        <v>0</v>
      </c>
      <c r="Z3579">
        <f t="shared" si="167"/>
        <v>0</v>
      </c>
    </row>
    <row r="3580" spans="1:26" ht="15.75" customHeight="1" x14ac:dyDescent="0.2">
      <c r="A3580" s="2" t="s">
        <v>36</v>
      </c>
      <c r="B3580" s="2" t="s">
        <v>35</v>
      </c>
      <c r="C3580" s="2" t="s">
        <v>30</v>
      </c>
      <c r="D3580" s="2" t="s">
        <v>31</v>
      </c>
      <c r="E3580" s="2">
        <v>190</v>
      </c>
      <c r="F3580" s="2">
        <v>109</v>
      </c>
      <c r="G3580" s="2">
        <v>570</v>
      </c>
      <c r="H3580" s="2">
        <v>1339</v>
      </c>
      <c r="I3580" s="2">
        <v>2766</v>
      </c>
      <c r="J3580" s="2">
        <v>0.88</v>
      </c>
      <c r="K3580" s="2">
        <v>5.51</v>
      </c>
      <c r="L3580" s="2">
        <v>10.35</v>
      </c>
      <c r="M3580" s="2">
        <v>15.16</v>
      </c>
      <c r="N3580" s="2">
        <v>2.9150301330000001</v>
      </c>
      <c r="O3580" s="2">
        <v>3.0042794349999999</v>
      </c>
      <c r="P3580" s="2">
        <v>1.2982421609999999</v>
      </c>
      <c r="Q3580" s="2">
        <v>1.3334701440000001</v>
      </c>
      <c r="R3580" s="2">
        <v>1.210197628</v>
      </c>
      <c r="S3580" s="2">
        <v>1.240197628</v>
      </c>
      <c r="T3580" s="2">
        <v>0.46995149600000002</v>
      </c>
      <c r="U3580" s="2">
        <v>0.48995149599999999</v>
      </c>
      <c r="V3580" s="2">
        <v>2.0728158539999999</v>
      </c>
      <c r="W3580" s="2">
        <v>2.1175999980000002</v>
      </c>
      <c r="X3580">
        <f t="shared" si="165"/>
        <v>0</v>
      </c>
      <c r="Y3580">
        <f t="shared" si="166"/>
        <v>0</v>
      </c>
      <c r="Z3580">
        <f t="shared" si="167"/>
        <v>1</v>
      </c>
    </row>
    <row r="3581" spans="1:26" ht="15.75" customHeight="1" x14ac:dyDescent="0.2">
      <c r="A3581" s="2" t="s">
        <v>36</v>
      </c>
      <c r="B3581" s="2" t="s">
        <v>35</v>
      </c>
      <c r="C3581" s="2" t="s">
        <v>26</v>
      </c>
      <c r="D3581" s="2" t="s">
        <v>26</v>
      </c>
      <c r="E3581" s="2">
        <v>169</v>
      </c>
      <c r="F3581" s="2">
        <v>166</v>
      </c>
      <c r="G3581" s="2">
        <v>379</v>
      </c>
      <c r="H3581" s="2">
        <v>1002</v>
      </c>
      <c r="I3581" s="2">
        <v>2552</v>
      </c>
      <c r="J3581" s="2">
        <v>1.56</v>
      </c>
      <c r="K3581" s="2">
        <v>3.81</v>
      </c>
      <c r="L3581" s="2">
        <v>8.5399999999999991</v>
      </c>
      <c r="M3581" s="2">
        <v>14.63</v>
      </c>
      <c r="N3581" s="2">
        <v>0.64953386099999999</v>
      </c>
      <c r="O3581" s="2">
        <v>0.61960813299999995</v>
      </c>
      <c r="P3581" s="2">
        <v>2.330474062</v>
      </c>
      <c r="Q3581" s="2">
        <v>2.3439731660000001</v>
      </c>
      <c r="R3581" s="2">
        <v>0.48904218900000002</v>
      </c>
      <c r="S3581" s="2">
        <v>0.45904218899999999</v>
      </c>
      <c r="T3581" s="2">
        <v>2.2785844489999998</v>
      </c>
      <c r="U3581" s="2">
        <v>2.2985844489999998</v>
      </c>
      <c r="V3581" s="2">
        <v>0.37357603700000003</v>
      </c>
      <c r="W3581" s="2">
        <v>0.41836018000000003</v>
      </c>
      <c r="X3581">
        <f t="shared" si="165"/>
        <v>0</v>
      </c>
      <c r="Y3581">
        <f t="shared" si="166"/>
        <v>0</v>
      </c>
      <c r="Z3581">
        <f t="shared" si="167"/>
        <v>0</v>
      </c>
    </row>
    <row r="3582" spans="1:26" ht="15.75" customHeight="1" x14ac:dyDescent="0.2">
      <c r="A3582" s="2" t="s">
        <v>36</v>
      </c>
      <c r="B3582" s="2" t="s">
        <v>35</v>
      </c>
      <c r="C3582" s="2" t="s">
        <v>26</v>
      </c>
      <c r="D3582" s="2" t="s">
        <v>26</v>
      </c>
      <c r="E3582" s="2">
        <v>105</v>
      </c>
      <c r="F3582" s="2">
        <v>158</v>
      </c>
      <c r="G3582" s="2">
        <v>416</v>
      </c>
      <c r="H3582" s="2">
        <v>952</v>
      </c>
      <c r="I3582" s="2">
        <v>2384</v>
      </c>
      <c r="J3582" s="2">
        <v>1.47</v>
      </c>
      <c r="K3582" s="2">
        <v>4.16</v>
      </c>
      <c r="L3582" s="2">
        <v>8.24</v>
      </c>
      <c r="M3582" s="2">
        <v>14.18</v>
      </c>
      <c r="N3582" s="2">
        <v>0.35538501900000002</v>
      </c>
      <c r="O3582" s="2">
        <v>0.358463217</v>
      </c>
      <c r="P3582" s="2">
        <v>2.586869257</v>
      </c>
      <c r="Q3582" s="2">
        <v>2.6054120300000001</v>
      </c>
      <c r="R3582" s="2">
        <v>0.13909639400000001</v>
      </c>
      <c r="S3582" s="2">
        <v>0.109096394</v>
      </c>
      <c r="T3582" s="2">
        <v>2.5831269309999998</v>
      </c>
      <c r="U3582" s="2">
        <v>2.6031269309999998</v>
      </c>
      <c r="V3582" s="2">
        <v>0.72352183199999998</v>
      </c>
      <c r="W3582" s="2">
        <v>0.76830597499999997</v>
      </c>
      <c r="X3582">
        <f t="shared" si="165"/>
        <v>0</v>
      </c>
      <c r="Y3582">
        <f t="shared" si="166"/>
        <v>0</v>
      </c>
      <c r="Z3582">
        <f t="shared" si="167"/>
        <v>0</v>
      </c>
    </row>
    <row r="3583" spans="1:26" ht="15.75" customHeight="1" x14ac:dyDescent="0.2">
      <c r="A3583" s="2" t="s">
        <v>36</v>
      </c>
      <c r="B3583" s="2" t="s">
        <v>35</v>
      </c>
      <c r="C3583" s="2" t="s">
        <v>26</v>
      </c>
      <c r="D3583" s="2" t="s">
        <v>26</v>
      </c>
      <c r="E3583" s="2">
        <v>161</v>
      </c>
      <c r="F3583" s="2">
        <v>173</v>
      </c>
      <c r="G3583" s="2">
        <v>416</v>
      </c>
      <c r="H3583" s="2">
        <v>731</v>
      </c>
      <c r="I3583" s="2">
        <v>2906</v>
      </c>
      <c r="J3583" s="2">
        <v>1.64</v>
      </c>
      <c r="K3583" s="2">
        <v>4.17</v>
      </c>
      <c r="L3583" s="2">
        <v>6.75</v>
      </c>
      <c r="M3583" s="2">
        <v>15.48</v>
      </c>
      <c r="N3583" s="2">
        <v>1.179066865</v>
      </c>
      <c r="O3583" s="2">
        <v>1.2050950069999999</v>
      </c>
      <c r="P3583" s="2">
        <v>4.0693350920000002</v>
      </c>
      <c r="Q3583" s="2">
        <v>4.0884595160000003</v>
      </c>
      <c r="R3583" s="2">
        <v>0.132891009</v>
      </c>
      <c r="S3583" s="2">
        <v>0.10289100900000001</v>
      </c>
      <c r="T3583" s="2">
        <v>4.067164623</v>
      </c>
      <c r="U3583" s="2">
        <v>4.0871646229999996</v>
      </c>
      <c r="V3583" s="2">
        <v>0.72972721699999998</v>
      </c>
      <c r="W3583" s="2">
        <v>0.77451136099999995</v>
      </c>
      <c r="X3583">
        <f t="shared" si="165"/>
        <v>0</v>
      </c>
      <c r="Y3583">
        <f t="shared" si="166"/>
        <v>0</v>
      </c>
      <c r="Z3583">
        <f t="shared" si="167"/>
        <v>0</v>
      </c>
    </row>
    <row r="3584" spans="1:26" ht="15.75" customHeight="1" x14ac:dyDescent="0.2">
      <c r="A3584" s="2" t="s">
        <v>36</v>
      </c>
      <c r="B3584" s="2" t="s">
        <v>35</v>
      </c>
      <c r="C3584" s="2" t="s">
        <v>25</v>
      </c>
      <c r="D3584" s="2" t="s">
        <v>25</v>
      </c>
      <c r="E3584" s="2">
        <v>117</v>
      </c>
      <c r="F3584" s="2">
        <v>138</v>
      </c>
      <c r="G3584" s="2">
        <v>628</v>
      </c>
      <c r="H3584" s="2">
        <v>1367</v>
      </c>
      <c r="I3584" s="2">
        <v>2580</v>
      </c>
      <c r="J3584" s="2">
        <v>1.24</v>
      </c>
      <c r="K3584" s="2">
        <v>5.98</v>
      </c>
      <c r="L3584" s="2">
        <v>10.48</v>
      </c>
      <c r="M3584" s="2">
        <v>14.7</v>
      </c>
      <c r="N3584" s="2">
        <v>0.38860611</v>
      </c>
      <c r="O3584" s="2">
        <v>0.32494693299999999</v>
      </c>
      <c r="P3584" s="2">
        <v>1.711565864</v>
      </c>
      <c r="Q3584" s="2">
        <v>1.744961263</v>
      </c>
      <c r="R3584" s="2">
        <v>1.6782871859999999</v>
      </c>
      <c r="S3584" s="2">
        <v>1.708287186</v>
      </c>
      <c r="T3584" s="2">
        <v>0.335871743</v>
      </c>
      <c r="U3584" s="2">
        <v>0.35587174300000002</v>
      </c>
      <c r="V3584" s="2">
        <v>2.5409054119999999</v>
      </c>
      <c r="W3584" s="2">
        <v>2.5856895560000002</v>
      </c>
      <c r="X3584">
        <f t="shared" si="165"/>
        <v>0</v>
      </c>
      <c r="Y3584">
        <f t="shared" si="166"/>
        <v>0</v>
      </c>
      <c r="Z3584">
        <f t="shared" si="167"/>
        <v>0</v>
      </c>
    </row>
    <row r="3585" spans="1:26" ht="15.75" customHeight="1" x14ac:dyDescent="0.2">
      <c r="A3585" s="2" t="s">
        <v>36</v>
      </c>
      <c r="B3585" s="2" t="s">
        <v>35</v>
      </c>
      <c r="C3585" s="2" t="s">
        <v>25</v>
      </c>
      <c r="D3585" s="2" t="s">
        <v>25</v>
      </c>
      <c r="E3585" s="2">
        <v>160</v>
      </c>
      <c r="F3585" s="2">
        <v>128</v>
      </c>
      <c r="G3585" s="2">
        <v>530</v>
      </c>
      <c r="H3585" s="2">
        <v>1352</v>
      </c>
      <c r="I3585" s="2">
        <v>2754</v>
      </c>
      <c r="J3585" s="2">
        <v>1.1100000000000001</v>
      </c>
      <c r="K3585" s="2">
        <v>5.17</v>
      </c>
      <c r="L3585" s="2">
        <v>10.41</v>
      </c>
      <c r="M3585" s="2">
        <v>15.13</v>
      </c>
      <c r="N3585" s="2">
        <v>1.0906411220000001</v>
      </c>
      <c r="O3585" s="2">
        <v>1.0357188749999999</v>
      </c>
      <c r="P3585" s="2">
        <v>0.96336845199999999</v>
      </c>
      <c r="Q3585" s="2">
        <v>0.99901695099999999</v>
      </c>
      <c r="R3585" s="2">
        <v>0.87372071200000001</v>
      </c>
      <c r="S3585" s="2">
        <v>0.90372071200000004</v>
      </c>
      <c r="T3585" s="2">
        <v>0.40582125600000002</v>
      </c>
      <c r="U3585" s="2">
        <v>0.42582125599999998</v>
      </c>
      <c r="V3585" s="2">
        <v>1.7363389380000001</v>
      </c>
      <c r="W3585" s="2">
        <v>1.7811230819999999</v>
      </c>
      <c r="X3585">
        <f t="shared" si="165"/>
        <v>0</v>
      </c>
      <c r="Y3585">
        <f t="shared" si="166"/>
        <v>0</v>
      </c>
      <c r="Z3585">
        <f t="shared" si="167"/>
        <v>0</v>
      </c>
    </row>
    <row r="3586" spans="1:26" ht="15.75" customHeight="1" x14ac:dyDescent="0.2">
      <c r="A3586" s="2" t="s">
        <v>36</v>
      </c>
      <c r="B3586" s="2" t="s">
        <v>35</v>
      </c>
      <c r="C3586" s="2" t="s">
        <v>25</v>
      </c>
      <c r="D3586" s="2" t="s">
        <v>25</v>
      </c>
      <c r="E3586" s="2">
        <v>89</v>
      </c>
      <c r="F3586" s="2">
        <v>127</v>
      </c>
      <c r="G3586" s="2">
        <v>651</v>
      </c>
      <c r="H3586" s="2">
        <v>1591</v>
      </c>
      <c r="I3586" s="2">
        <v>2682</v>
      </c>
      <c r="J3586" s="2">
        <v>1.1000000000000001</v>
      </c>
      <c r="K3586" s="2">
        <v>6.16</v>
      </c>
      <c r="L3586" s="2">
        <v>11.48</v>
      </c>
      <c r="M3586" s="2">
        <v>14.96</v>
      </c>
      <c r="N3586" s="2">
        <v>0.67421975700000003</v>
      </c>
      <c r="O3586" s="2">
        <v>0.72345139599999997</v>
      </c>
      <c r="P3586" s="2">
        <v>1.9720398770000001</v>
      </c>
      <c r="Q3586" s="2">
        <v>1.9937729559999999</v>
      </c>
      <c r="R3586" s="2">
        <v>1.857099821</v>
      </c>
      <c r="S3586" s="2">
        <v>1.8870998210000001</v>
      </c>
      <c r="T3586" s="2">
        <v>0.66341655700000002</v>
      </c>
      <c r="U3586" s="2">
        <v>0.643416557</v>
      </c>
      <c r="V3586" s="2">
        <v>2.7197180470000002</v>
      </c>
      <c r="W3586" s="2">
        <v>2.7645021910000001</v>
      </c>
      <c r="X3586">
        <f t="shared" si="165"/>
        <v>0</v>
      </c>
      <c r="Y3586">
        <f t="shared" si="166"/>
        <v>0</v>
      </c>
      <c r="Z3586">
        <f t="shared" si="167"/>
        <v>0</v>
      </c>
    </row>
    <row r="3587" spans="1:26" ht="15.75" customHeight="1" x14ac:dyDescent="0.2">
      <c r="A3587" s="2" t="s">
        <v>36</v>
      </c>
      <c r="B3587" s="2" t="s">
        <v>35</v>
      </c>
      <c r="C3587" s="2" t="s">
        <v>28</v>
      </c>
      <c r="D3587" s="2" t="s">
        <v>29</v>
      </c>
      <c r="E3587" s="2">
        <v>155</v>
      </c>
      <c r="F3587" s="2">
        <v>156</v>
      </c>
      <c r="G3587" s="2">
        <v>510</v>
      </c>
      <c r="H3587" s="2">
        <v>1682</v>
      </c>
      <c r="I3587" s="2">
        <v>2675</v>
      </c>
      <c r="J3587" s="2">
        <v>1.45</v>
      </c>
      <c r="K3587" s="2">
        <v>5.01</v>
      </c>
      <c r="L3587" s="2">
        <v>11.85</v>
      </c>
      <c r="M3587" s="2">
        <v>14.94</v>
      </c>
      <c r="N3587" s="2">
        <v>4.0596302680000003</v>
      </c>
      <c r="O3587" s="2">
        <v>4.0503984480000002</v>
      </c>
      <c r="P3587" s="2">
        <v>1.2510998820000001</v>
      </c>
      <c r="Q3587" s="2">
        <v>1.2520252510000001</v>
      </c>
      <c r="R3587" s="2">
        <v>0.70566801599999995</v>
      </c>
      <c r="S3587" s="2">
        <v>0.73566801599999998</v>
      </c>
      <c r="T3587" s="2">
        <v>1.03309417</v>
      </c>
      <c r="U3587" s="2">
        <v>1.01309417</v>
      </c>
      <c r="V3587" s="2">
        <v>1.5682862420000001</v>
      </c>
      <c r="W3587" s="2">
        <v>1.613070386</v>
      </c>
      <c r="X3587">
        <f t="shared" ref="X3587:X3650" si="168">IF(B3587="normal",1,0)</f>
        <v>0</v>
      </c>
      <c r="Y3587">
        <f t="shared" ref="Y3587:Y3650" si="169">IF(A3587="lecture",1,0)</f>
        <v>0</v>
      </c>
      <c r="Z3587">
        <f t="shared" ref="Z3587:Z3650" si="170">IF(ISNUMBER(FIND("~",D3587)),1,0)</f>
        <v>1</v>
      </c>
    </row>
    <row r="3588" spans="1:26" ht="15.75" customHeight="1" x14ac:dyDescent="0.2">
      <c r="A3588" s="2" t="s">
        <v>36</v>
      </c>
      <c r="B3588" s="2" t="s">
        <v>35</v>
      </c>
      <c r="C3588" s="2" t="s">
        <v>30</v>
      </c>
      <c r="D3588" s="2" t="s">
        <v>31</v>
      </c>
      <c r="E3588" s="2">
        <v>162</v>
      </c>
      <c r="F3588" s="2">
        <v>175</v>
      </c>
      <c r="G3588" s="2">
        <v>682</v>
      </c>
      <c r="H3588" s="2">
        <v>1236</v>
      </c>
      <c r="I3588" s="2">
        <v>2342</v>
      </c>
      <c r="J3588" s="2">
        <v>1.67</v>
      </c>
      <c r="K3588" s="2">
        <v>6.39</v>
      </c>
      <c r="L3588" s="2">
        <v>9.84</v>
      </c>
      <c r="M3588" s="2">
        <v>14.06</v>
      </c>
      <c r="N3588" s="2">
        <v>3.8541558469999999</v>
      </c>
      <c r="O3588" s="2">
        <v>3.9373924109999998</v>
      </c>
      <c r="P3588" s="2">
        <v>2.308135407</v>
      </c>
      <c r="Q3588" s="2">
        <v>2.3438034440000002</v>
      </c>
      <c r="R3588" s="2">
        <v>2.0881640379999999</v>
      </c>
      <c r="S3588" s="2">
        <v>2.1181640380000002</v>
      </c>
      <c r="T3588" s="2">
        <v>0.98339209299999997</v>
      </c>
      <c r="U3588" s="2">
        <v>1.003392093</v>
      </c>
      <c r="V3588" s="2">
        <v>2.9507822639999999</v>
      </c>
      <c r="W3588" s="2">
        <v>2.9955664070000001</v>
      </c>
      <c r="X3588">
        <f t="shared" si="168"/>
        <v>0</v>
      </c>
      <c r="Y3588">
        <f t="shared" si="169"/>
        <v>0</v>
      </c>
      <c r="Z3588">
        <f t="shared" si="170"/>
        <v>1</v>
      </c>
    </row>
    <row r="3589" spans="1:26" ht="15.75" customHeight="1" x14ac:dyDescent="0.2">
      <c r="A3589" s="2" t="s">
        <v>36</v>
      </c>
      <c r="B3589" s="2" t="s">
        <v>35</v>
      </c>
      <c r="C3589" s="2" t="s">
        <v>32</v>
      </c>
      <c r="D3589" s="2" t="s">
        <v>33</v>
      </c>
      <c r="E3589" s="2">
        <v>194</v>
      </c>
      <c r="F3589" s="2">
        <v>173</v>
      </c>
      <c r="G3589" s="2">
        <v>714</v>
      </c>
      <c r="H3589" s="2">
        <v>1852</v>
      </c>
      <c r="I3589" s="2">
        <v>3354</v>
      </c>
      <c r="J3589" s="2">
        <v>1.65</v>
      </c>
      <c r="K3589" s="2">
        <v>6.63</v>
      </c>
      <c r="L3589" s="2">
        <v>12.5</v>
      </c>
      <c r="M3589" s="2">
        <v>16.39</v>
      </c>
      <c r="N3589" s="2">
        <v>1.743163402</v>
      </c>
      <c r="O3589" s="2">
        <v>1.8018468089999999</v>
      </c>
      <c r="P3589" s="2">
        <v>2.871341363</v>
      </c>
      <c r="Q3589" s="2">
        <v>2.8842178889999999</v>
      </c>
      <c r="R3589" s="2">
        <v>2.3311404709999999</v>
      </c>
      <c r="S3589" s="2">
        <v>2.3611404710000001</v>
      </c>
      <c r="T3589" s="2">
        <v>1.6764203900000001</v>
      </c>
      <c r="U3589" s="2">
        <v>1.6564203900000001</v>
      </c>
      <c r="V3589" s="2">
        <v>3.1937586969999998</v>
      </c>
      <c r="W3589" s="2">
        <v>3.2385428410000001</v>
      </c>
      <c r="X3589">
        <f t="shared" si="168"/>
        <v>0</v>
      </c>
      <c r="Y3589">
        <f t="shared" si="169"/>
        <v>0</v>
      </c>
      <c r="Z3589">
        <f t="shared" si="170"/>
        <v>1</v>
      </c>
    </row>
    <row r="3590" spans="1:26" ht="15.75" customHeight="1" x14ac:dyDescent="0.2">
      <c r="A3590" s="2" t="s">
        <v>36</v>
      </c>
      <c r="B3590" s="2" t="s">
        <v>35</v>
      </c>
      <c r="C3590" s="2" t="s">
        <v>26</v>
      </c>
      <c r="D3590" s="2" t="s">
        <v>26</v>
      </c>
      <c r="E3590" s="2">
        <v>175</v>
      </c>
      <c r="F3590" s="2">
        <v>164</v>
      </c>
      <c r="G3590" s="2">
        <v>403</v>
      </c>
      <c r="H3590" s="2">
        <v>944</v>
      </c>
      <c r="I3590" s="2">
        <v>2597</v>
      </c>
      <c r="J3590" s="2">
        <v>1.54</v>
      </c>
      <c r="K3590" s="2">
        <v>4.04</v>
      </c>
      <c r="L3590" s="2">
        <v>8.19</v>
      </c>
      <c r="M3590" s="2">
        <v>14.75</v>
      </c>
      <c r="N3590" s="2">
        <v>0.27003341800000003</v>
      </c>
      <c r="O3590" s="2">
        <v>0.25955155800000002</v>
      </c>
      <c r="P3590" s="2">
        <v>2.6457124489999999</v>
      </c>
      <c r="Q3590" s="2">
        <v>2.6628479779999998</v>
      </c>
      <c r="R3590" s="2">
        <v>0.26080135399999999</v>
      </c>
      <c r="S3590" s="2">
        <v>0.23080135399999999</v>
      </c>
      <c r="T3590" s="2">
        <v>2.6328268110000002</v>
      </c>
      <c r="U3590" s="2">
        <v>2.6528268110000002</v>
      </c>
      <c r="V3590" s="2">
        <v>0.601816872</v>
      </c>
      <c r="W3590" s="2">
        <v>0.646601015</v>
      </c>
      <c r="X3590">
        <f t="shared" si="168"/>
        <v>0</v>
      </c>
      <c r="Y3590">
        <f t="shared" si="169"/>
        <v>0</v>
      </c>
      <c r="Z3590">
        <f t="shared" si="170"/>
        <v>0</v>
      </c>
    </row>
    <row r="3591" spans="1:26" ht="15.75" customHeight="1" x14ac:dyDescent="0.2">
      <c r="A3591" s="2" t="s">
        <v>36</v>
      </c>
      <c r="B3591" s="2" t="s">
        <v>35</v>
      </c>
      <c r="C3591" s="2" t="s">
        <v>32</v>
      </c>
      <c r="D3591" s="2" t="s">
        <v>33</v>
      </c>
      <c r="E3591" s="2">
        <v>110</v>
      </c>
      <c r="F3591" s="2">
        <v>118</v>
      </c>
      <c r="G3591" s="2">
        <v>677</v>
      </c>
      <c r="H3591" s="2">
        <v>828</v>
      </c>
      <c r="I3591" s="2">
        <v>2450</v>
      </c>
      <c r="J3591" s="2">
        <v>0.99</v>
      </c>
      <c r="K3591" s="2">
        <v>6.35</v>
      </c>
      <c r="L3591" s="2">
        <v>7.43</v>
      </c>
      <c r="M3591" s="2">
        <v>14.36</v>
      </c>
      <c r="N3591" s="2">
        <v>3.3793338689999999</v>
      </c>
      <c r="O3591" s="2">
        <v>3.3315582680000002</v>
      </c>
      <c r="P3591" s="2">
        <v>3.9580399719999999</v>
      </c>
      <c r="Q3591" s="2">
        <v>3.9907177159999998</v>
      </c>
      <c r="R3591" s="2">
        <v>2.0504424779999999</v>
      </c>
      <c r="S3591" s="2">
        <v>2.0804424780000002</v>
      </c>
      <c r="T3591" s="2">
        <v>3.3855230129999998</v>
      </c>
      <c r="U3591" s="2">
        <v>3.4055230129999998</v>
      </c>
      <c r="V3591" s="2">
        <v>2.9130607039999998</v>
      </c>
      <c r="W3591" s="2">
        <v>2.9578448470000001</v>
      </c>
      <c r="X3591">
        <f t="shared" si="168"/>
        <v>0</v>
      </c>
      <c r="Y3591">
        <f t="shared" si="169"/>
        <v>0</v>
      </c>
      <c r="Z3591">
        <f t="shared" si="170"/>
        <v>1</v>
      </c>
    </row>
    <row r="3592" spans="1:26" ht="15.75" customHeight="1" x14ac:dyDescent="0.2">
      <c r="A3592" s="2" t="s">
        <v>36</v>
      </c>
      <c r="B3592" s="2" t="s">
        <v>35</v>
      </c>
      <c r="C3592" s="2" t="s">
        <v>28</v>
      </c>
      <c r="D3592" s="2" t="s">
        <v>29</v>
      </c>
      <c r="E3592" s="2">
        <v>155</v>
      </c>
      <c r="F3592" s="2">
        <v>114</v>
      </c>
      <c r="G3592" s="2">
        <v>545</v>
      </c>
      <c r="H3592" s="2">
        <v>2223</v>
      </c>
      <c r="I3592" s="2">
        <v>3402</v>
      </c>
      <c r="J3592" s="2">
        <v>0.95</v>
      </c>
      <c r="K3592" s="2">
        <v>5.31</v>
      </c>
      <c r="L3592" s="2">
        <v>13.72</v>
      </c>
      <c r="M3592" s="2">
        <v>16.48</v>
      </c>
      <c r="N3592" s="2">
        <v>5.9440043469999999</v>
      </c>
      <c r="O3592" s="2">
        <v>5.9334384020000002</v>
      </c>
      <c r="P3592" s="2">
        <v>3.068322738</v>
      </c>
      <c r="Q3592" s="2">
        <v>3.059459741</v>
      </c>
      <c r="R3592" s="2">
        <v>1.0057051619999999</v>
      </c>
      <c r="S3592" s="2">
        <v>1.035705162</v>
      </c>
      <c r="T3592" s="2">
        <v>2.898820717</v>
      </c>
      <c r="U3592" s="2">
        <v>2.878820717</v>
      </c>
      <c r="V3592" s="2">
        <v>1.8683233880000001</v>
      </c>
      <c r="W3592" s="2">
        <v>1.9131075319999999</v>
      </c>
      <c r="X3592">
        <f t="shared" si="168"/>
        <v>0</v>
      </c>
      <c r="Y3592">
        <f t="shared" si="169"/>
        <v>0</v>
      </c>
      <c r="Z3592">
        <f t="shared" si="170"/>
        <v>1</v>
      </c>
    </row>
    <row r="3593" spans="1:26" ht="15.75" customHeight="1" x14ac:dyDescent="0.2">
      <c r="A3593" s="2" t="s">
        <v>36</v>
      </c>
      <c r="B3593" s="2" t="s">
        <v>35</v>
      </c>
      <c r="C3593" s="2" t="s">
        <v>32</v>
      </c>
      <c r="D3593" s="2" t="s">
        <v>33</v>
      </c>
      <c r="E3593" s="2">
        <v>192</v>
      </c>
      <c r="F3593" s="2">
        <v>152</v>
      </c>
      <c r="G3593" s="2">
        <v>508</v>
      </c>
      <c r="H3593" s="2">
        <v>916</v>
      </c>
      <c r="I3593" s="2">
        <v>2496</v>
      </c>
      <c r="J3593" s="2">
        <v>1.4</v>
      </c>
      <c r="K3593" s="2">
        <v>4.99</v>
      </c>
      <c r="L3593" s="2">
        <v>8.01</v>
      </c>
      <c r="M3593" s="2">
        <v>14.49</v>
      </c>
      <c r="N3593" s="2">
        <v>3.0467806689999999</v>
      </c>
      <c r="O3593" s="2">
        <v>2.9851247220000001</v>
      </c>
      <c r="P3593" s="2">
        <v>2.894826396</v>
      </c>
      <c r="Q3593" s="2">
        <v>2.9215134589999998</v>
      </c>
      <c r="R3593" s="2">
        <v>0.69130317399999996</v>
      </c>
      <c r="S3593" s="2">
        <v>0.72130317399999999</v>
      </c>
      <c r="T3593" s="2">
        <v>2.8110709319999998</v>
      </c>
      <c r="U3593" s="2">
        <v>2.8310709319999998</v>
      </c>
      <c r="V3593" s="2">
        <v>1.553921399</v>
      </c>
      <c r="W3593" s="2">
        <v>1.5987055429999999</v>
      </c>
      <c r="X3593">
        <f t="shared" si="168"/>
        <v>0</v>
      </c>
      <c r="Y3593">
        <f t="shared" si="169"/>
        <v>0</v>
      </c>
      <c r="Z3593">
        <f t="shared" si="170"/>
        <v>1</v>
      </c>
    </row>
    <row r="3594" spans="1:26" ht="15.75" customHeight="1" x14ac:dyDescent="0.2">
      <c r="A3594" s="2" t="s">
        <v>36</v>
      </c>
      <c r="B3594" s="2" t="s">
        <v>35</v>
      </c>
      <c r="C3594" s="2" t="s">
        <v>25</v>
      </c>
      <c r="D3594" s="2" t="s">
        <v>25</v>
      </c>
      <c r="E3594" s="2">
        <v>143</v>
      </c>
      <c r="F3594" s="2">
        <v>145</v>
      </c>
      <c r="G3594" s="2">
        <v>603</v>
      </c>
      <c r="H3594" s="2">
        <v>1498</v>
      </c>
      <c r="I3594" s="2">
        <v>2745</v>
      </c>
      <c r="J3594" s="2">
        <v>1.31</v>
      </c>
      <c r="K3594" s="2">
        <v>5.78</v>
      </c>
      <c r="L3594" s="2">
        <v>11.08</v>
      </c>
      <c r="M3594" s="2">
        <v>15.11</v>
      </c>
      <c r="N3594" s="2">
        <v>0.495136254</v>
      </c>
      <c r="O3594" s="2">
        <v>0.49363383799999999</v>
      </c>
      <c r="P3594" s="2">
        <v>1.5010271310000001</v>
      </c>
      <c r="Q3594" s="2">
        <v>1.5272451359999999</v>
      </c>
      <c r="R3594" s="2">
        <v>1.477619977</v>
      </c>
      <c r="S3594" s="2">
        <v>1.5076199770000001</v>
      </c>
      <c r="T3594" s="2">
        <v>0.264048583</v>
      </c>
      <c r="U3594" s="2">
        <v>0.24404858300000001</v>
      </c>
      <c r="V3594" s="2">
        <v>2.3402382030000002</v>
      </c>
      <c r="W3594" s="2">
        <v>2.385022346</v>
      </c>
      <c r="X3594">
        <f t="shared" si="168"/>
        <v>0</v>
      </c>
      <c r="Y3594">
        <f t="shared" si="169"/>
        <v>0</v>
      </c>
      <c r="Z3594">
        <f t="shared" si="170"/>
        <v>0</v>
      </c>
    </row>
    <row r="3595" spans="1:26" ht="15.75" customHeight="1" x14ac:dyDescent="0.2">
      <c r="A3595" s="2" t="s">
        <v>36</v>
      </c>
      <c r="B3595" s="2" t="s">
        <v>35</v>
      </c>
      <c r="C3595" s="2" t="s">
        <v>27</v>
      </c>
      <c r="D3595" s="2" t="s">
        <v>27</v>
      </c>
      <c r="E3595" s="2">
        <v>188</v>
      </c>
      <c r="F3595" s="2">
        <v>148</v>
      </c>
      <c r="G3595" s="2">
        <v>405</v>
      </c>
      <c r="H3595" s="2">
        <v>1964</v>
      </c>
      <c r="I3595" s="2">
        <v>2589</v>
      </c>
      <c r="J3595" s="2">
        <v>1.35</v>
      </c>
      <c r="K3595" s="2">
        <v>4.0599999999999996</v>
      </c>
      <c r="L3595" s="2">
        <v>12.89</v>
      </c>
      <c r="M3595" s="2">
        <v>14.73</v>
      </c>
      <c r="N3595" s="2">
        <v>0.19633545899999999</v>
      </c>
      <c r="O3595" s="2">
        <v>0.17443530199999999</v>
      </c>
      <c r="P3595" s="2">
        <v>2.0809216909999999</v>
      </c>
      <c r="Q3595" s="2">
        <v>2.057836333</v>
      </c>
      <c r="R3595" s="2">
        <v>0.23572717000000001</v>
      </c>
      <c r="S3595" s="2">
        <v>0.20572716999999999</v>
      </c>
      <c r="T3595" s="2">
        <v>2.0675269730000001</v>
      </c>
      <c r="U3595" s="2">
        <v>2.0475269730000001</v>
      </c>
      <c r="V3595" s="2">
        <v>0.62689105599999995</v>
      </c>
      <c r="W3595" s="2">
        <v>0.67167519899999995</v>
      </c>
      <c r="X3595">
        <f t="shared" si="168"/>
        <v>0</v>
      </c>
      <c r="Y3595">
        <f t="shared" si="169"/>
        <v>0</v>
      </c>
      <c r="Z3595">
        <f t="shared" si="170"/>
        <v>0</v>
      </c>
    </row>
    <row r="3596" spans="1:26" ht="15.75" customHeight="1" x14ac:dyDescent="0.2">
      <c r="A3596" s="2" t="s">
        <v>36</v>
      </c>
      <c r="B3596" s="2" t="s">
        <v>35</v>
      </c>
      <c r="C3596" s="2" t="s">
        <v>30</v>
      </c>
      <c r="D3596" s="2" t="s">
        <v>31</v>
      </c>
      <c r="E3596" s="2">
        <v>210</v>
      </c>
      <c r="F3596" s="2">
        <v>165</v>
      </c>
      <c r="G3596" s="2">
        <v>587</v>
      </c>
      <c r="H3596" s="2">
        <v>1234</v>
      </c>
      <c r="I3596" s="2">
        <v>2285</v>
      </c>
      <c r="J3596" s="2">
        <v>1.55</v>
      </c>
      <c r="K3596" s="2">
        <v>5.65</v>
      </c>
      <c r="L3596" s="2">
        <v>9.83</v>
      </c>
      <c r="M3596" s="2">
        <v>13.9</v>
      </c>
      <c r="N3596" s="2">
        <v>3.4310131180000001</v>
      </c>
      <c r="O3596" s="2">
        <v>3.5223618019999998</v>
      </c>
      <c r="P3596" s="2">
        <v>1.6754785000000001</v>
      </c>
      <c r="Q3596" s="2">
        <v>1.7114993359999999</v>
      </c>
      <c r="R3596" s="2">
        <v>1.3515257789999999</v>
      </c>
      <c r="S3596" s="2">
        <v>1.381525779</v>
      </c>
      <c r="T3596" s="2">
        <v>0.99025566099999995</v>
      </c>
      <c r="U3596" s="2">
        <v>1.010255661</v>
      </c>
      <c r="V3596" s="2">
        <v>2.2141440050000001</v>
      </c>
      <c r="W3596" s="2">
        <v>2.2589281479999999</v>
      </c>
      <c r="X3596">
        <f t="shared" si="168"/>
        <v>0</v>
      </c>
      <c r="Y3596">
        <f t="shared" si="169"/>
        <v>0</v>
      </c>
      <c r="Z3596">
        <f t="shared" si="170"/>
        <v>1</v>
      </c>
    </row>
    <row r="3597" spans="1:26" ht="15.75" customHeight="1" x14ac:dyDescent="0.2">
      <c r="A3597" s="2" t="s">
        <v>36</v>
      </c>
      <c r="B3597" s="2" t="s">
        <v>35</v>
      </c>
      <c r="C3597" s="2" t="s">
        <v>25</v>
      </c>
      <c r="D3597" s="2" t="s">
        <v>25</v>
      </c>
      <c r="E3597" s="2">
        <v>76</v>
      </c>
      <c r="F3597" s="2">
        <v>145</v>
      </c>
      <c r="G3597" s="2">
        <v>619</v>
      </c>
      <c r="H3597" s="2">
        <v>1529</v>
      </c>
      <c r="I3597" s="2">
        <v>2580</v>
      </c>
      <c r="J3597" s="2">
        <v>1.31</v>
      </c>
      <c r="K3597" s="2">
        <v>5.9</v>
      </c>
      <c r="L3597" s="2">
        <v>11.22</v>
      </c>
      <c r="M3597" s="2">
        <v>14.7</v>
      </c>
      <c r="N3597" s="2">
        <v>0.49899763800000002</v>
      </c>
      <c r="O3597" s="2">
        <v>0.52041893100000003</v>
      </c>
      <c r="P3597" s="2">
        <v>1.650785902</v>
      </c>
      <c r="Q3597" s="2">
        <v>1.6752969740000001</v>
      </c>
      <c r="R3597" s="2">
        <v>1.602182006</v>
      </c>
      <c r="S3597" s="2">
        <v>1.6321820060000001</v>
      </c>
      <c r="T3597" s="2">
        <v>0.3976266</v>
      </c>
      <c r="U3597" s="2">
        <v>0.37762659999999998</v>
      </c>
      <c r="V3597" s="2">
        <v>2.464800232</v>
      </c>
      <c r="W3597" s="2">
        <v>2.5095843759999998</v>
      </c>
      <c r="X3597">
        <f t="shared" si="168"/>
        <v>0</v>
      </c>
      <c r="Y3597">
        <f t="shared" si="169"/>
        <v>0</v>
      </c>
      <c r="Z3597">
        <f t="shared" si="170"/>
        <v>0</v>
      </c>
    </row>
    <row r="3598" spans="1:26" ht="15.75" customHeight="1" x14ac:dyDescent="0.2">
      <c r="A3598" s="2" t="s">
        <v>36</v>
      </c>
      <c r="B3598" s="2" t="s">
        <v>35</v>
      </c>
      <c r="C3598" s="2" t="s">
        <v>30</v>
      </c>
      <c r="D3598" s="2" t="s">
        <v>31</v>
      </c>
      <c r="E3598" s="2">
        <v>160</v>
      </c>
      <c r="F3598" s="2">
        <v>122</v>
      </c>
      <c r="G3598" s="2">
        <v>815</v>
      </c>
      <c r="H3598" s="2">
        <v>1781</v>
      </c>
      <c r="I3598" s="2">
        <v>3341</v>
      </c>
      <c r="J3598" s="2">
        <v>1.04</v>
      </c>
      <c r="K3598" s="2">
        <v>7.35</v>
      </c>
      <c r="L3598" s="2">
        <v>12.23</v>
      </c>
      <c r="M3598" s="2">
        <v>16.37</v>
      </c>
      <c r="N3598" s="2">
        <v>3.4894465929999998</v>
      </c>
      <c r="O3598" s="2">
        <v>3.516360739</v>
      </c>
      <c r="P3598" s="2">
        <v>3.3576871009999998</v>
      </c>
      <c r="Q3598" s="2">
        <v>3.376631615</v>
      </c>
      <c r="R3598" s="2">
        <v>3.0462022580000001</v>
      </c>
      <c r="S3598" s="2">
        <v>3.0762022579999999</v>
      </c>
      <c r="T3598" s="2">
        <v>1.4123436110000001</v>
      </c>
      <c r="U3598" s="2">
        <v>1.392343611</v>
      </c>
      <c r="V3598" s="2">
        <v>3.908820484</v>
      </c>
      <c r="W3598" s="2">
        <v>3.9536046269999998</v>
      </c>
      <c r="X3598">
        <f t="shared" si="168"/>
        <v>0</v>
      </c>
      <c r="Y3598">
        <f t="shared" si="169"/>
        <v>0</v>
      </c>
      <c r="Z3598">
        <f t="shared" si="170"/>
        <v>1</v>
      </c>
    </row>
    <row r="3599" spans="1:26" ht="15.75" customHeight="1" x14ac:dyDescent="0.2">
      <c r="A3599" s="2" t="s">
        <v>36</v>
      </c>
      <c r="B3599" s="2" t="s">
        <v>35</v>
      </c>
      <c r="C3599" s="2" t="s">
        <v>25</v>
      </c>
      <c r="D3599" s="2" t="s">
        <v>25</v>
      </c>
      <c r="E3599" s="2">
        <v>164</v>
      </c>
      <c r="F3599" s="2">
        <v>225</v>
      </c>
      <c r="G3599" s="2">
        <v>836</v>
      </c>
      <c r="H3599" s="2">
        <v>1373</v>
      </c>
      <c r="I3599" s="2">
        <v>2955</v>
      </c>
      <c r="J3599" s="2">
        <v>2.23</v>
      </c>
      <c r="K3599" s="2">
        <v>7.49</v>
      </c>
      <c r="L3599" s="2">
        <v>10.52</v>
      </c>
      <c r="M3599" s="2">
        <v>15.59</v>
      </c>
      <c r="N3599" s="2">
        <v>1.4052279919999999</v>
      </c>
      <c r="O3599" s="2">
        <v>1.3226307450000001</v>
      </c>
      <c r="P3599" s="2">
        <v>3.1238808310000001</v>
      </c>
      <c r="Q3599" s="2">
        <v>3.1508325880000001</v>
      </c>
      <c r="R3599" s="2">
        <v>2.918391942</v>
      </c>
      <c r="S3599" s="2">
        <v>2.958391942</v>
      </c>
      <c r="T3599" s="2">
        <v>1.1142799999999999</v>
      </c>
      <c r="U3599" s="2">
        <v>1.0842799999999999</v>
      </c>
      <c r="V3599" s="2">
        <v>4.4843575219999998</v>
      </c>
      <c r="W3599" s="2">
        <v>4.4328036260000001</v>
      </c>
      <c r="X3599">
        <f t="shared" si="168"/>
        <v>0</v>
      </c>
      <c r="Y3599">
        <f t="shared" si="169"/>
        <v>0</v>
      </c>
      <c r="Z3599">
        <f t="shared" si="170"/>
        <v>0</v>
      </c>
    </row>
    <row r="3600" spans="1:26" ht="15.75" customHeight="1" x14ac:dyDescent="0.2">
      <c r="A3600" s="2" t="s">
        <v>36</v>
      </c>
      <c r="B3600" s="2" t="s">
        <v>35</v>
      </c>
      <c r="C3600" s="2" t="s">
        <v>26</v>
      </c>
      <c r="D3600" s="2" t="s">
        <v>26</v>
      </c>
      <c r="E3600" s="2">
        <v>92</v>
      </c>
      <c r="F3600" s="2">
        <v>217</v>
      </c>
      <c r="G3600" s="2">
        <v>346</v>
      </c>
      <c r="H3600" s="2">
        <v>1194</v>
      </c>
      <c r="I3600" s="2">
        <v>2745</v>
      </c>
      <c r="J3600" s="2">
        <v>2.14</v>
      </c>
      <c r="K3600" s="2">
        <v>3.49</v>
      </c>
      <c r="L3600" s="2">
        <v>9.6199999999999992</v>
      </c>
      <c r="M3600" s="2">
        <v>15.11</v>
      </c>
      <c r="N3600" s="2">
        <v>1.1744359390000001</v>
      </c>
      <c r="O3600" s="2">
        <v>1.2126678609999999</v>
      </c>
      <c r="P3600" s="2">
        <v>2.284173375</v>
      </c>
      <c r="Q3600" s="2">
        <v>2.2389181589999998</v>
      </c>
      <c r="R3600" s="2">
        <v>1.080631777</v>
      </c>
      <c r="S3600" s="2">
        <v>1.040631777</v>
      </c>
      <c r="T3600" s="2">
        <v>2.012382412</v>
      </c>
      <c r="U3600" s="2">
        <v>1.982382412</v>
      </c>
      <c r="V3600" s="2">
        <v>0.48533380300000001</v>
      </c>
      <c r="W3600" s="2">
        <v>0.43377990700000002</v>
      </c>
      <c r="X3600">
        <f t="shared" si="168"/>
        <v>0</v>
      </c>
      <c r="Y3600">
        <f t="shared" si="169"/>
        <v>0</v>
      </c>
      <c r="Z3600">
        <f t="shared" si="170"/>
        <v>0</v>
      </c>
    </row>
    <row r="3601" spans="1:26" ht="15.75" customHeight="1" x14ac:dyDescent="0.2">
      <c r="A3601" s="2" t="s">
        <v>36</v>
      </c>
      <c r="B3601" s="2" t="s">
        <v>35</v>
      </c>
      <c r="C3601" s="2" t="s">
        <v>27</v>
      </c>
      <c r="D3601" s="2" t="s">
        <v>27</v>
      </c>
      <c r="E3601" s="2">
        <v>102</v>
      </c>
      <c r="F3601" s="2">
        <v>221</v>
      </c>
      <c r="G3601" s="2">
        <v>374</v>
      </c>
      <c r="H3601" s="2">
        <v>2272</v>
      </c>
      <c r="I3601" s="2">
        <v>3061</v>
      </c>
      <c r="J3601" s="2">
        <v>2.19</v>
      </c>
      <c r="K3601" s="2">
        <v>3.76</v>
      </c>
      <c r="L3601" s="2">
        <v>13.86</v>
      </c>
      <c r="M3601" s="2">
        <v>15.82</v>
      </c>
      <c r="N3601" s="2">
        <v>0.45582413999999999</v>
      </c>
      <c r="O3601" s="2">
        <v>0.435001733</v>
      </c>
      <c r="P3601" s="2">
        <v>2.3746665330000001</v>
      </c>
      <c r="Q3601" s="2">
        <v>2.3897620599999998</v>
      </c>
      <c r="R3601" s="2">
        <v>0.80718325999999996</v>
      </c>
      <c r="S3601" s="2">
        <v>0.76718326000000003</v>
      </c>
      <c r="T3601" s="2">
        <v>2.233270321</v>
      </c>
      <c r="U3601" s="2">
        <v>2.2632703209999998</v>
      </c>
      <c r="V3601" s="2">
        <v>0.75878232099999998</v>
      </c>
      <c r="W3601" s="2">
        <v>0.70722842399999997</v>
      </c>
      <c r="X3601">
        <f t="shared" si="168"/>
        <v>0</v>
      </c>
      <c r="Y3601">
        <f t="shared" si="169"/>
        <v>0</v>
      </c>
      <c r="Z3601">
        <f t="shared" si="170"/>
        <v>0</v>
      </c>
    </row>
    <row r="3602" spans="1:26" ht="15.75" customHeight="1" x14ac:dyDescent="0.2">
      <c r="A3602" s="2" t="s">
        <v>36</v>
      </c>
      <c r="B3602" s="2" t="s">
        <v>35</v>
      </c>
      <c r="C3602" s="2" t="s">
        <v>28</v>
      </c>
      <c r="D3602" s="2" t="s">
        <v>29</v>
      </c>
      <c r="E3602" s="2">
        <v>148</v>
      </c>
      <c r="F3602" s="2">
        <v>229</v>
      </c>
      <c r="G3602" s="2">
        <v>397</v>
      </c>
      <c r="H3602" s="2">
        <v>975</v>
      </c>
      <c r="I3602" s="2">
        <v>2461</v>
      </c>
      <c r="J3602" s="2">
        <v>2.27</v>
      </c>
      <c r="K3602" s="2">
        <v>3.98</v>
      </c>
      <c r="L3602" s="2">
        <v>8.3699999999999992</v>
      </c>
      <c r="M3602" s="2">
        <v>14.39</v>
      </c>
      <c r="N3602" s="2">
        <v>0.18663084099999999</v>
      </c>
      <c r="O3602" s="2">
        <v>0.127824672</v>
      </c>
      <c r="P3602" s="2">
        <v>3.308383869</v>
      </c>
      <c r="Q3602" s="2">
        <v>3.2719353340000001</v>
      </c>
      <c r="R3602" s="2">
        <v>0.58742574299999994</v>
      </c>
      <c r="S3602" s="2">
        <v>0.54742574300000002</v>
      </c>
      <c r="T3602" s="2">
        <v>3.2558155379999998</v>
      </c>
      <c r="U3602" s="2">
        <v>3.225815538</v>
      </c>
      <c r="V3602" s="2">
        <v>0.978539838</v>
      </c>
      <c r="W3602" s="2">
        <v>0.92698594099999998</v>
      </c>
      <c r="X3602">
        <f t="shared" si="168"/>
        <v>0</v>
      </c>
      <c r="Y3602">
        <f t="shared" si="169"/>
        <v>0</v>
      </c>
      <c r="Z3602">
        <f t="shared" si="170"/>
        <v>1</v>
      </c>
    </row>
    <row r="3603" spans="1:26" ht="15.75" customHeight="1" x14ac:dyDescent="0.2">
      <c r="A3603" s="2" t="s">
        <v>36</v>
      </c>
      <c r="B3603" s="2" t="s">
        <v>35</v>
      </c>
      <c r="C3603" s="2" t="s">
        <v>30</v>
      </c>
      <c r="D3603" s="2" t="s">
        <v>31</v>
      </c>
      <c r="E3603" s="2">
        <v>156</v>
      </c>
      <c r="F3603" s="2">
        <v>230</v>
      </c>
      <c r="G3603" s="2">
        <v>506</v>
      </c>
      <c r="H3603" s="2">
        <v>1464</v>
      </c>
      <c r="I3603" s="2">
        <v>2509</v>
      </c>
      <c r="J3603" s="2">
        <v>2.2799999999999998</v>
      </c>
      <c r="K3603" s="2">
        <v>4.97</v>
      </c>
      <c r="L3603" s="2">
        <v>10.93</v>
      </c>
      <c r="M3603" s="2">
        <v>14.52</v>
      </c>
      <c r="N3603" s="2">
        <v>3.3520277510000001</v>
      </c>
      <c r="O3603" s="2">
        <v>3.3846092620000001</v>
      </c>
      <c r="P3603" s="2">
        <v>0.80406667899999995</v>
      </c>
      <c r="Q3603" s="2">
        <v>0.79956566900000003</v>
      </c>
      <c r="R3603" s="2">
        <v>0.401159773</v>
      </c>
      <c r="S3603" s="2">
        <v>0.44115977299999998</v>
      </c>
      <c r="T3603" s="2">
        <v>0.69684579400000002</v>
      </c>
      <c r="U3603" s="2">
        <v>0.66684579399999999</v>
      </c>
      <c r="V3603" s="2">
        <v>1.9671253529999999</v>
      </c>
      <c r="W3603" s="2">
        <v>1.915571457</v>
      </c>
      <c r="X3603">
        <f t="shared" si="168"/>
        <v>0</v>
      </c>
      <c r="Y3603">
        <f t="shared" si="169"/>
        <v>0</v>
      </c>
      <c r="Z3603">
        <f t="shared" si="170"/>
        <v>1</v>
      </c>
    </row>
    <row r="3604" spans="1:26" ht="15.75" customHeight="1" x14ac:dyDescent="0.2">
      <c r="A3604" s="2" t="s">
        <v>36</v>
      </c>
      <c r="B3604" s="2" t="s">
        <v>35</v>
      </c>
      <c r="C3604" s="2" t="s">
        <v>26</v>
      </c>
      <c r="D3604" s="2" t="s">
        <v>26</v>
      </c>
      <c r="E3604" s="2">
        <v>160</v>
      </c>
      <c r="F3604" s="2">
        <v>223</v>
      </c>
      <c r="G3604" s="2">
        <v>397</v>
      </c>
      <c r="H3604" s="2">
        <v>884</v>
      </c>
      <c r="I3604" s="2">
        <v>2957</v>
      </c>
      <c r="J3604" s="2">
        <v>2.21</v>
      </c>
      <c r="K3604" s="2">
        <v>3.98</v>
      </c>
      <c r="L3604" s="2">
        <v>7.81</v>
      </c>
      <c r="M3604" s="2">
        <v>15.59</v>
      </c>
      <c r="N3604" s="2">
        <v>0.75468849199999999</v>
      </c>
      <c r="O3604" s="2">
        <v>0.69485407499999996</v>
      </c>
      <c r="P3604" s="2">
        <v>3.86933741</v>
      </c>
      <c r="Q3604" s="2">
        <v>3.8337721239999998</v>
      </c>
      <c r="R3604" s="2">
        <v>0.58742574299999994</v>
      </c>
      <c r="S3604" s="2">
        <v>0.54742574300000002</v>
      </c>
      <c r="T3604" s="2">
        <v>3.824487285</v>
      </c>
      <c r="U3604" s="2">
        <v>3.7944872850000002</v>
      </c>
      <c r="V3604" s="2">
        <v>0.978539838</v>
      </c>
      <c r="W3604" s="2">
        <v>0.92698594099999998</v>
      </c>
      <c r="X3604">
        <f t="shared" si="168"/>
        <v>0</v>
      </c>
      <c r="Y3604">
        <f t="shared" si="169"/>
        <v>0</v>
      </c>
      <c r="Z3604">
        <f t="shared" si="170"/>
        <v>0</v>
      </c>
    </row>
    <row r="3605" spans="1:26" ht="15.75" customHeight="1" x14ac:dyDescent="0.2">
      <c r="A3605" s="2" t="s">
        <v>36</v>
      </c>
      <c r="B3605" s="2" t="s">
        <v>35</v>
      </c>
      <c r="C3605" s="2" t="s">
        <v>28</v>
      </c>
      <c r="D3605" s="2" t="s">
        <v>29</v>
      </c>
      <c r="E3605" s="2">
        <v>143</v>
      </c>
      <c r="F3605" s="2">
        <v>237</v>
      </c>
      <c r="G3605" s="2">
        <v>338</v>
      </c>
      <c r="H3605" s="2">
        <v>1122</v>
      </c>
      <c r="I3605" s="2">
        <v>2601</v>
      </c>
      <c r="J3605" s="2">
        <v>2.36</v>
      </c>
      <c r="K3605" s="2">
        <v>3.42</v>
      </c>
      <c r="L3605" s="2">
        <v>9.23</v>
      </c>
      <c r="M3605" s="2">
        <v>14.76</v>
      </c>
      <c r="N3605" s="2">
        <v>0.88710003999999998</v>
      </c>
      <c r="O3605" s="2">
        <v>0.90866749800000002</v>
      </c>
      <c r="P3605" s="2">
        <v>2.6642622230000002</v>
      </c>
      <c r="Q3605" s="2">
        <v>2.6200046279999998</v>
      </c>
      <c r="R3605" s="2">
        <v>1.153350254</v>
      </c>
      <c r="S3605" s="2">
        <v>1.113350254</v>
      </c>
      <c r="T3605" s="2">
        <v>2.4016819900000002</v>
      </c>
      <c r="U3605" s="2">
        <v>2.3716819899999999</v>
      </c>
      <c r="V3605" s="2">
        <v>0.412615326</v>
      </c>
      <c r="W3605" s="2">
        <v>0.36106143000000002</v>
      </c>
      <c r="X3605">
        <f t="shared" si="168"/>
        <v>0</v>
      </c>
      <c r="Y3605">
        <f t="shared" si="169"/>
        <v>0</v>
      </c>
      <c r="Z3605">
        <f t="shared" si="170"/>
        <v>1</v>
      </c>
    </row>
    <row r="3606" spans="1:26" ht="15.75" customHeight="1" x14ac:dyDescent="0.2">
      <c r="A3606" s="2" t="s">
        <v>36</v>
      </c>
      <c r="B3606" s="2" t="s">
        <v>35</v>
      </c>
      <c r="C3606" s="2" t="s">
        <v>32</v>
      </c>
      <c r="D3606" s="2" t="s">
        <v>33</v>
      </c>
      <c r="E3606" s="2">
        <v>123</v>
      </c>
      <c r="F3606" s="2">
        <v>236</v>
      </c>
      <c r="G3606" s="2">
        <v>490</v>
      </c>
      <c r="H3606" s="2">
        <v>928</v>
      </c>
      <c r="I3606" s="2">
        <v>2432</v>
      </c>
      <c r="J3606" s="2">
        <v>2.35</v>
      </c>
      <c r="K3606" s="2">
        <v>4.83</v>
      </c>
      <c r="L3606" s="2">
        <v>8.08</v>
      </c>
      <c r="M3606" s="2">
        <v>14.31</v>
      </c>
      <c r="N3606" s="2">
        <v>4.6965383689999998</v>
      </c>
      <c r="O3606" s="2">
        <v>4.5089774709999997</v>
      </c>
      <c r="P3606" s="2">
        <v>3.5546066509999998</v>
      </c>
      <c r="Q3606" s="2">
        <v>3.5278528630000001</v>
      </c>
      <c r="R3606" s="2">
        <v>0.25908150800000002</v>
      </c>
      <c r="S3606" s="2">
        <v>0.299081508</v>
      </c>
      <c r="T3606" s="2">
        <v>3.5451523549999999</v>
      </c>
      <c r="U3606" s="2">
        <v>3.5151523550000001</v>
      </c>
      <c r="V3606" s="2">
        <v>1.825047088</v>
      </c>
      <c r="W3606" s="2">
        <v>1.773493191</v>
      </c>
      <c r="X3606">
        <f t="shared" si="168"/>
        <v>0</v>
      </c>
      <c r="Y3606">
        <f t="shared" si="169"/>
        <v>0</v>
      </c>
      <c r="Z3606">
        <f t="shared" si="170"/>
        <v>1</v>
      </c>
    </row>
    <row r="3607" spans="1:26" ht="15.75" customHeight="1" x14ac:dyDescent="0.2">
      <c r="A3607" s="2" t="s">
        <v>36</v>
      </c>
      <c r="B3607" s="2" t="s">
        <v>35</v>
      </c>
      <c r="C3607" s="2" t="s">
        <v>32</v>
      </c>
      <c r="D3607" s="2" t="s">
        <v>33</v>
      </c>
      <c r="E3607" s="2">
        <v>158</v>
      </c>
      <c r="F3607" s="2">
        <v>258</v>
      </c>
      <c r="G3607" s="2">
        <v>492</v>
      </c>
      <c r="H3607" s="2">
        <v>1311</v>
      </c>
      <c r="I3607" s="2">
        <v>2852</v>
      </c>
      <c r="J3607" s="2">
        <v>2.59</v>
      </c>
      <c r="K3607" s="2">
        <v>4.8499999999999996</v>
      </c>
      <c r="L3607" s="2">
        <v>10.210000000000001</v>
      </c>
      <c r="M3607" s="2">
        <v>15.36</v>
      </c>
      <c r="N3607" s="2">
        <v>3.1835053860000002</v>
      </c>
      <c r="O3607" s="2">
        <v>2.9665856769999999</v>
      </c>
      <c r="P3607" s="2">
        <v>1.4442076939999999</v>
      </c>
      <c r="Q3607" s="2">
        <v>1.4233231630000001</v>
      </c>
      <c r="R3607" s="2">
        <v>0.28240723099999998</v>
      </c>
      <c r="S3607" s="2">
        <v>0.32240723100000002</v>
      </c>
      <c r="T3607" s="2">
        <v>1.4163269469999999</v>
      </c>
      <c r="U3607" s="2">
        <v>1.3863269469999999</v>
      </c>
      <c r="V3607" s="2">
        <v>1.8483728109999999</v>
      </c>
      <c r="W3607" s="2">
        <v>1.796818915</v>
      </c>
      <c r="X3607">
        <f t="shared" si="168"/>
        <v>0</v>
      </c>
      <c r="Y3607">
        <f t="shared" si="169"/>
        <v>0</v>
      </c>
      <c r="Z3607">
        <f t="shared" si="170"/>
        <v>1</v>
      </c>
    </row>
    <row r="3608" spans="1:26" ht="15.75" customHeight="1" x14ac:dyDescent="0.2">
      <c r="A3608" s="2" t="s">
        <v>36</v>
      </c>
      <c r="B3608" s="2" t="s">
        <v>35</v>
      </c>
      <c r="C3608" s="2" t="s">
        <v>25</v>
      </c>
      <c r="D3608" s="2" t="s">
        <v>25</v>
      </c>
      <c r="E3608" s="2">
        <v>199</v>
      </c>
      <c r="F3608" s="2">
        <v>232</v>
      </c>
      <c r="G3608" s="2">
        <v>914</v>
      </c>
      <c r="H3608" s="2">
        <v>1725</v>
      </c>
      <c r="I3608" s="2">
        <v>2985</v>
      </c>
      <c r="J3608" s="2">
        <v>2.31</v>
      </c>
      <c r="K3608" s="2">
        <v>8</v>
      </c>
      <c r="L3608" s="2">
        <v>12.02</v>
      </c>
      <c r="M3608" s="2">
        <v>15.65</v>
      </c>
      <c r="N3608" s="2">
        <v>0.46679972800000002</v>
      </c>
      <c r="O3608" s="2">
        <v>0.68284693699999999</v>
      </c>
      <c r="P3608" s="2">
        <v>3.4482090460000001</v>
      </c>
      <c r="Q3608" s="2">
        <v>3.4914285770000002</v>
      </c>
      <c r="R3608" s="2">
        <v>3.4262143350000001</v>
      </c>
      <c r="S3608" s="2">
        <v>3.4662143350000001</v>
      </c>
      <c r="T3608" s="2">
        <v>0.38884566700000001</v>
      </c>
      <c r="U3608" s="2">
        <v>0.41884566699999998</v>
      </c>
      <c r="V3608" s="2">
        <v>4.9921799160000004</v>
      </c>
      <c r="W3608" s="2">
        <v>4.9406260189999998</v>
      </c>
      <c r="X3608">
        <f t="shared" si="168"/>
        <v>0</v>
      </c>
      <c r="Y3608">
        <f t="shared" si="169"/>
        <v>0</v>
      </c>
      <c r="Z3608">
        <f t="shared" si="170"/>
        <v>0</v>
      </c>
    </row>
    <row r="3609" spans="1:26" ht="15.75" customHeight="1" x14ac:dyDescent="0.2">
      <c r="A3609" s="2" t="s">
        <v>36</v>
      </c>
      <c r="B3609" s="2" t="s">
        <v>35</v>
      </c>
      <c r="C3609" s="2" t="s">
        <v>32</v>
      </c>
      <c r="D3609" s="2" t="s">
        <v>33</v>
      </c>
      <c r="E3609" s="2">
        <v>171</v>
      </c>
      <c r="F3609" s="2">
        <v>216</v>
      </c>
      <c r="G3609" s="2">
        <v>521</v>
      </c>
      <c r="H3609" s="2">
        <v>1743</v>
      </c>
      <c r="I3609" s="2">
        <v>3095</v>
      </c>
      <c r="J3609" s="2">
        <v>2.13</v>
      </c>
      <c r="K3609" s="2">
        <v>5.0999999999999996</v>
      </c>
      <c r="L3609" s="2">
        <v>12.09</v>
      </c>
      <c r="M3609" s="2">
        <v>15.89</v>
      </c>
      <c r="N3609" s="2">
        <v>2.4459737850000001</v>
      </c>
      <c r="O3609" s="2">
        <v>2.2551309860000002</v>
      </c>
      <c r="P3609" s="2">
        <v>0.702255462</v>
      </c>
      <c r="Q3609" s="2">
        <v>0.75213418600000004</v>
      </c>
      <c r="R3609" s="2">
        <v>0.52999193899999997</v>
      </c>
      <c r="S3609" s="2">
        <v>0.569991939</v>
      </c>
      <c r="T3609" s="2">
        <v>0.46072907299999999</v>
      </c>
      <c r="U3609" s="2">
        <v>0.49072907300000002</v>
      </c>
      <c r="V3609" s="2">
        <v>2.0959575190000002</v>
      </c>
      <c r="W3609" s="2">
        <v>2.0444036219999999</v>
      </c>
      <c r="X3609">
        <f t="shared" si="168"/>
        <v>0</v>
      </c>
      <c r="Y3609">
        <f t="shared" si="169"/>
        <v>0</v>
      </c>
      <c r="Z3609">
        <f t="shared" si="170"/>
        <v>1</v>
      </c>
    </row>
    <row r="3610" spans="1:26" ht="15.75" customHeight="1" x14ac:dyDescent="0.2">
      <c r="A3610" s="2" t="s">
        <v>36</v>
      </c>
      <c r="B3610" s="2" t="s">
        <v>35</v>
      </c>
      <c r="C3610" s="2" t="s">
        <v>32</v>
      </c>
      <c r="D3610" s="2" t="s">
        <v>33</v>
      </c>
      <c r="E3610" s="2">
        <v>108</v>
      </c>
      <c r="F3610" s="2">
        <v>220</v>
      </c>
      <c r="G3610" s="2">
        <v>580</v>
      </c>
      <c r="H3610" s="2">
        <v>1326</v>
      </c>
      <c r="I3610" s="2">
        <v>2775</v>
      </c>
      <c r="J3610" s="2">
        <v>2.1800000000000002</v>
      </c>
      <c r="K3610" s="2">
        <v>5.59</v>
      </c>
      <c r="L3610" s="2">
        <v>10.29</v>
      </c>
      <c r="M3610" s="2">
        <v>15.18</v>
      </c>
      <c r="N3610" s="2">
        <v>2.5419380619999998</v>
      </c>
      <c r="O3610" s="2">
        <v>2.3316089259999999</v>
      </c>
      <c r="P3610" s="2">
        <v>1.687605953</v>
      </c>
      <c r="Q3610" s="2">
        <v>1.6886955189999999</v>
      </c>
      <c r="R3610" s="2">
        <v>1.0219685039999999</v>
      </c>
      <c r="S3610" s="2">
        <v>1.061968504</v>
      </c>
      <c r="T3610" s="2">
        <v>1.342979608</v>
      </c>
      <c r="U3610" s="2">
        <v>1.312979608</v>
      </c>
      <c r="V3610" s="2">
        <v>2.587934084</v>
      </c>
      <c r="W3610" s="2">
        <v>2.5363801879999999</v>
      </c>
      <c r="X3610">
        <f t="shared" si="168"/>
        <v>0</v>
      </c>
      <c r="Y3610">
        <f t="shared" si="169"/>
        <v>0</v>
      </c>
      <c r="Z3610">
        <f t="shared" si="170"/>
        <v>1</v>
      </c>
    </row>
    <row r="3611" spans="1:26" ht="15.75" customHeight="1" x14ac:dyDescent="0.2">
      <c r="A3611" s="2" t="s">
        <v>36</v>
      </c>
      <c r="B3611" s="2" t="s">
        <v>35</v>
      </c>
      <c r="C3611" s="2" t="s">
        <v>25</v>
      </c>
      <c r="D3611" s="2" t="s">
        <v>25</v>
      </c>
      <c r="E3611" s="2">
        <v>108</v>
      </c>
      <c r="F3611" s="2">
        <v>220</v>
      </c>
      <c r="G3611" s="2">
        <v>865</v>
      </c>
      <c r="H3611" s="2">
        <v>1759</v>
      </c>
      <c r="I3611" s="2">
        <v>2973</v>
      </c>
      <c r="J3611" s="2">
        <v>2.1800000000000002</v>
      </c>
      <c r="K3611" s="2">
        <v>7.68</v>
      </c>
      <c r="L3611" s="2">
        <v>12.15</v>
      </c>
      <c r="M3611" s="2">
        <v>15.63</v>
      </c>
      <c r="N3611" s="2">
        <v>0.27143199400000001</v>
      </c>
      <c r="O3611" s="2">
        <v>0.469045249</v>
      </c>
      <c r="P3611" s="2">
        <v>3.1547218720000001</v>
      </c>
      <c r="Q3611" s="2">
        <v>3.1992152429999998</v>
      </c>
      <c r="R3611" s="2">
        <v>3.1112741860000002</v>
      </c>
      <c r="S3611" s="2">
        <v>3.1512741860000002</v>
      </c>
      <c r="T3611" s="2">
        <v>0.52176913400000002</v>
      </c>
      <c r="U3611" s="2">
        <v>0.55176913400000005</v>
      </c>
      <c r="V3611" s="2">
        <v>4.6772397659999996</v>
      </c>
      <c r="W3611" s="2">
        <v>4.6256858699999999</v>
      </c>
      <c r="X3611">
        <f t="shared" si="168"/>
        <v>0</v>
      </c>
      <c r="Y3611">
        <f t="shared" si="169"/>
        <v>0</v>
      </c>
      <c r="Z3611">
        <f t="shared" si="170"/>
        <v>0</v>
      </c>
    </row>
    <row r="3612" spans="1:26" ht="15.75" customHeight="1" x14ac:dyDescent="0.2">
      <c r="A3612" s="2" t="s">
        <v>36</v>
      </c>
      <c r="B3612" s="2" t="s">
        <v>35</v>
      </c>
      <c r="C3612" s="2" t="s">
        <v>25</v>
      </c>
      <c r="D3612" s="2" t="s">
        <v>25</v>
      </c>
      <c r="E3612" s="2">
        <v>195</v>
      </c>
      <c r="F3612" s="2">
        <v>208</v>
      </c>
      <c r="G3612" s="2">
        <v>940</v>
      </c>
      <c r="H3612" s="2">
        <v>1613</v>
      </c>
      <c r="I3612" s="2">
        <v>3108</v>
      </c>
      <c r="J3612" s="2">
        <v>2.0499999999999998</v>
      </c>
      <c r="K3612" s="2">
        <v>8.16</v>
      </c>
      <c r="L3612" s="2">
        <v>11.57</v>
      </c>
      <c r="M3612" s="2">
        <v>15.91</v>
      </c>
      <c r="N3612" s="2">
        <v>0.71236790699999997</v>
      </c>
      <c r="O3612" s="2">
        <v>0.86140696100000003</v>
      </c>
      <c r="P3612" s="2">
        <v>3.5926703670000002</v>
      </c>
      <c r="Q3612" s="2">
        <v>3.6323197249999999</v>
      </c>
      <c r="R3612" s="2">
        <v>3.5922204340000001</v>
      </c>
      <c r="S3612" s="2">
        <v>3.6322204340000002</v>
      </c>
      <c r="T3612" s="2">
        <v>5.6856983E-2</v>
      </c>
      <c r="U3612" s="2">
        <v>2.6856983000000001E-2</v>
      </c>
      <c r="V3612" s="2">
        <v>5.1581860150000001</v>
      </c>
      <c r="W3612" s="2">
        <v>5.1066321180000003</v>
      </c>
      <c r="X3612">
        <f t="shared" si="168"/>
        <v>0</v>
      </c>
      <c r="Y3612">
        <f t="shared" si="169"/>
        <v>0</v>
      </c>
      <c r="Z3612">
        <f t="shared" si="170"/>
        <v>0</v>
      </c>
    </row>
    <row r="3613" spans="1:26" ht="15.75" customHeight="1" x14ac:dyDescent="0.2">
      <c r="A3613" s="2" t="s">
        <v>36</v>
      </c>
      <c r="B3613" s="2" t="s">
        <v>35</v>
      </c>
      <c r="C3613" s="2" t="s">
        <v>27</v>
      </c>
      <c r="D3613" s="2" t="s">
        <v>27</v>
      </c>
      <c r="E3613" s="2">
        <v>122</v>
      </c>
      <c r="F3613" s="2">
        <v>238</v>
      </c>
      <c r="G3613" s="2">
        <v>436</v>
      </c>
      <c r="H3613" s="2">
        <v>2395</v>
      </c>
      <c r="I3613" s="2">
        <v>2956</v>
      </c>
      <c r="J3613" s="2">
        <v>2.37</v>
      </c>
      <c r="K3613" s="2">
        <v>4.3499999999999996</v>
      </c>
      <c r="L3613" s="2">
        <v>14.21</v>
      </c>
      <c r="M3613" s="2">
        <v>15.59</v>
      </c>
      <c r="N3613" s="2">
        <v>0.249631151</v>
      </c>
      <c r="O3613" s="2">
        <v>0.29660852399999998</v>
      </c>
      <c r="P3613" s="2">
        <v>2.5946097159999999</v>
      </c>
      <c r="Q3613" s="2">
        <v>2.6213808709999999</v>
      </c>
      <c r="R3613" s="2">
        <v>0.22443717799999999</v>
      </c>
      <c r="S3613" s="2">
        <v>0.18443717800000001</v>
      </c>
      <c r="T3613" s="2">
        <v>2.584884433</v>
      </c>
      <c r="U3613" s="2">
        <v>2.6148844329999998</v>
      </c>
      <c r="V3613" s="2">
        <v>1.341528402</v>
      </c>
      <c r="W3613" s="2">
        <v>1.289974505</v>
      </c>
      <c r="X3613">
        <f t="shared" si="168"/>
        <v>0</v>
      </c>
      <c r="Y3613">
        <f t="shared" si="169"/>
        <v>0</v>
      </c>
      <c r="Z3613">
        <f t="shared" si="170"/>
        <v>0</v>
      </c>
    </row>
    <row r="3614" spans="1:26" ht="15.75" customHeight="1" x14ac:dyDescent="0.2">
      <c r="A3614" s="2" t="s">
        <v>36</v>
      </c>
      <c r="B3614" s="2" t="s">
        <v>35</v>
      </c>
      <c r="C3614" s="2" t="s">
        <v>30</v>
      </c>
      <c r="D3614" s="2" t="s">
        <v>31</v>
      </c>
      <c r="E3614" s="2">
        <v>157</v>
      </c>
      <c r="F3614" s="2">
        <v>234</v>
      </c>
      <c r="G3614" s="2">
        <v>435</v>
      </c>
      <c r="H3614" s="2">
        <v>1186</v>
      </c>
      <c r="I3614" s="2">
        <v>2407</v>
      </c>
      <c r="J3614" s="2">
        <v>2.33</v>
      </c>
      <c r="K3614" s="2">
        <v>4.34</v>
      </c>
      <c r="L3614" s="2">
        <v>9.58</v>
      </c>
      <c r="M3614" s="2">
        <v>14.25</v>
      </c>
      <c r="N3614" s="2">
        <v>4.5993857589999996</v>
      </c>
      <c r="O3614" s="2">
        <v>4.6222526889999997</v>
      </c>
      <c r="P3614" s="2">
        <v>2.065553414</v>
      </c>
      <c r="Q3614" s="2">
        <v>2.0316575659999998</v>
      </c>
      <c r="R3614" s="2">
        <v>0.22748956300000001</v>
      </c>
      <c r="S3614" s="2">
        <v>0.187489563</v>
      </c>
      <c r="T3614" s="2">
        <v>2.0529879210000002</v>
      </c>
      <c r="U3614" s="2">
        <v>2.0229879209999999</v>
      </c>
      <c r="V3614" s="2">
        <v>1.3384760170000001</v>
      </c>
      <c r="W3614" s="2">
        <v>1.2869221209999999</v>
      </c>
      <c r="X3614">
        <f t="shared" si="168"/>
        <v>0</v>
      </c>
      <c r="Y3614">
        <f t="shared" si="169"/>
        <v>0</v>
      </c>
      <c r="Z3614">
        <f t="shared" si="170"/>
        <v>1</v>
      </c>
    </row>
    <row r="3615" spans="1:26" ht="15.75" customHeight="1" x14ac:dyDescent="0.2">
      <c r="A3615" s="2" t="s">
        <v>36</v>
      </c>
      <c r="B3615" s="2" t="s">
        <v>35</v>
      </c>
      <c r="C3615" s="2" t="s">
        <v>28</v>
      </c>
      <c r="D3615" s="2" t="s">
        <v>29</v>
      </c>
      <c r="E3615" s="2">
        <v>104</v>
      </c>
      <c r="F3615" s="2">
        <v>214</v>
      </c>
      <c r="G3615" s="2">
        <v>661</v>
      </c>
      <c r="H3615" s="2">
        <v>2232</v>
      </c>
      <c r="I3615" s="2">
        <v>3566</v>
      </c>
      <c r="J3615" s="2">
        <v>2.11</v>
      </c>
      <c r="K3615" s="2">
        <v>6.23</v>
      </c>
      <c r="L3615" s="2">
        <v>13.74</v>
      </c>
      <c r="M3615" s="2">
        <v>16.77</v>
      </c>
      <c r="N3615" s="2">
        <v>5.644631822</v>
      </c>
      <c r="O3615" s="2">
        <v>5.7155780849999998</v>
      </c>
      <c r="P3615" s="2">
        <v>2.6900875430000002</v>
      </c>
      <c r="Q3615" s="2">
        <v>2.7384316389999999</v>
      </c>
      <c r="R3615" s="2">
        <v>1.663865717</v>
      </c>
      <c r="S3615" s="2">
        <v>1.703865717</v>
      </c>
      <c r="T3615" s="2">
        <v>2.1137932410000002</v>
      </c>
      <c r="U3615" s="2">
        <v>2.143793241</v>
      </c>
      <c r="V3615" s="2">
        <v>3.229831297</v>
      </c>
      <c r="W3615" s="2">
        <v>3.1782774009999999</v>
      </c>
      <c r="X3615">
        <f t="shared" si="168"/>
        <v>0</v>
      </c>
      <c r="Y3615">
        <f t="shared" si="169"/>
        <v>0</v>
      </c>
      <c r="Z3615">
        <f t="shared" si="170"/>
        <v>1</v>
      </c>
    </row>
    <row r="3616" spans="1:26" ht="15.75" customHeight="1" x14ac:dyDescent="0.2">
      <c r="A3616" s="2" t="s">
        <v>36</v>
      </c>
      <c r="B3616" s="2" t="s">
        <v>35</v>
      </c>
      <c r="C3616" s="2" t="s">
        <v>28</v>
      </c>
      <c r="D3616" s="2" t="s">
        <v>29</v>
      </c>
      <c r="E3616" s="2">
        <v>147</v>
      </c>
      <c r="F3616" s="2">
        <v>234</v>
      </c>
      <c r="G3616" s="2">
        <v>304</v>
      </c>
      <c r="H3616" s="2">
        <v>1022</v>
      </c>
      <c r="I3616" s="2">
        <v>2263</v>
      </c>
      <c r="J3616" s="2">
        <v>2.33</v>
      </c>
      <c r="K3616" s="2">
        <v>3.07</v>
      </c>
      <c r="L3616" s="2">
        <v>8.66</v>
      </c>
      <c r="M3616" s="2">
        <v>13.84</v>
      </c>
      <c r="N3616" s="2">
        <v>0.93866073100000003</v>
      </c>
      <c r="O3616" s="2">
        <v>0.90742126000000001</v>
      </c>
      <c r="P3616" s="2">
        <v>3.3302945410000002</v>
      </c>
      <c r="Q3616" s="2">
        <v>3.2855420980000001</v>
      </c>
      <c r="R3616" s="2">
        <v>1.503488441</v>
      </c>
      <c r="S3616" s="2">
        <v>1.463488441</v>
      </c>
      <c r="T3616" s="2">
        <v>2.9715962440000001</v>
      </c>
      <c r="U3616" s="2">
        <v>2.9415962439999999</v>
      </c>
      <c r="V3616" s="2">
        <v>6.247714E-2</v>
      </c>
      <c r="W3616" s="2">
        <v>1.0923242999999999E-2</v>
      </c>
      <c r="X3616">
        <f t="shared" si="168"/>
        <v>0</v>
      </c>
      <c r="Y3616">
        <f t="shared" si="169"/>
        <v>0</v>
      </c>
      <c r="Z3616">
        <f t="shared" si="170"/>
        <v>1</v>
      </c>
    </row>
    <row r="3617" spans="1:26" ht="15.75" customHeight="1" x14ac:dyDescent="0.2">
      <c r="A3617" s="2" t="s">
        <v>36</v>
      </c>
      <c r="B3617" s="2" t="s">
        <v>35</v>
      </c>
      <c r="C3617" s="2" t="s">
        <v>32</v>
      </c>
      <c r="D3617" s="2" t="s">
        <v>33</v>
      </c>
      <c r="E3617" s="2">
        <v>138</v>
      </c>
      <c r="F3617" s="2">
        <v>222</v>
      </c>
      <c r="G3617" s="2">
        <v>569</v>
      </c>
      <c r="H3617" s="2">
        <v>1481</v>
      </c>
      <c r="I3617" s="2">
        <v>3028</v>
      </c>
      <c r="J3617" s="2">
        <v>2.19</v>
      </c>
      <c r="K3617" s="2">
        <v>5.5</v>
      </c>
      <c r="L3617" s="2">
        <v>11.01</v>
      </c>
      <c r="M3617" s="2">
        <v>15.75</v>
      </c>
      <c r="N3617" s="2">
        <v>2.2354737629999999</v>
      </c>
      <c r="O3617" s="2">
        <v>2.01615733</v>
      </c>
      <c r="P3617" s="2">
        <v>1.1184860190000001</v>
      </c>
      <c r="Q3617" s="2">
        <v>1.136001907</v>
      </c>
      <c r="R3617" s="2">
        <v>0.92924597900000006</v>
      </c>
      <c r="S3617" s="2">
        <v>0.96924597899999998</v>
      </c>
      <c r="T3617" s="2">
        <v>0.62250532800000002</v>
      </c>
      <c r="U3617" s="2">
        <v>0.592505328</v>
      </c>
      <c r="V3617" s="2">
        <v>2.49521156</v>
      </c>
      <c r="W3617" s="2">
        <v>2.4436576630000002</v>
      </c>
      <c r="X3617">
        <f t="shared" si="168"/>
        <v>0</v>
      </c>
      <c r="Y3617">
        <f t="shared" si="169"/>
        <v>0</v>
      </c>
      <c r="Z3617">
        <f t="shared" si="170"/>
        <v>1</v>
      </c>
    </row>
    <row r="3618" spans="1:26" ht="15.75" customHeight="1" x14ac:dyDescent="0.2">
      <c r="A3618" s="2" t="s">
        <v>36</v>
      </c>
      <c r="B3618" s="2" t="s">
        <v>35</v>
      </c>
      <c r="C3618" s="2" t="s">
        <v>26</v>
      </c>
      <c r="D3618" s="2" t="s">
        <v>26</v>
      </c>
      <c r="E3618" s="2">
        <v>137</v>
      </c>
      <c r="F3618" s="2">
        <v>237</v>
      </c>
      <c r="G3618" s="2">
        <v>386</v>
      </c>
      <c r="H3618" s="2">
        <v>1003</v>
      </c>
      <c r="I3618" s="2">
        <v>2781</v>
      </c>
      <c r="J3618" s="2">
        <v>2.36</v>
      </c>
      <c r="K3618" s="2">
        <v>3.88</v>
      </c>
      <c r="L3618" s="2">
        <v>8.5500000000000007</v>
      </c>
      <c r="M3618" s="2">
        <v>15.2</v>
      </c>
      <c r="N3618" s="2">
        <v>0.11630871499999999</v>
      </c>
      <c r="O3618" s="2">
        <v>8.9252204000000002E-2</v>
      </c>
      <c r="P3618" s="2">
        <v>3.1579255599999998</v>
      </c>
      <c r="Q3618" s="2">
        <v>3.1201262769999998</v>
      </c>
      <c r="R3618" s="2">
        <v>0.68562437799999998</v>
      </c>
      <c r="S3618" s="2">
        <v>0.64562437800000005</v>
      </c>
      <c r="T3618" s="2">
        <v>3.082598425</v>
      </c>
      <c r="U3618" s="2">
        <v>3.0525984249999998</v>
      </c>
      <c r="V3618" s="2">
        <v>0.88034120199999999</v>
      </c>
      <c r="W3618" s="2">
        <v>0.82878730499999997</v>
      </c>
      <c r="X3618">
        <f t="shared" si="168"/>
        <v>0</v>
      </c>
      <c r="Y3618">
        <f t="shared" si="169"/>
        <v>0</v>
      </c>
      <c r="Z3618">
        <f t="shared" si="170"/>
        <v>0</v>
      </c>
    </row>
    <row r="3619" spans="1:26" ht="15.75" customHeight="1" x14ac:dyDescent="0.2">
      <c r="A3619" s="2" t="s">
        <v>36</v>
      </c>
      <c r="B3619" s="2" t="s">
        <v>35</v>
      </c>
      <c r="C3619" s="2" t="s">
        <v>25</v>
      </c>
      <c r="D3619" s="2" t="s">
        <v>25</v>
      </c>
      <c r="E3619" s="2">
        <v>225</v>
      </c>
      <c r="F3619" s="2">
        <v>223</v>
      </c>
      <c r="G3619" s="2">
        <v>727</v>
      </c>
      <c r="H3619" s="2">
        <v>1705</v>
      </c>
      <c r="I3619" s="2">
        <v>3073</v>
      </c>
      <c r="J3619" s="2">
        <v>2.21</v>
      </c>
      <c r="K3619" s="2">
        <v>6.72</v>
      </c>
      <c r="L3619" s="2">
        <v>11.94</v>
      </c>
      <c r="M3619" s="2">
        <v>15.84</v>
      </c>
      <c r="N3619" s="2">
        <v>0.81896423900000004</v>
      </c>
      <c r="O3619" s="2">
        <v>0.62877330399999998</v>
      </c>
      <c r="P3619" s="2">
        <v>2.1738921059999998</v>
      </c>
      <c r="Q3619" s="2">
        <v>2.2179164180000002</v>
      </c>
      <c r="R3619" s="2">
        <v>2.1513399500000001</v>
      </c>
      <c r="S3619" s="2">
        <v>2.1913399500000001</v>
      </c>
      <c r="T3619" s="2">
        <v>0.312319236</v>
      </c>
      <c r="U3619" s="2">
        <v>0.34231923600000003</v>
      </c>
      <c r="V3619" s="2">
        <v>3.7173055310000001</v>
      </c>
      <c r="W3619" s="2">
        <v>3.6657516339999998</v>
      </c>
      <c r="X3619">
        <f t="shared" si="168"/>
        <v>0</v>
      </c>
      <c r="Y3619">
        <f t="shared" si="169"/>
        <v>0</v>
      </c>
      <c r="Z3619">
        <f t="shared" si="170"/>
        <v>0</v>
      </c>
    </row>
    <row r="3620" spans="1:26" ht="15.75" customHeight="1" x14ac:dyDescent="0.2">
      <c r="A3620" s="2" t="s">
        <v>36</v>
      </c>
      <c r="B3620" s="2" t="s">
        <v>35</v>
      </c>
      <c r="C3620" s="2" t="s">
        <v>30</v>
      </c>
      <c r="D3620" s="2" t="s">
        <v>31</v>
      </c>
      <c r="E3620" s="2">
        <v>156</v>
      </c>
      <c r="F3620" s="2">
        <v>214</v>
      </c>
      <c r="G3620" s="2">
        <v>439</v>
      </c>
      <c r="H3620" s="2">
        <v>1099</v>
      </c>
      <c r="I3620" s="2">
        <v>2048</v>
      </c>
      <c r="J3620" s="2">
        <v>2.11</v>
      </c>
      <c r="K3620" s="2">
        <v>4.37</v>
      </c>
      <c r="L3620" s="2">
        <v>9.1</v>
      </c>
      <c r="M3620" s="2">
        <v>13.17</v>
      </c>
      <c r="N3620" s="2">
        <v>5.0753793549999999</v>
      </c>
      <c r="O3620" s="2">
        <v>5.0982738740000002</v>
      </c>
      <c r="P3620" s="2">
        <v>2.5356964550000001</v>
      </c>
      <c r="Q3620" s="2">
        <v>2.502961102</v>
      </c>
      <c r="R3620" s="2">
        <v>0.19700389099999999</v>
      </c>
      <c r="S3620" s="2">
        <v>0.15700389100000001</v>
      </c>
      <c r="T3620" s="2">
        <v>2.528032037</v>
      </c>
      <c r="U3620" s="2">
        <v>2.4980320370000002</v>
      </c>
      <c r="V3620" s="2">
        <v>1.368961689</v>
      </c>
      <c r="W3620" s="2">
        <v>1.3174077930000001</v>
      </c>
      <c r="X3620">
        <f t="shared" si="168"/>
        <v>0</v>
      </c>
      <c r="Y3620">
        <f t="shared" si="169"/>
        <v>0</v>
      </c>
      <c r="Z3620">
        <f t="shared" si="170"/>
        <v>1</v>
      </c>
    </row>
    <row r="3621" spans="1:26" ht="15.75" customHeight="1" x14ac:dyDescent="0.2">
      <c r="A3621" s="2" t="s">
        <v>36</v>
      </c>
      <c r="B3621" s="2" t="s">
        <v>35</v>
      </c>
      <c r="C3621" s="2" t="s">
        <v>27</v>
      </c>
      <c r="D3621" s="2" t="s">
        <v>27</v>
      </c>
      <c r="E3621" s="2">
        <v>86</v>
      </c>
      <c r="F3621" s="2">
        <v>238</v>
      </c>
      <c r="G3621" s="2">
        <v>422</v>
      </c>
      <c r="H3621" s="2">
        <v>2494</v>
      </c>
      <c r="I3621" s="2">
        <v>3106</v>
      </c>
      <c r="J3621" s="2">
        <v>2.37</v>
      </c>
      <c r="K3621" s="2">
        <v>4.22</v>
      </c>
      <c r="L3621" s="2">
        <v>14.48</v>
      </c>
      <c r="M3621" s="2">
        <v>15.91</v>
      </c>
      <c r="N3621" s="2">
        <v>0.33544165100000001</v>
      </c>
      <c r="O3621" s="2">
        <v>0.33943335699999999</v>
      </c>
      <c r="P3621" s="2">
        <v>2.87321027</v>
      </c>
      <c r="Q3621" s="2">
        <v>2.8984807520000002</v>
      </c>
      <c r="R3621" s="2">
        <v>0.34719882499999999</v>
      </c>
      <c r="S3621" s="2">
        <v>0.30719882500000001</v>
      </c>
      <c r="T3621" s="2">
        <v>2.8521553659999999</v>
      </c>
      <c r="U3621" s="2">
        <v>2.8821553660000001</v>
      </c>
      <c r="V3621" s="2">
        <v>1.218766756</v>
      </c>
      <c r="W3621" s="2">
        <v>1.1672128589999999</v>
      </c>
      <c r="X3621">
        <f t="shared" si="168"/>
        <v>0</v>
      </c>
      <c r="Y3621">
        <f t="shared" si="169"/>
        <v>0</v>
      </c>
      <c r="Z3621">
        <f t="shared" si="170"/>
        <v>0</v>
      </c>
    </row>
    <row r="3622" spans="1:26" ht="15.75" customHeight="1" x14ac:dyDescent="0.2">
      <c r="A3622" s="2" t="s">
        <v>36</v>
      </c>
      <c r="B3622" s="2" t="s">
        <v>35</v>
      </c>
      <c r="C3622" s="2" t="s">
        <v>30</v>
      </c>
      <c r="D3622" s="2" t="s">
        <v>31</v>
      </c>
      <c r="E3622" s="2">
        <v>129</v>
      </c>
      <c r="F3622" s="2">
        <v>237</v>
      </c>
      <c r="G3622" s="2">
        <v>553</v>
      </c>
      <c r="H3622" s="2">
        <v>1305</v>
      </c>
      <c r="I3622" s="2">
        <v>2139</v>
      </c>
      <c r="J3622" s="2">
        <v>2.37</v>
      </c>
      <c r="K3622" s="2">
        <v>5.37</v>
      </c>
      <c r="L3622" s="2">
        <v>10.18</v>
      </c>
      <c r="M3622" s="2">
        <v>13.46</v>
      </c>
      <c r="N3622" s="2">
        <v>4.1823584519999999</v>
      </c>
      <c r="O3622" s="2">
        <v>4.2167698969999998</v>
      </c>
      <c r="P3622" s="2">
        <v>1.6509319790000001</v>
      </c>
      <c r="Q3622" s="2">
        <v>1.6447123429999999</v>
      </c>
      <c r="R3622" s="2">
        <v>0.79691960699999997</v>
      </c>
      <c r="S3622" s="2">
        <v>0.83691960700000001</v>
      </c>
      <c r="T3622" s="2">
        <v>1.4458546050000001</v>
      </c>
      <c r="U3622" s="2">
        <v>1.415854605</v>
      </c>
      <c r="V3622" s="2">
        <v>2.3628851879999999</v>
      </c>
      <c r="W3622" s="2">
        <v>2.3113312910000001</v>
      </c>
      <c r="X3622">
        <f t="shared" si="168"/>
        <v>0</v>
      </c>
      <c r="Y3622">
        <f t="shared" si="169"/>
        <v>0</v>
      </c>
      <c r="Z3622">
        <f t="shared" si="170"/>
        <v>1</v>
      </c>
    </row>
    <row r="3623" spans="1:26" ht="15.75" customHeight="1" x14ac:dyDescent="0.2">
      <c r="A3623" s="2" t="s">
        <v>36</v>
      </c>
      <c r="B3623" s="2" t="s">
        <v>35</v>
      </c>
      <c r="C3623" s="2" t="s">
        <v>27</v>
      </c>
      <c r="D3623" s="2" t="s">
        <v>27</v>
      </c>
      <c r="E3623" s="2">
        <v>164</v>
      </c>
      <c r="F3623" s="2">
        <v>246</v>
      </c>
      <c r="G3623" s="2">
        <v>395</v>
      </c>
      <c r="H3623" s="2">
        <v>2481</v>
      </c>
      <c r="I3623" s="2">
        <v>3111</v>
      </c>
      <c r="J3623" s="2">
        <v>2.46</v>
      </c>
      <c r="K3623" s="2">
        <v>3.96</v>
      </c>
      <c r="L3623" s="2">
        <v>14.45</v>
      </c>
      <c r="M3623" s="2">
        <v>15.92</v>
      </c>
      <c r="N3623" s="2">
        <v>0.30930265800000001</v>
      </c>
      <c r="O3623" s="2">
        <v>0.271711007</v>
      </c>
      <c r="P3623" s="2">
        <v>2.8821276930000002</v>
      </c>
      <c r="Q3623" s="2">
        <v>2.903395953</v>
      </c>
      <c r="R3623" s="2">
        <v>0.60636466600000005</v>
      </c>
      <c r="S3623" s="2">
        <v>0.56636466600000002</v>
      </c>
      <c r="T3623" s="2">
        <v>2.8176199049999999</v>
      </c>
      <c r="U3623" s="2">
        <v>2.8476199050000002</v>
      </c>
      <c r="V3623" s="2">
        <v>0.95960091400000003</v>
      </c>
      <c r="W3623" s="2">
        <v>0.90804701799999998</v>
      </c>
      <c r="X3623">
        <f t="shared" si="168"/>
        <v>0</v>
      </c>
      <c r="Y3623">
        <f t="shared" si="169"/>
        <v>0</v>
      </c>
      <c r="Z3623">
        <f t="shared" si="170"/>
        <v>0</v>
      </c>
    </row>
    <row r="3624" spans="1:26" ht="15.75" customHeight="1" x14ac:dyDescent="0.2">
      <c r="A3624" s="2" t="s">
        <v>36</v>
      </c>
      <c r="B3624" s="2" t="s">
        <v>35</v>
      </c>
      <c r="C3624" s="2" t="s">
        <v>26</v>
      </c>
      <c r="D3624" s="2" t="s">
        <v>26</v>
      </c>
      <c r="E3624" s="2">
        <v>132</v>
      </c>
      <c r="F3624" s="2">
        <v>235</v>
      </c>
      <c r="G3624" s="2">
        <v>409</v>
      </c>
      <c r="H3624" s="2">
        <v>1026</v>
      </c>
      <c r="I3624" s="2">
        <v>2786</v>
      </c>
      <c r="J3624" s="2">
        <v>2.34</v>
      </c>
      <c r="K3624" s="2">
        <v>4.0999999999999996</v>
      </c>
      <c r="L3624" s="2">
        <v>8.68</v>
      </c>
      <c r="M3624" s="2">
        <v>15.21</v>
      </c>
      <c r="N3624" s="2">
        <v>0.156906412</v>
      </c>
      <c r="O3624" s="2">
        <v>0.22880856699999999</v>
      </c>
      <c r="P3624" s="2">
        <v>2.985433354</v>
      </c>
      <c r="Q3624" s="2">
        <v>2.9496992199999998</v>
      </c>
      <c r="R3624" s="2">
        <v>0.471342339</v>
      </c>
      <c r="S3624" s="2">
        <v>0.43134233900000002</v>
      </c>
      <c r="T3624" s="2">
        <v>2.9479906229999999</v>
      </c>
      <c r="U3624" s="2">
        <v>2.9179906230000001</v>
      </c>
      <c r="V3624" s="2">
        <v>1.0946232419999999</v>
      </c>
      <c r="W3624" s="2">
        <v>1.0430693449999999</v>
      </c>
      <c r="X3624">
        <f t="shared" si="168"/>
        <v>0</v>
      </c>
      <c r="Y3624">
        <f t="shared" si="169"/>
        <v>0</v>
      </c>
      <c r="Z3624">
        <f t="shared" si="170"/>
        <v>0</v>
      </c>
    </row>
    <row r="3625" spans="1:26" ht="15.75" customHeight="1" x14ac:dyDescent="0.2">
      <c r="A3625" s="2" t="s">
        <v>36</v>
      </c>
      <c r="B3625" s="2" t="s">
        <v>35</v>
      </c>
      <c r="C3625" s="2" t="s">
        <v>27</v>
      </c>
      <c r="D3625" s="2" t="s">
        <v>27</v>
      </c>
      <c r="E3625" s="2">
        <v>92</v>
      </c>
      <c r="F3625" s="2">
        <v>225</v>
      </c>
      <c r="G3625" s="2">
        <v>380</v>
      </c>
      <c r="H3625" s="2">
        <v>2306</v>
      </c>
      <c r="I3625" s="2">
        <v>2993</v>
      </c>
      <c r="J3625" s="2">
        <v>2.23</v>
      </c>
      <c r="K3625" s="2">
        <v>3.82</v>
      </c>
      <c r="L3625" s="2">
        <v>13.96</v>
      </c>
      <c r="M3625" s="2">
        <v>15.67</v>
      </c>
      <c r="N3625" s="2">
        <v>0.34764161199999999</v>
      </c>
      <c r="O3625" s="2">
        <v>0.32261906899999998</v>
      </c>
      <c r="P3625" s="2">
        <v>2.4506024879999999</v>
      </c>
      <c r="Q3625" s="2">
        <v>2.467385073</v>
      </c>
      <c r="R3625" s="2">
        <v>0.74943866599999998</v>
      </c>
      <c r="S3625" s="2">
        <v>0.70943866600000005</v>
      </c>
      <c r="T3625" s="2">
        <v>2.3331940000000002</v>
      </c>
      <c r="U3625" s="2">
        <v>2.363194</v>
      </c>
      <c r="V3625" s="2">
        <v>0.81652691399999999</v>
      </c>
      <c r="W3625" s="2">
        <v>0.76497301699999998</v>
      </c>
      <c r="X3625">
        <f t="shared" si="168"/>
        <v>0</v>
      </c>
      <c r="Y3625">
        <f t="shared" si="169"/>
        <v>0</v>
      </c>
      <c r="Z3625">
        <f t="shared" si="170"/>
        <v>0</v>
      </c>
    </row>
    <row r="3626" spans="1:26" ht="15.75" customHeight="1" x14ac:dyDescent="0.2">
      <c r="A3626" s="2" t="s">
        <v>36</v>
      </c>
      <c r="B3626" s="2" t="s">
        <v>35</v>
      </c>
      <c r="C3626" s="2" t="s">
        <v>30</v>
      </c>
      <c r="D3626" s="2" t="s">
        <v>31</v>
      </c>
      <c r="E3626" s="2">
        <v>146</v>
      </c>
      <c r="F3626" s="2">
        <v>235</v>
      </c>
      <c r="G3626" s="2">
        <v>559</v>
      </c>
      <c r="H3626" s="2">
        <v>1291</v>
      </c>
      <c r="I3626" s="2">
        <v>2476</v>
      </c>
      <c r="J3626" s="2">
        <v>2.34</v>
      </c>
      <c r="K3626" s="2">
        <v>5.42</v>
      </c>
      <c r="L3626" s="2">
        <v>10.119999999999999</v>
      </c>
      <c r="M3626" s="2">
        <v>14.43</v>
      </c>
      <c r="N3626" s="2">
        <v>4.2620203249999999</v>
      </c>
      <c r="O3626" s="2">
        <v>4.2966884810000003</v>
      </c>
      <c r="P3626" s="2">
        <v>1.7342740480000001</v>
      </c>
      <c r="Q3626" s="2">
        <v>1.7283328549999999</v>
      </c>
      <c r="R3626" s="2">
        <v>0.84673901500000004</v>
      </c>
      <c r="S3626" s="2">
        <v>0.88673901499999996</v>
      </c>
      <c r="T3626" s="2">
        <v>1.5135189170000001</v>
      </c>
      <c r="U3626" s="2">
        <v>1.483518917</v>
      </c>
      <c r="V3626" s="2">
        <v>2.4127045960000002</v>
      </c>
      <c r="W3626" s="2">
        <v>2.361150699</v>
      </c>
      <c r="X3626">
        <f t="shared" si="168"/>
        <v>0</v>
      </c>
      <c r="Y3626">
        <f t="shared" si="169"/>
        <v>0</v>
      </c>
      <c r="Z3626">
        <f t="shared" si="170"/>
        <v>1</v>
      </c>
    </row>
    <row r="3627" spans="1:26" ht="15.75" customHeight="1" x14ac:dyDescent="0.2">
      <c r="A3627" s="2" t="s">
        <v>36</v>
      </c>
      <c r="B3627" s="2" t="s">
        <v>35</v>
      </c>
      <c r="C3627" s="2" t="s">
        <v>27</v>
      </c>
      <c r="D3627" s="2" t="s">
        <v>27</v>
      </c>
      <c r="E3627" s="2">
        <v>135</v>
      </c>
      <c r="F3627" s="2">
        <v>235</v>
      </c>
      <c r="G3627" s="2">
        <v>417</v>
      </c>
      <c r="H3627" s="2">
        <v>2298</v>
      </c>
      <c r="I3627" s="2">
        <v>2976</v>
      </c>
      <c r="J3627" s="2">
        <v>2.34</v>
      </c>
      <c r="K3627" s="2">
        <v>4.17</v>
      </c>
      <c r="L3627" s="2">
        <v>13.94</v>
      </c>
      <c r="M3627" s="2">
        <v>15.63</v>
      </c>
      <c r="N3627" s="2">
        <v>0.24227386300000001</v>
      </c>
      <c r="O3627" s="2">
        <v>0.279092742</v>
      </c>
      <c r="P3627" s="2">
        <v>2.3424904889999998</v>
      </c>
      <c r="Q3627" s="2">
        <v>2.3656428040000002</v>
      </c>
      <c r="R3627" s="2">
        <v>0.39978962099999998</v>
      </c>
      <c r="S3627" s="2">
        <v>0.359789621</v>
      </c>
      <c r="T3627" s="2">
        <v>2.3081226020000001</v>
      </c>
      <c r="U3627" s="2">
        <v>2.3381226019999999</v>
      </c>
      <c r="V3627" s="2">
        <v>1.166175959</v>
      </c>
      <c r="W3627" s="2">
        <v>1.114622062</v>
      </c>
      <c r="X3627">
        <f t="shared" si="168"/>
        <v>0</v>
      </c>
      <c r="Y3627">
        <f t="shared" si="169"/>
        <v>0</v>
      </c>
      <c r="Z3627">
        <f t="shared" si="170"/>
        <v>0</v>
      </c>
    </row>
    <row r="3628" spans="1:26" ht="15.75" customHeight="1" x14ac:dyDescent="0.2">
      <c r="A3628" s="2" t="s">
        <v>36</v>
      </c>
      <c r="B3628" s="2" t="s">
        <v>35</v>
      </c>
      <c r="C3628" s="2" t="s">
        <v>26</v>
      </c>
      <c r="D3628" s="2" t="s">
        <v>26</v>
      </c>
      <c r="E3628" s="2">
        <v>83</v>
      </c>
      <c r="F3628" s="2">
        <v>205</v>
      </c>
      <c r="G3628" s="2">
        <v>387</v>
      </c>
      <c r="H3628" s="2">
        <v>1077</v>
      </c>
      <c r="I3628" s="2">
        <v>2719</v>
      </c>
      <c r="J3628" s="2">
        <v>2.0099999999999998</v>
      </c>
      <c r="K3628" s="2">
        <v>3.89</v>
      </c>
      <c r="L3628" s="2">
        <v>8.98</v>
      </c>
      <c r="M3628" s="2">
        <v>15.05</v>
      </c>
      <c r="N3628" s="2">
        <v>0.428955688</v>
      </c>
      <c r="O3628" s="2">
        <v>0.48020000299999999</v>
      </c>
      <c r="P3628" s="2">
        <v>2.7391171499999998</v>
      </c>
      <c r="Q3628" s="2">
        <v>2.7003544119999998</v>
      </c>
      <c r="R3628" s="2">
        <v>0.67608349899999998</v>
      </c>
      <c r="S3628" s="2">
        <v>0.63608349900000005</v>
      </c>
      <c r="T3628" s="2">
        <v>2.6543688250000002</v>
      </c>
      <c r="U3628" s="2">
        <v>2.6243688249999999</v>
      </c>
      <c r="V3628" s="2">
        <v>0.88988208099999999</v>
      </c>
      <c r="W3628" s="2">
        <v>0.83832818499999995</v>
      </c>
      <c r="X3628">
        <f t="shared" si="168"/>
        <v>0</v>
      </c>
      <c r="Y3628">
        <f t="shared" si="169"/>
        <v>0</v>
      </c>
      <c r="Z3628">
        <f t="shared" si="170"/>
        <v>0</v>
      </c>
    </row>
    <row r="3629" spans="1:26" ht="15.75" customHeight="1" x14ac:dyDescent="0.2">
      <c r="A3629" s="2" t="s">
        <v>36</v>
      </c>
      <c r="B3629" s="2" t="s">
        <v>35</v>
      </c>
      <c r="C3629" s="2" t="s">
        <v>30</v>
      </c>
      <c r="D3629" s="2" t="s">
        <v>31</v>
      </c>
      <c r="E3629" s="2">
        <v>167</v>
      </c>
      <c r="F3629" s="2">
        <v>223</v>
      </c>
      <c r="G3629" s="2">
        <v>482</v>
      </c>
      <c r="H3629" s="2">
        <v>1273</v>
      </c>
      <c r="I3629" s="2">
        <v>2079</v>
      </c>
      <c r="J3629" s="2">
        <v>2.21</v>
      </c>
      <c r="K3629" s="2">
        <v>4.76</v>
      </c>
      <c r="L3629" s="2">
        <v>10.029999999999999</v>
      </c>
      <c r="M3629" s="2">
        <v>13.27</v>
      </c>
      <c r="N3629" s="2">
        <v>4.1960190170000002</v>
      </c>
      <c r="O3629" s="2">
        <v>4.2239069169999999</v>
      </c>
      <c r="P3629" s="2">
        <v>1.6149332110000001</v>
      </c>
      <c r="Q3629" s="2">
        <v>1.5904834290000001</v>
      </c>
      <c r="R3629" s="2">
        <v>0.19173628200000001</v>
      </c>
      <c r="S3629" s="2">
        <v>0.23173628199999999</v>
      </c>
      <c r="T3629" s="2">
        <v>1.603510671</v>
      </c>
      <c r="U3629" s="2">
        <v>1.573510671</v>
      </c>
      <c r="V3629" s="2">
        <v>1.757701862</v>
      </c>
      <c r="W3629" s="2">
        <v>1.706147965</v>
      </c>
      <c r="X3629">
        <f t="shared" si="168"/>
        <v>0</v>
      </c>
      <c r="Y3629">
        <f t="shared" si="169"/>
        <v>0</v>
      </c>
      <c r="Z3629">
        <f t="shared" si="170"/>
        <v>1</v>
      </c>
    </row>
    <row r="3630" spans="1:26" ht="15.75" customHeight="1" x14ac:dyDescent="0.2">
      <c r="A3630" s="2" t="s">
        <v>36</v>
      </c>
      <c r="B3630" s="2" t="s">
        <v>35</v>
      </c>
      <c r="C3630" s="2" t="s">
        <v>32</v>
      </c>
      <c r="D3630" s="2" t="s">
        <v>33</v>
      </c>
      <c r="E3630" s="2">
        <v>142</v>
      </c>
      <c r="F3630" s="2">
        <v>225</v>
      </c>
      <c r="G3630" s="2">
        <v>562</v>
      </c>
      <c r="H3630" s="2">
        <v>1182</v>
      </c>
      <c r="I3630" s="2">
        <v>2747</v>
      </c>
      <c r="J3630" s="2">
        <v>2.23</v>
      </c>
      <c r="K3630" s="2">
        <v>5.44</v>
      </c>
      <c r="L3630" s="2">
        <v>9.56</v>
      </c>
      <c r="M3630" s="2">
        <v>15.12</v>
      </c>
      <c r="N3630" s="2">
        <v>3.1593650470000001</v>
      </c>
      <c r="O3630" s="2">
        <v>2.960717437</v>
      </c>
      <c r="P3630" s="2">
        <v>2.2509879339999999</v>
      </c>
      <c r="Q3630" s="2">
        <v>2.2394054300000001</v>
      </c>
      <c r="R3630" s="2">
        <v>0.87431403600000002</v>
      </c>
      <c r="S3630" s="2">
        <v>0.91431403600000005</v>
      </c>
      <c r="T3630" s="2">
        <v>2.0742520689999999</v>
      </c>
      <c r="U3630" s="2">
        <v>2.0442520690000001</v>
      </c>
      <c r="V3630" s="2">
        <v>2.4402796169999998</v>
      </c>
      <c r="W3630" s="2">
        <v>2.3887257200000001</v>
      </c>
      <c r="X3630">
        <f t="shared" si="168"/>
        <v>0</v>
      </c>
      <c r="Y3630">
        <f t="shared" si="169"/>
        <v>0</v>
      </c>
      <c r="Z3630">
        <f t="shared" si="170"/>
        <v>1</v>
      </c>
    </row>
    <row r="3631" spans="1:26" ht="15.75" customHeight="1" x14ac:dyDescent="0.2">
      <c r="A3631" s="2" t="s">
        <v>36</v>
      </c>
      <c r="B3631" s="2" t="s">
        <v>35</v>
      </c>
      <c r="C3631" s="2" t="s">
        <v>28</v>
      </c>
      <c r="D3631" s="2" t="s">
        <v>29</v>
      </c>
      <c r="E3631" s="2">
        <v>181</v>
      </c>
      <c r="F3631" s="2">
        <v>235</v>
      </c>
      <c r="G3631" s="2">
        <v>355</v>
      </c>
      <c r="H3631" s="2">
        <v>958</v>
      </c>
      <c r="I3631" s="2">
        <v>2492</v>
      </c>
      <c r="J3631" s="2">
        <v>2.34</v>
      </c>
      <c r="K3631" s="2">
        <v>3.58</v>
      </c>
      <c r="L3631" s="2">
        <v>8.27</v>
      </c>
      <c r="M3631" s="2">
        <v>14.48</v>
      </c>
      <c r="N3631" s="2">
        <v>0.51097177400000005</v>
      </c>
      <c r="O3631" s="2">
        <v>0.44492733800000001</v>
      </c>
      <c r="P3631" s="2">
        <v>3.501549544</v>
      </c>
      <c r="Q3631" s="2">
        <v>3.4615751700000001</v>
      </c>
      <c r="R3631" s="2">
        <v>0.99201612900000002</v>
      </c>
      <c r="S3631" s="2">
        <v>0.95201612899999999</v>
      </c>
      <c r="T3631" s="2">
        <v>3.3580877309999999</v>
      </c>
      <c r="U3631" s="2">
        <v>3.3280877310000001</v>
      </c>
      <c r="V3631" s="2">
        <v>0.57394945100000005</v>
      </c>
      <c r="W3631" s="2">
        <v>0.52239555500000001</v>
      </c>
      <c r="X3631">
        <f t="shared" si="168"/>
        <v>0</v>
      </c>
      <c r="Y3631">
        <f t="shared" si="169"/>
        <v>0</v>
      </c>
      <c r="Z3631">
        <f t="shared" si="170"/>
        <v>1</v>
      </c>
    </row>
    <row r="3632" spans="1:26" ht="15.75" customHeight="1" x14ac:dyDescent="0.2">
      <c r="A3632" s="2" t="s">
        <v>36</v>
      </c>
      <c r="B3632" s="2" t="s">
        <v>35</v>
      </c>
      <c r="C3632" s="2" t="s">
        <v>28</v>
      </c>
      <c r="D3632" s="2" t="s">
        <v>29</v>
      </c>
      <c r="E3632" s="2">
        <v>115</v>
      </c>
      <c r="F3632" s="2">
        <v>225</v>
      </c>
      <c r="G3632" s="2">
        <v>337</v>
      </c>
      <c r="H3632" s="2">
        <v>902</v>
      </c>
      <c r="I3632" s="2">
        <v>2445</v>
      </c>
      <c r="J3632" s="2">
        <v>2.23</v>
      </c>
      <c r="K3632" s="2">
        <v>3.41</v>
      </c>
      <c r="L3632" s="2">
        <v>7.92</v>
      </c>
      <c r="M3632" s="2">
        <v>14.35</v>
      </c>
      <c r="N3632" s="2">
        <v>0.87459954299999998</v>
      </c>
      <c r="O3632" s="2">
        <v>0.803461176</v>
      </c>
      <c r="P3632" s="2">
        <v>3.8905740620000002</v>
      </c>
      <c r="Q3632" s="2">
        <v>3.8500970360000002</v>
      </c>
      <c r="R3632" s="2">
        <v>1.16330238</v>
      </c>
      <c r="S3632" s="2">
        <v>1.1233023799999999</v>
      </c>
      <c r="T3632" s="2">
        <v>3.7125859060000002</v>
      </c>
      <c r="U3632" s="2">
        <v>3.6825859059999999</v>
      </c>
      <c r="V3632" s="2">
        <v>0.40266320100000003</v>
      </c>
      <c r="W3632" s="2">
        <v>0.35110930400000001</v>
      </c>
      <c r="X3632">
        <f t="shared" si="168"/>
        <v>0</v>
      </c>
      <c r="Y3632">
        <f t="shared" si="169"/>
        <v>0</v>
      </c>
      <c r="Z3632">
        <f t="shared" si="170"/>
        <v>1</v>
      </c>
    </row>
    <row r="3633" spans="1:26" ht="15.75" customHeight="1" x14ac:dyDescent="0.2">
      <c r="A3633" s="2" t="s">
        <v>36</v>
      </c>
      <c r="B3633" s="2" t="s">
        <v>35</v>
      </c>
      <c r="C3633" s="2" t="s">
        <v>26</v>
      </c>
      <c r="D3633" s="2" t="s">
        <v>26</v>
      </c>
      <c r="E3633" s="2">
        <v>150</v>
      </c>
      <c r="F3633" s="2">
        <v>248</v>
      </c>
      <c r="G3633" s="2">
        <v>446</v>
      </c>
      <c r="H3633" s="2">
        <v>1000</v>
      </c>
      <c r="I3633" s="2">
        <v>2764</v>
      </c>
      <c r="J3633" s="2">
        <v>2.48</v>
      </c>
      <c r="K3633" s="2">
        <v>4.4400000000000004</v>
      </c>
      <c r="L3633" s="2">
        <v>8.5299999999999994</v>
      </c>
      <c r="M3633" s="2">
        <v>15.16</v>
      </c>
      <c r="N3633" s="2">
        <v>0.44097151800000001</v>
      </c>
      <c r="O3633" s="2">
        <v>0.48055088299999998</v>
      </c>
      <c r="P3633" s="2">
        <v>3.1052996770000001</v>
      </c>
      <c r="Q3633" s="2">
        <v>3.0738922240000002</v>
      </c>
      <c r="R3633" s="2">
        <v>0.13023275100000001</v>
      </c>
      <c r="S3633" s="2">
        <v>9.0232751E-2</v>
      </c>
      <c r="T3633" s="2">
        <v>3.102567568</v>
      </c>
      <c r="U3633" s="2">
        <v>3.0725675680000002</v>
      </c>
      <c r="V3633" s="2">
        <v>1.435732829</v>
      </c>
      <c r="W3633" s="2">
        <v>1.384178932</v>
      </c>
      <c r="X3633">
        <f t="shared" si="168"/>
        <v>0</v>
      </c>
      <c r="Y3633">
        <f t="shared" si="169"/>
        <v>0</v>
      </c>
      <c r="Z3633">
        <f t="shared" si="170"/>
        <v>0</v>
      </c>
    </row>
    <row r="3634" spans="1:26" ht="15.75" customHeight="1" x14ac:dyDescent="0.2">
      <c r="A3634" s="2" t="s">
        <v>36</v>
      </c>
      <c r="B3634" s="2" t="s">
        <v>35</v>
      </c>
      <c r="C3634" s="2" t="s">
        <v>25</v>
      </c>
      <c r="D3634" s="2" t="s">
        <v>25</v>
      </c>
      <c r="E3634" s="2">
        <v>159</v>
      </c>
      <c r="F3634" s="2">
        <v>225</v>
      </c>
      <c r="G3634" s="2">
        <v>916</v>
      </c>
      <c r="H3634" s="2">
        <v>1693</v>
      </c>
      <c r="I3634" s="2">
        <v>3067</v>
      </c>
      <c r="J3634" s="2">
        <v>2.23</v>
      </c>
      <c r="K3634" s="2">
        <v>8.01</v>
      </c>
      <c r="L3634" s="2">
        <v>11.9</v>
      </c>
      <c r="M3634" s="2">
        <v>15.83</v>
      </c>
      <c r="N3634" s="2">
        <v>0.47169779299999998</v>
      </c>
      <c r="O3634" s="2">
        <v>0.67420847100000003</v>
      </c>
      <c r="P3634" s="2">
        <v>3.4512523320000001</v>
      </c>
      <c r="Q3634" s="2">
        <v>3.493542557</v>
      </c>
      <c r="R3634" s="2">
        <v>3.4410464709999999</v>
      </c>
      <c r="S3634" s="2">
        <v>3.481046471</v>
      </c>
      <c r="T3634" s="2">
        <v>0.26522036700000001</v>
      </c>
      <c r="U3634" s="2">
        <v>0.29522036699999998</v>
      </c>
      <c r="V3634" s="2">
        <v>5.0070120510000002</v>
      </c>
      <c r="W3634" s="2">
        <v>4.9554581549999996</v>
      </c>
      <c r="X3634">
        <f t="shared" si="168"/>
        <v>0</v>
      </c>
      <c r="Y3634">
        <f t="shared" si="169"/>
        <v>0</v>
      </c>
      <c r="Z3634">
        <f t="shared" si="170"/>
        <v>0</v>
      </c>
    </row>
    <row r="3635" spans="1:26" ht="15.75" customHeight="1" x14ac:dyDescent="0.2">
      <c r="A3635" s="2" t="s">
        <v>36</v>
      </c>
      <c r="B3635" s="2" t="s">
        <v>35</v>
      </c>
      <c r="C3635" s="2" t="s">
        <v>30</v>
      </c>
      <c r="D3635" s="2" t="s">
        <v>31</v>
      </c>
      <c r="E3635" s="2">
        <v>130</v>
      </c>
      <c r="F3635" s="2">
        <v>227</v>
      </c>
      <c r="G3635" s="2">
        <v>679</v>
      </c>
      <c r="H3635" s="2">
        <v>1309</v>
      </c>
      <c r="I3635" s="2">
        <v>1810</v>
      </c>
      <c r="J3635" s="2">
        <v>2.25</v>
      </c>
      <c r="K3635" s="2">
        <v>6.37</v>
      </c>
      <c r="L3635" s="2">
        <v>10.210000000000001</v>
      </c>
      <c r="M3635" s="2">
        <v>12.34</v>
      </c>
      <c r="N3635" s="2">
        <v>4.567268178</v>
      </c>
      <c r="O3635" s="2">
        <v>4.609599942</v>
      </c>
      <c r="P3635" s="2">
        <v>2.2949222489999999</v>
      </c>
      <c r="Q3635" s="2">
        <v>2.3082117860000002</v>
      </c>
      <c r="R3635" s="2">
        <v>1.800578429</v>
      </c>
      <c r="S3635" s="2">
        <v>1.840578429</v>
      </c>
      <c r="T3635" s="2">
        <v>1.422879282</v>
      </c>
      <c r="U3635" s="2">
        <v>1.392879282</v>
      </c>
      <c r="V3635" s="2">
        <v>3.3665440090000001</v>
      </c>
      <c r="W3635" s="2">
        <v>3.3149901129999999</v>
      </c>
      <c r="X3635">
        <f t="shared" si="168"/>
        <v>0</v>
      </c>
      <c r="Y3635">
        <f t="shared" si="169"/>
        <v>0</v>
      </c>
      <c r="Z3635">
        <f t="shared" si="170"/>
        <v>1</v>
      </c>
    </row>
    <row r="3636" spans="1:26" ht="15.75" customHeight="1" x14ac:dyDescent="0.2">
      <c r="A3636" s="2" t="s">
        <v>36</v>
      </c>
      <c r="B3636" s="2" t="s">
        <v>35</v>
      </c>
      <c r="C3636" s="2" t="s">
        <v>28</v>
      </c>
      <c r="D3636" s="2" t="s">
        <v>29</v>
      </c>
      <c r="E3636" s="2">
        <v>113</v>
      </c>
      <c r="F3636" s="2">
        <v>249</v>
      </c>
      <c r="G3636" s="2">
        <v>317</v>
      </c>
      <c r="H3636" s="2">
        <v>986</v>
      </c>
      <c r="I3636" s="2">
        <v>2429</v>
      </c>
      <c r="J3636" s="2">
        <v>2.5</v>
      </c>
      <c r="K3636" s="2">
        <v>3.21</v>
      </c>
      <c r="L3636" s="2">
        <v>8.44</v>
      </c>
      <c r="M3636" s="2">
        <v>14.31</v>
      </c>
      <c r="N3636" s="2">
        <v>0.80303889399999995</v>
      </c>
      <c r="O3636" s="2">
        <v>0.75648070300000003</v>
      </c>
      <c r="P3636" s="2">
        <v>3.4684851509999999</v>
      </c>
      <c r="Q3636" s="2">
        <v>3.4252617160000001</v>
      </c>
      <c r="R3636" s="2">
        <v>1.364180328</v>
      </c>
      <c r="S3636" s="2">
        <v>1.324180328</v>
      </c>
      <c r="T3636" s="2">
        <v>3.1889498700000001</v>
      </c>
      <c r="U3636" s="2">
        <v>3.1589498699999998</v>
      </c>
      <c r="V3636" s="2">
        <v>0.201785252</v>
      </c>
      <c r="W3636" s="2">
        <v>0.15023135600000001</v>
      </c>
      <c r="X3636">
        <f t="shared" si="168"/>
        <v>0</v>
      </c>
      <c r="Y3636">
        <f t="shared" si="169"/>
        <v>0</v>
      </c>
      <c r="Z3636">
        <f t="shared" si="170"/>
        <v>1</v>
      </c>
    </row>
    <row r="3637" spans="1:26" ht="15.75" customHeight="1" x14ac:dyDescent="0.2">
      <c r="A3637" s="2" t="s">
        <v>36</v>
      </c>
      <c r="B3637" s="2" t="s">
        <v>35</v>
      </c>
      <c r="C3637" s="2" t="s">
        <v>28</v>
      </c>
      <c r="D3637" s="2" t="s">
        <v>29</v>
      </c>
      <c r="E3637" s="2">
        <v>166</v>
      </c>
      <c r="F3637" s="2">
        <v>243</v>
      </c>
      <c r="G3637" s="2">
        <v>407</v>
      </c>
      <c r="H3637" s="2">
        <v>1552</v>
      </c>
      <c r="I3637" s="2">
        <v>2652</v>
      </c>
      <c r="J3637" s="2">
        <v>2.4300000000000002</v>
      </c>
      <c r="K3637" s="2">
        <v>4.08</v>
      </c>
      <c r="L3637" s="2">
        <v>11.32</v>
      </c>
      <c r="M3637" s="2">
        <v>14.89</v>
      </c>
      <c r="N3637" s="2">
        <v>2.7588570109999999</v>
      </c>
      <c r="O3637" s="2">
        <v>2.8202498409999999</v>
      </c>
      <c r="P3637" s="2">
        <v>0.58113210999999998</v>
      </c>
      <c r="Q3637" s="2">
        <v>0.53129062500000002</v>
      </c>
      <c r="R3637" s="2">
        <v>0.49008449500000001</v>
      </c>
      <c r="S3637" s="2">
        <v>0.45008449499999997</v>
      </c>
      <c r="T3637" s="2">
        <v>0.31230068300000002</v>
      </c>
      <c r="U3637" s="2">
        <v>0.282300683</v>
      </c>
      <c r="V3637" s="2">
        <v>1.075881085</v>
      </c>
      <c r="W3637" s="2">
        <v>1.0243271890000001</v>
      </c>
      <c r="X3637">
        <f t="shared" si="168"/>
        <v>0</v>
      </c>
      <c r="Y3637">
        <f t="shared" si="169"/>
        <v>0</v>
      </c>
      <c r="Z3637">
        <f t="shared" si="170"/>
        <v>1</v>
      </c>
    </row>
    <row r="3638" spans="1:26" ht="15.75" customHeight="1" x14ac:dyDescent="0.2">
      <c r="A3638" s="2" t="s">
        <v>36</v>
      </c>
      <c r="B3638" s="2" t="s">
        <v>35</v>
      </c>
      <c r="C3638" s="2" t="s">
        <v>32</v>
      </c>
      <c r="D3638" s="2" t="s">
        <v>33</v>
      </c>
      <c r="E3638" s="2">
        <v>190</v>
      </c>
      <c r="F3638" s="2">
        <v>227</v>
      </c>
      <c r="G3638" s="2">
        <v>485</v>
      </c>
      <c r="H3638" s="2">
        <v>1267</v>
      </c>
      <c r="I3638" s="2">
        <v>2641</v>
      </c>
      <c r="J3638" s="2">
        <v>2.2599999999999998</v>
      </c>
      <c r="K3638" s="2">
        <v>4.79</v>
      </c>
      <c r="L3638" s="2">
        <v>9.99</v>
      </c>
      <c r="M3638" s="2">
        <v>14.86</v>
      </c>
      <c r="N3638" s="2">
        <v>3.358564383</v>
      </c>
      <c r="O3638" s="2">
        <v>3.1433637970000001</v>
      </c>
      <c r="P3638" s="2">
        <v>1.649897288</v>
      </c>
      <c r="Q3638" s="2">
        <v>1.626034253</v>
      </c>
      <c r="R3638" s="2">
        <v>0.218139059</v>
      </c>
      <c r="S3638" s="2">
        <v>0.258139059</v>
      </c>
      <c r="T3638" s="2">
        <v>1.635413223</v>
      </c>
      <c r="U3638" s="2">
        <v>1.605413223</v>
      </c>
      <c r="V3638" s="2">
        <v>1.78410464</v>
      </c>
      <c r="W3638" s="2">
        <v>1.732550743</v>
      </c>
      <c r="X3638">
        <f t="shared" si="168"/>
        <v>0</v>
      </c>
      <c r="Y3638">
        <f t="shared" si="169"/>
        <v>0</v>
      </c>
      <c r="Z3638">
        <f t="shared" si="170"/>
        <v>1</v>
      </c>
    </row>
    <row r="3639" spans="1:26" ht="15.75" customHeight="1" x14ac:dyDescent="0.2">
      <c r="A3639" s="2" t="s">
        <v>36</v>
      </c>
      <c r="B3639" s="2" t="s">
        <v>35</v>
      </c>
      <c r="C3639" s="2" t="s">
        <v>25</v>
      </c>
      <c r="D3639" s="2" t="s">
        <v>25</v>
      </c>
      <c r="E3639" s="2">
        <v>110</v>
      </c>
      <c r="F3639" s="2">
        <v>223</v>
      </c>
      <c r="G3639" s="2">
        <v>793</v>
      </c>
      <c r="H3639" s="2">
        <v>1814</v>
      </c>
      <c r="I3639" s="2">
        <v>2879</v>
      </c>
      <c r="J3639" s="2">
        <v>2.21</v>
      </c>
      <c r="K3639" s="2">
        <v>7.19</v>
      </c>
      <c r="L3639" s="2">
        <v>12.36</v>
      </c>
      <c r="M3639" s="2">
        <v>15.42</v>
      </c>
      <c r="N3639" s="2">
        <v>0.55780282999999997</v>
      </c>
      <c r="O3639" s="2">
        <v>0.54666345900000002</v>
      </c>
      <c r="P3639" s="2">
        <v>2.7213482920000001</v>
      </c>
      <c r="Q3639" s="2">
        <v>2.7679649450000001</v>
      </c>
      <c r="R3639" s="2">
        <v>2.6226044320000002</v>
      </c>
      <c r="S3639" s="2">
        <v>2.6626044320000002</v>
      </c>
      <c r="T3639" s="2">
        <v>0.72641759400000006</v>
      </c>
      <c r="U3639" s="2">
        <v>0.75641759399999997</v>
      </c>
      <c r="V3639" s="2">
        <v>4.1885700119999996</v>
      </c>
      <c r="W3639" s="2">
        <v>4.1370161149999998</v>
      </c>
      <c r="X3639">
        <f t="shared" si="168"/>
        <v>0</v>
      </c>
      <c r="Y3639">
        <f t="shared" si="169"/>
        <v>0</v>
      </c>
      <c r="Z3639">
        <f t="shared" si="170"/>
        <v>0</v>
      </c>
    </row>
    <row r="3640" spans="1:26" ht="15.75" customHeight="1" x14ac:dyDescent="0.2">
      <c r="A3640" s="2" t="s">
        <v>36</v>
      </c>
      <c r="B3640" s="2" t="s">
        <v>35</v>
      </c>
      <c r="C3640" s="2" t="s">
        <v>27</v>
      </c>
      <c r="D3640" s="2" t="s">
        <v>27</v>
      </c>
      <c r="E3640" s="2">
        <v>132</v>
      </c>
      <c r="F3640" s="2">
        <v>225</v>
      </c>
      <c r="G3640" s="2">
        <v>412</v>
      </c>
      <c r="H3640" s="2">
        <v>2182</v>
      </c>
      <c r="I3640" s="2">
        <v>2693</v>
      </c>
      <c r="J3640" s="2">
        <v>2.23</v>
      </c>
      <c r="K3640" s="2">
        <v>4.12</v>
      </c>
      <c r="L3640" s="2">
        <v>13.59</v>
      </c>
      <c r="M3640" s="2">
        <v>14.99</v>
      </c>
      <c r="N3640" s="2">
        <v>0.577010994</v>
      </c>
      <c r="O3640" s="2">
        <v>0.60105126200000003</v>
      </c>
      <c r="P3640" s="2">
        <v>2.0135779199999999</v>
      </c>
      <c r="Q3640" s="2">
        <v>2.0344758999999999</v>
      </c>
      <c r="R3640" s="2">
        <v>0.44640196799999998</v>
      </c>
      <c r="S3640" s="2">
        <v>0.406401968</v>
      </c>
      <c r="T3640" s="2">
        <v>1.9634717530000001</v>
      </c>
      <c r="U3640" s="2">
        <v>1.9934717529999999</v>
      </c>
      <c r="V3640" s="2">
        <v>1.119563613</v>
      </c>
      <c r="W3640" s="2">
        <v>1.0680097159999999</v>
      </c>
      <c r="X3640">
        <f t="shared" si="168"/>
        <v>0</v>
      </c>
      <c r="Y3640">
        <f t="shared" si="169"/>
        <v>0</v>
      </c>
      <c r="Z3640">
        <f t="shared" si="170"/>
        <v>0</v>
      </c>
    </row>
    <row r="3641" spans="1:26" ht="15.75" customHeight="1" x14ac:dyDescent="0.2">
      <c r="A3641" s="2" t="s">
        <v>36</v>
      </c>
      <c r="B3641" s="2" t="s">
        <v>35</v>
      </c>
      <c r="C3641" s="2" t="s">
        <v>32</v>
      </c>
      <c r="D3641" s="2" t="s">
        <v>33</v>
      </c>
      <c r="E3641" s="2">
        <v>146</v>
      </c>
      <c r="F3641" s="2">
        <v>223</v>
      </c>
      <c r="G3641" s="2">
        <v>536</v>
      </c>
      <c r="H3641" s="2">
        <v>1365</v>
      </c>
      <c r="I3641" s="2">
        <v>2769</v>
      </c>
      <c r="J3641" s="2">
        <v>2.21</v>
      </c>
      <c r="K3641" s="2">
        <v>5.23</v>
      </c>
      <c r="L3641" s="2">
        <v>10.48</v>
      </c>
      <c r="M3641" s="2">
        <v>15.17</v>
      </c>
      <c r="N3641" s="2">
        <v>2.7263935899999998</v>
      </c>
      <c r="O3641" s="2">
        <v>2.5092529080000001</v>
      </c>
      <c r="P3641" s="2">
        <v>1.3278710090000001</v>
      </c>
      <c r="Q3641" s="2">
        <v>1.3225339700000001</v>
      </c>
      <c r="R3641" s="2">
        <v>0.65727564100000002</v>
      </c>
      <c r="S3641" s="2">
        <v>0.69727564099999995</v>
      </c>
      <c r="T3641" s="2">
        <v>1.1537894740000001</v>
      </c>
      <c r="U3641" s="2">
        <v>1.1237894740000001</v>
      </c>
      <c r="V3641" s="2">
        <v>2.2232412209999999</v>
      </c>
      <c r="W3641" s="2">
        <v>2.1716873250000002</v>
      </c>
      <c r="X3641">
        <f t="shared" si="168"/>
        <v>0</v>
      </c>
      <c r="Y3641">
        <f t="shared" si="169"/>
        <v>0</v>
      </c>
      <c r="Z3641">
        <f t="shared" si="170"/>
        <v>1</v>
      </c>
    </row>
    <row r="3642" spans="1:26" ht="15.75" customHeight="1" x14ac:dyDescent="0.2">
      <c r="A3642" s="2" t="s">
        <v>36</v>
      </c>
      <c r="B3642" s="2" t="s">
        <v>35</v>
      </c>
      <c r="C3642" s="2" t="s">
        <v>28</v>
      </c>
      <c r="D3642" s="2" t="s">
        <v>29</v>
      </c>
      <c r="E3642" s="2">
        <v>89</v>
      </c>
      <c r="F3642" s="2">
        <v>251</v>
      </c>
      <c r="G3642" s="2">
        <v>451</v>
      </c>
      <c r="H3642" s="2">
        <v>1228</v>
      </c>
      <c r="I3642" s="2">
        <v>2914</v>
      </c>
      <c r="J3642" s="2">
        <v>2.5099999999999998</v>
      </c>
      <c r="K3642" s="2">
        <v>4.4800000000000004</v>
      </c>
      <c r="L3642" s="2">
        <v>9.8000000000000007</v>
      </c>
      <c r="M3642" s="2">
        <v>15.5</v>
      </c>
      <c r="N3642" s="2">
        <v>1.3292714649999999</v>
      </c>
      <c r="O3642" s="2">
        <v>1.3997788449999999</v>
      </c>
      <c r="P3642" s="2">
        <v>1.8333237520000001</v>
      </c>
      <c r="Q3642" s="2">
        <v>1.8018509730000001</v>
      </c>
      <c r="R3642" s="2">
        <v>8.7953539999999997E-2</v>
      </c>
      <c r="S3642" s="2">
        <v>4.7953540000000003E-2</v>
      </c>
      <c r="T3642" s="2">
        <v>1.8312127549999999</v>
      </c>
      <c r="U3642" s="2">
        <v>1.8012127550000001</v>
      </c>
      <c r="V3642" s="2">
        <v>1.4780120400000001</v>
      </c>
      <c r="W3642" s="2">
        <v>1.4264581439999999</v>
      </c>
      <c r="X3642">
        <f t="shared" si="168"/>
        <v>0</v>
      </c>
      <c r="Y3642">
        <f t="shared" si="169"/>
        <v>0</v>
      </c>
      <c r="Z3642">
        <f t="shared" si="170"/>
        <v>1</v>
      </c>
    </row>
    <row r="3643" spans="1:26" ht="15.75" customHeight="1" x14ac:dyDescent="0.2">
      <c r="A3643" s="2" t="s">
        <v>36</v>
      </c>
      <c r="B3643" s="2" t="s">
        <v>35</v>
      </c>
      <c r="C3643" s="2" t="s">
        <v>27</v>
      </c>
      <c r="D3643" s="2" t="s">
        <v>27</v>
      </c>
      <c r="E3643" s="2">
        <v>120</v>
      </c>
      <c r="F3643" s="2">
        <v>239</v>
      </c>
      <c r="G3643" s="2">
        <v>429</v>
      </c>
      <c r="H3643" s="2">
        <v>2475</v>
      </c>
      <c r="I3643" s="2">
        <v>3127</v>
      </c>
      <c r="J3643" s="2">
        <v>2.39</v>
      </c>
      <c r="K3643" s="2">
        <v>4.28</v>
      </c>
      <c r="L3643" s="2">
        <v>14.43</v>
      </c>
      <c r="M3643" s="2">
        <v>15.95</v>
      </c>
      <c r="N3643" s="2">
        <v>0.32004228600000001</v>
      </c>
      <c r="O3643" s="2">
        <v>0.336597543</v>
      </c>
      <c r="P3643" s="2">
        <v>2.816136508</v>
      </c>
      <c r="Q3643" s="2">
        <v>2.8422473190000002</v>
      </c>
      <c r="R3643" s="2">
        <v>0.28564671400000002</v>
      </c>
      <c r="S3643" s="2">
        <v>0.24564671399999999</v>
      </c>
      <c r="T3643" s="2">
        <v>2.8016121759999999</v>
      </c>
      <c r="U3643" s="2">
        <v>2.8316121760000001</v>
      </c>
      <c r="V3643" s="2">
        <v>1.280318866</v>
      </c>
      <c r="W3643" s="2">
        <v>1.2287649700000001</v>
      </c>
      <c r="X3643">
        <f t="shared" si="168"/>
        <v>0</v>
      </c>
      <c r="Y3643">
        <f t="shared" si="169"/>
        <v>0</v>
      </c>
      <c r="Z3643">
        <f t="shared" si="170"/>
        <v>0</v>
      </c>
    </row>
    <row r="3644" spans="1:26" ht="15.75" customHeight="1" x14ac:dyDescent="0.2">
      <c r="A3644" s="2" t="s">
        <v>36</v>
      </c>
      <c r="B3644" s="2" t="s">
        <v>35</v>
      </c>
      <c r="C3644" s="2" t="s">
        <v>26</v>
      </c>
      <c r="D3644" s="2" t="s">
        <v>26</v>
      </c>
      <c r="E3644" s="2">
        <v>141</v>
      </c>
      <c r="F3644" s="2">
        <v>242</v>
      </c>
      <c r="G3644" s="2">
        <v>408</v>
      </c>
      <c r="H3644" s="2">
        <v>948</v>
      </c>
      <c r="I3644" s="2">
        <v>2890</v>
      </c>
      <c r="J3644" s="2">
        <v>2.42</v>
      </c>
      <c r="K3644" s="2">
        <v>4.09</v>
      </c>
      <c r="L3644" s="2">
        <v>8.2100000000000009</v>
      </c>
      <c r="M3644" s="2">
        <v>15.45</v>
      </c>
      <c r="N3644" s="2">
        <v>0.36323112899999999</v>
      </c>
      <c r="O3644" s="2">
        <v>0.31942113500000002</v>
      </c>
      <c r="P3644" s="2">
        <v>3.455683627</v>
      </c>
      <c r="Q3644" s="2">
        <v>3.4205946049999998</v>
      </c>
      <c r="R3644" s="2">
        <v>0.48070945900000001</v>
      </c>
      <c r="S3644" s="2">
        <v>0.44070945900000003</v>
      </c>
      <c r="T3644" s="2">
        <v>3.4220852919999998</v>
      </c>
      <c r="U3644" s="2">
        <v>3.392085292</v>
      </c>
      <c r="V3644" s="2">
        <v>1.085256121</v>
      </c>
      <c r="W3644" s="2">
        <v>1.033702224</v>
      </c>
      <c r="X3644">
        <f t="shared" si="168"/>
        <v>0</v>
      </c>
      <c r="Y3644">
        <f t="shared" si="169"/>
        <v>0</v>
      </c>
      <c r="Z3644">
        <f t="shared" si="170"/>
        <v>0</v>
      </c>
    </row>
    <row r="3645" spans="1:26" ht="15.75" customHeight="1" x14ac:dyDescent="0.2">
      <c r="A3645" s="2" t="s">
        <v>36</v>
      </c>
      <c r="B3645" s="2" t="s">
        <v>35</v>
      </c>
      <c r="C3645" s="2" t="s">
        <v>27</v>
      </c>
      <c r="D3645" s="2" t="s">
        <v>27</v>
      </c>
      <c r="E3645" s="2">
        <v>131</v>
      </c>
      <c r="F3645" s="2">
        <v>210</v>
      </c>
      <c r="G3645" s="2">
        <v>364</v>
      </c>
      <c r="H3645" s="2">
        <v>2324</v>
      </c>
      <c r="I3645" s="2">
        <v>3031</v>
      </c>
      <c r="J3645" s="2">
        <v>2.0699999999999998</v>
      </c>
      <c r="K3645" s="2">
        <v>3.67</v>
      </c>
      <c r="L3645" s="2">
        <v>14.01</v>
      </c>
      <c r="M3645" s="2">
        <v>15.75</v>
      </c>
      <c r="N3645" s="2">
        <v>0.45484679900000002</v>
      </c>
      <c r="O3645" s="2">
        <v>0.41620654299999998</v>
      </c>
      <c r="P3645" s="2">
        <v>2.5482605650000001</v>
      </c>
      <c r="Q3645" s="2">
        <v>2.5626978600000001</v>
      </c>
      <c r="R3645" s="2">
        <v>0.89760074599999995</v>
      </c>
      <c r="S3645" s="2">
        <v>0.85760074600000002</v>
      </c>
      <c r="T3645" s="2">
        <v>2.3849412590000001</v>
      </c>
      <c r="U3645" s="2">
        <v>2.4149412589999999</v>
      </c>
      <c r="V3645" s="2">
        <v>0.66836483400000002</v>
      </c>
      <c r="W3645" s="2">
        <v>0.61681093799999998</v>
      </c>
      <c r="X3645">
        <f t="shared" si="168"/>
        <v>0</v>
      </c>
      <c r="Y3645">
        <f t="shared" si="169"/>
        <v>0</v>
      </c>
      <c r="Z3645">
        <f t="shared" si="170"/>
        <v>0</v>
      </c>
    </row>
    <row r="3646" spans="1:26" ht="15.75" customHeight="1" x14ac:dyDescent="0.2">
      <c r="A3646" s="2" t="s">
        <v>36</v>
      </c>
      <c r="B3646" s="2" t="s">
        <v>35</v>
      </c>
      <c r="C3646" s="2" t="s">
        <v>27</v>
      </c>
      <c r="D3646" s="2" t="s">
        <v>27</v>
      </c>
      <c r="E3646" s="2">
        <v>152</v>
      </c>
      <c r="F3646" s="2">
        <v>255</v>
      </c>
      <c r="G3646" s="2">
        <v>487</v>
      </c>
      <c r="H3646" s="2">
        <v>2416</v>
      </c>
      <c r="I3646" s="2">
        <v>2946</v>
      </c>
      <c r="J3646" s="2">
        <v>2.56</v>
      </c>
      <c r="K3646" s="2">
        <v>4.8</v>
      </c>
      <c r="L3646" s="2">
        <v>14.27</v>
      </c>
      <c r="M3646" s="2">
        <v>15.57</v>
      </c>
      <c r="N3646" s="2">
        <v>0.71025511299999999</v>
      </c>
      <c r="O3646" s="2">
        <v>0.757317028</v>
      </c>
      <c r="P3646" s="2">
        <v>2.6530112809999999</v>
      </c>
      <c r="Q3646" s="2">
        <v>2.6866629789999998</v>
      </c>
      <c r="R3646" s="2">
        <v>0.232779292</v>
      </c>
      <c r="S3646" s="2">
        <v>0.27277929200000001</v>
      </c>
      <c r="T3646" s="2">
        <v>2.6427793429999999</v>
      </c>
      <c r="U3646" s="2">
        <v>2.6727793430000002</v>
      </c>
      <c r="V3646" s="2">
        <v>1.7987448720000001</v>
      </c>
      <c r="W3646" s="2">
        <v>1.7471909750000001</v>
      </c>
      <c r="X3646">
        <f t="shared" si="168"/>
        <v>0</v>
      </c>
      <c r="Y3646">
        <f t="shared" si="169"/>
        <v>0</v>
      </c>
      <c r="Z3646">
        <f t="shared" si="170"/>
        <v>0</v>
      </c>
    </row>
    <row r="3647" spans="1:26" ht="15.75" customHeight="1" x14ac:dyDescent="0.2">
      <c r="A3647" s="2" t="s">
        <v>36</v>
      </c>
      <c r="B3647" s="2" t="s">
        <v>35</v>
      </c>
      <c r="C3647" s="2" t="s">
        <v>32</v>
      </c>
      <c r="D3647" s="2" t="s">
        <v>33</v>
      </c>
      <c r="E3647" s="2">
        <v>122</v>
      </c>
      <c r="F3647" s="2">
        <v>211</v>
      </c>
      <c r="G3647" s="2">
        <v>549</v>
      </c>
      <c r="H3647" s="2">
        <v>878</v>
      </c>
      <c r="I3647" s="2">
        <v>2408</v>
      </c>
      <c r="J3647" s="2">
        <v>2.0699999999999998</v>
      </c>
      <c r="K3647" s="2">
        <v>5.34</v>
      </c>
      <c r="L3647" s="2">
        <v>7.76</v>
      </c>
      <c r="M3647" s="2">
        <v>14.25</v>
      </c>
      <c r="N3647" s="2">
        <v>4.7025267460000002</v>
      </c>
      <c r="O3647" s="2">
        <v>4.53138883</v>
      </c>
      <c r="P3647" s="2">
        <v>3.9414882790000001</v>
      </c>
      <c r="Q3647" s="2">
        <v>3.9201298539999998</v>
      </c>
      <c r="R3647" s="2">
        <v>0.76913921399999996</v>
      </c>
      <c r="S3647" s="2">
        <v>0.809139214</v>
      </c>
      <c r="T3647" s="2">
        <v>3.865715292</v>
      </c>
      <c r="U3647" s="2">
        <v>3.8357152920000002</v>
      </c>
      <c r="V3647" s="2">
        <v>2.3351047939999998</v>
      </c>
      <c r="W3647" s="2">
        <v>2.283550897</v>
      </c>
      <c r="X3647">
        <f t="shared" si="168"/>
        <v>0</v>
      </c>
      <c r="Y3647">
        <f t="shared" si="169"/>
        <v>0</v>
      </c>
      <c r="Z3647">
        <f t="shared" si="170"/>
        <v>1</v>
      </c>
    </row>
    <row r="3648" spans="1:26" ht="15.75" customHeight="1" x14ac:dyDescent="0.2">
      <c r="A3648" s="2" t="s">
        <v>36</v>
      </c>
      <c r="B3648" s="2" t="s">
        <v>35</v>
      </c>
      <c r="C3648" s="2" t="s">
        <v>28</v>
      </c>
      <c r="D3648" s="2" t="s">
        <v>29</v>
      </c>
      <c r="E3648" s="2">
        <v>133</v>
      </c>
      <c r="F3648" s="2">
        <v>239</v>
      </c>
      <c r="G3648" s="2">
        <v>350</v>
      </c>
      <c r="H3648" s="2">
        <v>1098</v>
      </c>
      <c r="I3648" s="2">
        <v>2423</v>
      </c>
      <c r="J3648" s="2">
        <v>2.38</v>
      </c>
      <c r="K3648" s="2">
        <v>3.53</v>
      </c>
      <c r="L3648" s="2">
        <v>9.1</v>
      </c>
      <c r="M3648" s="2">
        <v>14.29</v>
      </c>
      <c r="N3648" s="2">
        <v>0.711746078</v>
      </c>
      <c r="O3648" s="2">
        <v>0.73397155400000003</v>
      </c>
      <c r="P3648" s="2">
        <v>2.7379868300000001</v>
      </c>
      <c r="Q3648" s="2">
        <v>2.6951850799999999</v>
      </c>
      <c r="R3648" s="2">
        <v>1.037878788</v>
      </c>
      <c r="S3648" s="2">
        <v>0.99787878799999996</v>
      </c>
      <c r="T3648" s="2">
        <v>2.5336494439999999</v>
      </c>
      <c r="U3648" s="2">
        <v>2.5036494440000001</v>
      </c>
      <c r="V3648" s="2">
        <v>0.52808679199999997</v>
      </c>
      <c r="W3648" s="2">
        <v>0.47653289599999998</v>
      </c>
      <c r="X3648">
        <f t="shared" si="168"/>
        <v>0</v>
      </c>
      <c r="Y3648">
        <f t="shared" si="169"/>
        <v>0</v>
      </c>
      <c r="Z3648">
        <f t="shared" si="170"/>
        <v>1</v>
      </c>
    </row>
    <row r="3649" spans="1:26" ht="15.75" customHeight="1" x14ac:dyDescent="0.2">
      <c r="A3649" s="2" t="s">
        <v>36</v>
      </c>
      <c r="B3649" s="2" t="s">
        <v>35</v>
      </c>
      <c r="C3649" s="2" t="s">
        <v>26</v>
      </c>
      <c r="D3649" s="2" t="s">
        <v>26</v>
      </c>
      <c r="E3649" s="2">
        <v>128</v>
      </c>
      <c r="F3649" s="2">
        <v>213</v>
      </c>
      <c r="G3649" s="2">
        <v>348</v>
      </c>
      <c r="H3649" s="2">
        <v>1025</v>
      </c>
      <c r="I3649" s="2">
        <v>2785</v>
      </c>
      <c r="J3649" s="2">
        <v>2.1</v>
      </c>
      <c r="K3649" s="2">
        <v>3.52</v>
      </c>
      <c r="L3649" s="2">
        <v>8.67</v>
      </c>
      <c r="M3649" s="2">
        <v>15.21</v>
      </c>
      <c r="N3649" s="2">
        <v>0.49757348499999998</v>
      </c>
      <c r="O3649" s="2">
        <v>0.477213638</v>
      </c>
      <c r="P3649" s="2">
        <v>3.1382506549999998</v>
      </c>
      <c r="Q3649" s="2">
        <v>3.0966791549999999</v>
      </c>
      <c r="R3649" s="2">
        <v>1.0543032489999999</v>
      </c>
      <c r="S3649" s="2">
        <v>1.0143032489999999</v>
      </c>
      <c r="T3649" s="2">
        <v>2.955852133</v>
      </c>
      <c r="U3649" s="2">
        <v>2.9258521329999998</v>
      </c>
      <c r="V3649" s="2">
        <v>0.51166233100000003</v>
      </c>
      <c r="W3649" s="2">
        <v>0.46010843499999998</v>
      </c>
      <c r="X3649">
        <f t="shared" si="168"/>
        <v>0</v>
      </c>
      <c r="Y3649">
        <f t="shared" si="169"/>
        <v>0</v>
      </c>
      <c r="Z3649">
        <f t="shared" si="170"/>
        <v>0</v>
      </c>
    </row>
    <row r="3650" spans="1:26" ht="15.75" customHeight="1" x14ac:dyDescent="0.2">
      <c r="A3650" s="2" t="s">
        <v>36</v>
      </c>
      <c r="B3650" s="2" t="s">
        <v>35</v>
      </c>
      <c r="C3650" s="2" t="s">
        <v>30</v>
      </c>
      <c r="D3650" s="2" t="s">
        <v>31</v>
      </c>
      <c r="E3650" s="2">
        <v>132</v>
      </c>
      <c r="F3650" s="2">
        <v>219</v>
      </c>
      <c r="G3650" s="2">
        <v>607</v>
      </c>
      <c r="H3650" s="2">
        <v>1306</v>
      </c>
      <c r="I3650" s="2">
        <v>2464</v>
      </c>
      <c r="J3650" s="2">
        <v>2.16</v>
      </c>
      <c r="K3650" s="2">
        <v>5.81</v>
      </c>
      <c r="L3650" s="2">
        <v>10.19</v>
      </c>
      <c r="M3650" s="2">
        <v>14.4</v>
      </c>
      <c r="N3650" s="2">
        <v>4.3299233289999997</v>
      </c>
      <c r="O3650" s="2">
        <v>4.3681802029999997</v>
      </c>
      <c r="P3650" s="2">
        <v>1.8977568789999999</v>
      </c>
      <c r="Q3650" s="2">
        <v>1.901729972</v>
      </c>
      <c r="R3650" s="2">
        <v>1.236909091</v>
      </c>
      <c r="S3650" s="2">
        <v>1.2769090910000001</v>
      </c>
      <c r="T3650" s="2">
        <v>1.439283527</v>
      </c>
      <c r="U3650" s="2">
        <v>1.4092835269999999</v>
      </c>
      <c r="V3650" s="2">
        <v>2.8028746710000001</v>
      </c>
      <c r="W3650" s="2">
        <v>2.7513207749999999</v>
      </c>
      <c r="X3650">
        <f t="shared" si="168"/>
        <v>0</v>
      </c>
      <c r="Y3650">
        <f t="shared" si="169"/>
        <v>0</v>
      </c>
      <c r="Z3650">
        <f t="shared" si="170"/>
        <v>1</v>
      </c>
    </row>
    <row r="3651" spans="1:26" ht="15.75" customHeight="1" x14ac:dyDescent="0.2">
      <c r="A3651" s="2" t="s">
        <v>36</v>
      </c>
      <c r="B3651" s="2" t="s">
        <v>35</v>
      </c>
      <c r="C3651" s="2" t="s">
        <v>27</v>
      </c>
      <c r="D3651" s="2" t="s">
        <v>27</v>
      </c>
      <c r="E3651" s="2">
        <v>146</v>
      </c>
      <c r="F3651" s="2">
        <v>231</v>
      </c>
      <c r="G3651" s="2">
        <v>392</v>
      </c>
      <c r="H3651" s="2">
        <v>2463</v>
      </c>
      <c r="I3651" s="2">
        <v>3057</v>
      </c>
      <c r="J3651" s="2">
        <v>2.2999999999999998</v>
      </c>
      <c r="K3651" s="2">
        <v>3.94</v>
      </c>
      <c r="L3651" s="2">
        <v>14.4</v>
      </c>
      <c r="M3651" s="2">
        <v>15.81</v>
      </c>
      <c r="N3651" s="2">
        <v>0.28326063600000001</v>
      </c>
      <c r="O3651" s="2">
        <v>0.239663877</v>
      </c>
      <c r="P3651" s="2">
        <v>2.8421677569999999</v>
      </c>
      <c r="Q3651" s="2">
        <v>2.8628399510000002</v>
      </c>
      <c r="R3651" s="2">
        <v>0.63483345099999999</v>
      </c>
      <c r="S3651" s="2">
        <v>0.59483345099999996</v>
      </c>
      <c r="T3651" s="2">
        <v>2.7703617180000002</v>
      </c>
      <c r="U3651" s="2">
        <v>2.800361718</v>
      </c>
      <c r="V3651" s="2">
        <v>0.93113212899999998</v>
      </c>
      <c r="W3651" s="2">
        <v>0.87957823199999996</v>
      </c>
      <c r="X3651">
        <f t="shared" ref="X3651:X3714" si="171">IF(B3651="normal",1,0)</f>
        <v>0</v>
      </c>
      <c r="Y3651">
        <f t="shared" ref="Y3651:Y3714" si="172">IF(A3651="lecture",1,0)</f>
        <v>0</v>
      </c>
      <c r="Z3651">
        <f t="shared" ref="Z3651:Z3714" si="173">IF(ISNUMBER(FIND("~",D3651)),1,0)</f>
        <v>0</v>
      </c>
    </row>
    <row r="3652" spans="1:26" ht="15.75" customHeight="1" x14ac:dyDescent="0.2">
      <c r="A3652" s="2" t="s">
        <v>36</v>
      </c>
      <c r="B3652" s="2" t="s">
        <v>35</v>
      </c>
      <c r="C3652" s="2" t="s">
        <v>30</v>
      </c>
      <c r="D3652" s="2" t="s">
        <v>31</v>
      </c>
      <c r="E3652" s="2">
        <v>133</v>
      </c>
      <c r="F3652" s="2">
        <v>229</v>
      </c>
      <c r="G3652" s="2">
        <v>495</v>
      </c>
      <c r="H3652" s="2">
        <v>1227</v>
      </c>
      <c r="I3652" s="2">
        <v>2486</v>
      </c>
      <c r="J3652" s="2">
        <v>2.27</v>
      </c>
      <c r="K3652" s="2">
        <v>4.87</v>
      </c>
      <c r="L3652" s="2">
        <v>9.7899999999999991</v>
      </c>
      <c r="M3652" s="2">
        <v>14.46</v>
      </c>
      <c r="N3652" s="2">
        <v>4.4457857970000001</v>
      </c>
      <c r="O3652" s="2">
        <v>4.4744064669999997</v>
      </c>
      <c r="P3652" s="2">
        <v>1.8628778539999999</v>
      </c>
      <c r="Q3652" s="2">
        <v>1.840312331</v>
      </c>
      <c r="R3652" s="2">
        <v>0.30277566500000003</v>
      </c>
      <c r="S3652" s="2">
        <v>0.34277566500000001</v>
      </c>
      <c r="T3652" s="2">
        <v>1.8381079389999999</v>
      </c>
      <c r="U3652" s="2">
        <v>1.8081079390000001</v>
      </c>
      <c r="V3652" s="2">
        <v>1.8687412459999999</v>
      </c>
      <c r="W3652" s="2">
        <v>1.8171873489999999</v>
      </c>
      <c r="X3652">
        <f t="shared" si="171"/>
        <v>0</v>
      </c>
      <c r="Y3652">
        <f t="shared" si="172"/>
        <v>0</v>
      </c>
      <c r="Z3652">
        <f t="shared" si="173"/>
        <v>1</v>
      </c>
    </row>
    <row r="3653" spans="1:26" ht="15.75" customHeight="1" x14ac:dyDescent="0.2">
      <c r="A3653" s="2" t="s">
        <v>36</v>
      </c>
      <c r="B3653" s="2" t="s">
        <v>35</v>
      </c>
      <c r="C3653" s="2" t="s">
        <v>26</v>
      </c>
      <c r="D3653" s="2" t="s">
        <v>26</v>
      </c>
      <c r="E3653" s="2">
        <v>120</v>
      </c>
      <c r="F3653" s="2">
        <v>243</v>
      </c>
      <c r="G3653" s="2">
        <v>427</v>
      </c>
      <c r="H3653" s="2">
        <v>1080</v>
      </c>
      <c r="I3653" s="2">
        <v>2770</v>
      </c>
      <c r="J3653" s="2">
        <v>2.4300000000000002</v>
      </c>
      <c r="K3653" s="2">
        <v>4.26</v>
      </c>
      <c r="L3653" s="2">
        <v>9</v>
      </c>
      <c r="M3653" s="2">
        <v>15.17</v>
      </c>
      <c r="N3653" s="2">
        <v>0.50953141899999999</v>
      </c>
      <c r="O3653" s="2">
        <v>0.581575658</v>
      </c>
      <c r="P3653" s="2">
        <v>2.651350951</v>
      </c>
      <c r="Q3653" s="2">
        <v>2.6171701939999998</v>
      </c>
      <c r="R3653" s="2">
        <v>0.30715083799999998</v>
      </c>
      <c r="S3653" s="2">
        <v>0.267150838</v>
      </c>
      <c r="T3653" s="2">
        <v>2.6334996159999999</v>
      </c>
      <c r="U3653" s="2">
        <v>2.6034996160000001</v>
      </c>
      <c r="V3653" s="2">
        <v>1.258814742</v>
      </c>
      <c r="W3653" s="2">
        <v>1.2072608460000001</v>
      </c>
      <c r="X3653">
        <f t="shared" si="171"/>
        <v>0</v>
      </c>
      <c r="Y3653">
        <f t="shared" si="172"/>
        <v>0</v>
      </c>
      <c r="Z3653">
        <f t="shared" si="173"/>
        <v>0</v>
      </c>
    </row>
    <row r="3654" spans="1:26" ht="15.75" customHeight="1" x14ac:dyDescent="0.2">
      <c r="A3654" s="2" t="s">
        <v>36</v>
      </c>
      <c r="B3654" s="2" t="s">
        <v>35</v>
      </c>
      <c r="C3654" s="2" t="s">
        <v>26</v>
      </c>
      <c r="D3654" s="2" t="s">
        <v>26</v>
      </c>
      <c r="E3654" s="2">
        <v>125</v>
      </c>
      <c r="F3654" s="2">
        <v>219</v>
      </c>
      <c r="G3654" s="2">
        <v>362</v>
      </c>
      <c r="H3654" s="2">
        <v>999</v>
      </c>
      <c r="I3654" s="2">
        <v>2753</v>
      </c>
      <c r="J3654" s="2">
        <v>2.16</v>
      </c>
      <c r="K3654" s="2">
        <v>3.65</v>
      </c>
      <c r="L3654" s="2">
        <v>8.52</v>
      </c>
      <c r="M3654" s="2">
        <v>15.13</v>
      </c>
      <c r="N3654" s="2">
        <v>0.34920672200000002</v>
      </c>
      <c r="O3654" s="2">
        <v>0.30781755399999999</v>
      </c>
      <c r="P3654" s="2">
        <v>3.2410195260000001</v>
      </c>
      <c r="Q3654" s="2">
        <v>3.201066682</v>
      </c>
      <c r="R3654" s="2">
        <v>0.91707047500000005</v>
      </c>
      <c r="S3654" s="2">
        <v>0.87707047500000002</v>
      </c>
      <c r="T3654" s="2">
        <v>3.1085670830000001</v>
      </c>
      <c r="U3654" s="2">
        <v>3.0785670829999998</v>
      </c>
      <c r="V3654" s="2">
        <v>0.64889510500000003</v>
      </c>
      <c r="W3654" s="2">
        <v>0.59734120899999998</v>
      </c>
      <c r="X3654">
        <f t="shared" si="171"/>
        <v>0</v>
      </c>
      <c r="Y3654">
        <f t="shared" si="172"/>
        <v>0</v>
      </c>
      <c r="Z3654">
        <f t="shared" si="173"/>
        <v>0</v>
      </c>
    </row>
    <row r="3655" spans="1:26" ht="15.75" customHeight="1" x14ac:dyDescent="0.2">
      <c r="A3655" s="2" t="s">
        <v>36</v>
      </c>
      <c r="B3655" s="2" t="s">
        <v>35</v>
      </c>
      <c r="C3655" s="2" t="s">
        <v>26</v>
      </c>
      <c r="D3655" s="2" t="s">
        <v>26</v>
      </c>
      <c r="E3655" s="2">
        <v>91</v>
      </c>
      <c r="F3655" s="2">
        <v>236</v>
      </c>
      <c r="G3655" s="2">
        <v>431</v>
      </c>
      <c r="H3655" s="2">
        <v>785</v>
      </c>
      <c r="I3655" s="2">
        <v>3158</v>
      </c>
      <c r="J3655" s="2">
        <v>2.35</v>
      </c>
      <c r="K3655" s="2">
        <v>4.3099999999999996</v>
      </c>
      <c r="L3655" s="2">
        <v>7.14</v>
      </c>
      <c r="M3655" s="2">
        <v>16.010000000000002</v>
      </c>
      <c r="N3655" s="2">
        <v>1.4532411300000001</v>
      </c>
      <c r="O3655" s="2">
        <v>1.403955517</v>
      </c>
      <c r="P3655" s="2">
        <v>4.4984635490000002</v>
      </c>
      <c r="Q3655" s="2">
        <v>4.4663293169999996</v>
      </c>
      <c r="R3655" s="2">
        <v>0.26418455499999999</v>
      </c>
      <c r="S3655" s="2">
        <v>0.22418455500000001</v>
      </c>
      <c r="T3655" s="2">
        <v>4.4906993689999997</v>
      </c>
      <c r="U3655" s="2">
        <v>4.4606993690000003</v>
      </c>
      <c r="V3655" s="2">
        <v>1.3017810249999999</v>
      </c>
      <c r="W3655" s="2">
        <v>1.2502271279999999</v>
      </c>
      <c r="X3655">
        <f t="shared" si="171"/>
        <v>0</v>
      </c>
      <c r="Y3655">
        <f t="shared" si="172"/>
        <v>0</v>
      </c>
      <c r="Z3655">
        <f t="shared" si="173"/>
        <v>0</v>
      </c>
    </row>
    <row r="3656" spans="1:26" ht="15.75" customHeight="1" x14ac:dyDescent="0.2">
      <c r="A3656" s="2" t="s">
        <v>36</v>
      </c>
      <c r="B3656" s="2" t="s">
        <v>35</v>
      </c>
      <c r="C3656" s="2" t="s">
        <v>25</v>
      </c>
      <c r="D3656" s="2" t="s">
        <v>25</v>
      </c>
      <c r="E3656" s="2">
        <v>169</v>
      </c>
      <c r="F3656" s="2">
        <v>225</v>
      </c>
      <c r="G3656" s="2">
        <v>813</v>
      </c>
      <c r="H3656" s="2">
        <v>1798</v>
      </c>
      <c r="I3656" s="2">
        <v>3008</v>
      </c>
      <c r="J3656" s="2">
        <v>2.23</v>
      </c>
      <c r="K3656" s="2">
        <v>7.33</v>
      </c>
      <c r="L3656" s="2">
        <v>12.3</v>
      </c>
      <c r="M3656" s="2">
        <v>15.7</v>
      </c>
      <c r="N3656" s="2">
        <v>0.43153056099999998</v>
      </c>
      <c r="O3656" s="2">
        <v>0.46723808700000002</v>
      </c>
      <c r="P3656" s="2">
        <v>2.839747263</v>
      </c>
      <c r="Q3656" s="2">
        <v>2.8857432940000001</v>
      </c>
      <c r="R3656" s="2">
        <v>2.7602704650000001</v>
      </c>
      <c r="S3656" s="2">
        <v>2.8002704650000001</v>
      </c>
      <c r="T3656" s="2">
        <v>0.66713677500000002</v>
      </c>
      <c r="U3656" s="2">
        <v>0.69713677500000004</v>
      </c>
      <c r="V3656" s="2">
        <v>4.3262360449999999</v>
      </c>
      <c r="W3656" s="2">
        <v>4.2746821490000002</v>
      </c>
      <c r="X3656">
        <f t="shared" si="171"/>
        <v>0</v>
      </c>
      <c r="Y3656">
        <f t="shared" si="172"/>
        <v>0</v>
      </c>
      <c r="Z3656">
        <f t="shared" si="173"/>
        <v>0</v>
      </c>
    </row>
    <row r="3657" spans="1:26" ht="15.75" customHeight="1" x14ac:dyDescent="0.2">
      <c r="A3657" s="2" t="s">
        <v>36</v>
      </c>
      <c r="B3657" s="2" t="s">
        <v>35</v>
      </c>
      <c r="C3657" s="2" t="s">
        <v>25</v>
      </c>
      <c r="D3657" s="2" t="s">
        <v>25</v>
      </c>
      <c r="E3657" s="2">
        <v>143</v>
      </c>
      <c r="F3657" s="2">
        <v>227</v>
      </c>
      <c r="G3657" s="2">
        <v>881</v>
      </c>
      <c r="H3657" s="2">
        <v>1718</v>
      </c>
      <c r="I3657" s="2">
        <v>3032</v>
      </c>
      <c r="J3657" s="2">
        <v>2.25</v>
      </c>
      <c r="K3657" s="2">
        <v>7.78</v>
      </c>
      <c r="L3657" s="2">
        <v>11.99</v>
      </c>
      <c r="M3657" s="2">
        <v>15.75</v>
      </c>
      <c r="N3657" s="2">
        <v>0.25207867699999997</v>
      </c>
      <c r="O3657" s="2">
        <v>0.47033647099999998</v>
      </c>
      <c r="P3657" s="2">
        <v>3.231969688</v>
      </c>
      <c r="Q3657" s="2">
        <v>3.275173804</v>
      </c>
      <c r="R3657" s="2">
        <v>3.2116662759999999</v>
      </c>
      <c r="S3657" s="2">
        <v>3.2516662759999999</v>
      </c>
      <c r="T3657" s="2">
        <v>0.36170126000000002</v>
      </c>
      <c r="U3657" s="2">
        <v>0.39170126</v>
      </c>
      <c r="V3657" s="2">
        <v>4.7776318560000002</v>
      </c>
      <c r="W3657" s="2">
        <v>4.7260779590000004</v>
      </c>
      <c r="X3657">
        <f t="shared" si="171"/>
        <v>0</v>
      </c>
      <c r="Y3657">
        <f t="shared" si="172"/>
        <v>0</v>
      </c>
      <c r="Z3657">
        <f t="shared" si="173"/>
        <v>0</v>
      </c>
    </row>
    <row r="3658" spans="1:26" ht="15.75" customHeight="1" x14ac:dyDescent="0.2">
      <c r="A3658" s="2" t="s">
        <v>36</v>
      </c>
      <c r="B3658" s="2" t="s">
        <v>35</v>
      </c>
      <c r="C3658" s="2" t="s">
        <v>25</v>
      </c>
      <c r="D3658" s="2" t="s">
        <v>25</v>
      </c>
      <c r="E3658" s="2">
        <v>199</v>
      </c>
      <c r="F3658" s="2">
        <v>226</v>
      </c>
      <c r="G3658" s="2">
        <v>888</v>
      </c>
      <c r="H3658" s="2">
        <v>1631</v>
      </c>
      <c r="I3658" s="2">
        <v>2998</v>
      </c>
      <c r="J3658" s="2">
        <v>2.2400000000000002</v>
      </c>
      <c r="K3658" s="2">
        <v>7.83</v>
      </c>
      <c r="L3658" s="2">
        <v>11.65</v>
      </c>
      <c r="M3658" s="2">
        <v>15.68</v>
      </c>
      <c r="N3658" s="2">
        <v>0.39943931300000002</v>
      </c>
      <c r="O3658" s="2">
        <v>0.524470828</v>
      </c>
      <c r="P3658" s="2">
        <v>3.2615005789999998</v>
      </c>
      <c r="Q3658" s="2">
        <v>3.3017895579999998</v>
      </c>
      <c r="R3658" s="2">
        <v>3.2614569919999998</v>
      </c>
      <c r="S3658" s="2">
        <v>3.3014569919999999</v>
      </c>
      <c r="T3658" s="2">
        <v>1.6861597999999998E-2</v>
      </c>
      <c r="U3658" s="2">
        <v>4.6861597999999997E-2</v>
      </c>
      <c r="V3658" s="2">
        <v>4.8274225729999998</v>
      </c>
      <c r="W3658" s="2">
        <v>4.775868676</v>
      </c>
      <c r="X3658">
        <f t="shared" si="171"/>
        <v>0</v>
      </c>
      <c r="Y3658">
        <f t="shared" si="172"/>
        <v>0</v>
      </c>
      <c r="Z3658">
        <f t="shared" si="173"/>
        <v>0</v>
      </c>
    </row>
    <row r="3659" spans="1:26" ht="15.75" customHeight="1" x14ac:dyDescent="0.2">
      <c r="A3659" s="2" t="s">
        <v>36</v>
      </c>
      <c r="B3659" s="2" t="s">
        <v>35</v>
      </c>
      <c r="C3659" s="2" t="s">
        <v>28</v>
      </c>
      <c r="D3659" s="2" t="s">
        <v>29</v>
      </c>
      <c r="E3659" s="2">
        <v>121</v>
      </c>
      <c r="F3659" s="2">
        <v>244</v>
      </c>
      <c r="G3659" s="2">
        <v>319</v>
      </c>
      <c r="H3659" s="2">
        <v>893</v>
      </c>
      <c r="I3659" s="2">
        <v>2599</v>
      </c>
      <c r="J3659" s="2">
        <v>2.4300000000000002</v>
      </c>
      <c r="K3659" s="2">
        <v>3.22</v>
      </c>
      <c r="L3659" s="2">
        <v>7.86</v>
      </c>
      <c r="M3659" s="2">
        <v>14.75</v>
      </c>
      <c r="N3659" s="2">
        <v>1.0463894920000001</v>
      </c>
      <c r="O3659" s="2">
        <v>0.97666997799999999</v>
      </c>
      <c r="P3659" s="2">
        <v>4.0040036380000004</v>
      </c>
      <c r="Q3659" s="2">
        <v>3.9623893720000001</v>
      </c>
      <c r="R3659" s="2">
        <v>1.3473058360000001</v>
      </c>
      <c r="S3659" s="2">
        <v>1.3073058360000001</v>
      </c>
      <c r="T3659" s="2">
        <v>3.7705188129999998</v>
      </c>
      <c r="U3659" s="2">
        <v>3.740518813</v>
      </c>
      <c r="V3659" s="2">
        <v>0.21865974399999999</v>
      </c>
      <c r="W3659" s="2">
        <v>0.167105848</v>
      </c>
      <c r="X3659">
        <f t="shared" si="171"/>
        <v>0</v>
      </c>
      <c r="Y3659">
        <f t="shared" si="172"/>
        <v>0</v>
      </c>
      <c r="Z3659">
        <f t="shared" si="173"/>
        <v>1</v>
      </c>
    </row>
    <row r="3660" spans="1:26" ht="15.75" customHeight="1" x14ac:dyDescent="0.2">
      <c r="A3660" s="2" t="s">
        <v>36</v>
      </c>
      <c r="B3660" s="2" t="s">
        <v>35</v>
      </c>
      <c r="C3660" s="2" t="s">
        <v>30</v>
      </c>
      <c r="D3660" s="2" t="s">
        <v>31</v>
      </c>
      <c r="E3660" s="2">
        <v>125</v>
      </c>
      <c r="F3660" s="2">
        <v>228</v>
      </c>
      <c r="G3660" s="2">
        <v>671</v>
      </c>
      <c r="H3660" s="2">
        <v>1159</v>
      </c>
      <c r="I3660" s="2">
        <v>2214</v>
      </c>
      <c r="J3660" s="2">
        <v>2.2599999999999998</v>
      </c>
      <c r="K3660" s="2">
        <v>6.31</v>
      </c>
      <c r="L3660" s="2">
        <v>9.43</v>
      </c>
      <c r="M3660" s="2">
        <v>13.69</v>
      </c>
      <c r="N3660" s="2">
        <v>5.2250108910000002</v>
      </c>
      <c r="O3660" s="2">
        <v>5.264391872</v>
      </c>
      <c r="P3660" s="2">
        <v>2.8000740099999999</v>
      </c>
      <c r="Q3660" s="2">
        <v>2.801815334</v>
      </c>
      <c r="R3660" s="2">
        <v>1.7375180539999999</v>
      </c>
      <c r="S3660" s="2">
        <v>1.777518054</v>
      </c>
      <c r="T3660" s="2">
        <v>2.1957790130000001</v>
      </c>
      <c r="U3660" s="2">
        <v>2.1657790129999999</v>
      </c>
      <c r="V3660" s="2">
        <v>3.303483634</v>
      </c>
      <c r="W3660" s="2">
        <v>3.2519297379999998</v>
      </c>
      <c r="X3660">
        <f t="shared" si="171"/>
        <v>0</v>
      </c>
      <c r="Y3660">
        <f t="shared" si="172"/>
        <v>0</v>
      </c>
      <c r="Z3660">
        <f t="shared" si="173"/>
        <v>1</v>
      </c>
    </row>
    <row r="3661" spans="1:26" ht="15.75" customHeight="1" x14ac:dyDescent="0.2">
      <c r="A3661" s="2" t="s">
        <v>36</v>
      </c>
      <c r="B3661" s="2" t="s">
        <v>35</v>
      </c>
      <c r="C3661" s="2" t="s">
        <v>32</v>
      </c>
      <c r="D3661" s="2" t="s">
        <v>33</v>
      </c>
      <c r="E3661" s="2">
        <v>137</v>
      </c>
      <c r="F3661" s="2">
        <v>225</v>
      </c>
      <c r="G3661" s="2">
        <v>625</v>
      </c>
      <c r="H3661" s="2">
        <v>1253</v>
      </c>
      <c r="I3661" s="2">
        <v>2841</v>
      </c>
      <c r="J3661" s="2">
        <v>2.23</v>
      </c>
      <c r="K3661" s="2">
        <v>5.95</v>
      </c>
      <c r="L3661" s="2">
        <v>9.92</v>
      </c>
      <c r="M3661" s="2">
        <v>15.33</v>
      </c>
      <c r="N3661" s="2">
        <v>2.5525026089999998</v>
      </c>
      <c r="O3661" s="2">
        <v>2.3596219349999998</v>
      </c>
      <c r="P3661" s="2">
        <v>2.1942469529999999</v>
      </c>
      <c r="Q3661" s="2">
        <v>2.196632825</v>
      </c>
      <c r="R3661" s="2">
        <v>1.379486717</v>
      </c>
      <c r="S3661" s="2">
        <v>1.4194867170000001</v>
      </c>
      <c r="T3661" s="2">
        <v>1.7063809919999999</v>
      </c>
      <c r="U3661" s="2">
        <v>1.6763809919999999</v>
      </c>
      <c r="V3661" s="2">
        <v>2.9454522970000001</v>
      </c>
      <c r="W3661" s="2">
        <v>2.8938983999999999</v>
      </c>
      <c r="X3661">
        <f t="shared" si="171"/>
        <v>0</v>
      </c>
      <c r="Y3661">
        <f t="shared" si="172"/>
        <v>0</v>
      </c>
      <c r="Z3661">
        <f t="shared" si="173"/>
        <v>1</v>
      </c>
    </row>
    <row r="3662" spans="1:26" ht="15.75" customHeight="1" x14ac:dyDescent="0.2">
      <c r="A3662" s="2" t="s">
        <v>36</v>
      </c>
      <c r="B3662" s="2" t="s">
        <v>35</v>
      </c>
      <c r="C3662" s="2" t="s">
        <v>26</v>
      </c>
      <c r="D3662" s="2" t="s">
        <v>26</v>
      </c>
      <c r="E3662" s="2">
        <v>129</v>
      </c>
      <c r="F3662" s="2">
        <v>243</v>
      </c>
      <c r="G3662" s="2">
        <v>434</v>
      </c>
      <c r="H3662" s="2">
        <v>1084</v>
      </c>
      <c r="I3662" s="2">
        <v>2786</v>
      </c>
      <c r="J3662" s="2">
        <v>2.4300000000000002</v>
      </c>
      <c r="K3662" s="2">
        <v>4.33</v>
      </c>
      <c r="L3662" s="2">
        <v>9.02</v>
      </c>
      <c r="M3662" s="2">
        <v>15.21</v>
      </c>
      <c r="N3662" s="2">
        <v>0.56565572200000003</v>
      </c>
      <c r="O3662" s="2">
        <v>0.63772636999999999</v>
      </c>
      <c r="P3662" s="2">
        <v>2.6217717249999999</v>
      </c>
      <c r="Q3662" s="2">
        <v>2.588505928</v>
      </c>
      <c r="R3662" s="2">
        <v>0.23970760199999999</v>
      </c>
      <c r="S3662" s="2">
        <v>0.19970760200000001</v>
      </c>
      <c r="T3662" s="2">
        <v>2.61079054</v>
      </c>
      <c r="U3662" s="2">
        <v>2.5807905400000002</v>
      </c>
      <c r="V3662" s="2">
        <v>1.3262579779999999</v>
      </c>
      <c r="W3662" s="2">
        <v>1.2747040810000001</v>
      </c>
      <c r="X3662">
        <f t="shared" si="171"/>
        <v>0</v>
      </c>
      <c r="Y3662">
        <f t="shared" si="172"/>
        <v>0</v>
      </c>
      <c r="Z3662">
        <f t="shared" si="173"/>
        <v>0</v>
      </c>
    </row>
    <row r="3663" spans="1:26" ht="15.75" customHeight="1" x14ac:dyDescent="0.2">
      <c r="A3663" s="2" t="s">
        <v>36</v>
      </c>
      <c r="B3663" s="2" t="s">
        <v>35</v>
      </c>
      <c r="C3663" s="2" t="s">
        <v>32</v>
      </c>
      <c r="D3663" s="2" t="s">
        <v>33</v>
      </c>
      <c r="E3663" s="2">
        <v>138</v>
      </c>
      <c r="F3663" s="2">
        <v>227</v>
      </c>
      <c r="G3663" s="2">
        <v>395</v>
      </c>
      <c r="H3663" s="2">
        <v>1180</v>
      </c>
      <c r="I3663" s="2">
        <v>2641</v>
      </c>
      <c r="J3663" s="2">
        <v>2.2599999999999998</v>
      </c>
      <c r="K3663" s="2">
        <v>3.97</v>
      </c>
      <c r="L3663" s="2">
        <v>9.5399999999999991</v>
      </c>
      <c r="M3663" s="2">
        <v>14.86</v>
      </c>
      <c r="N3663" s="2">
        <v>4.2914349740000004</v>
      </c>
      <c r="O3663" s="2">
        <v>4.0752213619999997</v>
      </c>
      <c r="P3663" s="2">
        <v>2.1721178010000002</v>
      </c>
      <c r="Q3663" s="2">
        <v>2.1324020250000002</v>
      </c>
      <c r="R3663" s="2">
        <v>0.60320594500000002</v>
      </c>
      <c r="S3663" s="2">
        <v>0.56320594499999999</v>
      </c>
      <c r="T3663" s="2">
        <v>2.0866811759999999</v>
      </c>
      <c r="U3663" s="2">
        <v>2.0566811760000001</v>
      </c>
      <c r="V3663" s="2">
        <v>0.96275963499999995</v>
      </c>
      <c r="W3663" s="2">
        <v>0.91120573900000001</v>
      </c>
      <c r="X3663">
        <f t="shared" si="171"/>
        <v>0</v>
      </c>
      <c r="Y3663">
        <f t="shared" si="172"/>
        <v>0</v>
      </c>
      <c r="Z3663">
        <f t="shared" si="173"/>
        <v>1</v>
      </c>
    </row>
    <row r="3664" spans="1:26" ht="15.75" customHeight="1" x14ac:dyDescent="0.2">
      <c r="A3664" s="2" t="s">
        <v>36</v>
      </c>
      <c r="B3664" s="2" t="s">
        <v>35</v>
      </c>
      <c r="C3664" s="2" t="s">
        <v>28</v>
      </c>
      <c r="D3664" s="2" t="s">
        <v>29</v>
      </c>
      <c r="E3664" s="2">
        <v>123</v>
      </c>
      <c r="F3664" s="2">
        <v>247</v>
      </c>
      <c r="G3664" s="2">
        <v>455</v>
      </c>
      <c r="H3664" s="2">
        <v>1525</v>
      </c>
      <c r="I3664" s="2">
        <v>2939</v>
      </c>
      <c r="J3664" s="2">
        <v>2.4700000000000002</v>
      </c>
      <c r="K3664" s="2">
        <v>4.5199999999999996</v>
      </c>
      <c r="L3664" s="2">
        <v>11.2</v>
      </c>
      <c r="M3664" s="2">
        <v>15.55</v>
      </c>
      <c r="N3664" s="2">
        <v>2.690699408</v>
      </c>
      <c r="O3664" s="2">
        <v>2.7574183880000001</v>
      </c>
      <c r="P3664" s="2">
        <v>0.43277981700000001</v>
      </c>
      <c r="Q3664" s="2">
        <v>0.39983875499999999</v>
      </c>
      <c r="R3664" s="2">
        <v>5.1844284999999997E-2</v>
      </c>
      <c r="S3664" s="2">
        <v>1.1844285E-2</v>
      </c>
      <c r="T3664" s="2">
        <v>0.429663287</v>
      </c>
      <c r="U3664" s="2">
        <v>0.39966328699999998</v>
      </c>
      <c r="V3664" s="2">
        <v>1.514121295</v>
      </c>
      <c r="W3664" s="2">
        <v>1.4625673990000001</v>
      </c>
      <c r="X3664">
        <f t="shared" si="171"/>
        <v>0</v>
      </c>
      <c r="Y3664">
        <f t="shared" si="172"/>
        <v>0</v>
      </c>
      <c r="Z3664">
        <f t="shared" si="173"/>
        <v>1</v>
      </c>
    </row>
    <row r="3665" spans="1:26" ht="15.75" customHeight="1" x14ac:dyDescent="0.2">
      <c r="A3665" s="2" t="s">
        <v>36</v>
      </c>
      <c r="B3665" s="2" t="s">
        <v>35</v>
      </c>
      <c r="C3665" s="2" t="s">
        <v>32</v>
      </c>
      <c r="D3665" s="2" t="s">
        <v>33</v>
      </c>
      <c r="E3665" s="2">
        <v>120</v>
      </c>
      <c r="F3665" s="2">
        <v>219</v>
      </c>
      <c r="G3665" s="2">
        <v>733</v>
      </c>
      <c r="H3665" s="2">
        <v>1735</v>
      </c>
      <c r="I3665" s="2">
        <v>3382</v>
      </c>
      <c r="J3665" s="2">
        <v>2.16</v>
      </c>
      <c r="K3665" s="2">
        <v>6.77</v>
      </c>
      <c r="L3665" s="2">
        <v>12.06</v>
      </c>
      <c r="M3665" s="2">
        <v>16.440000000000001</v>
      </c>
      <c r="N3665" s="2">
        <v>0.78241444800000004</v>
      </c>
      <c r="O3665" s="2">
        <v>0.61393277499999999</v>
      </c>
      <c r="P3665" s="2">
        <v>2.2408971750000002</v>
      </c>
      <c r="Q3665" s="2">
        <v>2.2859892930000001</v>
      </c>
      <c r="R3665" s="2">
        <v>2.1997524749999999</v>
      </c>
      <c r="S3665" s="2">
        <v>2.239752475</v>
      </c>
      <c r="T3665" s="2">
        <v>0.42744496599999998</v>
      </c>
      <c r="U3665" s="2">
        <v>0.45744496600000001</v>
      </c>
      <c r="V3665" s="2">
        <v>3.7657180549999998</v>
      </c>
      <c r="W3665" s="2">
        <v>3.7141641590000001</v>
      </c>
      <c r="X3665">
        <f t="shared" si="171"/>
        <v>0</v>
      </c>
      <c r="Y3665">
        <f t="shared" si="172"/>
        <v>0</v>
      </c>
      <c r="Z3665">
        <f t="shared" si="173"/>
        <v>1</v>
      </c>
    </row>
    <row r="3666" spans="1:26" ht="15.75" customHeight="1" x14ac:dyDescent="0.2">
      <c r="A3666" s="2" t="s">
        <v>36</v>
      </c>
      <c r="B3666" s="2" t="s">
        <v>35</v>
      </c>
      <c r="C3666" s="2" t="s">
        <v>25</v>
      </c>
      <c r="D3666" s="2" t="s">
        <v>25</v>
      </c>
      <c r="E3666" s="2">
        <v>169</v>
      </c>
      <c r="F3666" s="2">
        <v>215</v>
      </c>
      <c r="G3666" s="2">
        <v>709</v>
      </c>
      <c r="H3666" s="2">
        <v>1962</v>
      </c>
      <c r="I3666" s="2">
        <v>3074</v>
      </c>
      <c r="J3666" s="2">
        <v>2.12</v>
      </c>
      <c r="K3666" s="2">
        <v>6.59</v>
      </c>
      <c r="L3666" s="2">
        <v>12.88</v>
      </c>
      <c r="M3666" s="2">
        <v>15.84</v>
      </c>
      <c r="N3666" s="2">
        <v>1.352307052</v>
      </c>
      <c r="O3666" s="2">
        <v>1.292181094</v>
      </c>
      <c r="P3666" s="2">
        <v>2.375950687</v>
      </c>
      <c r="Q3666" s="2">
        <v>2.4257586959999999</v>
      </c>
      <c r="R3666" s="2">
        <v>2.0194179370000001</v>
      </c>
      <c r="S3666" s="2">
        <v>2.0594179370000001</v>
      </c>
      <c r="T3666" s="2">
        <v>1.2518357980000001</v>
      </c>
      <c r="U3666" s="2">
        <v>1.2818357979999999</v>
      </c>
      <c r="V3666" s="2">
        <v>3.5853835169999999</v>
      </c>
      <c r="W3666" s="2">
        <v>3.5338296200000001</v>
      </c>
      <c r="X3666">
        <f t="shared" si="171"/>
        <v>0</v>
      </c>
      <c r="Y3666">
        <f t="shared" si="172"/>
        <v>0</v>
      </c>
      <c r="Z3666">
        <f t="shared" si="173"/>
        <v>0</v>
      </c>
    </row>
    <row r="3667" spans="1:26" ht="15.75" customHeight="1" x14ac:dyDescent="0.2">
      <c r="A3667" s="2" t="s">
        <v>36</v>
      </c>
      <c r="B3667" s="2" t="s">
        <v>35</v>
      </c>
      <c r="C3667" s="2" t="s">
        <v>27</v>
      </c>
      <c r="D3667" s="2" t="s">
        <v>27</v>
      </c>
      <c r="E3667" s="2">
        <v>143</v>
      </c>
      <c r="F3667" s="2">
        <v>233</v>
      </c>
      <c r="G3667" s="2">
        <v>413</v>
      </c>
      <c r="H3667" s="2">
        <v>2482</v>
      </c>
      <c r="I3667" s="2">
        <v>3051</v>
      </c>
      <c r="J3667" s="2">
        <v>2.3199999999999998</v>
      </c>
      <c r="K3667" s="2">
        <v>4.13</v>
      </c>
      <c r="L3667" s="2">
        <v>14.45</v>
      </c>
      <c r="M3667" s="2">
        <v>15.79</v>
      </c>
      <c r="N3667" s="2">
        <v>0.28221219400000003</v>
      </c>
      <c r="O3667" s="2">
        <v>0.27317759400000002</v>
      </c>
      <c r="P3667" s="2">
        <v>2.8539489570000001</v>
      </c>
      <c r="Q3667" s="2">
        <v>2.8778075969999999</v>
      </c>
      <c r="R3667" s="2">
        <v>0.43706378200000001</v>
      </c>
      <c r="S3667" s="2">
        <v>0.39706378199999998</v>
      </c>
      <c r="T3667" s="2">
        <v>2.820283656</v>
      </c>
      <c r="U3667" s="2">
        <v>2.8502836560000002</v>
      </c>
      <c r="V3667" s="2">
        <v>1.128901798</v>
      </c>
      <c r="W3667" s="2">
        <v>1.0773479020000001</v>
      </c>
      <c r="X3667">
        <f t="shared" si="171"/>
        <v>0</v>
      </c>
      <c r="Y3667">
        <f t="shared" si="172"/>
        <v>0</v>
      </c>
      <c r="Z3667">
        <f t="shared" si="173"/>
        <v>0</v>
      </c>
    </row>
    <row r="3668" spans="1:26" ht="15.75" customHeight="1" x14ac:dyDescent="0.2">
      <c r="A3668" s="2" t="s">
        <v>36</v>
      </c>
      <c r="B3668" s="2" t="s">
        <v>35</v>
      </c>
      <c r="C3668" s="2" t="s">
        <v>30</v>
      </c>
      <c r="D3668" s="2" t="s">
        <v>31</v>
      </c>
      <c r="E3668" s="2">
        <v>117</v>
      </c>
      <c r="F3668" s="2">
        <v>238</v>
      </c>
      <c r="G3668" s="2">
        <v>366</v>
      </c>
      <c r="H3668" s="2">
        <v>1111</v>
      </c>
      <c r="I3668" s="2">
        <v>2293</v>
      </c>
      <c r="J3668" s="2">
        <v>2.37</v>
      </c>
      <c r="K3668" s="2">
        <v>3.69</v>
      </c>
      <c r="L3668" s="2">
        <v>9.17</v>
      </c>
      <c r="M3668" s="2">
        <v>13.93</v>
      </c>
      <c r="N3668" s="2">
        <v>5.0199196370000001</v>
      </c>
      <c r="O3668" s="2">
        <v>5.0359844970000003</v>
      </c>
      <c r="P3668" s="2">
        <v>2.6168307660000001</v>
      </c>
      <c r="Q3668" s="2">
        <v>2.5752215710000002</v>
      </c>
      <c r="R3668" s="2">
        <v>0.88463952999999995</v>
      </c>
      <c r="S3668" s="2">
        <v>0.84463953000000003</v>
      </c>
      <c r="T3668" s="2">
        <v>2.4627659569999998</v>
      </c>
      <c r="U3668" s="2">
        <v>2.432765957</v>
      </c>
      <c r="V3668" s="2">
        <v>0.68132605000000002</v>
      </c>
      <c r="W3668" s="2">
        <v>0.62977215399999997</v>
      </c>
      <c r="X3668">
        <f t="shared" si="171"/>
        <v>0</v>
      </c>
      <c r="Y3668">
        <f t="shared" si="172"/>
        <v>0</v>
      </c>
      <c r="Z3668">
        <f t="shared" si="173"/>
        <v>1</v>
      </c>
    </row>
    <row r="3669" spans="1:26" ht="15.75" customHeight="1" x14ac:dyDescent="0.2">
      <c r="A3669" s="2" t="s">
        <v>36</v>
      </c>
      <c r="B3669" s="2" t="s">
        <v>35</v>
      </c>
      <c r="C3669" s="2" t="s">
        <v>25</v>
      </c>
      <c r="D3669" s="2" t="s">
        <v>25</v>
      </c>
      <c r="E3669" s="2">
        <v>157</v>
      </c>
      <c r="F3669" s="2">
        <v>213</v>
      </c>
      <c r="G3669" s="2">
        <v>870</v>
      </c>
      <c r="H3669" s="2">
        <v>1660</v>
      </c>
      <c r="I3669" s="2">
        <v>3022</v>
      </c>
      <c r="J3669" s="2">
        <v>2.09</v>
      </c>
      <c r="K3669" s="2">
        <v>7.71</v>
      </c>
      <c r="L3669" s="2">
        <v>11.76</v>
      </c>
      <c r="M3669" s="2">
        <v>15.73</v>
      </c>
      <c r="N3669" s="2">
        <v>0.23048986900000001</v>
      </c>
      <c r="O3669" s="2">
        <v>0.37558481500000002</v>
      </c>
      <c r="P3669" s="2">
        <v>3.1426180819999998</v>
      </c>
      <c r="Q3669" s="2">
        <v>3.1839871560000002</v>
      </c>
      <c r="R3669" s="2">
        <v>3.1397561550000002</v>
      </c>
      <c r="S3669" s="2">
        <v>3.1797561550000002</v>
      </c>
      <c r="T3669" s="2">
        <v>0.134088398</v>
      </c>
      <c r="U3669" s="2">
        <v>0.164088398</v>
      </c>
      <c r="V3669" s="2">
        <v>4.705721735</v>
      </c>
      <c r="W3669" s="2">
        <v>4.6541678390000003</v>
      </c>
      <c r="X3669">
        <f t="shared" si="171"/>
        <v>0</v>
      </c>
      <c r="Y3669">
        <f t="shared" si="172"/>
        <v>0</v>
      </c>
      <c r="Z3669">
        <f t="shared" si="173"/>
        <v>0</v>
      </c>
    </row>
    <row r="3670" spans="1:26" ht="15.75" customHeight="1" x14ac:dyDescent="0.2">
      <c r="A3670" s="2" t="s">
        <v>36</v>
      </c>
      <c r="B3670" s="2" t="s">
        <v>35</v>
      </c>
      <c r="C3670" s="2" t="s">
        <v>30</v>
      </c>
      <c r="D3670" s="2" t="s">
        <v>31</v>
      </c>
      <c r="E3670" s="2">
        <v>123</v>
      </c>
      <c r="F3670" s="2">
        <v>211</v>
      </c>
      <c r="G3670" s="2">
        <v>430</v>
      </c>
      <c r="H3670" s="2">
        <v>1089</v>
      </c>
      <c r="I3670" s="2">
        <v>2193</v>
      </c>
      <c r="J3670" s="2">
        <v>2.08</v>
      </c>
      <c r="K3670" s="2">
        <v>4.29</v>
      </c>
      <c r="L3670" s="2">
        <v>9.0399999999999991</v>
      </c>
      <c r="M3670" s="2">
        <v>13.63</v>
      </c>
      <c r="N3670" s="2">
        <v>5.1297943239999997</v>
      </c>
      <c r="O3670" s="2">
        <v>5.1518723800000004</v>
      </c>
      <c r="P3670" s="2">
        <v>2.6013165210000002</v>
      </c>
      <c r="Q3670" s="2">
        <v>2.5674523229999999</v>
      </c>
      <c r="R3670" s="2">
        <v>0.279510392</v>
      </c>
      <c r="S3670" s="2">
        <v>0.23951039199999999</v>
      </c>
      <c r="T3670" s="2">
        <v>2.5862562869999999</v>
      </c>
      <c r="U3670" s="2">
        <v>2.5562562870000001</v>
      </c>
      <c r="V3670" s="2">
        <v>1.2864551879999999</v>
      </c>
      <c r="W3670" s="2">
        <v>1.234901292</v>
      </c>
      <c r="X3670">
        <f t="shared" si="171"/>
        <v>0</v>
      </c>
      <c r="Y3670">
        <f t="shared" si="172"/>
        <v>0</v>
      </c>
      <c r="Z3670">
        <f t="shared" si="173"/>
        <v>1</v>
      </c>
    </row>
    <row r="3671" spans="1:26" ht="15.75" customHeight="1" x14ac:dyDescent="0.2">
      <c r="A3671" s="2" t="s">
        <v>36</v>
      </c>
      <c r="B3671" s="2" t="s">
        <v>35</v>
      </c>
      <c r="C3671" s="2" t="s">
        <v>25</v>
      </c>
      <c r="D3671" s="2" t="s">
        <v>25</v>
      </c>
      <c r="E3671" s="2">
        <v>147</v>
      </c>
      <c r="F3671" s="2">
        <v>286</v>
      </c>
      <c r="G3671" s="2">
        <v>845</v>
      </c>
      <c r="H3671" s="2">
        <v>1699</v>
      </c>
      <c r="I3671" s="2">
        <v>2209</v>
      </c>
      <c r="J3671" s="2">
        <v>2.88</v>
      </c>
      <c r="K3671" s="2">
        <v>7.54</v>
      </c>
      <c r="L3671" s="2">
        <v>11.92</v>
      </c>
      <c r="M3671" s="2">
        <v>13.67</v>
      </c>
      <c r="N3671" s="2">
        <v>0.38292462199999999</v>
      </c>
      <c r="O3671" s="2">
        <v>0.69392711699999998</v>
      </c>
      <c r="P3671" s="2">
        <v>2.5242100760000001</v>
      </c>
      <c r="Q3671" s="2">
        <v>2.6461941850000001</v>
      </c>
      <c r="R3671" s="2">
        <v>2.4842262900000001</v>
      </c>
      <c r="S3671" s="2">
        <v>2.5442262900000001</v>
      </c>
      <c r="T3671" s="2">
        <v>0.44750000000000001</v>
      </c>
      <c r="U3671" s="2">
        <v>0.72750000000000004</v>
      </c>
      <c r="V3671" s="2">
        <v>4.0997368759999997</v>
      </c>
      <c r="W3671" s="2">
        <v>4.1686288830000002</v>
      </c>
      <c r="X3671">
        <f t="shared" si="171"/>
        <v>0</v>
      </c>
      <c r="Y3671">
        <f t="shared" si="172"/>
        <v>0</v>
      </c>
      <c r="Z3671">
        <f t="shared" si="173"/>
        <v>0</v>
      </c>
    </row>
    <row r="3672" spans="1:26" ht="15.75" customHeight="1" x14ac:dyDescent="0.2">
      <c r="A3672" s="2" t="s">
        <v>36</v>
      </c>
      <c r="B3672" s="2" t="s">
        <v>35</v>
      </c>
      <c r="C3672" s="2" t="s">
        <v>26</v>
      </c>
      <c r="D3672" s="2" t="s">
        <v>26</v>
      </c>
      <c r="E3672" s="2">
        <v>147</v>
      </c>
      <c r="F3672" s="2">
        <v>207</v>
      </c>
      <c r="G3672" s="2">
        <v>500</v>
      </c>
      <c r="H3672" s="2">
        <v>1268</v>
      </c>
      <c r="I3672" s="2">
        <v>2959</v>
      </c>
      <c r="J3672" s="2">
        <v>2.0299999999999998</v>
      </c>
      <c r="K3672" s="2">
        <v>4.92</v>
      </c>
      <c r="L3672" s="2">
        <v>10</v>
      </c>
      <c r="M3672" s="2">
        <v>15.6</v>
      </c>
      <c r="N3672" s="2">
        <v>1.024346685</v>
      </c>
      <c r="O3672" s="2">
        <v>1.307183779</v>
      </c>
      <c r="P3672" s="2">
        <v>1.47347457</v>
      </c>
      <c r="Q3672" s="2">
        <v>1.18956036</v>
      </c>
      <c r="R3672" s="2">
        <v>0.137918981</v>
      </c>
      <c r="S3672" s="2">
        <v>7.7918980999999998E-2</v>
      </c>
      <c r="T3672" s="2">
        <v>1.4670056789999999</v>
      </c>
      <c r="U3672" s="2">
        <v>1.1870056790000001</v>
      </c>
      <c r="V3672" s="2">
        <v>1.477591605</v>
      </c>
      <c r="W3672" s="2">
        <v>1.5464836120000001</v>
      </c>
      <c r="X3672">
        <f t="shared" si="171"/>
        <v>0</v>
      </c>
      <c r="Y3672">
        <f t="shared" si="172"/>
        <v>0</v>
      </c>
      <c r="Z3672">
        <f t="shared" si="173"/>
        <v>0</v>
      </c>
    </row>
    <row r="3673" spans="1:26" ht="15.75" customHeight="1" x14ac:dyDescent="0.2">
      <c r="A3673" s="2" t="s">
        <v>36</v>
      </c>
      <c r="B3673" s="2" t="s">
        <v>35</v>
      </c>
      <c r="C3673" s="2" t="s">
        <v>27</v>
      </c>
      <c r="D3673" s="2" t="s">
        <v>27</v>
      </c>
      <c r="E3673" s="2">
        <v>195</v>
      </c>
      <c r="F3673" s="2">
        <v>200</v>
      </c>
      <c r="G3673" s="2">
        <v>476</v>
      </c>
      <c r="H3673" s="2">
        <v>2140</v>
      </c>
      <c r="I3673" s="2">
        <v>2916</v>
      </c>
      <c r="J3673" s="2">
        <v>1.95</v>
      </c>
      <c r="K3673" s="2">
        <v>4.71</v>
      </c>
      <c r="L3673" s="2">
        <v>13.46</v>
      </c>
      <c r="M3673" s="2">
        <v>15.5</v>
      </c>
      <c r="N3673" s="2">
        <v>0.36613081600000003</v>
      </c>
      <c r="O3673" s="2">
        <v>9.1004222999999995E-2</v>
      </c>
      <c r="P3673" s="2">
        <v>2.0237126390000002</v>
      </c>
      <c r="Q3673" s="2">
        <v>2.2917203380000002</v>
      </c>
      <c r="R3673" s="2">
        <v>0.34831303899999999</v>
      </c>
      <c r="S3673" s="2">
        <v>0.28831303899999999</v>
      </c>
      <c r="T3673" s="2">
        <v>1.9935121950000001</v>
      </c>
      <c r="U3673" s="2">
        <v>2.2735121949999999</v>
      </c>
      <c r="V3673" s="2">
        <v>1.267197548</v>
      </c>
      <c r="W3673" s="2">
        <v>1.336089554</v>
      </c>
      <c r="X3673">
        <f t="shared" si="171"/>
        <v>0</v>
      </c>
      <c r="Y3673">
        <f t="shared" si="172"/>
        <v>0</v>
      </c>
      <c r="Z3673">
        <f t="shared" si="173"/>
        <v>0</v>
      </c>
    </row>
    <row r="3674" spans="1:26" ht="15.75" customHeight="1" x14ac:dyDescent="0.2">
      <c r="A3674" s="2" t="s">
        <v>36</v>
      </c>
      <c r="B3674" s="2" t="s">
        <v>35</v>
      </c>
      <c r="C3674" s="2" t="s">
        <v>28</v>
      </c>
      <c r="D3674" s="2" t="s">
        <v>29</v>
      </c>
      <c r="E3674" s="2">
        <v>145</v>
      </c>
      <c r="F3674" s="2">
        <v>234</v>
      </c>
      <c r="G3674" s="2">
        <v>407</v>
      </c>
      <c r="H3674" s="2">
        <v>1144</v>
      </c>
      <c r="I3674" s="2">
        <v>2546</v>
      </c>
      <c r="J3674" s="2">
        <v>2.33</v>
      </c>
      <c r="K3674" s="2">
        <v>4.08</v>
      </c>
      <c r="L3674" s="2">
        <v>9.35</v>
      </c>
      <c r="M3674" s="2">
        <v>14.62</v>
      </c>
      <c r="N3674" s="2">
        <v>0.77880763500000005</v>
      </c>
      <c r="O3674" s="2">
        <v>0.91296082000000001</v>
      </c>
      <c r="P3674" s="2">
        <v>2.3346744469999998</v>
      </c>
      <c r="Q3674" s="2">
        <v>2.0563213560000002</v>
      </c>
      <c r="R3674" s="2">
        <v>0.98008449500000006</v>
      </c>
      <c r="S3674" s="2">
        <v>0.920084495</v>
      </c>
      <c r="T3674" s="2">
        <v>2.118994845</v>
      </c>
      <c r="U3674" s="2">
        <v>1.838994845</v>
      </c>
      <c r="V3674" s="2">
        <v>0.635426092</v>
      </c>
      <c r="W3674" s="2">
        <v>0.704318098</v>
      </c>
      <c r="X3674">
        <f t="shared" si="171"/>
        <v>0</v>
      </c>
      <c r="Y3674">
        <f t="shared" si="172"/>
        <v>0</v>
      </c>
      <c r="Z3674">
        <f t="shared" si="173"/>
        <v>1</v>
      </c>
    </row>
    <row r="3675" spans="1:26" ht="15.75" customHeight="1" x14ac:dyDescent="0.2">
      <c r="A3675" s="2" t="s">
        <v>36</v>
      </c>
      <c r="B3675" s="2" t="s">
        <v>35</v>
      </c>
      <c r="C3675" s="2" t="s">
        <v>30</v>
      </c>
      <c r="D3675" s="2" t="s">
        <v>31</v>
      </c>
      <c r="E3675" s="2">
        <v>183</v>
      </c>
      <c r="F3675" s="2">
        <v>266</v>
      </c>
      <c r="G3675" s="2">
        <v>814</v>
      </c>
      <c r="H3675" s="2">
        <v>1337</v>
      </c>
      <c r="I3675" s="2">
        <v>2212</v>
      </c>
      <c r="J3675" s="2">
        <v>2.67</v>
      </c>
      <c r="K3675" s="2">
        <v>7.34</v>
      </c>
      <c r="L3675" s="2">
        <v>10.34</v>
      </c>
      <c r="M3675" s="2">
        <v>13.68</v>
      </c>
      <c r="N3675" s="2">
        <v>4.280657605</v>
      </c>
      <c r="O3675" s="2">
        <v>4.1289290740000002</v>
      </c>
      <c r="P3675" s="2">
        <v>2.5432176379999998</v>
      </c>
      <c r="Q3675" s="2">
        <v>2.4883325520000001</v>
      </c>
      <c r="R3675" s="2">
        <v>2.2793776280000002</v>
      </c>
      <c r="S3675" s="2">
        <v>2.3393776279999998</v>
      </c>
      <c r="T3675" s="2">
        <v>1.1280042459999999</v>
      </c>
      <c r="U3675" s="2">
        <v>0.84800424600000002</v>
      </c>
      <c r="V3675" s="2">
        <v>3.8948882149999999</v>
      </c>
      <c r="W3675" s="2">
        <v>3.9637802209999999</v>
      </c>
      <c r="X3675">
        <f t="shared" si="171"/>
        <v>0</v>
      </c>
      <c r="Y3675">
        <f t="shared" si="172"/>
        <v>0</v>
      </c>
      <c r="Z3675">
        <f t="shared" si="173"/>
        <v>1</v>
      </c>
    </row>
    <row r="3676" spans="1:26" ht="15.75" customHeight="1" x14ac:dyDescent="0.2">
      <c r="A3676" s="2" t="s">
        <v>36</v>
      </c>
      <c r="B3676" s="2" t="s">
        <v>35</v>
      </c>
      <c r="C3676" s="2" t="s">
        <v>26</v>
      </c>
      <c r="D3676" s="2" t="s">
        <v>26</v>
      </c>
      <c r="E3676" s="2">
        <v>141</v>
      </c>
      <c r="F3676" s="2">
        <v>202</v>
      </c>
      <c r="G3676" s="2">
        <v>522</v>
      </c>
      <c r="H3676" s="2">
        <v>924</v>
      </c>
      <c r="I3676" s="2">
        <v>2806</v>
      </c>
      <c r="J3676" s="2">
        <v>1.98</v>
      </c>
      <c r="K3676" s="2">
        <v>5.1100000000000003</v>
      </c>
      <c r="L3676" s="2">
        <v>8.06</v>
      </c>
      <c r="M3676" s="2">
        <v>15.26</v>
      </c>
      <c r="N3676" s="2">
        <v>0.98711240899999997</v>
      </c>
      <c r="O3676" s="2">
        <v>0.74927107400000004</v>
      </c>
      <c r="P3676" s="2">
        <v>3.4085888010000001</v>
      </c>
      <c r="Q3676" s="2">
        <v>3.1300672710000002</v>
      </c>
      <c r="R3676" s="2">
        <v>4.5681666000000003E-2</v>
      </c>
      <c r="S3676" s="2">
        <v>0.10568166599999999</v>
      </c>
      <c r="T3676" s="2">
        <v>3.4082826769999999</v>
      </c>
      <c r="U3676" s="2">
        <v>3.1282826770000001</v>
      </c>
      <c r="V3676" s="2">
        <v>1.661192252</v>
      </c>
      <c r="W3676" s="2">
        <v>1.7300842590000001</v>
      </c>
      <c r="X3676">
        <f t="shared" si="171"/>
        <v>0</v>
      </c>
      <c r="Y3676">
        <f t="shared" si="172"/>
        <v>0</v>
      </c>
      <c r="Z3676">
        <f t="shared" si="173"/>
        <v>0</v>
      </c>
    </row>
    <row r="3677" spans="1:26" ht="15.75" customHeight="1" x14ac:dyDescent="0.2">
      <c r="A3677" s="2" t="s">
        <v>36</v>
      </c>
      <c r="B3677" s="2" t="s">
        <v>35</v>
      </c>
      <c r="C3677" s="2" t="s">
        <v>28</v>
      </c>
      <c r="D3677" s="2" t="s">
        <v>29</v>
      </c>
      <c r="E3677" s="2">
        <v>123</v>
      </c>
      <c r="F3677" s="2">
        <v>161</v>
      </c>
      <c r="G3677" s="2">
        <v>610</v>
      </c>
      <c r="H3677" s="2">
        <v>1177</v>
      </c>
      <c r="I3677" s="2">
        <v>2170</v>
      </c>
      <c r="J3677" s="2">
        <v>1.5</v>
      </c>
      <c r="K3677" s="2">
        <v>5.83</v>
      </c>
      <c r="L3677" s="2">
        <v>9.5299999999999994</v>
      </c>
      <c r="M3677" s="2">
        <v>13.56</v>
      </c>
      <c r="N3677" s="2">
        <v>1.189126964</v>
      </c>
      <c r="O3677" s="2">
        <v>1.3710514810000001</v>
      </c>
      <c r="P3677" s="2">
        <v>2.0900211259999999</v>
      </c>
      <c r="Q3677" s="2">
        <v>1.85870384</v>
      </c>
      <c r="R3677" s="2">
        <v>0.77081074100000002</v>
      </c>
      <c r="S3677" s="2">
        <v>0.83081074099999996</v>
      </c>
      <c r="T3677" s="2">
        <v>1.9426886290000001</v>
      </c>
      <c r="U3677" s="2">
        <v>1.662688629</v>
      </c>
      <c r="V3677" s="2">
        <v>2.3863213270000001</v>
      </c>
      <c r="W3677" s="2">
        <v>2.4552133340000002</v>
      </c>
      <c r="X3677">
        <f t="shared" si="171"/>
        <v>0</v>
      </c>
      <c r="Y3677">
        <f t="shared" si="172"/>
        <v>0</v>
      </c>
      <c r="Z3677">
        <f t="shared" si="173"/>
        <v>1</v>
      </c>
    </row>
    <row r="3678" spans="1:26" ht="15.75" customHeight="1" x14ac:dyDescent="0.2">
      <c r="A3678" s="2" t="s">
        <v>36</v>
      </c>
      <c r="B3678" s="2" t="s">
        <v>35</v>
      </c>
      <c r="C3678" s="2" t="s">
        <v>32</v>
      </c>
      <c r="D3678" s="2" t="s">
        <v>33</v>
      </c>
      <c r="E3678" s="2">
        <v>164</v>
      </c>
      <c r="F3678" s="2">
        <v>237</v>
      </c>
      <c r="G3678" s="2">
        <v>590</v>
      </c>
      <c r="H3678" s="2">
        <v>1238</v>
      </c>
      <c r="I3678" s="2">
        <v>2332</v>
      </c>
      <c r="J3678" s="2">
        <v>2.37</v>
      </c>
      <c r="K3678" s="2">
        <v>5.67</v>
      </c>
      <c r="L3678" s="2">
        <v>9.85</v>
      </c>
      <c r="M3678" s="2">
        <v>14.04</v>
      </c>
      <c r="N3678" s="2">
        <v>2.4781546959999998</v>
      </c>
      <c r="O3678" s="2">
        <v>2.2538740650000002</v>
      </c>
      <c r="P3678" s="2">
        <v>1.734090795</v>
      </c>
      <c r="Q3678" s="2">
        <v>1.5011259690000001</v>
      </c>
      <c r="R3678" s="2">
        <v>0.61040397400000002</v>
      </c>
      <c r="S3678" s="2">
        <v>0.67040397399999996</v>
      </c>
      <c r="T3678" s="2">
        <v>1.623107474</v>
      </c>
      <c r="U3678" s="2">
        <v>1.343107474</v>
      </c>
      <c r="V3678" s="2">
        <v>2.2259145610000002</v>
      </c>
      <c r="W3678" s="2">
        <v>2.2948065679999998</v>
      </c>
      <c r="X3678">
        <f t="shared" si="171"/>
        <v>0</v>
      </c>
      <c r="Y3678">
        <f t="shared" si="172"/>
        <v>0</v>
      </c>
      <c r="Z3678">
        <f t="shared" si="173"/>
        <v>1</v>
      </c>
    </row>
    <row r="3679" spans="1:26" ht="15.75" customHeight="1" x14ac:dyDescent="0.2">
      <c r="A3679" s="2" t="s">
        <v>36</v>
      </c>
      <c r="B3679" s="2" t="s">
        <v>35</v>
      </c>
      <c r="C3679" s="2" t="s">
        <v>32</v>
      </c>
      <c r="D3679" s="2" t="s">
        <v>33</v>
      </c>
      <c r="E3679" s="2">
        <v>201</v>
      </c>
      <c r="F3679" s="2">
        <v>221</v>
      </c>
      <c r="G3679" s="2">
        <v>656</v>
      </c>
      <c r="H3679" s="2">
        <v>1264</v>
      </c>
      <c r="I3679" s="2">
        <v>3486</v>
      </c>
      <c r="J3679" s="2">
        <v>2.19</v>
      </c>
      <c r="K3679" s="2">
        <v>6.2</v>
      </c>
      <c r="L3679" s="2">
        <v>9.98</v>
      </c>
      <c r="M3679" s="2">
        <v>16.63</v>
      </c>
      <c r="N3679" s="2">
        <v>2.019879564</v>
      </c>
      <c r="O3679" s="2">
        <v>1.770124043</v>
      </c>
      <c r="P3679" s="2">
        <v>1.8725013779999999</v>
      </c>
      <c r="Q3679" s="2">
        <v>1.7002215899999999</v>
      </c>
      <c r="R3679" s="2">
        <v>1.1355561219999999</v>
      </c>
      <c r="S3679" s="2">
        <v>1.1955561219999999</v>
      </c>
      <c r="T3679" s="2">
        <v>1.4888833749999999</v>
      </c>
      <c r="U3679" s="2">
        <v>1.2088833750000001</v>
      </c>
      <c r="V3679" s="2">
        <v>2.7510667080000002</v>
      </c>
      <c r="W3679" s="2">
        <v>2.8199587149999998</v>
      </c>
      <c r="X3679">
        <f t="shared" si="171"/>
        <v>0</v>
      </c>
      <c r="Y3679">
        <f t="shared" si="172"/>
        <v>0</v>
      </c>
      <c r="Z3679">
        <f t="shared" si="173"/>
        <v>1</v>
      </c>
    </row>
    <row r="3680" spans="1:26" ht="15.75" customHeight="1" x14ac:dyDescent="0.2">
      <c r="A3680" s="2" t="s">
        <v>36</v>
      </c>
      <c r="B3680" s="2" t="s">
        <v>35</v>
      </c>
      <c r="C3680" s="2" t="s">
        <v>25</v>
      </c>
      <c r="D3680" s="2" t="s">
        <v>25</v>
      </c>
      <c r="E3680" s="2">
        <v>210</v>
      </c>
      <c r="F3680" s="2">
        <v>233</v>
      </c>
      <c r="G3680" s="2">
        <v>859</v>
      </c>
      <c r="H3680" s="2">
        <v>1786</v>
      </c>
      <c r="I3680" s="2">
        <v>2345</v>
      </c>
      <c r="J3680" s="2">
        <v>2.3199999999999998</v>
      </c>
      <c r="K3680" s="2">
        <v>7.64</v>
      </c>
      <c r="L3680" s="2">
        <v>12.25</v>
      </c>
      <c r="M3680" s="2">
        <v>14.07</v>
      </c>
      <c r="N3680" s="2">
        <v>0.72997981899999997</v>
      </c>
      <c r="O3680" s="2">
        <v>1.0397562520000001</v>
      </c>
      <c r="P3680" s="2">
        <v>2.6955196730000002</v>
      </c>
      <c r="Q3680" s="2">
        <v>2.8452552710000001</v>
      </c>
      <c r="R3680" s="2">
        <v>2.579489181</v>
      </c>
      <c r="S3680" s="2">
        <v>2.6394891810000001</v>
      </c>
      <c r="T3680" s="2">
        <v>0.78234383299999999</v>
      </c>
      <c r="U3680" s="2">
        <v>1.0623438329999999</v>
      </c>
      <c r="V3680" s="2">
        <v>4.1949997669999997</v>
      </c>
      <c r="W3680" s="2">
        <v>4.2638917740000002</v>
      </c>
      <c r="X3680">
        <f t="shared" si="171"/>
        <v>0</v>
      </c>
      <c r="Y3680">
        <f t="shared" si="172"/>
        <v>0</v>
      </c>
      <c r="Z3680">
        <f t="shared" si="173"/>
        <v>0</v>
      </c>
    </row>
    <row r="3681" spans="1:26" ht="15.75" customHeight="1" x14ac:dyDescent="0.2">
      <c r="A3681" s="2" t="s">
        <v>36</v>
      </c>
      <c r="B3681" s="2" t="s">
        <v>35</v>
      </c>
      <c r="C3681" s="2" t="s">
        <v>32</v>
      </c>
      <c r="D3681" s="2" t="s">
        <v>33</v>
      </c>
      <c r="E3681" s="2">
        <v>178</v>
      </c>
      <c r="F3681" s="2">
        <v>238</v>
      </c>
      <c r="G3681" s="2">
        <v>669</v>
      </c>
      <c r="H3681" s="2">
        <v>1082</v>
      </c>
      <c r="I3681" s="2">
        <v>2576</v>
      </c>
      <c r="J3681" s="2">
        <v>2.37</v>
      </c>
      <c r="K3681" s="2">
        <v>6.29</v>
      </c>
      <c r="L3681" s="2">
        <v>9.01</v>
      </c>
      <c r="M3681" s="2">
        <v>14.69</v>
      </c>
      <c r="N3681" s="2">
        <v>2.7974757920000002</v>
      </c>
      <c r="O3681" s="2">
        <v>2.5061252029999999</v>
      </c>
      <c r="P3681" s="2">
        <v>2.7561421140000002</v>
      </c>
      <c r="Q3681" s="2">
        <v>2.5390244929999999</v>
      </c>
      <c r="R3681" s="2">
        <v>1.2348580119999999</v>
      </c>
      <c r="S3681" s="2">
        <v>1.2948580119999999</v>
      </c>
      <c r="T3681" s="2">
        <v>2.4640302429999998</v>
      </c>
      <c r="U3681" s="2">
        <v>2.184030243</v>
      </c>
      <c r="V3681" s="2">
        <v>2.8503685989999998</v>
      </c>
      <c r="W3681" s="2">
        <v>2.9192606049999998</v>
      </c>
      <c r="X3681">
        <f t="shared" si="171"/>
        <v>0</v>
      </c>
      <c r="Y3681">
        <f t="shared" si="172"/>
        <v>0</v>
      </c>
      <c r="Z3681">
        <f t="shared" si="173"/>
        <v>1</v>
      </c>
    </row>
    <row r="3682" spans="1:26" ht="15.75" customHeight="1" x14ac:dyDescent="0.2">
      <c r="A3682" s="2" t="s">
        <v>36</v>
      </c>
      <c r="B3682" s="2" t="s">
        <v>35</v>
      </c>
      <c r="C3682" s="2" t="s">
        <v>32</v>
      </c>
      <c r="D3682" s="2" t="s">
        <v>33</v>
      </c>
      <c r="E3682" s="2">
        <v>186</v>
      </c>
      <c r="F3682" s="2">
        <v>236</v>
      </c>
      <c r="G3682" s="2">
        <v>824</v>
      </c>
      <c r="H3682" s="2">
        <v>1398</v>
      </c>
      <c r="I3682" s="2">
        <v>2961</v>
      </c>
      <c r="J3682" s="2">
        <v>2.35</v>
      </c>
      <c r="K3682" s="2">
        <v>7.41</v>
      </c>
      <c r="L3682" s="2">
        <v>10.63</v>
      </c>
      <c r="M3682" s="2">
        <v>15.6</v>
      </c>
      <c r="N3682" s="2">
        <v>0.91292580000000001</v>
      </c>
      <c r="O3682" s="2">
        <v>0.60154482200000003</v>
      </c>
      <c r="P3682" s="2">
        <v>2.4931828569999999</v>
      </c>
      <c r="Q3682" s="2">
        <v>2.4716855990000002</v>
      </c>
      <c r="R3682" s="2">
        <v>2.347403328</v>
      </c>
      <c r="S3682" s="2">
        <v>2.407403328</v>
      </c>
      <c r="T3682" s="2">
        <v>0.84003474600000005</v>
      </c>
      <c r="U3682" s="2">
        <v>0.56003474600000003</v>
      </c>
      <c r="V3682" s="2">
        <v>3.9629139150000001</v>
      </c>
      <c r="W3682" s="2">
        <v>4.0318059210000001</v>
      </c>
      <c r="X3682">
        <f t="shared" si="171"/>
        <v>0</v>
      </c>
      <c r="Y3682">
        <f t="shared" si="172"/>
        <v>0</v>
      </c>
      <c r="Z3682">
        <f t="shared" si="173"/>
        <v>1</v>
      </c>
    </row>
    <row r="3683" spans="1:26" ht="15.75" customHeight="1" x14ac:dyDescent="0.2">
      <c r="A3683" s="2" t="s">
        <v>36</v>
      </c>
      <c r="B3683" s="2" t="s">
        <v>35</v>
      </c>
      <c r="C3683" s="2" t="s">
        <v>25</v>
      </c>
      <c r="D3683" s="2" t="s">
        <v>25</v>
      </c>
      <c r="E3683" s="2">
        <v>170</v>
      </c>
      <c r="F3683" s="2">
        <v>250</v>
      </c>
      <c r="G3683" s="2">
        <v>795</v>
      </c>
      <c r="H3683" s="2">
        <v>1625</v>
      </c>
      <c r="I3683" s="2">
        <v>2180</v>
      </c>
      <c r="J3683" s="2">
        <v>2.5099999999999998</v>
      </c>
      <c r="K3683" s="2">
        <v>7.2</v>
      </c>
      <c r="L3683" s="2">
        <v>11.62</v>
      </c>
      <c r="M3683" s="2">
        <v>13.59</v>
      </c>
      <c r="N3683" s="2">
        <v>0.28749589399999997</v>
      </c>
      <c r="O3683" s="2">
        <v>0.46187446799999998</v>
      </c>
      <c r="P3683" s="2">
        <v>2.149463956</v>
      </c>
      <c r="Q3683" s="2">
        <v>2.2458980679999998</v>
      </c>
      <c r="R3683" s="2">
        <v>2.1441529529999999</v>
      </c>
      <c r="S3683" s="2">
        <v>2.2041529529999999</v>
      </c>
      <c r="T3683" s="2">
        <v>0.151007997</v>
      </c>
      <c r="U3683" s="2">
        <v>0.43100799699999998</v>
      </c>
      <c r="V3683" s="2">
        <v>3.7596635389999999</v>
      </c>
      <c r="W3683" s="2">
        <v>3.828555546</v>
      </c>
      <c r="X3683">
        <f t="shared" si="171"/>
        <v>0</v>
      </c>
      <c r="Y3683">
        <f t="shared" si="172"/>
        <v>0</v>
      </c>
      <c r="Z3683">
        <f t="shared" si="173"/>
        <v>0</v>
      </c>
    </row>
    <row r="3684" spans="1:26" ht="15.75" customHeight="1" x14ac:dyDescent="0.2">
      <c r="A3684" s="2" t="s">
        <v>36</v>
      </c>
      <c r="B3684" s="2" t="s">
        <v>35</v>
      </c>
      <c r="C3684" s="2" t="s">
        <v>25</v>
      </c>
      <c r="D3684" s="2" t="s">
        <v>25</v>
      </c>
      <c r="E3684" s="2">
        <v>160</v>
      </c>
      <c r="F3684" s="2">
        <v>197</v>
      </c>
      <c r="G3684" s="2">
        <v>876</v>
      </c>
      <c r="H3684" s="2">
        <v>1587</v>
      </c>
      <c r="I3684" s="2">
        <v>2273</v>
      </c>
      <c r="J3684" s="2">
        <v>1.92</v>
      </c>
      <c r="K3684" s="2">
        <v>7.75</v>
      </c>
      <c r="L3684" s="2">
        <v>11.47</v>
      </c>
      <c r="M3684" s="2">
        <v>13.87</v>
      </c>
      <c r="N3684" s="2">
        <v>0.28094902700000002</v>
      </c>
      <c r="O3684" s="2">
        <v>0.383118399</v>
      </c>
      <c r="P3684" s="2">
        <v>2.6912290649999999</v>
      </c>
      <c r="Q3684" s="2">
        <v>2.7651095720000001</v>
      </c>
      <c r="R3684" s="2">
        <v>2.69122708</v>
      </c>
      <c r="S3684" s="2">
        <v>2.75122708</v>
      </c>
      <c r="T3684" s="2">
        <v>3.268183E-3</v>
      </c>
      <c r="U3684" s="2">
        <v>0.27673181699999999</v>
      </c>
      <c r="V3684" s="2">
        <v>4.3067376670000002</v>
      </c>
      <c r="W3684" s="2">
        <v>4.3756296739999998</v>
      </c>
      <c r="X3684">
        <f t="shared" si="171"/>
        <v>0</v>
      </c>
      <c r="Y3684">
        <f t="shared" si="172"/>
        <v>0</v>
      </c>
      <c r="Z3684">
        <f t="shared" si="173"/>
        <v>0</v>
      </c>
    </row>
    <row r="3685" spans="1:26" ht="15.75" customHeight="1" x14ac:dyDescent="0.2">
      <c r="A3685" s="2" t="s">
        <v>36</v>
      </c>
      <c r="B3685" s="2" t="s">
        <v>35</v>
      </c>
      <c r="C3685" s="2" t="s">
        <v>27</v>
      </c>
      <c r="D3685" s="2" t="s">
        <v>27</v>
      </c>
      <c r="E3685" s="2">
        <v>146</v>
      </c>
      <c r="F3685" s="2">
        <v>174</v>
      </c>
      <c r="G3685" s="2">
        <v>473</v>
      </c>
      <c r="H3685" s="2">
        <v>2289</v>
      </c>
      <c r="I3685" s="2">
        <v>2827</v>
      </c>
      <c r="J3685" s="2">
        <v>1.66</v>
      </c>
      <c r="K3685" s="2">
        <v>4.68</v>
      </c>
      <c r="L3685" s="2">
        <v>13.91</v>
      </c>
      <c r="M3685" s="2">
        <v>15.3</v>
      </c>
      <c r="N3685" s="2">
        <v>0.18260832599999999</v>
      </c>
      <c r="O3685" s="2">
        <v>0.36800986200000002</v>
      </c>
      <c r="P3685" s="2">
        <v>2.4724532300000002</v>
      </c>
      <c r="Q3685" s="2">
        <v>2.7417836750000002</v>
      </c>
      <c r="R3685" s="2">
        <v>0.380822143</v>
      </c>
      <c r="S3685" s="2">
        <v>0.320822143</v>
      </c>
      <c r="T3685" s="2">
        <v>2.4429489289999999</v>
      </c>
      <c r="U3685" s="2">
        <v>2.7229489290000002</v>
      </c>
      <c r="V3685" s="2">
        <v>1.2346884440000001</v>
      </c>
      <c r="W3685" s="2">
        <v>1.3035804499999999</v>
      </c>
      <c r="X3685">
        <f t="shared" si="171"/>
        <v>0</v>
      </c>
      <c r="Y3685">
        <f t="shared" si="172"/>
        <v>0</v>
      </c>
      <c r="Z3685">
        <f t="shared" si="173"/>
        <v>0</v>
      </c>
    </row>
    <row r="3686" spans="1:26" ht="15.75" customHeight="1" x14ac:dyDescent="0.2">
      <c r="A3686" s="2" t="s">
        <v>36</v>
      </c>
      <c r="B3686" s="2" t="s">
        <v>35</v>
      </c>
      <c r="C3686" s="2" t="s">
        <v>30</v>
      </c>
      <c r="D3686" s="2" t="s">
        <v>31</v>
      </c>
      <c r="E3686" s="2">
        <v>180</v>
      </c>
      <c r="F3686" s="2">
        <v>223</v>
      </c>
      <c r="G3686" s="2">
        <v>861</v>
      </c>
      <c r="H3686" s="2">
        <v>1349</v>
      </c>
      <c r="I3686" s="2">
        <v>3449</v>
      </c>
      <c r="J3686" s="2">
        <v>2.21</v>
      </c>
      <c r="K3686" s="2">
        <v>7.65</v>
      </c>
      <c r="L3686" s="2">
        <v>10.4</v>
      </c>
      <c r="M3686" s="2">
        <v>16.559999999999999</v>
      </c>
      <c r="N3686" s="2">
        <v>4.4295041250000002</v>
      </c>
      <c r="O3686" s="2">
        <v>4.2930817599999997</v>
      </c>
      <c r="P3686" s="2">
        <v>2.8075436219999998</v>
      </c>
      <c r="Q3686" s="2">
        <v>2.7704654569999998</v>
      </c>
      <c r="R3686" s="2">
        <v>2.5949054820000002</v>
      </c>
      <c r="S3686" s="2">
        <v>2.6549054820000002</v>
      </c>
      <c r="T3686" s="2">
        <v>1.0718053599999999</v>
      </c>
      <c r="U3686" s="2">
        <v>0.79180536000000001</v>
      </c>
      <c r="V3686" s="2">
        <v>4.2104160689999999</v>
      </c>
      <c r="W3686" s="2">
        <v>4.2793080750000003</v>
      </c>
      <c r="X3686">
        <f t="shared" si="171"/>
        <v>0</v>
      </c>
      <c r="Y3686">
        <f t="shared" si="172"/>
        <v>0</v>
      </c>
      <c r="Z3686">
        <f t="shared" si="173"/>
        <v>1</v>
      </c>
    </row>
    <row r="3687" spans="1:26" ht="15.75" customHeight="1" x14ac:dyDescent="0.2">
      <c r="A3687" s="2" t="s">
        <v>36</v>
      </c>
      <c r="B3687" s="2" t="s">
        <v>35</v>
      </c>
      <c r="C3687" s="2" t="s">
        <v>28</v>
      </c>
      <c r="D3687" s="2" t="s">
        <v>29</v>
      </c>
      <c r="E3687" s="2">
        <v>131</v>
      </c>
      <c r="F3687" s="2">
        <v>183</v>
      </c>
      <c r="G3687" s="2">
        <v>697</v>
      </c>
      <c r="H3687" s="2">
        <v>1296</v>
      </c>
      <c r="I3687" s="2">
        <v>2956</v>
      </c>
      <c r="J3687" s="2">
        <v>1.76</v>
      </c>
      <c r="K3687" s="2">
        <v>6.5</v>
      </c>
      <c r="L3687" s="2">
        <v>10.14</v>
      </c>
      <c r="M3687" s="2">
        <v>15.59</v>
      </c>
      <c r="N3687" s="2">
        <v>2.0814532639999999</v>
      </c>
      <c r="O3687" s="2">
        <v>2.279635656</v>
      </c>
      <c r="P3687" s="2">
        <v>1.960402733</v>
      </c>
      <c r="Q3687" s="2">
        <v>1.831717292</v>
      </c>
      <c r="R3687" s="2">
        <v>1.4429582240000001</v>
      </c>
      <c r="S3687" s="2">
        <v>1.5029582239999999</v>
      </c>
      <c r="T3687" s="2">
        <v>1.327045757</v>
      </c>
      <c r="U3687" s="2">
        <v>1.047045757</v>
      </c>
      <c r="V3687" s="2">
        <v>3.0584688099999999</v>
      </c>
      <c r="W3687" s="2">
        <v>3.127360817</v>
      </c>
      <c r="X3687">
        <f t="shared" si="171"/>
        <v>0</v>
      </c>
      <c r="Y3687">
        <f t="shared" si="172"/>
        <v>0</v>
      </c>
      <c r="Z3687">
        <f t="shared" si="173"/>
        <v>1</v>
      </c>
    </row>
    <row r="3688" spans="1:26" ht="15.75" customHeight="1" x14ac:dyDescent="0.2">
      <c r="A3688" s="2" t="s">
        <v>36</v>
      </c>
      <c r="B3688" s="2" t="s">
        <v>35</v>
      </c>
      <c r="C3688" s="2" t="s">
        <v>28</v>
      </c>
      <c r="D3688" s="2" t="s">
        <v>29</v>
      </c>
      <c r="E3688" s="2">
        <v>200</v>
      </c>
      <c r="F3688" s="2">
        <v>199</v>
      </c>
      <c r="G3688" s="2">
        <v>351</v>
      </c>
      <c r="H3688" s="2">
        <v>1257</v>
      </c>
      <c r="I3688" s="2">
        <v>2386</v>
      </c>
      <c r="J3688" s="2">
        <v>1.94</v>
      </c>
      <c r="K3688" s="2">
        <v>3.54</v>
      </c>
      <c r="L3688" s="2">
        <v>9.94</v>
      </c>
      <c r="M3688" s="2">
        <v>14.19</v>
      </c>
      <c r="N3688" s="2">
        <v>1.5550267069999999</v>
      </c>
      <c r="O3688" s="2">
        <v>1.712916229</v>
      </c>
      <c r="P3688" s="2">
        <v>2.1524948859999999</v>
      </c>
      <c r="Q3688" s="2">
        <v>1.9179381550000001</v>
      </c>
      <c r="R3688" s="2">
        <v>1.5180354819999999</v>
      </c>
      <c r="S3688" s="2">
        <v>1.4580354820000001</v>
      </c>
      <c r="T3688" s="2">
        <v>1.526041451</v>
      </c>
      <c r="U3688" s="2">
        <v>1.246041451</v>
      </c>
      <c r="V3688" s="2">
        <v>9.7475104000000007E-2</v>
      </c>
      <c r="W3688" s="2">
        <v>0.16636711100000001</v>
      </c>
      <c r="X3688">
        <f t="shared" si="171"/>
        <v>0</v>
      </c>
      <c r="Y3688">
        <f t="shared" si="172"/>
        <v>0</v>
      </c>
      <c r="Z3688">
        <f t="shared" si="173"/>
        <v>1</v>
      </c>
    </row>
    <row r="3689" spans="1:26" ht="15.75" customHeight="1" x14ac:dyDescent="0.2">
      <c r="A3689" s="2" t="s">
        <v>36</v>
      </c>
      <c r="B3689" s="2" t="s">
        <v>35</v>
      </c>
      <c r="C3689" s="2" t="s">
        <v>32</v>
      </c>
      <c r="D3689" s="2" t="s">
        <v>33</v>
      </c>
      <c r="E3689" s="2">
        <v>195</v>
      </c>
      <c r="F3689" s="2">
        <v>250</v>
      </c>
      <c r="G3689" s="2">
        <v>624</v>
      </c>
      <c r="H3689" s="2">
        <v>992</v>
      </c>
      <c r="I3689" s="2">
        <v>2386</v>
      </c>
      <c r="J3689" s="2">
        <v>2.5099999999999998</v>
      </c>
      <c r="K3689" s="2">
        <v>5.94</v>
      </c>
      <c r="L3689" s="2">
        <v>8.48</v>
      </c>
      <c r="M3689" s="2">
        <v>14.19</v>
      </c>
      <c r="N3689" s="2">
        <v>3.4261655609999999</v>
      </c>
      <c r="O3689" s="2">
        <v>3.137610322</v>
      </c>
      <c r="P3689" s="2">
        <v>3.120586957</v>
      </c>
      <c r="Q3689" s="2">
        <v>2.8723277660000002</v>
      </c>
      <c r="R3689" s="2">
        <v>0.88424148599999997</v>
      </c>
      <c r="S3689" s="2">
        <v>0.94424148600000002</v>
      </c>
      <c r="T3689" s="2">
        <v>2.9926877470000002</v>
      </c>
      <c r="U3689" s="2">
        <v>2.7126877469999999</v>
      </c>
      <c r="V3689" s="2">
        <v>2.4997520729999998</v>
      </c>
      <c r="W3689" s="2">
        <v>2.5686440789999998</v>
      </c>
      <c r="X3689">
        <f t="shared" si="171"/>
        <v>0</v>
      </c>
      <c r="Y3689">
        <f t="shared" si="172"/>
        <v>0</v>
      </c>
      <c r="Z3689">
        <f t="shared" si="173"/>
        <v>1</v>
      </c>
    </row>
    <row r="3690" spans="1:26" ht="15.75" customHeight="1" x14ac:dyDescent="0.2">
      <c r="A3690" s="2" t="s">
        <v>36</v>
      </c>
      <c r="B3690" s="2" t="s">
        <v>35</v>
      </c>
      <c r="C3690" s="2" t="s">
        <v>26</v>
      </c>
      <c r="D3690" s="2" t="s">
        <v>26</v>
      </c>
      <c r="E3690" s="2">
        <v>159</v>
      </c>
      <c r="F3690" s="2">
        <v>188</v>
      </c>
      <c r="G3690" s="2">
        <v>408</v>
      </c>
      <c r="H3690" s="2">
        <v>1125</v>
      </c>
      <c r="I3690" s="2">
        <v>2769</v>
      </c>
      <c r="J3690" s="2">
        <v>1.81</v>
      </c>
      <c r="K3690" s="2">
        <v>4.09</v>
      </c>
      <c r="L3690" s="2">
        <v>9.25</v>
      </c>
      <c r="M3690" s="2">
        <v>15.17</v>
      </c>
      <c r="N3690" s="2">
        <v>0.727517682</v>
      </c>
      <c r="O3690" s="2">
        <v>0.83582349199999995</v>
      </c>
      <c r="P3690" s="2">
        <v>2.4259331500000001</v>
      </c>
      <c r="Q3690" s="2">
        <v>2.146076001</v>
      </c>
      <c r="R3690" s="2">
        <v>0.97070945900000005</v>
      </c>
      <c r="S3690" s="2">
        <v>0.910709459</v>
      </c>
      <c r="T3690" s="2">
        <v>2.2232576989999999</v>
      </c>
      <c r="U3690" s="2">
        <v>1.9432576989999999</v>
      </c>
      <c r="V3690" s="2">
        <v>0.64480112700000003</v>
      </c>
      <c r="W3690" s="2">
        <v>0.71369313400000001</v>
      </c>
      <c r="X3690">
        <f t="shared" si="171"/>
        <v>0</v>
      </c>
      <c r="Y3690">
        <f t="shared" si="172"/>
        <v>0</v>
      </c>
      <c r="Z3690">
        <f t="shared" si="173"/>
        <v>0</v>
      </c>
    </row>
    <row r="3691" spans="1:26" ht="15.75" customHeight="1" x14ac:dyDescent="0.2">
      <c r="A3691" s="2" t="s">
        <v>36</v>
      </c>
      <c r="B3691" s="2" t="s">
        <v>35</v>
      </c>
      <c r="C3691" s="2" t="s">
        <v>25</v>
      </c>
      <c r="D3691" s="2" t="s">
        <v>25</v>
      </c>
      <c r="E3691" s="2">
        <v>201</v>
      </c>
      <c r="F3691" s="2">
        <v>278</v>
      </c>
      <c r="G3691" s="2">
        <v>827</v>
      </c>
      <c r="H3691" s="2">
        <v>1682</v>
      </c>
      <c r="I3691" s="2">
        <v>2249</v>
      </c>
      <c r="J3691" s="2">
        <v>2.8</v>
      </c>
      <c r="K3691" s="2">
        <v>7.42</v>
      </c>
      <c r="L3691" s="2">
        <v>11.85</v>
      </c>
      <c r="M3691" s="2">
        <v>13.8</v>
      </c>
      <c r="N3691" s="2">
        <v>0.315605305</v>
      </c>
      <c r="O3691" s="2">
        <v>0.62103137500000005</v>
      </c>
      <c r="P3691" s="2">
        <v>2.3936344599999999</v>
      </c>
      <c r="Q3691" s="2">
        <v>2.5115979670000002</v>
      </c>
      <c r="R3691" s="2">
        <v>2.3632057419999999</v>
      </c>
      <c r="S3691" s="2">
        <v>2.4232057419999999</v>
      </c>
      <c r="T3691" s="2">
        <v>0.38045308900000002</v>
      </c>
      <c r="U3691" s="2">
        <v>0.66045308899999999</v>
      </c>
      <c r="V3691" s="2">
        <v>3.978716328</v>
      </c>
      <c r="W3691" s="2">
        <v>4.0476083349999996</v>
      </c>
      <c r="X3691">
        <f t="shared" si="171"/>
        <v>0</v>
      </c>
      <c r="Y3691">
        <f t="shared" si="172"/>
        <v>0</v>
      </c>
      <c r="Z3691">
        <f t="shared" si="173"/>
        <v>0</v>
      </c>
    </row>
    <row r="3692" spans="1:26" ht="15.75" customHeight="1" x14ac:dyDescent="0.2">
      <c r="A3692" s="2" t="s">
        <v>36</v>
      </c>
      <c r="B3692" s="2" t="s">
        <v>35</v>
      </c>
      <c r="C3692" s="2" t="s">
        <v>30</v>
      </c>
      <c r="D3692" s="2" t="s">
        <v>31</v>
      </c>
      <c r="E3692" s="2">
        <v>190</v>
      </c>
      <c r="F3692" s="2">
        <v>230</v>
      </c>
      <c r="G3692" s="2">
        <v>794</v>
      </c>
      <c r="H3692" s="2">
        <v>1323</v>
      </c>
      <c r="I3692" s="2">
        <v>2882</v>
      </c>
      <c r="J3692" s="2">
        <v>2.29</v>
      </c>
      <c r="K3692" s="2">
        <v>7.2</v>
      </c>
      <c r="L3692" s="2">
        <v>10.28</v>
      </c>
      <c r="M3692" s="2">
        <v>15.43</v>
      </c>
      <c r="N3692" s="2">
        <v>4.2551489990000002</v>
      </c>
      <c r="O3692" s="2">
        <v>4.0951983890000001</v>
      </c>
      <c r="P3692" s="2">
        <v>2.4503206660000001</v>
      </c>
      <c r="Q3692" s="2">
        <v>2.382012236</v>
      </c>
      <c r="R3692" s="2">
        <v>2.139535221</v>
      </c>
      <c r="S3692" s="2">
        <v>2.1995352210000001</v>
      </c>
      <c r="T3692" s="2">
        <v>1.1943451780000001</v>
      </c>
      <c r="U3692" s="2">
        <v>0.91434517800000004</v>
      </c>
      <c r="V3692" s="2">
        <v>3.7550458080000002</v>
      </c>
      <c r="W3692" s="2">
        <v>3.8239378149999999</v>
      </c>
      <c r="X3692">
        <f t="shared" si="171"/>
        <v>0</v>
      </c>
      <c r="Y3692">
        <f t="shared" si="172"/>
        <v>0</v>
      </c>
      <c r="Z3692">
        <f t="shared" si="173"/>
        <v>1</v>
      </c>
    </row>
    <row r="3693" spans="1:26" ht="15.75" customHeight="1" x14ac:dyDescent="0.2">
      <c r="A3693" s="2" t="s">
        <v>36</v>
      </c>
      <c r="B3693" s="2" t="s">
        <v>35</v>
      </c>
      <c r="C3693" s="2" t="s">
        <v>27</v>
      </c>
      <c r="D3693" s="2" t="s">
        <v>27</v>
      </c>
      <c r="E3693" s="2">
        <v>180</v>
      </c>
      <c r="F3693" s="2">
        <v>271</v>
      </c>
      <c r="G3693" s="2">
        <v>506</v>
      </c>
      <c r="H3693" s="2">
        <v>2022</v>
      </c>
      <c r="I3693" s="2">
        <v>2916</v>
      </c>
      <c r="J3693" s="2">
        <v>2.72</v>
      </c>
      <c r="K3693" s="2">
        <v>4.97</v>
      </c>
      <c r="L3693" s="2">
        <v>13.08</v>
      </c>
      <c r="M3693" s="2">
        <v>15.5</v>
      </c>
      <c r="N3693" s="2">
        <v>0.74042882200000004</v>
      </c>
      <c r="O3693" s="2">
        <v>0.52172280900000001</v>
      </c>
      <c r="P3693" s="2">
        <v>1.616004591</v>
      </c>
      <c r="Q3693" s="2">
        <v>1.8938946569999999</v>
      </c>
      <c r="R3693" s="2">
        <v>8.5960264999999994E-2</v>
      </c>
      <c r="S3693" s="2">
        <v>2.5960265E-2</v>
      </c>
      <c r="T3693" s="2">
        <v>1.613716725</v>
      </c>
      <c r="U3693" s="2">
        <v>1.893716725</v>
      </c>
      <c r="V3693" s="2">
        <v>1.529550322</v>
      </c>
      <c r="W3693" s="2">
        <v>1.598442328</v>
      </c>
      <c r="X3693">
        <f t="shared" si="171"/>
        <v>0</v>
      </c>
      <c r="Y3693">
        <f t="shared" si="172"/>
        <v>0</v>
      </c>
      <c r="Z3693">
        <f t="shared" si="173"/>
        <v>0</v>
      </c>
    </row>
    <row r="3694" spans="1:26" ht="15.75" customHeight="1" x14ac:dyDescent="0.2">
      <c r="A3694" s="2" t="s">
        <v>36</v>
      </c>
      <c r="B3694" s="2" t="s">
        <v>35</v>
      </c>
      <c r="C3694" s="2" t="s">
        <v>30</v>
      </c>
      <c r="D3694" s="2" t="s">
        <v>31</v>
      </c>
      <c r="E3694" s="2">
        <v>189</v>
      </c>
      <c r="F3694" s="2">
        <v>250</v>
      </c>
      <c r="G3694" s="2">
        <v>780</v>
      </c>
      <c r="H3694" s="2">
        <v>1216</v>
      </c>
      <c r="I3694" s="2">
        <v>1976</v>
      </c>
      <c r="J3694" s="2">
        <v>2.5</v>
      </c>
      <c r="K3694" s="2">
        <v>7.1</v>
      </c>
      <c r="L3694" s="2">
        <v>9.73</v>
      </c>
      <c r="M3694" s="2">
        <v>12.93</v>
      </c>
      <c r="N3694" s="2">
        <v>4.6673022829999997</v>
      </c>
      <c r="O3694" s="2">
        <v>4.4886929149999997</v>
      </c>
      <c r="P3694" s="2">
        <v>2.6808470390000001</v>
      </c>
      <c r="Q3694" s="2">
        <v>2.5575952900000001</v>
      </c>
      <c r="R3694" s="2">
        <v>2.0420437960000002</v>
      </c>
      <c r="S3694" s="2">
        <v>2.1020437959999998</v>
      </c>
      <c r="T3694" s="2">
        <v>1.7369507710000001</v>
      </c>
      <c r="U3694" s="2">
        <v>1.456950771</v>
      </c>
      <c r="V3694" s="2">
        <v>3.6575543819999998</v>
      </c>
      <c r="W3694" s="2">
        <v>3.7264463889999999</v>
      </c>
      <c r="X3694">
        <f t="shared" si="171"/>
        <v>0</v>
      </c>
      <c r="Y3694">
        <f t="shared" si="172"/>
        <v>0</v>
      </c>
      <c r="Z3694">
        <f t="shared" si="173"/>
        <v>1</v>
      </c>
    </row>
    <row r="3695" spans="1:26" ht="15.75" customHeight="1" x14ac:dyDescent="0.2">
      <c r="A3695" s="2" t="s">
        <v>36</v>
      </c>
      <c r="B3695" s="2" t="s">
        <v>35</v>
      </c>
      <c r="C3695" s="2" t="s">
        <v>27</v>
      </c>
      <c r="D3695" s="2" t="s">
        <v>27</v>
      </c>
      <c r="E3695" s="2">
        <v>186</v>
      </c>
      <c r="F3695" s="2">
        <v>226</v>
      </c>
      <c r="G3695" s="2">
        <v>519</v>
      </c>
      <c r="H3695" s="2">
        <v>2150</v>
      </c>
      <c r="I3695" s="2">
        <v>2724</v>
      </c>
      <c r="J3695" s="2">
        <v>2.25</v>
      </c>
      <c r="K3695" s="2">
        <v>5.08</v>
      </c>
      <c r="L3695" s="2">
        <v>13.49</v>
      </c>
      <c r="M3695" s="2">
        <v>15.06</v>
      </c>
      <c r="N3695" s="2">
        <v>0.40419961900000001</v>
      </c>
      <c r="O3695" s="2">
        <v>0.347335534</v>
      </c>
      <c r="P3695" s="2">
        <v>2.0248254129999999</v>
      </c>
      <c r="Q3695" s="2">
        <v>2.3061864980000002</v>
      </c>
      <c r="R3695" s="2">
        <v>2.2904397E-2</v>
      </c>
      <c r="S3695" s="2">
        <v>8.2904397000000005E-2</v>
      </c>
      <c r="T3695" s="2">
        <v>2.0246958639999999</v>
      </c>
      <c r="U3695" s="2">
        <v>2.3046958640000001</v>
      </c>
      <c r="V3695" s="2">
        <v>1.638414984</v>
      </c>
      <c r="W3695" s="2">
        <v>1.70730699</v>
      </c>
      <c r="X3695">
        <f t="shared" si="171"/>
        <v>0</v>
      </c>
      <c r="Y3695">
        <f t="shared" si="172"/>
        <v>0</v>
      </c>
      <c r="Z3695">
        <f t="shared" si="173"/>
        <v>0</v>
      </c>
    </row>
    <row r="3696" spans="1:26" ht="15.75" customHeight="1" x14ac:dyDescent="0.2">
      <c r="A3696" s="2" t="s">
        <v>36</v>
      </c>
      <c r="B3696" s="2" t="s">
        <v>35</v>
      </c>
      <c r="C3696" s="2" t="s">
        <v>26</v>
      </c>
      <c r="D3696" s="2" t="s">
        <v>26</v>
      </c>
      <c r="E3696" s="2">
        <v>162</v>
      </c>
      <c r="F3696" s="2">
        <v>203</v>
      </c>
      <c r="G3696" s="2">
        <v>514</v>
      </c>
      <c r="H3696" s="2">
        <v>1121</v>
      </c>
      <c r="I3696" s="2">
        <v>2820</v>
      </c>
      <c r="J3696" s="2">
        <v>1.99</v>
      </c>
      <c r="K3696" s="2">
        <v>5.04</v>
      </c>
      <c r="L3696" s="2">
        <v>9.2200000000000006</v>
      </c>
      <c r="M3696" s="2">
        <v>15.29</v>
      </c>
      <c r="N3696" s="2">
        <v>0.35991539900000002</v>
      </c>
      <c r="O3696" s="2">
        <v>0.60229981200000005</v>
      </c>
      <c r="P3696" s="2">
        <v>2.2454365470000002</v>
      </c>
      <c r="Q3696" s="2">
        <v>1.965840354</v>
      </c>
      <c r="R3696" s="2">
        <v>1.7073959E-2</v>
      </c>
      <c r="S3696" s="2">
        <v>4.2926040999999998E-2</v>
      </c>
      <c r="T3696" s="2">
        <v>2.245371633</v>
      </c>
      <c r="U3696" s="2">
        <v>1.965371633</v>
      </c>
      <c r="V3696" s="2">
        <v>1.5984366270000001</v>
      </c>
      <c r="W3696" s="2">
        <v>1.667328634</v>
      </c>
      <c r="X3696">
        <f t="shared" si="171"/>
        <v>0</v>
      </c>
      <c r="Y3696">
        <f t="shared" si="172"/>
        <v>0</v>
      </c>
      <c r="Z3696">
        <f t="shared" si="173"/>
        <v>0</v>
      </c>
    </row>
    <row r="3697" spans="1:26" ht="15.75" customHeight="1" x14ac:dyDescent="0.2">
      <c r="A3697" s="2" t="s">
        <v>36</v>
      </c>
      <c r="B3697" s="2" t="s">
        <v>35</v>
      </c>
      <c r="C3697" s="2" t="s">
        <v>27</v>
      </c>
      <c r="D3697" s="2" t="s">
        <v>27</v>
      </c>
      <c r="E3697" s="2">
        <v>125</v>
      </c>
      <c r="F3697" s="2">
        <v>176</v>
      </c>
      <c r="G3697" s="2">
        <v>404</v>
      </c>
      <c r="H3697" s="2">
        <v>2270</v>
      </c>
      <c r="I3697" s="2">
        <v>2877</v>
      </c>
      <c r="J3697" s="2">
        <v>1.68</v>
      </c>
      <c r="K3697" s="2">
        <v>4.05</v>
      </c>
      <c r="L3697" s="2">
        <v>13.86</v>
      </c>
      <c r="M3697" s="2">
        <v>15.42</v>
      </c>
      <c r="N3697" s="2">
        <v>0.77964037900000005</v>
      </c>
      <c r="O3697" s="2">
        <v>0.75338668499999994</v>
      </c>
      <c r="P3697" s="2">
        <v>2.590672783</v>
      </c>
      <c r="Q3697" s="2">
        <v>2.830015919</v>
      </c>
      <c r="R3697" s="2">
        <v>1.008257191</v>
      </c>
      <c r="S3697" s="2">
        <v>0.94825719100000005</v>
      </c>
      <c r="T3697" s="2">
        <v>2.3864205219999999</v>
      </c>
      <c r="U3697" s="2">
        <v>2.6664205220000001</v>
      </c>
      <c r="V3697" s="2">
        <v>0.60725339499999997</v>
      </c>
      <c r="W3697" s="2">
        <v>0.67614540199999995</v>
      </c>
      <c r="X3697">
        <f t="shared" si="171"/>
        <v>0</v>
      </c>
      <c r="Y3697">
        <f t="shared" si="172"/>
        <v>0</v>
      </c>
      <c r="Z3697">
        <f t="shared" si="173"/>
        <v>0</v>
      </c>
    </row>
    <row r="3698" spans="1:26" ht="15.75" customHeight="1" x14ac:dyDescent="0.2">
      <c r="A3698" s="2" t="s">
        <v>36</v>
      </c>
      <c r="B3698" s="2" t="s">
        <v>35</v>
      </c>
      <c r="C3698" s="2" t="s">
        <v>30</v>
      </c>
      <c r="D3698" s="2" t="s">
        <v>31</v>
      </c>
      <c r="E3698" s="2">
        <v>138</v>
      </c>
      <c r="F3698" s="2">
        <v>227</v>
      </c>
      <c r="G3698" s="2">
        <v>827</v>
      </c>
      <c r="H3698" s="2">
        <v>1402</v>
      </c>
      <c r="I3698" s="2">
        <v>2877</v>
      </c>
      <c r="J3698" s="2">
        <v>2.2599999999999998</v>
      </c>
      <c r="K3698" s="2">
        <v>7.43</v>
      </c>
      <c r="L3698" s="2">
        <v>10.65</v>
      </c>
      <c r="M3698" s="2">
        <v>15.42</v>
      </c>
      <c r="N3698" s="2">
        <v>4.0903484270000003</v>
      </c>
      <c r="O3698" s="2">
        <v>3.953466642</v>
      </c>
      <c r="P3698" s="2">
        <v>2.504021839</v>
      </c>
      <c r="Q3698" s="2">
        <v>2.4851538030000002</v>
      </c>
      <c r="R3698" s="2">
        <v>2.3654610690000002</v>
      </c>
      <c r="S3698" s="2">
        <v>2.4254610689999998</v>
      </c>
      <c r="T3698" s="2">
        <v>0.82141299000000001</v>
      </c>
      <c r="U3698" s="2">
        <v>0.54141298999999998</v>
      </c>
      <c r="V3698" s="2">
        <v>3.9809716559999999</v>
      </c>
      <c r="W3698" s="2">
        <v>4.0498636619999999</v>
      </c>
      <c r="X3698">
        <f t="shared" si="171"/>
        <v>0</v>
      </c>
      <c r="Y3698">
        <f t="shared" si="172"/>
        <v>0</v>
      </c>
      <c r="Z3698">
        <f t="shared" si="173"/>
        <v>1</v>
      </c>
    </row>
    <row r="3699" spans="1:26" ht="15.75" customHeight="1" x14ac:dyDescent="0.2">
      <c r="A3699" s="2" t="s">
        <v>36</v>
      </c>
      <c r="B3699" s="2" t="s">
        <v>35</v>
      </c>
      <c r="C3699" s="2" t="s">
        <v>27</v>
      </c>
      <c r="D3699" s="2" t="s">
        <v>27</v>
      </c>
      <c r="E3699" s="2">
        <v>131</v>
      </c>
      <c r="F3699" s="2">
        <v>261</v>
      </c>
      <c r="G3699" s="2">
        <v>547</v>
      </c>
      <c r="H3699" s="2">
        <v>2340</v>
      </c>
      <c r="I3699" s="2">
        <v>2926</v>
      </c>
      <c r="J3699" s="2">
        <v>2.62</v>
      </c>
      <c r="K3699" s="2">
        <v>5.32</v>
      </c>
      <c r="L3699" s="2">
        <v>14.06</v>
      </c>
      <c r="M3699" s="2">
        <v>15.53</v>
      </c>
      <c r="N3699" s="2">
        <v>0.54960915099999996</v>
      </c>
      <c r="O3699" s="2">
        <v>0.77182481599999997</v>
      </c>
      <c r="P3699" s="2">
        <v>2.6026122049999998</v>
      </c>
      <c r="Q3699" s="2">
        <v>2.8873759360000002</v>
      </c>
      <c r="R3699" s="2">
        <v>0.259648983</v>
      </c>
      <c r="S3699" s="2">
        <v>0.319648983</v>
      </c>
      <c r="T3699" s="2">
        <v>2.5896279070000001</v>
      </c>
      <c r="U3699" s="2">
        <v>2.8696279069999999</v>
      </c>
      <c r="V3699" s="2">
        <v>1.875159569</v>
      </c>
      <c r="W3699" s="2">
        <v>1.9440515759999999</v>
      </c>
      <c r="X3699">
        <f t="shared" si="171"/>
        <v>0</v>
      </c>
      <c r="Y3699">
        <f t="shared" si="172"/>
        <v>0</v>
      </c>
      <c r="Z3699">
        <f t="shared" si="173"/>
        <v>0</v>
      </c>
    </row>
    <row r="3700" spans="1:26" ht="15.75" customHeight="1" x14ac:dyDescent="0.2">
      <c r="A3700" s="2" t="s">
        <v>36</v>
      </c>
      <c r="B3700" s="2" t="s">
        <v>35</v>
      </c>
      <c r="C3700" s="2" t="s">
        <v>26</v>
      </c>
      <c r="D3700" s="2" t="s">
        <v>26</v>
      </c>
      <c r="E3700" s="2">
        <v>150</v>
      </c>
      <c r="F3700" s="2">
        <v>201</v>
      </c>
      <c r="G3700" s="2">
        <v>498</v>
      </c>
      <c r="H3700" s="2">
        <v>1117</v>
      </c>
      <c r="I3700" s="2">
        <v>2846</v>
      </c>
      <c r="J3700" s="2">
        <v>1.96</v>
      </c>
      <c r="K3700" s="2">
        <v>4.9000000000000004</v>
      </c>
      <c r="L3700" s="2">
        <v>9.1999999999999993</v>
      </c>
      <c r="M3700" s="2">
        <v>15.35</v>
      </c>
      <c r="N3700" s="2">
        <v>0.24692541000000001</v>
      </c>
      <c r="O3700" s="2">
        <v>0.51886844700000001</v>
      </c>
      <c r="P3700" s="2">
        <v>2.2751037080000001</v>
      </c>
      <c r="Q3700" s="2">
        <v>1.9919602059999999</v>
      </c>
      <c r="R3700" s="2">
        <v>0.161093178</v>
      </c>
      <c r="S3700" s="2">
        <v>0.10109317800000001</v>
      </c>
      <c r="T3700" s="2">
        <v>2.2693932829999999</v>
      </c>
      <c r="U3700" s="2">
        <v>1.9893932830000001</v>
      </c>
      <c r="V3700" s="2">
        <v>1.4544174089999999</v>
      </c>
      <c r="W3700" s="2">
        <v>1.5233094149999999</v>
      </c>
      <c r="X3700">
        <f t="shared" si="171"/>
        <v>0</v>
      </c>
      <c r="Y3700">
        <f t="shared" si="172"/>
        <v>0</v>
      </c>
      <c r="Z3700">
        <f t="shared" si="173"/>
        <v>0</v>
      </c>
    </row>
    <row r="3701" spans="1:26" ht="15.75" customHeight="1" x14ac:dyDescent="0.2">
      <c r="A3701" s="2" t="s">
        <v>36</v>
      </c>
      <c r="B3701" s="2" t="s">
        <v>35</v>
      </c>
      <c r="C3701" s="2" t="s">
        <v>30</v>
      </c>
      <c r="D3701" s="2" t="s">
        <v>31</v>
      </c>
      <c r="E3701" s="2">
        <v>160</v>
      </c>
      <c r="F3701" s="2">
        <v>222</v>
      </c>
      <c r="G3701" s="2">
        <v>835</v>
      </c>
      <c r="H3701" s="2">
        <v>1389</v>
      </c>
      <c r="I3701" s="2">
        <v>2417</v>
      </c>
      <c r="J3701" s="2">
        <v>2.2000000000000002</v>
      </c>
      <c r="K3701" s="2">
        <v>7.48</v>
      </c>
      <c r="L3701" s="2">
        <v>10.59</v>
      </c>
      <c r="M3701" s="2">
        <v>14.28</v>
      </c>
      <c r="N3701" s="2">
        <v>4.1714950880000004</v>
      </c>
      <c r="O3701" s="2">
        <v>4.0346596039999998</v>
      </c>
      <c r="P3701" s="2">
        <v>2.5752133210000001</v>
      </c>
      <c r="Q3701" s="2">
        <v>2.5514860370000001</v>
      </c>
      <c r="R3701" s="2">
        <v>2.4194275489999999</v>
      </c>
      <c r="S3701" s="2">
        <v>2.479427549</v>
      </c>
      <c r="T3701" s="2">
        <v>0.882096357</v>
      </c>
      <c r="U3701" s="2">
        <v>0.60209635699999997</v>
      </c>
      <c r="V3701" s="2">
        <v>4.0349381360000001</v>
      </c>
      <c r="W3701" s="2">
        <v>4.1038301419999996</v>
      </c>
      <c r="X3701">
        <f t="shared" si="171"/>
        <v>0</v>
      </c>
      <c r="Y3701">
        <f t="shared" si="172"/>
        <v>0</v>
      </c>
      <c r="Z3701">
        <f t="shared" si="173"/>
        <v>1</v>
      </c>
    </row>
    <row r="3702" spans="1:26" ht="15.75" customHeight="1" x14ac:dyDescent="0.2">
      <c r="A3702" s="2" t="s">
        <v>36</v>
      </c>
      <c r="B3702" s="2" t="s">
        <v>35</v>
      </c>
      <c r="C3702" s="2" t="s">
        <v>32</v>
      </c>
      <c r="D3702" s="2" t="s">
        <v>33</v>
      </c>
      <c r="E3702" s="2">
        <v>169</v>
      </c>
      <c r="F3702" s="2">
        <v>198</v>
      </c>
      <c r="G3702" s="2">
        <v>711</v>
      </c>
      <c r="H3702" s="2">
        <v>1340</v>
      </c>
      <c r="I3702" s="2">
        <v>2852</v>
      </c>
      <c r="J3702" s="2">
        <v>1.93</v>
      </c>
      <c r="K3702" s="2">
        <v>6.6</v>
      </c>
      <c r="L3702" s="2">
        <v>10.36</v>
      </c>
      <c r="M3702" s="2">
        <v>15.36</v>
      </c>
      <c r="N3702" s="2">
        <v>1.4723441319999999</v>
      </c>
      <c r="O3702" s="2">
        <v>1.215922561</v>
      </c>
      <c r="P3702" s="2">
        <v>1.9037745909999999</v>
      </c>
      <c r="Q3702" s="2">
        <v>1.807785623</v>
      </c>
      <c r="R3702" s="2">
        <v>1.5441637539999999</v>
      </c>
      <c r="S3702" s="2">
        <v>1.604163754</v>
      </c>
      <c r="T3702" s="2">
        <v>1.113515152</v>
      </c>
      <c r="U3702" s="2">
        <v>0.83351515200000004</v>
      </c>
      <c r="V3702" s="2">
        <v>3.1596743410000001</v>
      </c>
      <c r="W3702" s="2">
        <v>3.2285663480000002</v>
      </c>
      <c r="X3702">
        <f t="shared" si="171"/>
        <v>0</v>
      </c>
      <c r="Y3702">
        <f t="shared" si="172"/>
        <v>0</v>
      </c>
      <c r="Z3702">
        <f t="shared" si="173"/>
        <v>1</v>
      </c>
    </row>
    <row r="3703" spans="1:26" ht="15.75" customHeight="1" x14ac:dyDescent="0.2">
      <c r="A3703" s="2" t="s">
        <v>36</v>
      </c>
      <c r="B3703" s="2" t="s">
        <v>35</v>
      </c>
      <c r="C3703" s="2" t="s">
        <v>28</v>
      </c>
      <c r="D3703" s="2" t="s">
        <v>29</v>
      </c>
      <c r="E3703" s="2">
        <v>155</v>
      </c>
      <c r="F3703" s="2">
        <v>235</v>
      </c>
      <c r="G3703" s="2">
        <v>427</v>
      </c>
      <c r="H3703" s="2">
        <v>1184</v>
      </c>
      <c r="I3703" s="2">
        <v>2486</v>
      </c>
      <c r="J3703" s="2">
        <v>2.34</v>
      </c>
      <c r="K3703" s="2">
        <v>4.2699999999999996</v>
      </c>
      <c r="L3703" s="2">
        <v>9.57</v>
      </c>
      <c r="M3703" s="2">
        <v>14.46</v>
      </c>
      <c r="N3703" s="2">
        <v>0.76369183900000004</v>
      </c>
      <c r="O3703" s="2">
        <v>0.972585017</v>
      </c>
      <c r="P3703" s="2">
        <v>2.0614141529999999</v>
      </c>
      <c r="Q3703" s="2">
        <v>1.780585466</v>
      </c>
      <c r="R3703" s="2">
        <v>0.79100251300000002</v>
      </c>
      <c r="S3703" s="2">
        <v>0.73100251299999996</v>
      </c>
      <c r="T3703" s="2">
        <v>1.9036132320000001</v>
      </c>
      <c r="U3703" s="2">
        <v>1.6236132320000001</v>
      </c>
      <c r="V3703" s="2">
        <v>0.82450807299999995</v>
      </c>
      <c r="W3703" s="2">
        <v>0.89340008000000004</v>
      </c>
      <c r="X3703">
        <f t="shared" si="171"/>
        <v>0</v>
      </c>
      <c r="Y3703">
        <f t="shared" si="172"/>
        <v>0</v>
      </c>
      <c r="Z3703">
        <f t="shared" si="173"/>
        <v>1</v>
      </c>
    </row>
    <row r="3704" spans="1:26" ht="15.75" customHeight="1" x14ac:dyDescent="0.2">
      <c r="A3704" s="2" t="s">
        <v>36</v>
      </c>
      <c r="B3704" s="2" t="s">
        <v>35</v>
      </c>
      <c r="C3704" s="2" t="s">
        <v>28</v>
      </c>
      <c r="D3704" s="2" t="s">
        <v>29</v>
      </c>
      <c r="E3704" s="2">
        <v>146</v>
      </c>
      <c r="F3704" s="2">
        <v>235</v>
      </c>
      <c r="G3704" s="2">
        <v>311</v>
      </c>
      <c r="H3704" s="2">
        <v>1332</v>
      </c>
      <c r="I3704" s="2">
        <v>2278</v>
      </c>
      <c r="J3704" s="2">
        <v>2.34</v>
      </c>
      <c r="K3704" s="2">
        <v>3.14</v>
      </c>
      <c r="L3704" s="2">
        <v>10.32</v>
      </c>
      <c r="M3704" s="2">
        <v>13.88</v>
      </c>
      <c r="N3704" s="2">
        <v>2.099613261</v>
      </c>
      <c r="O3704" s="2">
        <v>2.2589448380000001</v>
      </c>
      <c r="P3704" s="2">
        <v>2.2341902569999998</v>
      </c>
      <c r="Q3704" s="2">
        <v>2.049257597</v>
      </c>
      <c r="R3704" s="2">
        <v>1.9151335490000001</v>
      </c>
      <c r="S3704" s="2">
        <v>1.855133549</v>
      </c>
      <c r="T3704" s="2">
        <v>1.150595322</v>
      </c>
      <c r="U3704" s="2">
        <v>0.870595322</v>
      </c>
      <c r="V3704" s="2">
        <v>-0.29962296199999999</v>
      </c>
      <c r="W3704" s="2">
        <v>-0.23073095499999999</v>
      </c>
      <c r="X3704">
        <f t="shared" si="171"/>
        <v>0</v>
      </c>
      <c r="Y3704">
        <f t="shared" si="172"/>
        <v>0</v>
      </c>
      <c r="Z3704">
        <f t="shared" si="173"/>
        <v>1</v>
      </c>
    </row>
    <row r="3705" spans="1:26" ht="15.75" customHeight="1" x14ac:dyDescent="0.2">
      <c r="A3705" s="2" t="s">
        <v>36</v>
      </c>
      <c r="B3705" s="2" t="s">
        <v>35</v>
      </c>
      <c r="C3705" s="2" t="s">
        <v>26</v>
      </c>
      <c r="D3705" s="2" t="s">
        <v>26</v>
      </c>
      <c r="E3705" s="2">
        <v>160</v>
      </c>
      <c r="F3705" s="2">
        <v>214</v>
      </c>
      <c r="G3705" s="2">
        <v>449</v>
      </c>
      <c r="H3705" s="2">
        <v>933</v>
      </c>
      <c r="I3705" s="2">
        <v>2871</v>
      </c>
      <c r="J3705" s="2">
        <v>2.11</v>
      </c>
      <c r="K3705" s="2">
        <v>4.47</v>
      </c>
      <c r="L3705" s="2">
        <v>8.11</v>
      </c>
      <c r="M3705" s="2">
        <v>15.4</v>
      </c>
      <c r="N3705" s="2">
        <v>0.92674323199999997</v>
      </c>
      <c r="O3705" s="2">
        <v>0.65127802199999996</v>
      </c>
      <c r="P3705" s="2">
        <v>3.4077960489999999</v>
      </c>
      <c r="Q3705" s="2">
        <v>3.121644211</v>
      </c>
      <c r="R3705" s="2">
        <v>0.59303445399999999</v>
      </c>
      <c r="S3705" s="2">
        <v>0.53303445400000005</v>
      </c>
      <c r="T3705" s="2">
        <v>3.3557985709999998</v>
      </c>
      <c r="U3705" s="2">
        <v>3.075798571</v>
      </c>
      <c r="V3705" s="2">
        <v>1.0224761330000001</v>
      </c>
      <c r="W3705" s="2">
        <v>1.0913681390000001</v>
      </c>
      <c r="X3705">
        <f t="shared" si="171"/>
        <v>0</v>
      </c>
      <c r="Y3705">
        <f t="shared" si="172"/>
        <v>0</v>
      </c>
      <c r="Z3705">
        <f t="shared" si="173"/>
        <v>0</v>
      </c>
    </row>
    <row r="3706" spans="1:26" ht="15.75" customHeight="1" x14ac:dyDescent="0.2">
      <c r="A3706" s="2" t="s">
        <v>36</v>
      </c>
      <c r="B3706" s="2" t="s">
        <v>35</v>
      </c>
      <c r="C3706" s="2" t="s">
        <v>25</v>
      </c>
      <c r="D3706" s="2" t="s">
        <v>25</v>
      </c>
      <c r="E3706" s="2">
        <v>173</v>
      </c>
      <c r="F3706" s="2">
        <v>235</v>
      </c>
      <c r="G3706" s="2">
        <v>828</v>
      </c>
      <c r="H3706" s="2">
        <v>1384</v>
      </c>
      <c r="I3706" s="2">
        <v>1884</v>
      </c>
      <c r="J3706" s="2">
        <v>2.34</v>
      </c>
      <c r="K3706" s="2">
        <v>7.43</v>
      </c>
      <c r="L3706" s="2">
        <v>10.57</v>
      </c>
      <c r="M3706" s="2">
        <v>12.61</v>
      </c>
      <c r="N3706" s="2">
        <v>0.97371511200000005</v>
      </c>
      <c r="O3706" s="2">
        <v>0.66273173799999996</v>
      </c>
      <c r="P3706" s="2">
        <v>2.5359685280000002</v>
      </c>
      <c r="Q3706" s="2">
        <v>2.5084203309999999</v>
      </c>
      <c r="R3706" s="2">
        <v>2.3699701059999998</v>
      </c>
      <c r="S3706" s="2">
        <v>2.4299701059999999</v>
      </c>
      <c r="T3706" s="2">
        <v>0.90242898400000005</v>
      </c>
      <c r="U3706" s="2">
        <v>0.62242898400000002</v>
      </c>
      <c r="V3706" s="2">
        <v>3.985480693</v>
      </c>
      <c r="W3706" s="2">
        <v>4.0543727000000001</v>
      </c>
      <c r="X3706">
        <f t="shared" si="171"/>
        <v>0</v>
      </c>
      <c r="Y3706">
        <f t="shared" si="172"/>
        <v>0</v>
      </c>
      <c r="Z3706">
        <f t="shared" si="173"/>
        <v>0</v>
      </c>
    </row>
    <row r="3707" spans="1:26" ht="15.75" customHeight="1" x14ac:dyDescent="0.2">
      <c r="A3707" s="2" t="s">
        <v>36</v>
      </c>
      <c r="B3707" s="2" t="s">
        <v>35</v>
      </c>
      <c r="C3707" s="2" t="s">
        <v>30</v>
      </c>
      <c r="D3707" s="2" t="s">
        <v>31</v>
      </c>
      <c r="E3707" s="2">
        <v>190</v>
      </c>
      <c r="F3707" s="2">
        <v>243</v>
      </c>
      <c r="G3707" s="2">
        <v>784</v>
      </c>
      <c r="H3707" s="2">
        <v>1286</v>
      </c>
      <c r="I3707" s="2">
        <v>2784</v>
      </c>
      <c r="J3707" s="2">
        <v>2.4300000000000002</v>
      </c>
      <c r="K3707" s="2">
        <v>7.13</v>
      </c>
      <c r="L3707" s="2">
        <v>10.09</v>
      </c>
      <c r="M3707" s="2">
        <v>15.2</v>
      </c>
      <c r="N3707" s="2">
        <v>4.3724468610000002</v>
      </c>
      <c r="O3707" s="2">
        <v>4.2039423930000002</v>
      </c>
      <c r="P3707" s="2">
        <v>2.4859387919999998</v>
      </c>
      <c r="Q3707" s="2">
        <v>2.3952386529999998</v>
      </c>
      <c r="R3707" s="2">
        <v>2.0676734300000001</v>
      </c>
      <c r="S3707" s="2">
        <v>2.1276734300000002</v>
      </c>
      <c r="T3707" s="2">
        <v>1.38007908</v>
      </c>
      <c r="U3707" s="2">
        <v>1.10007908</v>
      </c>
      <c r="V3707" s="2">
        <v>3.6831840159999998</v>
      </c>
      <c r="W3707" s="2">
        <v>3.7520760229999999</v>
      </c>
      <c r="X3707">
        <f t="shared" si="171"/>
        <v>0</v>
      </c>
      <c r="Y3707">
        <f t="shared" si="172"/>
        <v>0</v>
      </c>
      <c r="Z3707">
        <f t="shared" si="173"/>
        <v>1</v>
      </c>
    </row>
    <row r="3708" spans="1:26" ht="15.75" customHeight="1" x14ac:dyDescent="0.2">
      <c r="A3708" s="2" t="s">
        <v>36</v>
      </c>
      <c r="B3708" s="2" t="s">
        <v>35</v>
      </c>
      <c r="C3708" s="2" t="s">
        <v>28</v>
      </c>
      <c r="D3708" s="2" t="s">
        <v>29</v>
      </c>
      <c r="E3708" s="2">
        <v>170</v>
      </c>
      <c r="F3708" s="2">
        <v>239</v>
      </c>
      <c r="G3708" s="2">
        <v>425</v>
      </c>
      <c r="H3708" s="2">
        <v>1343</v>
      </c>
      <c r="I3708" s="2">
        <v>2519</v>
      </c>
      <c r="J3708" s="2">
        <v>2.38</v>
      </c>
      <c r="K3708" s="2">
        <v>4.24</v>
      </c>
      <c r="L3708" s="2">
        <v>10.37</v>
      </c>
      <c r="M3708" s="2">
        <v>14.55</v>
      </c>
      <c r="N3708" s="2">
        <v>1.4775956750000001</v>
      </c>
      <c r="O3708" s="2">
        <v>1.7304826879999999</v>
      </c>
      <c r="P3708" s="2">
        <v>1.368629351</v>
      </c>
      <c r="Q3708" s="2">
        <v>1.1143621480000001</v>
      </c>
      <c r="R3708" s="2">
        <v>0.81561643800000005</v>
      </c>
      <c r="S3708" s="2">
        <v>0.755616438</v>
      </c>
      <c r="T3708" s="2">
        <v>1.099052377</v>
      </c>
      <c r="U3708" s="2">
        <v>0.819052377</v>
      </c>
      <c r="V3708" s="2">
        <v>0.79989414800000003</v>
      </c>
      <c r="W3708" s="2">
        <v>0.868786155</v>
      </c>
      <c r="X3708">
        <f t="shared" si="171"/>
        <v>0</v>
      </c>
      <c r="Y3708">
        <f t="shared" si="172"/>
        <v>0</v>
      </c>
      <c r="Z3708">
        <f t="shared" si="173"/>
        <v>1</v>
      </c>
    </row>
    <row r="3709" spans="1:26" ht="15.75" customHeight="1" x14ac:dyDescent="0.2">
      <c r="A3709" s="2" t="s">
        <v>36</v>
      </c>
      <c r="B3709" s="2" t="s">
        <v>35</v>
      </c>
      <c r="C3709" s="2" t="s">
        <v>28</v>
      </c>
      <c r="D3709" s="2" t="s">
        <v>29</v>
      </c>
      <c r="E3709" s="2">
        <v>150</v>
      </c>
      <c r="F3709" s="2">
        <v>168</v>
      </c>
      <c r="G3709" s="2">
        <v>586</v>
      </c>
      <c r="H3709" s="2">
        <v>1475</v>
      </c>
      <c r="I3709" s="2">
        <v>2718</v>
      </c>
      <c r="J3709" s="2">
        <v>1.58</v>
      </c>
      <c r="K3709" s="2">
        <v>5.64</v>
      </c>
      <c r="L3709" s="2">
        <v>10.98</v>
      </c>
      <c r="M3709" s="2">
        <v>15.05</v>
      </c>
      <c r="N3709" s="2">
        <v>2.1729020349999999</v>
      </c>
      <c r="O3709" s="2">
        <v>2.446633931</v>
      </c>
      <c r="P3709" s="2">
        <v>0.75930271199999999</v>
      </c>
      <c r="Q3709" s="2">
        <v>0.674005827</v>
      </c>
      <c r="R3709" s="2">
        <v>0.58072270199999998</v>
      </c>
      <c r="S3709" s="2">
        <v>0.64072270200000003</v>
      </c>
      <c r="T3709" s="2">
        <v>0.48918478300000001</v>
      </c>
      <c r="U3709" s="2">
        <v>0.20918478300000001</v>
      </c>
      <c r="V3709" s="2">
        <v>2.1962332889999998</v>
      </c>
      <c r="W3709" s="2">
        <v>2.2651252949999998</v>
      </c>
      <c r="X3709">
        <f t="shared" si="171"/>
        <v>0</v>
      </c>
      <c r="Y3709">
        <f t="shared" si="172"/>
        <v>0</v>
      </c>
      <c r="Z3709">
        <f t="shared" si="173"/>
        <v>1</v>
      </c>
    </row>
    <row r="3710" spans="1:26" ht="15.75" customHeight="1" x14ac:dyDescent="0.2">
      <c r="A3710" s="2" t="s">
        <v>36</v>
      </c>
      <c r="B3710" s="2" t="s">
        <v>35</v>
      </c>
      <c r="C3710" s="2" t="s">
        <v>32</v>
      </c>
      <c r="D3710" s="2" t="s">
        <v>33</v>
      </c>
      <c r="E3710" s="2">
        <v>190</v>
      </c>
      <c r="F3710" s="2">
        <v>237</v>
      </c>
      <c r="G3710" s="2">
        <v>679</v>
      </c>
      <c r="H3710" s="2">
        <v>1023</v>
      </c>
      <c r="I3710" s="2">
        <v>2283</v>
      </c>
      <c r="J3710" s="2">
        <v>2.36</v>
      </c>
      <c r="K3710" s="2">
        <v>6.37</v>
      </c>
      <c r="L3710" s="2">
        <v>8.66</v>
      </c>
      <c r="M3710" s="2">
        <v>13.9</v>
      </c>
      <c r="N3710" s="2">
        <v>3.0850146770000002</v>
      </c>
      <c r="O3710" s="2">
        <v>2.786297126</v>
      </c>
      <c r="P3710" s="2">
        <v>3.0974136969999999</v>
      </c>
      <c r="Q3710" s="2">
        <v>2.8741348269999998</v>
      </c>
      <c r="R3710" s="2">
        <v>1.30806366</v>
      </c>
      <c r="S3710" s="2">
        <v>1.36806366</v>
      </c>
      <c r="T3710" s="2">
        <v>2.8076575770000001</v>
      </c>
      <c r="U3710" s="2">
        <v>2.5276575769999998</v>
      </c>
      <c r="V3710" s="2">
        <v>2.9235742469999999</v>
      </c>
      <c r="W3710" s="2">
        <v>2.992466254</v>
      </c>
      <c r="X3710">
        <f t="shared" si="171"/>
        <v>0</v>
      </c>
      <c r="Y3710">
        <f t="shared" si="172"/>
        <v>0</v>
      </c>
      <c r="Z3710">
        <f t="shared" si="173"/>
        <v>1</v>
      </c>
    </row>
    <row r="3711" spans="1:26" ht="15.75" customHeight="1" x14ac:dyDescent="0.2">
      <c r="A3711" s="2" t="s">
        <v>36</v>
      </c>
      <c r="B3711" s="2" t="s">
        <v>35</v>
      </c>
      <c r="C3711" s="2" t="s">
        <v>25</v>
      </c>
      <c r="D3711" s="2" t="s">
        <v>25</v>
      </c>
      <c r="E3711" s="2">
        <v>130</v>
      </c>
      <c r="F3711" s="2">
        <v>258</v>
      </c>
      <c r="G3711" s="2">
        <v>805</v>
      </c>
      <c r="H3711" s="2">
        <v>1743</v>
      </c>
      <c r="I3711" s="2">
        <v>2089</v>
      </c>
      <c r="J3711" s="2">
        <v>2.59</v>
      </c>
      <c r="K3711" s="2">
        <v>7.28</v>
      </c>
      <c r="L3711" s="2">
        <v>12.09</v>
      </c>
      <c r="M3711" s="2">
        <v>13.3</v>
      </c>
      <c r="N3711" s="2">
        <v>0.586697629</v>
      </c>
      <c r="O3711" s="2">
        <v>0.87779847600000005</v>
      </c>
      <c r="P3711" s="2">
        <v>2.3029650460000002</v>
      </c>
      <c r="Q3711" s="2">
        <v>2.449364069</v>
      </c>
      <c r="R3711" s="2">
        <v>2.217733848</v>
      </c>
      <c r="S3711" s="2">
        <v>2.277733848</v>
      </c>
      <c r="T3711" s="2">
        <v>0.62072907300000002</v>
      </c>
      <c r="U3711" s="2">
        <v>0.90072907300000005</v>
      </c>
      <c r="V3711" s="2">
        <v>3.833244434</v>
      </c>
      <c r="W3711" s="2">
        <v>3.9021364410000001</v>
      </c>
      <c r="X3711">
        <f t="shared" si="171"/>
        <v>0</v>
      </c>
      <c r="Y3711">
        <f t="shared" si="172"/>
        <v>0</v>
      </c>
      <c r="Z3711">
        <f t="shared" si="173"/>
        <v>0</v>
      </c>
    </row>
    <row r="3712" spans="1:26" ht="15.75" customHeight="1" x14ac:dyDescent="0.2">
      <c r="A3712" s="2" t="s">
        <v>36</v>
      </c>
      <c r="B3712" s="2" t="s">
        <v>35</v>
      </c>
      <c r="C3712" s="2" t="s">
        <v>27</v>
      </c>
      <c r="D3712" s="2" t="s">
        <v>27</v>
      </c>
      <c r="E3712" s="2">
        <v>155</v>
      </c>
      <c r="F3712" s="2">
        <v>257</v>
      </c>
      <c r="G3712" s="2">
        <v>420</v>
      </c>
      <c r="H3712" s="2">
        <v>2270</v>
      </c>
      <c r="I3712" s="2">
        <v>3096</v>
      </c>
      <c r="J3712" s="2">
        <v>2.57</v>
      </c>
      <c r="K3712" s="2">
        <v>4.2</v>
      </c>
      <c r="L3712" s="2">
        <v>13.86</v>
      </c>
      <c r="M3712" s="2">
        <v>15.89</v>
      </c>
      <c r="N3712" s="2">
        <v>0.63361896500000003</v>
      </c>
      <c r="O3712" s="2">
        <v>0.62254858599999996</v>
      </c>
      <c r="P3712" s="2">
        <v>2.5373022089999999</v>
      </c>
      <c r="Q3712" s="2">
        <v>2.78439725</v>
      </c>
      <c r="R3712" s="2">
        <v>0.86191623500000003</v>
      </c>
      <c r="S3712" s="2">
        <v>0.80191623499999998</v>
      </c>
      <c r="T3712" s="2">
        <v>2.3864205219999999</v>
      </c>
      <c r="U3712" s="2">
        <v>2.6664205220000001</v>
      </c>
      <c r="V3712" s="2">
        <v>0.75359435200000002</v>
      </c>
      <c r="W3712" s="2">
        <v>0.82248635800000003</v>
      </c>
      <c r="X3712">
        <f t="shared" si="171"/>
        <v>0</v>
      </c>
      <c r="Y3712">
        <f t="shared" si="172"/>
        <v>0</v>
      </c>
      <c r="Z3712">
        <f t="shared" si="173"/>
        <v>0</v>
      </c>
    </row>
    <row r="3713" spans="1:26" ht="15.75" customHeight="1" x14ac:dyDescent="0.2">
      <c r="A3713" s="2" t="s">
        <v>36</v>
      </c>
      <c r="B3713" s="2" t="s">
        <v>35</v>
      </c>
      <c r="C3713" s="2" t="s">
        <v>32</v>
      </c>
      <c r="D3713" s="2" t="s">
        <v>33</v>
      </c>
      <c r="E3713" s="2">
        <v>131</v>
      </c>
      <c r="F3713" s="2">
        <v>241</v>
      </c>
      <c r="G3713" s="2">
        <v>699</v>
      </c>
      <c r="H3713" s="2">
        <v>965</v>
      </c>
      <c r="I3713" s="2">
        <v>2907</v>
      </c>
      <c r="J3713" s="2">
        <v>2.41</v>
      </c>
      <c r="K3713" s="2">
        <v>6.52</v>
      </c>
      <c r="L3713" s="2">
        <v>8.32</v>
      </c>
      <c r="M3713" s="2">
        <v>15.48</v>
      </c>
      <c r="N3713" s="2">
        <v>3.364754542</v>
      </c>
      <c r="O3713" s="2">
        <v>3.059656366</v>
      </c>
      <c r="P3713" s="2">
        <v>3.4765613559999999</v>
      </c>
      <c r="Q3713" s="2">
        <v>3.2522178510000002</v>
      </c>
      <c r="R3713" s="2">
        <v>1.4603108549999999</v>
      </c>
      <c r="S3713" s="2">
        <v>1.520310855</v>
      </c>
      <c r="T3713" s="2">
        <v>3.1549914530000001</v>
      </c>
      <c r="U3713" s="2">
        <v>2.8749914529999998</v>
      </c>
      <c r="V3713" s="2">
        <v>3.0758214420000001</v>
      </c>
      <c r="W3713" s="2">
        <v>3.1447134480000001</v>
      </c>
      <c r="X3713">
        <f t="shared" si="171"/>
        <v>0</v>
      </c>
      <c r="Y3713">
        <f t="shared" si="172"/>
        <v>0</v>
      </c>
      <c r="Z3713">
        <f t="shared" si="173"/>
        <v>1</v>
      </c>
    </row>
    <row r="3714" spans="1:26" ht="15.75" customHeight="1" x14ac:dyDescent="0.2">
      <c r="A3714" s="2" t="s">
        <v>36</v>
      </c>
      <c r="B3714" s="2" t="s">
        <v>35</v>
      </c>
      <c r="C3714" s="2" t="s">
        <v>28</v>
      </c>
      <c r="D3714" s="2" t="s">
        <v>29</v>
      </c>
      <c r="E3714" s="2">
        <v>207</v>
      </c>
      <c r="F3714" s="2">
        <v>206</v>
      </c>
      <c r="G3714" s="2">
        <v>437</v>
      </c>
      <c r="H3714" s="2">
        <v>1200</v>
      </c>
      <c r="I3714" s="2">
        <v>2882</v>
      </c>
      <c r="J3714" s="2">
        <v>2.02</v>
      </c>
      <c r="K3714" s="2">
        <v>4.3600000000000003</v>
      </c>
      <c r="L3714" s="2">
        <v>9.65</v>
      </c>
      <c r="M3714" s="2">
        <v>15.43</v>
      </c>
      <c r="N3714" s="2">
        <v>0.77753470099999999</v>
      </c>
      <c r="O3714" s="2">
        <v>1.0103296509999999</v>
      </c>
      <c r="P3714" s="2">
        <v>1.9514701379999999</v>
      </c>
      <c r="Q3714" s="2">
        <v>1.6692369650000001</v>
      </c>
      <c r="R3714" s="2">
        <v>0.70223612800000001</v>
      </c>
      <c r="S3714" s="2">
        <v>0.64223612799999996</v>
      </c>
      <c r="T3714" s="2">
        <v>1.820741639</v>
      </c>
      <c r="U3714" s="2">
        <v>1.5407416389999999</v>
      </c>
      <c r="V3714" s="2">
        <v>0.91327445799999996</v>
      </c>
      <c r="W3714" s="2">
        <v>0.98216646500000004</v>
      </c>
      <c r="X3714">
        <f t="shared" si="171"/>
        <v>0</v>
      </c>
      <c r="Y3714">
        <f t="shared" si="172"/>
        <v>0</v>
      </c>
      <c r="Z3714">
        <f t="shared" si="173"/>
        <v>1</v>
      </c>
    </row>
    <row r="3715" spans="1:26" ht="15.75" customHeight="1" x14ac:dyDescent="0.2">
      <c r="A3715" s="2" t="s">
        <v>36</v>
      </c>
      <c r="B3715" s="2" t="s">
        <v>35</v>
      </c>
      <c r="C3715" s="2" t="s">
        <v>27</v>
      </c>
      <c r="D3715" s="2" t="s">
        <v>27</v>
      </c>
      <c r="E3715" s="2">
        <v>194</v>
      </c>
      <c r="F3715" s="2">
        <v>242</v>
      </c>
      <c r="G3715" s="2">
        <v>463</v>
      </c>
      <c r="H3715" s="2">
        <v>2448</v>
      </c>
      <c r="I3715" s="2">
        <v>3246</v>
      </c>
      <c r="J3715" s="2">
        <v>2.41</v>
      </c>
      <c r="K3715" s="2">
        <v>4.59</v>
      </c>
      <c r="L3715" s="2">
        <v>14.36</v>
      </c>
      <c r="M3715" s="2">
        <v>16.190000000000001</v>
      </c>
      <c r="N3715" s="2">
        <v>0.59717879600000001</v>
      </c>
      <c r="O3715" s="2">
        <v>0.82139735300000005</v>
      </c>
      <c r="P3715" s="2">
        <v>2.9256489060000002</v>
      </c>
      <c r="Q3715" s="2">
        <v>3.194172515</v>
      </c>
      <c r="R3715" s="2">
        <v>0.46699958699999999</v>
      </c>
      <c r="S3715" s="2">
        <v>0.406999587</v>
      </c>
      <c r="T3715" s="2">
        <v>2.8881365799999998</v>
      </c>
      <c r="U3715" s="2">
        <v>3.1681365800000001</v>
      </c>
      <c r="V3715" s="2">
        <v>1.148510999</v>
      </c>
      <c r="W3715" s="2">
        <v>1.2174030060000001</v>
      </c>
      <c r="X3715">
        <f t="shared" ref="X3715:X3778" si="174">IF(B3715="normal",1,0)</f>
        <v>0</v>
      </c>
      <c r="Y3715">
        <f t="shared" ref="Y3715:Y3778" si="175">IF(A3715="lecture",1,0)</f>
        <v>0</v>
      </c>
      <c r="Z3715">
        <f t="shared" ref="Z3715:Z3778" si="176">IF(ISNUMBER(FIND("~",D3715)),1,0)</f>
        <v>0</v>
      </c>
    </row>
    <row r="3716" spans="1:26" ht="15.75" customHeight="1" x14ac:dyDescent="0.2">
      <c r="A3716" s="2" t="s">
        <v>36</v>
      </c>
      <c r="B3716" s="2" t="s">
        <v>35</v>
      </c>
      <c r="C3716" s="2" t="s">
        <v>26</v>
      </c>
      <c r="D3716" s="2" t="s">
        <v>26</v>
      </c>
      <c r="E3716" s="2">
        <v>183</v>
      </c>
      <c r="F3716" s="2">
        <v>196</v>
      </c>
      <c r="G3716" s="2">
        <v>471</v>
      </c>
      <c r="H3716" s="2">
        <v>945</v>
      </c>
      <c r="I3716" s="2">
        <v>2835</v>
      </c>
      <c r="J3716" s="2">
        <v>1.9</v>
      </c>
      <c r="K3716" s="2">
        <v>4.66</v>
      </c>
      <c r="L3716" s="2">
        <v>8.19</v>
      </c>
      <c r="M3716" s="2">
        <v>15.32</v>
      </c>
      <c r="N3716" s="2">
        <v>0.80357235800000004</v>
      </c>
      <c r="O3716" s="2">
        <v>0.52075174499999999</v>
      </c>
      <c r="P3716" s="2">
        <v>3.3003980940000002</v>
      </c>
      <c r="Q3716" s="2">
        <v>3.0153368239999998</v>
      </c>
      <c r="R3716" s="2">
        <v>0.39563142699999998</v>
      </c>
      <c r="S3716" s="2">
        <v>0.33563142699999998</v>
      </c>
      <c r="T3716" s="2">
        <v>3.2765993579999999</v>
      </c>
      <c r="U3716" s="2">
        <v>2.9965993580000001</v>
      </c>
      <c r="V3716" s="2">
        <v>1.219879159</v>
      </c>
      <c r="W3716" s="2">
        <v>1.2887711660000001</v>
      </c>
      <c r="X3716">
        <f t="shared" si="174"/>
        <v>0</v>
      </c>
      <c r="Y3716">
        <f t="shared" si="175"/>
        <v>0</v>
      </c>
      <c r="Z3716">
        <f t="shared" si="176"/>
        <v>0</v>
      </c>
    </row>
    <row r="3717" spans="1:26" ht="15.75" customHeight="1" x14ac:dyDescent="0.2">
      <c r="A3717" s="2" t="s">
        <v>36</v>
      </c>
      <c r="B3717" s="2" t="s">
        <v>35</v>
      </c>
      <c r="C3717" s="2" t="s">
        <v>27</v>
      </c>
      <c r="D3717" s="2" t="s">
        <v>27</v>
      </c>
      <c r="E3717" s="2">
        <v>128</v>
      </c>
      <c r="F3717" s="2">
        <v>276</v>
      </c>
      <c r="G3717" s="2">
        <v>509</v>
      </c>
      <c r="H3717" s="2">
        <v>2285</v>
      </c>
      <c r="I3717" s="2">
        <v>2947</v>
      </c>
      <c r="J3717" s="2">
        <v>2.78</v>
      </c>
      <c r="K3717" s="2">
        <v>5</v>
      </c>
      <c r="L3717" s="2">
        <v>13.9</v>
      </c>
      <c r="M3717" s="2">
        <v>15.57</v>
      </c>
      <c r="N3717" s="2">
        <v>0.190838913</v>
      </c>
      <c r="O3717" s="2">
        <v>0.43608244099999999</v>
      </c>
      <c r="P3717" s="2">
        <v>2.433082025</v>
      </c>
      <c r="Q3717" s="2">
        <v>2.7122691909999999</v>
      </c>
      <c r="R3717" s="2">
        <v>6.2948562E-2</v>
      </c>
      <c r="S3717" s="2">
        <v>2.9485620000000001E-3</v>
      </c>
      <c r="T3717" s="2">
        <v>2.4322675880000002</v>
      </c>
      <c r="U3717" s="2">
        <v>2.712267588</v>
      </c>
      <c r="V3717" s="2">
        <v>1.552562024</v>
      </c>
      <c r="W3717" s="2">
        <v>1.6214540310000001</v>
      </c>
      <c r="X3717">
        <f t="shared" si="174"/>
        <v>0</v>
      </c>
      <c r="Y3717">
        <f t="shared" si="175"/>
        <v>0</v>
      </c>
      <c r="Z3717">
        <f t="shared" si="176"/>
        <v>0</v>
      </c>
    </row>
    <row r="3718" spans="1:26" ht="15.75" customHeight="1" x14ac:dyDescent="0.2">
      <c r="A3718" s="2" t="s">
        <v>36</v>
      </c>
      <c r="B3718" s="2" t="s">
        <v>35</v>
      </c>
      <c r="C3718" s="2" t="s">
        <v>27</v>
      </c>
      <c r="D3718" s="2" t="s">
        <v>27</v>
      </c>
      <c r="E3718" s="2">
        <v>185</v>
      </c>
      <c r="F3718" s="2">
        <v>203</v>
      </c>
      <c r="G3718" s="2">
        <v>587</v>
      </c>
      <c r="H3718" s="2">
        <v>2391</v>
      </c>
      <c r="I3718" s="2">
        <v>3132</v>
      </c>
      <c r="J3718" s="2">
        <v>1.99</v>
      </c>
      <c r="K3718" s="2">
        <v>5.65</v>
      </c>
      <c r="L3718" s="2">
        <v>14.2</v>
      </c>
      <c r="M3718" s="2">
        <v>15.96</v>
      </c>
      <c r="N3718" s="2">
        <v>0.91103123100000005</v>
      </c>
      <c r="O3718" s="2">
        <v>1.121750931</v>
      </c>
      <c r="P3718" s="2">
        <v>2.7970572929999999</v>
      </c>
      <c r="Q3718" s="2">
        <v>3.083413196</v>
      </c>
      <c r="R3718" s="2">
        <v>0.59152577900000003</v>
      </c>
      <c r="S3718" s="2">
        <v>0.65152577899999997</v>
      </c>
      <c r="T3718" s="2">
        <v>2.733793473</v>
      </c>
      <c r="U3718" s="2">
        <v>3.0137934729999998</v>
      </c>
      <c r="V3718" s="2">
        <v>2.207036365</v>
      </c>
      <c r="W3718" s="2">
        <v>2.2759283720000001</v>
      </c>
      <c r="X3718">
        <f t="shared" si="174"/>
        <v>0</v>
      </c>
      <c r="Y3718">
        <f t="shared" si="175"/>
        <v>0</v>
      </c>
      <c r="Z3718">
        <f t="shared" si="176"/>
        <v>0</v>
      </c>
    </row>
    <row r="3719" spans="1:26" ht="15.75" customHeight="1" x14ac:dyDescent="0.2">
      <c r="A3719" s="2" t="s">
        <v>36</v>
      </c>
      <c r="B3719" s="2" t="s">
        <v>35</v>
      </c>
      <c r="C3719" s="2" t="s">
        <v>32</v>
      </c>
      <c r="D3719" s="2" t="s">
        <v>33</v>
      </c>
      <c r="E3719" s="2">
        <v>147</v>
      </c>
      <c r="F3719" s="2">
        <v>156</v>
      </c>
      <c r="G3719" s="2">
        <v>714</v>
      </c>
      <c r="H3719" s="2">
        <v>1345</v>
      </c>
      <c r="I3719" s="2">
        <v>2615</v>
      </c>
      <c r="J3719" s="2">
        <v>1.44</v>
      </c>
      <c r="K3719" s="2">
        <v>6.63</v>
      </c>
      <c r="L3719" s="2">
        <v>10.38</v>
      </c>
      <c r="M3719" s="2">
        <v>14.79</v>
      </c>
      <c r="N3719" s="2">
        <v>1.4356578959999999</v>
      </c>
      <c r="O3719" s="2">
        <v>1.178699524</v>
      </c>
      <c r="P3719" s="2">
        <v>1.9109783979999999</v>
      </c>
      <c r="Q3719" s="2">
        <v>1.8202184320000001</v>
      </c>
      <c r="R3719" s="2">
        <v>1.5711404710000001</v>
      </c>
      <c r="S3719" s="2">
        <v>1.6311404709999999</v>
      </c>
      <c r="T3719" s="2">
        <v>1.0878217020000001</v>
      </c>
      <c r="U3719" s="2">
        <v>0.80782170200000003</v>
      </c>
      <c r="V3719" s="2">
        <v>3.1866510579999998</v>
      </c>
      <c r="W3719" s="2">
        <v>3.2555430639999998</v>
      </c>
      <c r="X3719">
        <f t="shared" si="174"/>
        <v>0</v>
      </c>
      <c r="Y3719">
        <f t="shared" si="175"/>
        <v>0</v>
      </c>
      <c r="Z3719">
        <f t="shared" si="176"/>
        <v>1</v>
      </c>
    </row>
    <row r="3720" spans="1:26" ht="15.75" customHeight="1" x14ac:dyDescent="0.2">
      <c r="A3720" s="2" t="s">
        <v>36</v>
      </c>
      <c r="B3720" s="2" t="s">
        <v>35</v>
      </c>
      <c r="C3720" s="2" t="s">
        <v>28</v>
      </c>
      <c r="D3720" s="2" t="s">
        <v>29</v>
      </c>
      <c r="E3720" s="2">
        <v>110</v>
      </c>
      <c r="F3720" s="2">
        <v>222</v>
      </c>
      <c r="G3720" s="2">
        <v>481</v>
      </c>
      <c r="H3720" s="2">
        <v>1085</v>
      </c>
      <c r="I3720" s="2">
        <v>2211</v>
      </c>
      <c r="J3720" s="2">
        <v>2.19</v>
      </c>
      <c r="K3720" s="2">
        <v>4.76</v>
      </c>
      <c r="L3720" s="2">
        <v>9.02</v>
      </c>
      <c r="M3720" s="2">
        <v>13.68</v>
      </c>
      <c r="N3720" s="2">
        <v>3.4162757000000002E-2</v>
      </c>
      <c r="O3720" s="2">
        <v>0.31217215599999998</v>
      </c>
      <c r="P3720" s="2">
        <v>2.4677147740000001</v>
      </c>
      <c r="Q3720" s="2">
        <v>2.1825982160000001</v>
      </c>
      <c r="R3720" s="2">
        <v>0.30413981400000001</v>
      </c>
      <c r="S3720" s="2">
        <v>0.24413981400000001</v>
      </c>
      <c r="T3720" s="2">
        <v>2.44890081</v>
      </c>
      <c r="U3720" s="2">
        <v>2.1689008099999998</v>
      </c>
      <c r="V3720" s="2">
        <v>1.3113707720000001</v>
      </c>
      <c r="W3720" s="2">
        <v>1.3802627789999999</v>
      </c>
      <c r="X3720">
        <f t="shared" si="174"/>
        <v>0</v>
      </c>
      <c r="Y3720">
        <f t="shared" si="175"/>
        <v>0</v>
      </c>
      <c r="Z3720">
        <f t="shared" si="176"/>
        <v>1</v>
      </c>
    </row>
    <row r="3721" spans="1:26" ht="15.75" customHeight="1" x14ac:dyDescent="0.2">
      <c r="A3721" s="2" t="s">
        <v>36</v>
      </c>
      <c r="B3721" s="2" t="s">
        <v>35</v>
      </c>
      <c r="C3721" s="2" t="s">
        <v>26</v>
      </c>
      <c r="D3721" s="2" t="s">
        <v>26</v>
      </c>
      <c r="E3721" s="2">
        <v>87</v>
      </c>
      <c r="F3721" s="2">
        <v>278</v>
      </c>
      <c r="G3721" s="2">
        <v>498</v>
      </c>
      <c r="H3721" s="2">
        <v>1422</v>
      </c>
      <c r="I3721" s="2">
        <v>2964</v>
      </c>
      <c r="J3721" s="2">
        <v>2.8</v>
      </c>
      <c r="K3721" s="2">
        <v>4.9000000000000004</v>
      </c>
      <c r="L3721" s="2">
        <v>10.74</v>
      </c>
      <c r="M3721" s="2">
        <v>15.61</v>
      </c>
      <c r="N3721" s="2">
        <v>1.7577357300000001</v>
      </c>
      <c r="O3721" s="2">
        <v>2.0400609209999998</v>
      </c>
      <c r="P3721" s="2">
        <v>0.74382522500000003</v>
      </c>
      <c r="Q3721" s="2">
        <v>0.45746894100000002</v>
      </c>
      <c r="R3721" s="2">
        <v>0.15529491500000001</v>
      </c>
      <c r="S3721" s="2">
        <v>9.5294914999999994E-2</v>
      </c>
      <c r="T3721" s="2">
        <v>0.727433471</v>
      </c>
      <c r="U3721" s="2">
        <v>0.44743347100000003</v>
      </c>
      <c r="V3721" s="2">
        <v>1.460215671</v>
      </c>
      <c r="W3721" s="2">
        <v>1.5291076779999999</v>
      </c>
      <c r="X3721">
        <f t="shared" si="174"/>
        <v>0</v>
      </c>
      <c r="Y3721">
        <f t="shared" si="175"/>
        <v>0</v>
      </c>
      <c r="Z3721">
        <f t="shared" si="176"/>
        <v>0</v>
      </c>
    </row>
    <row r="3722" spans="1:26" ht="15.75" customHeight="1" x14ac:dyDescent="0.2">
      <c r="A3722" s="2" t="s">
        <v>36</v>
      </c>
      <c r="B3722" s="2" t="s">
        <v>35</v>
      </c>
      <c r="C3722" s="2" t="s">
        <v>30</v>
      </c>
      <c r="D3722" s="2" t="s">
        <v>31</v>
      </c>
      <c r="E3722" s="2">
        <v>168</v>
      </c>
      <c r="F3722" s="2">
        <v>202</v>
      </c>
      <c r="G3722" s="2">
        <v>726</v>
      </c>
      <c r="H3722" s="2">
        <v>1220</v>
      </c>
      <c r="I3722" s="2">
        <v>2169</v>
      </c>
      <c r="J3722" s="2">
        <v>1.97</v>
      </c>
      <c r="K3722" s="2">
        <v>6.72</v>
      </c>
      <c r="L3722" s="2">
        <v>9.75</v>
      </c>
      <c r="M3722" s="2">
        <v>13.55</v>
      </c>
      <c r="N3722" s="2">
        <v>4.4743962740000001</v>
      </c>
      <c r="O3722" s="2">
        <v>4.2809737510000003</v>
      </c>
      <c r="P3722" s="2">
        <v>2.3868621870000002</v>
      </c>
      <c r="Q3722" s="2">
        <v>2.2398984720000001</v>
      </c>
      <c r="R3722" s="2">
        <v>1.6589130169999999</v>
      </c>
      <c r="S3722" s="2">
        <v>1.718913017</v>
      </c>
      <c r="T3722" s="2">
        <v>1.716134815</v>
      </c>
      <c r="U3722" s="2">
        <v>1.436134815</v>
      </c>
      <c r="V3722" s="2">
        <v>3.2744236029999998</v>
      </c>
      <c r="W3722" s="2">
        <v>3.3433156099999999</v>
      </c>
      <c r="X3722">
        <f t="shared" si="174"/>
        <v>0</v>
      </c>
      <c r="Y3722">
        <f t="shared" si="175"/>
        <v>0</v>
      </c>
      <c r="Z3722">
        <f t="shared" si="176"/>
        <v>1</v>
      </c>
    </row>
    <row r="3723" spans="1:26" ht="15.75" customHeight="1" x14ac:dyDescent="0.2">
      <c r="A3723" s="2" t="s">
        <v>36</v>
      </c>
      <c r="B3723" s="2" t="s">
        <v>35</v>
      </c>
      <c r="C3723" s="2" t="s">
        <v>27</v>
      </c>
      <c r="D3723" s="2" t="s">
        <v>27</v>
      </c>
      <c r="E3723" s="2">
        <v>150</v>
      </c>
      <c r="F3723" s="2">
        <v>232</v>
      </c>
      <c r="G3723" s="2">
        <v>481</v>
      </c>
      <c r="H3723" s="2">
        <v>2255</v>
      </c>
      <c r="I3723" s="2">
        <v>3018</v>
      </c>
      <c r="J3723" s="2">
        <v>2.31</v>
      </c>
      <c r="K3723" s="2">
        <v>4.76</v>
      </c>
      <c r="L3723" s="2">
        <v>13.81</v>
      </c>
      <c r="M3723" s="2">
        <v>15.72</v>
      </c>
      <c r="N3723" s="2">
        <v>7.4208452999999994E-2</v>
      </c>
      <c r="O3723" s="2">
        <v>0.26366842800000001</v>
      </c>
      <c r="P3723" s="2">
        <v>2.3628468040000001</v>
      </c>
      <c r="Q3723" s="2">
        <v>2.6345275080000001</v>
      </c>
      <c r="R3723" s="2">
        <v>0.30413981400000001</v>
      </c>
      <c r="S3723" s="2">
        <v>0.24413981400000001</v>
      </c>
      <c r="T3723" s="2">
        <v>2.3431909850000001</v>
      </c>
      <c r="U3723" s="2">
        <v>2.6231909849999999</v>
      </c>
      <c r="V3723" s="2">
        <v>1.3113707720000001</v>
      </c>
      <c r="W3723" s="2">
        <v>1.3802627789999999</v>
      </c>
      <c r="X3723">
        <f t="shared" si="174"/>
        <v>0</v>
      </c>
      <c r="Y3723">
        <f t="shared" si="175"/>
        <v>0</v>
      </c>
      <c r="Z3723">
        <f t="shared" si="176"/>
        <v>0</v>
      </c>
    </row>
    <row r="3724" spans="1:26" ht="15.75" customHeight="1" x14ac:dyDescent="0.2">
      <c r="A3724" s="2" t="s">
        <v>36</v>
      </c>
      <c r="B3724" s="2" t="s">
        <v>35</v>
      </c>
      <c r="C3724" s="2" t="s">
        <v>30</v>
      </c>
      <c r="D3724" s="2" t="s">
        <v>31</v>
      </c>
      <c r="E3724" s="2">
        <v>201</v>
      </c>
      <c r="F3724" s="2">
        <v>273</v>
      </c>
      <c r="G3724" s="2">
        <v>829</v>
      </c>
      <c r="H3724" s="2">
        <v>1376</v>
      </c>
      <c r="I3724" s="2">
        <v>2858</v>
      </c>
      <c r="J3724" s="2">
        <v>2.75</v>
      </c>
      <c r="K3724" s="2">
        <v>7.44</v>
      </c>
      <c r="L3724" s="2">
        <v>10.53</v>
      </c>
      <c r="M3724" s="2">
        <v>15.37</v>
      </c>
      <c r="N3724" s="2">
        <v>4.1922294490000001</v>
      </c>
      <c r="O3724" s="2">
        <v>4.0512229849999999</v>
      </c>
      <c r="P3724" s="2">
        <v>2.557062648</v>
      </c>
      <c r="Q3724" s="2">
        <v>2.525382231</v>
      </c>
      <c r="R3724" s="2">
        <v>2.3767296199999999</v>
      </c>
      <c r="S3724" s="2">
        <v>2.4367296199999999</v>
      </c>
      <c r="T3724" s="2">
        <v>0.94325272299999996</v>
      </c>
      <c r="U3724" s="2">
        <v>0.66325272300000004</v>
      </c>
      <c r="V3724" s="2">
        <v>3.992240207</v>
      </c>
      <c r="W3724" s="2">
        <v>4.0611322129999996</v>
      </c>
      <c r="X3724">
        <f t="shared" si="174"/>
        <v>0</v>
      </c>
      <c r="Y3724">
        <f t="shared" si="175"/>
        <v>0</v>
      </c>
      <c r="Z3724">
        <f t="shared" si="176"/>
        <v>1</v>
      </c>
    </row>
    <row r="3725" spans="1:26" ht="15.75" customHeight="1" x14ac:dyDescent="0.2">
      <c r="A3725" s="2" t="s">
        <v>36</v>
      </c>
      <c r="B3725" s="2" t="s">
        <v>35</v>
      </c>
      <c r="C3725" s="2" t="s">
        <v>26</v>
      </c>
      <c r="D3725" s="2" t="s">
        <v>26</v>
      </c>
      <c r="E3725" s="2">
        <v>202</v>
      </c>
      <c r="F3725" s="2">
        <v>228</v>
      </c>
      <c r="G3725" s="2">
        <v>449</v>
      </c>
      <c r="H3725" s="2">
        <v>1025</v>
      </c>
      <c r="I3725" s="2">
        <v>2822</v>
      </c>
      <c r="J3725" s="2">
        <v>2.2599999999999998</v>
      </c>
      <c r="K3725" s="2">
        <v>4.47</v>
      </c>
      <c r="L3725" s="2">
        <v>8.68</v>
      </c>
      <c r="M3725" s="2">
        <v>15.29</v>
      </c>
      <c r="N3725" s="2">
        <v>0.43278673699999998</v>
      </c>
      <c r="O3725" s="2">
        <v>0.26196860799999999</v>
      </c>
      <c r="P3725" s="2">
        <v>2.8535836539999999</v>
      </c>
      <c r="Q3725" s="2">
        <v>2.5672285050000001</v>
      </c>
      <c r="R3725" s="2">
        <v>0.59001660199999995</v>
      </c>
      <c r="S3725" s="2">
        <v>0.530016602</v>
      </c>
      <c r="T3725" s="2">
        <v>2.7919204999999998</v>
      </c>
      <c r="U3725" s="2">
        <v>2.5119205</v>
      </c>
      <c r="V3725" s="2">
        <v>1.025493985</v>
      </c>
      <c r="W3725" s="2">
        <v>1.094385991</v>
      </c>
      <c r="X3725">
        <f t="shared" si="174"/>
        <v>0</v>
      </c>
      <c r="Y3725">
        <f t="shared" si="175"/>
        <v>0</v>
      </c>
      <c r="Z3725">
        <f t="shared" si="176"/>
        <v>0</v>
      </c>
    </row>
    <row r="3726" spans="1:26" ht="15.75" customHeight="1" x14ac:dyDescent="0.2">
      <c r="A3726" s="2" t="s">
        <v>36</v>
      </c>
      <c r="B3726" s="2" t="s">
        <v>35</v>
      </c>
      <c r="C3726" s="2" t="s">
        <v>26</v>
      </c>
      <c r="D3726" s="2" t="s">
        <v>26</v>
      </c>
      <c r="E3726" s="2">
        <v>123</v>
      </c>
      <c r="F3726" s="2">
        <v>158</v>
      </c>
      <c r="G3726" s="2">
        <v>450</v>
      </c>
      <c r="H3726" s="2">
        <v>1055</v>
      </c>
      <c r="I3726" s="2">
        <v>2817</v>
      </c>
      <c r="J3726" s="2">
        <v>1.47</v>
      </c>
      <c r="K3726" s="2">
        <v>4.4800000000000004</v>
      </c>
      <c r="L3726" s="2">
        <v>8.85</v>
      </c>
      <c r="M3726" s="2">
        <v>15.28</v>
      </c>
      <c r="N3726" s="2">
        <v>0.325896774</v>
      </c>
      <c r="O3726" s="2">
        <v>0.289699755</v>
      </c>
      <c r="P3726" s="2">
        <v>2.6849290209999999</v>
      </c>
      <c r="Q3726" s="2">
        <v>2.39858328</v>
      </c>
      <c r="R3726" s="2">
        <v>0.58398340199999998</v>
      </c>
      <c r="S3726" s="2">
        <v>0.52398340200000004</v>
      </c>
      <c r="T3726" s="2">
        <v>2.6206501549999999</v>
      </c>
      <c r="U3726" s="2">
        <v>2.3406501550000001</v>
      </c>
      <c r="V3726" s="2">
        <v>1.031527184</v>
      </c>
      <c r="W3726" s="2">
        <v>1.1004191910000001</v>
      </c>
      <c r="X3726">
        <f t="shared" si="174"/>
        <v>0</v>
      </c>
      <c r="Y3726">
        <f t="shared" si="175"/>
        <v>0</v>
      </c>
      <c r="Z3726">
        <f t="shared" si="176"/>
        <v>0</v>
      </c>
    </row>
    <row r="3727" spans="1:26" ht="15.75" customHeight="1" x14ac:dyDescent="0.2">
      <c r="A3727" s="2" t="s">
        <v>36</v>
      </c>
      <c r="B3727" s="2" t="s">
        <v>35</v>
      </c>
      <c r="C3727" s="2" t="s">
        <v>26</v>
      </c>
      <c r="D3727" s="2" t="s">
        <v>26</v>
      </c>
      <c r="E3727" s="2">
        <v>147</v>
      </c>
      <c r="F3727" s="2">
        <v>242</v>
      </c>
      <c r="G3727" s="2">
        <v>530</v>
      </c>
      <c r="H3727" s="2">
        <v>924</v>
      </c>
      <c r="I3727" s="2">
        <v>2879</v>
      </c>
      <c r="J3727" s="2">
        <v>2.42</v>
      </c>
      <c r="K3727" s="2">
        <v>5.18</v>
      </c>
      <c r="L3727" s="2">
        <v>8.06</v>
      </c>
      <c r="M3727" s="2">
        <v>15.42</v>
      </c>
      <c r="N3727" s="2">
        <v>1.0172638839999999</v>
      </c>
      <c r="O3727" s="2">
        <v>0.790665909</v>
      </c>
      <c r="P3727" s="2">
        <v>3.4144841179999998</v>
      </c>
      <c r="Q3727" s="2">
        <v>3.1374656019999998</v>
      </c>
      <c r="R3727" s="2">
        <v>0.116546185</v>
      </c>
      <c r="S3727" s="2">
        <v>0.17654618499999999</v>
      </c>
      <c r="T3727" s="2">
        <v>3.4124945090000001</v>
      </c>
      <c r="U3727" s="2">
        <v>3.1324945089999998</v>
      </c>
      <c r="V3727" s="2">
        <v>1.7320567710000001</v>
      </c>
      <c r="W3727" s="2">
        <v>1.800948778</v>
      </c>
      <c r="X3727">
        <f t="shared" si="174"/>
        <v>0</v>
      </c>
      <c r="Y3727">
        <f t="shared" si="175"/>
        <v>0</v>
      </c>
      <c r="Z3727">
        <f t="shared" si="176"/>
        <v>0</v>
      </c>
    </row>
    <row r="3728" spans="1:26" ht="15.75" customHeight="1" x14ac:dyDescent="0.2">
      <c r="A3728" s="2" t="s">
        <v>36</v>
      </c>
      <c r="B3728" s="2" t="s">
        <v>35</v>
      </c>
      <c r="C3728" s="2" t="s">
        <v>25</v>
      </c>
      <c r="D3728" s="2" t="s">
        <v>25</v>
      </c>
      <c r="E3728" s="2">
        <v>176</v>
      </c>
      <c r="F3728" s="2">
        <v>243</v>
      </c>
      <c r="G3728" s="2">
        <v>840</v>
      </c>
      <c r="H3728" s="2">
        <v>1522</v>
      </c>
      <c r="I3728" s="2">
        <v>1840</v>
      </c>
      <c r="J3728" s="2">
        <v>2.4300000000000002</v>
      </c>
      <c r="K3728" s="2">
        <v>7.51</v>
      </c>
      <c r="L3728" s="2">
        <v>11.19</v>
      </c>
      <c r="M3728" s="2">
        <v>12.45</v>
      </c>
      <c r="N3728" s="2">
        <v>0.35111786099999998</v>
      </c>
      <c r="O3728" s="2">
        <v>7.2621622999999996E-2</v>
      </c>
      <c r="P3728" s="2">
        <v>2.4666823189999998</v>
      </c>
      <c r="Q3728" s="2">
        <v>2.510765578</v>
      </c>
      <c r="R3728" s="2">
        <v>2.4507655669999999</v>
      </c>
      <c r="S3728" s="2">
        <v>2.510765567</v>
      </c>
      <c r="T3728" s="2">
        <v>0.27976739699999997</v>
      </c>
      <c r="U3728" s="2">
        <v>2.3260300000000001E-4</v>
      </c>
      <c r="V3728" s="2">
        <v>4.0662761539999996</v>
      </c>
      <c r="W3728" s="2">
        <v>4.1351681600000001</v>
      </c>
      <c r="X3728">
        <f t="shared" si="174"/>
        <v>0</v>
      </c>
      <c r="Y3728">
        <f t="shared" si="175"/>
        <v>0</v>
      </c>
      <c r="Z3728">
        <f t="shared" si="176"/>
        <v>0</v>
      </c>
    </row>
    <row r="3729" spans="1:26" ht="15.75" customHeight="1" x14ac:dyDescent="0.2">
      <c r="A3729" s="2" t="s">
        <v>36</v>
      </c>
      <c r="B3729" s="2" t="s">
        <v>35</v>
      </c>
      <c r="C3729" s="2" t="s">
        <v>25</v>
      </c>
      <c r="D3729" s="2" t="s">
        <v>25</v>
      </c>
      <c r="E3729" s="2">
        <v>197</v>
      </c>
      <c r="F3729" s="2">
        <v>254</v>
      </c>
      <c r="G3729" s="2">
        <v>848</v>
      </c>
      <c r="H3729" s="2">
        <v>1486</v>
      </c>
      <c r="I3729" s="2">
        <v>1809</v>
      </c>
      <c r="J3729" s="2">
        <v>2.5499999999999998</v>
      </c>
      <c r="K3729" s="2">
        <v>7.56</v>
      </c>
      <c r="L3729" s="2">
        <v>11.03</v>
      </c>
      <c r="M3729" s="2">
        <v>12.34</v>
      </c>
      <c r="N3729" s="2">
        <v>0.51725015299999999</v>
      </c>
      <c r="O3729" s="2">
        <v>0.23062854799999999</v>
      </c>
      <c r="P3729" s="2">
        <v>2.5426655199999999</v>
      </c>
      <c r="Q3729" s="2">
        <v>2.5692538009999999</v>
      </c>
      <c r="R3729" s="2">
        <v>2.5042455179999998</v>
      </c>
      <c r="S3729" s="2">
        <v>2.5642455179999999</v>
      </c>
      <c r="T3729" s="2">
        <v>0.44034342700000001</v>
      </c>
      <c r="U3729" s="2">
        <v>0.16034342700000001</v>
      </c>
      <c r="V3729" s="2">
        <v>4.1197561049999996</v>
      </c>
      <c r="W3729" s="2">
        <v>4.188648111</v>
      </c>
      <c r="X3729">
        <f t="shared" si="174"/>
        <v>0</v>
      </c>
      <c r="Y3729">
        <f t="shared" si="175"/>
        <v>0</v>
      </c>
      <c r="Z3729">
        <f t="shared" si="176"/>
        <v>0</v>
      </c>
    </row>
    <row r="3730" spans="1:26" ht="15.75" customHeight="1" x14ac:dyDescent="0.2">
      <c r="A3730" s="2" t="s">
        <v>36</v>
      </c>
      <c r="B3730" s="2" t="s">
        <v>35</v>
      </c>
      <c r="C3730" s="2" t="s">
        <v>25</v>
      </c>
      <c r="D3730" s="2" t="s">
        <v>25</v>
      </c>
      <c r="E3730" s="2">
        <v>125</v>
      </c>
      <c r="F3730" s="2">
        <v>152</v>
      </c>
      <c r="G3730" s="2">
        <v>780</v>
      </c>
      <c r="H3730" s="2">
        <v>1805</v>
      </c>
      <c r="I3730" s="2">
        <v>2902</v>
      </c>
      <c r="J3730" s="2">
        <v>1.4</v>
      </c>
      <c r="K3730" s="2">
        <v>7.1</v>
      </c>
      <c r="L3730" s="2">
        <v>12.32</v>
      </c>
      <c r="M3730" s="2">
        <v>15.47</v>
      </c>
      <c r="N3730" s="2">
        <v>0.86947408999999998</v>
      </c>
      <c r="O3730" s="2">
        <v>1.146710425</v>
      </c>
      <c r="P3730" s="2">
        <v>2.2104636229999999</v>
      </c>
      <c r="Q3730" s="2">
        <v>2.3853674260000002</v>
      </c>
      <c r="R3730" s="2">
        <v>2.0397104270000002</v>
      </c>
      <c r="S3730" s="2">
        <v>2.0997104270000002</v>
      </c>
      <c r="T3730" s="2">
        <v>0.85189835300000005</v>
      </c>
      <c r="U3730" s="2">
        <v>1.131898353</v>
      </c>
      <c r="V3730" s="2">
        <v>3.6552210139999999</v>
      </c>
      <c r="W3730" s="2">
        <v>3.7241130199999999</v>
      </c>
      <c r="X3730">
        <f t="shared" si="174"/>
        <v>0</v>
      </c>
      <c r="Y3730">
        <f t="shared" si="175"/>
        <v>0</v>
      </c>
      <c r="Z3730">
        <f t="shared" si="176"/>
        <v>0</v>
      </c>
    </row>
    <row r="3731" spans="1:26" ht="15.75" customHeight="1" x14ac:dyDescent="0.2">
      <c r="A3731" s="2" t="s">
        <v>36</v>
      </c>
      <c r="B3731" s="2" t="s">
        <v>35</v>
      </c>
      <c r="C3731" s="2" t="s">
        <v>28</v>
      </c>
      <c r="D3731" s="2" t="s">
        <v>29</v>
      </c>
      <c r="E3731" s="2">
        <v>195</v>
      </c>
      <c r="F3731" s="2">
        <v>204</v>
      </c>
      <c r="G3731" s="2">
        <v>480</v>
      </c>
      <c r="H3731" s="2">
        <v>1124</v>
      </c>
      <c r="I3731" s="2">
        <v>2593</v>
      </c>
      <c r="J3731" s="2">
        <v>1.99</v>
      </c>
      <c r="K3731" s="2">
        <v>4.75</v>
      </c>
      <c r="L3731" s="2">
        <v>9.24</v>
      </c>
      <c r="M3731" s="2">
        <v>14.74</v>
      </c>
      <c r="N3731" s="2">
        <v>0.25410006400000001</v>
      </c>
      <c r="O3731" s="2">
        <v>0.53333291299999996</v>
      </c>
      <c r="P3731" s="2">
        <v>2.2488225609999999</v>
      </c>
      <c r="Q3731" s="2">
        <v>1.9633037630000001</v>
      </c>
      <c r="R3731" s="2">
        <v>0.31295997800000003</v>
      </c>
      <c r="S3731" s="2">
        <v>0.25295997799999997</v>
      </c>
      <c r="T3731" s="2">
        <v>2.2269393709999998</v>
      </c>
      <c r="U3731" s="2">
        <v>1.946939371</v>
      </c>
      <c r="V3731" s="2">
        <v>1.3025506090000001</v>
      </c>
      <c r="W3731" s="2">
        <v>1.3714426150000001</v>
      </c>
      <c r="X3731">
        <f t="shared" si="174"/>
        <v>0</v>
      </c>
      <c r="Y3731">
        <f t="shared" si="175"/>
        <v>0</v>
      </c>
      <c r="Z3731">
        <f t="shared" si="176"/>
        <v>1</v>
      </c>
    </row>
    <row r="3732" spans="1:26" ht="15.75" customHeight="1" x14ac:dyDescent="0.2">
      <c r="A3732" s="2" t="s">
        <v>36</v>
      </c>
      <c r="B3732" s="2" t="s">
        <v>35</v>
      </c>
      <c r="C3732" s="2" t="s">
        <v>30</v>
      </c>
      <c r="D3732" s="2" t="s">
        <v>31</v>
      </c>
      <c r="E3732" s="2">
        <v>176</v>
      </c>
      <c r="F3732" s="2">
        <v>220</v>
      </c>
      <c r="G3732" s="2">
        <v>807</v>
      </c>
      <c r="H3732" s="2">
        <v>1176</v>
      </c>
      <c r="I3732" s="2">
        <v>2804</v>
      </c>
      <c r="J3732" s="2">
        <v>2.1800000000000002</v>
      </c>
      <c r="K3732" s="2">
        <v>7.29</v>
      </c>
      <c r="L3732" s="2">
        <v>9.52</v>
      </c>
      <c r="M3732" s="2">
        <v>15.25</v>
      </c>
      <c r="N3732" s="2">
        <v>4.9416093989999998</v>
      </c>
      <c r="O3732" s="2">
        <v>4.7653967079999999</v>
      </c>
      <c r="P3732" s="2">
        <v>2.9592449759999999</v>
      </c>
      <c r="Q3732" s="2">
        <v>2.831383475</v>
      </c>
      <c r="R3732" s="2">
        <v>2.2291796169999998</v>
      </c>
      <c r="S3732" s="2">
        <v>2.2891796169999998</v>
      </c>
      <c r="T3732" s="2">
        <v>1.94625</v>
      </c>
      <c r="U3732" s="2">
        <v>1.66625</v>
      </c>
      <c r="V3732" s="2">
        <v>3.8446902039999999</v>
      </c>
      <c r="W3732" s="2">
        <v>3.91358221</v>
      </c>
      <c r="X3732">
        <f t="shared" si="174"/>
        <v>0</v>
      </c>
      <c r="Y3732">
        <f t="shared" si="175"/>
        <v>0</v>
      </c>
      <c r="Z3732">
        <f t="shared" si="176"/>
        <v>1</v>
      </c>
    </row>
    <row r="3733" spans="1:26" ht="15.75" customHeight="1" x14ac:dyDescent="0.2">
      <c r="A3733" s="2" t="s">
        <v>36</v>
      </c>
      <c r="B3733" s="2" t="s">
        <v>35</v>
      </c>
      <c r="C3733" s="2" t="s">
        <v>32</v>
      </c>
      <c r="D3733" s="2" t="s">
        <v>33</v>
      </c>
      <c r="E3733" s="2">
        <v>114</v>
      </c>
      <c r="F3733" s="2">
        <v>295</v>
      </c>
      <c r="G3733" s="2">
        <v>774</v>
      </c>
      <c r="H3733" s="2">
        <v>995</v>
      </c>
      <c r="I3733" s="2">
        <v>2304</v>
      </c>
      <c r="J3733" s="2">
        <v>2.98</v>
      </c>
      <c r="K3733" s="2">
        <v>7.06</v>
      </c>
      <c r="L3733" s="2">
        <v>8.5</v>
      </c>
      <c r="M3733" s="2">
        <v>13.96</v>
      </c>
      <c r="N3733" s="2">
        <v>3.0737717729999998</v>
      </c>
      <c r="O3733" s="2">
        <v>2.7626201830000001</v>
      </c>
      <c r="P3733" s="2">
        <v>3.5831231739999998</v>
      </c>
      <c r="Q3733" s="2">
        <v>3.3903838290000001</v>
      </c>
      <c r="R3733" s="2">
        <v>1.997612486</v>
      </c>
      <c r="S3733" s="2">
        <v>2.057612486</v>
      </c>
      <c r="T3733" s="2">
        <v>2.9746119129999999</v>
      </c>
      <c r="U3733" s="2">
        <v>2.6946119130000001</v>
      </c>
      <c r="V3733" s="2">
        <v>3.6131230730000001</v>
      </c>
      <c r="W3733" s="2">
        <v>3.6820150790000001</v>
      </c>
      <c r="X3733">
        <f t="shared" si="174"/>
        <v>0</v>
      </c>
      <c r="Y3733">
        <f t="shared" si="175"/>
        <v>0</v>
      </c>
      <c r="Z3733">
        <f t="shared" si="176"/>
        <v>1</v>
      </c>
    </row>
    <row r="3734" spans="1:26" ht="15.75" customHeight="1" x14ac:dyDescent="0.2">
      <c r="A3734" s="2" t="s">
        <v>36</v>
      </c>
      <c r="B3734" s="2" t="s">
        <v>35</v>
      </c>
      <c r="C3734" s="2" t="s">
        <v>26</v>
      </c>
      <c r="D3734" s="2" t="s">
        <v>26</v>
      </c>
      <c r="E3734" s="2">
        <v>200</v>
      </c>
      <c r="F3734" s="2">
        <v>270</v>
      </c>
      <c r="G3734" s="2">
        <v>511</v>
      </c>
      <c r="H3734" s="2">
        <v>1162</v>
      </c>
      <c r="I3734" s="2">
        <v>2871</v>
      </c>
      <c r="J3734" s="2">
        <v>2.71</v>
      </c>
      <c r="K3734" s="2">
        <v>5.01</v>
      </c>
      <c r="L3734" s="2">
        <v>9.4499999999999993</v>
      </c>
      <c r="M3734" s="2">
        <v>15.4</v>
      </c>
      <c r="N3734" s="2">
        <v>0.51826738800000005</v>
      </c>
      <c r="O3734" s="2">
        <v>0.79040198100000003</v>
      </c>
      <c r="P3734" s="2">
        <v>2.0219740869999998</v>
      </c>
      <c r="Q3734" s="2">
        <v>1.7414275050000001</v>
      </c>
      <c r="R3734" s="2">
        <v>4.8591473000000003E-2</v>
      </c>
      <c r="S3734" s="2">
        <v>1.1408527E-2</v>
      </c>
      <c r="T3734" s="2">
        <v>2.0213901349999999</v>
      </c>
      <c r="U3734" s="2">
        <v>1.7413901350000001</v>
      </c>
      <c r="V3734" s="2">
        <v>1.566919113</v>
      </c>
      <c r="W3734" s="2">
        <v>1.6358111200000001</v>
      </c>
      <c r="X3734">
        <f t="shared" si="174"/>
        <v>0</v>
      </c>
      <c r="Y3734">
        <f t="shared" si="175"/>
        <v>0</v>
      </c>
      <c r="Z3734">
        <f t="shared" si="176"/>
        <v>0</v>
      </c>
    </row>
    <row r="3735" spans="1:26" ht="15.75" customHeight="1" x14ac:dyDescent="0.2">
      <c r="A3735" s="2" t="s">
        <v>36</v>
      </c>
      <c r="B3735" s="2" t="s">
        <v>35</v>
      </c>
      <c r="C3735" s="2" t="s">
        <v>32</v>
      </c>
      <c r="D3735" s="2" t="s">
        <v>33</v>
      </c>
      <c r="E3735" s="2">
        <v>150</v>
      </c>
      <c r="F3735" s="2">
        <v>220</v>
      </c>
      <c r="G3735" s="2">
        <v>622</v>
      </c>
      <c r="H3735" s="2">
        <v>1204</v>
      </c>
      <c r="I3735" s="2">
        <v>2558</v>
      </c>
      <c r="J3735" s="2">
        <v>2.17</v>
      </c>
      <c r="K3735" s="2">
        <v>5.93</v>
      </c>
      <c r="L3735" s="2">
        <v>9.67</v>
      </c>
      <c r="M3735" s="2">
        <v>14.65</v>
      </c>
      <c r="N3735" s="2">
        <v>2.4296124969999999</v>
      </c>
      <c r="O3735" s="2">
        <v>2.1789225060000001</v>
      </c>
      <c r="P3735" s="2">
        <v>1.998310848</v>
      </c>
      <c r="Q3735" s="2">
        <v>1.7809056379999999</v>
      </c>
      <c r="R3735" s="2">
        <v>0.86848954300000003</v>
      </c>
      <c r="S3735" s="2">
        <v>0.92848954299999997</v>
      </c>
      <c r="T3735" s="2">
        <v>1.799714466</v>
      </c>
      <c r="U3735" s="2">
        <v>1.5197144659999999</v>
      </c>
      <c r="V3735" s="2">
        <v>2.4840001300000001</v>
      </c>
      <c r="W3735" s="2">
        <v>2.5528921360000001</v>
      </c>
      <c r="X3735">
        <f t="shared" si="174"/>
        <v>0</v>
      </c>
      <c r="Y3735">
        <f t="shared" si="175"/>
        <v>0</v>
      </c>
      <c r="Z3735">
        <f t="shared" si="176"/>
        <v>1</v>
      </c>
    </row>
    <row r="3736" spans="1:26" ht="15.75" customHeight="1" x14ac:dyDescent="0.2">
      <c r="A3736" s="2" t="s">
        <v>36</v>
      </c>
      <c r="B3736" s="2" t="s">
        <v>35</v>
      </c>
      <c r="C3736" s="2" t="s">
        <v>28</v>
      </c>
      <c r="D3736" s="2" t="s">
        <v>29</v>
      </c>
      <c r="E3736" s="2">
        <v>145</v>
      </c>
      <c r="F3736" s="2">
        <v>190</v>
      </c>
      <c r="G3736" s="2">
        <v>466</v>
      </c>
      <c r="H3736" s="2">
        <v>1130</v>
      </c>
      <c r="I3736" s="2">
        <v>2553</v>
      </c>
      <c r="J3736" s="2">
        <v>1.84</v>
      </c>
      <c r="K3736" s="2">
        <v>4.62</v>
      </c>
      <c r="L3736" s="2">
        <v>9.2799999999999994</v>
      </c>
      <c r="M3736" s="2">
        <v>14.64</v>
      </c>
      <c r="N3736" s="2">
        <v>0.32454981100000002</v>
      </c>
      <c r="O3736" s="2">
        <v>0.57733656200000005</v>
      </c>
      <c r="P3736" s="2">
        <v>2.2381727410000001</v>
      </c>
      <c r="Q3736" s="2">
        <v>1.9518390880000001</v>
      </c>
      <c r="R3736" s="2">
        <v>0.44315789500000002</v>
      </c>
      <c r="S3736" s="2">
        <v>0.38315789500000003</v>
      </c>
      <c r="T3736" s="2">
        <v>2.193861504</v>
      </c>
      <c r="U3736" s="2">
        <v>1.913861504</v>
      </c>
      <c r="V3736" s="2">
        <v>1.172352692</v>
      </c>
      <c r="W3736" s="2">
        <v>1.241244698</v>
      </c>
      <c r="X3736">
        <f t="shared" si="174"/>
        <v>0</v>
      </c>
      <c r="Y3736">
        <f t="shared" si="175"/>
        <v>0</v>
      </c>
      <c r="Z3736">
        <f t="shared" si="176"/>
        <v>1</v>
      </c>
    </row>
    <row r="3737" spans="1:26" ht="15.75" customHeight="1" x14ac:dyDescent="0.2">
      <c r="A3737" s="2" t="s">
        <v>36</v>
      </c>
      <c r="B3737" s="2" t="s">
        <v>35</v>
      </c>
      <c r="C3737" s="2" t="s">
        <v>32</v>
      </c>
      <c r="D3737" s="2" t="s">
        <v>33</v>
      </c>
      <c r="E3737" s="2">
        <v>109</v>
      </c>
      <c r="F3737" s="2">
        <v>280</v>
      </c>
      <c r="G3737" s="2">
        <v>725</v>
      </c>
      <c r="H3737" s="2">
        <v>1183</v>
      </c>
      <c r="I3737" s="2">
        <v>2538</v>
      </c>
      <c r="J3737" s="2">
        <v>2.82</v>
      </c>
      <c r="K3737" s="2">
        <v>6.71</v>
      </c>
      <c r="L3737" s="2">
        <v>9.56</v>
      </c>
      <c r="M3737" s="2">
        <v>14.6</v>
      </c>
      <c r="N3737" s="2">
        <v>2.1262820059999998</v>
      </c>
      <c r="O3737" s="2">
        <v>1.828563554</v>
      </c>
      <c r="P3737" s="2">
        <v>2.5224274059999998</v>
      </c>
      <c r="Q3737" s="2">
        <v>2.360563054</v>
      </c>
      <c r="R3737" s="2">
        <v>1.646769307</v>
      </c>
      <c r="S3737" s="2">
        <v>1.7067693070000001</v>
      </c>
      <c r="T3737" s="2">
        <v>1.910704285</v>
      </c>
      <c r="U3737" s="2">
        <v>1.630704285</v>
      </c>
      <c r="V3737" s="2">
        <v>3.2622798940000002</v>
      </c>
      <c r="W3737" s="2">
        <v>3.3311719000000002</v>
      </c>
      <c r="X3737">
        <f t="shared" si="174"/>
        <v>0</v>
      </c>
      <c r="Y3737">
        <f t="shared" si="175"/>
        <v>0</v>
      </c>
      <c r="Z3737">
        <f t="shared" si="176"/>
        <v>1</v>
      </c>
    </row>
    <row r="3738" spans="1:26" ht="15.75" customHeight="1" x14ac:dyDescent="0.2">
      <c r="A3738" s="2" t="s">
        <v>36</v>
      </c>
      <c r="B3738" s="2" t="s">
        <v>35</v>
      </c>
      <c r="C3738" s="2" t="s">
        <v>25</v>
      </c>
      <c r="D3738" s="2" t="s">
        <v>25</v>
      </c>
      <c r="E3738" s="2">
        <v>251</v>
      </c>
      <c r="F3738" s="2">
        <v>235</v>
      </c>
      <c r="G3738" s="2">
        <v>837</v>
      </c>
      <c r="H3738" s="2">
        <v>1661</v>
      </c>
      <c r="I3738" s="2">
        <v>2029</v>
      </c>
      <c r="J3738" s="2">
        <v>2.34</v>
      </c>
      <c r="K3738" s="2">
        <v>7.49</v>
      </c>
      <c r="L3738" s="2">
        <v>11.77</v>
      </c>
      <c r="M3738" s="2">
        <v>13.11</v>
      </c>
      <c r="N3738" s="2">
        <v>0.22846005899999999</v>
      </c>
      <c r="O3738" s="2">
        <v>0.53980230200000001</v>
      </c>
      <c r="P3738" s="2">
        <v>2.4510656709999998</v>
      </c>
      <c r="Q3738" s="2">
        <v>2.5590236169999998</v>
      </c>
      <c r="R3738" s="2">
        <v>2.4328709329999998</v>
      </c>
      <c r="S3738" s="2">
        <v>2.4928709329999998</v>
      </c>
      <c r="T3738" s="2">
        <v>0.29809721099999997</v>
      </c>
      <c r="U3738" s="2">
        <v>0.578097211</v>
      </c>
      <c r="V3738" s="2">
        <v>4.0483815200000004</v>
      </c>
      <c r="W3738" s="2">
        <v>4.117273526</v>
      </c>
      <c r="X3738">
        <f t="shared" si="174"/>
        <v>0</v>
      </c>
      <c r="Y3738">
        <f t="shared" si="175"/>
        <v>0</v>
      </c>
      <c r="Z3738">
        <f t="shared" si="176"/>
        <v>0</v>
      </c>
    </row>
    <row r="3739" spans="1:26" ht="15.75" customHeight="1" x14ac:dyDescent="0.2">
      <c r="A3739" s="2" t="s">
        <v>36</v>
      </c>
      <c r="B3739" s="2" t="s">
        <v>35</v>
      </c>
      <c r="C3739" s="2" t="s">
        <v>27</v>
      </c>
      <c r="D3739" s="2" t="s">
        <v>27</v>
      </c>
      <c r="E3739" s="2">
        <v>189</v>
      </c>
      <c r="F3739" s="2">
        <v>239</v>
      </c>
      <c r="G3739" s="2">
        <v>499</v>
      </c>
      <c r="H3739" s="2">
        <v>2230</v>
      </c>
      <c r="I3739" s="2">
        <v>2855</v>
      </c>
      <c r="J3739" s="2">
        <v>2.38</v>
      </c>
      <c r="K3739" s="2">
        <v>4.91</v>
      </c>
      <c r="L3739" s="2">
        <v>13.74</v>
      </c>
      <c r="M3739" s="2">
        <v>15.37</v>
      </c>
      <c r="N3739" s="2">
        <v>0.109651624</v>
      </c>
      <c r="O3739" s="2">
        <v>0.25634808100000001</v>
      </c>
      <c r="P3739" s="2">
        <v>2.2735382830000002</v>
      </c>
      <c r="Q3739" s="2">
        <v>2.550277565</v>
      </c>
      <c r="R3739" s="2">
        <v>0.14660341599999999</v>
      </c>
      <c r="S3739" s="2">
        <v>8.6603416000000003E-2</v>
      </c>
      <c r="T3739" s="2">
        <v>2.2688066830000002</v>
      </c>
      <c r="U3739" s="2">
        <v>2.548806683</v>
      </c>
      <c r="V3739" s="2">
        <v>1.4689071709999999</v>
      </c>
      <c r="W3739" s="2">
        <v>1.537799178</v>
      </c>
      <c r="X3739">
        <f t="shared" si="174"/>
        <v>0</v>
      </c>
      <c r="Y3739">
        <f t="shared" si="175"/>
        <v>0</v>
      </c>
      <c r="Z3739">
        <f t="shared" si="176"/>
        <v>0</v>
      </c>
    </row>
    <row r="3740" spans="1:26" ht="15.75" customHeight="1" x14ac:dyDescent="0.2">
      <c r="A3740" s="2" t="s">
        <v>36</v>
      </c>
      <c r="B3740" s="2" t="s">
        <v>35</v>
      </c>
      <c r="C3740" s="2" t="s">
        <v>30</v>
      </c>
      <c r="D3740" s="2" t="s">
        <v>31</v>
      </c>
      <c r="E3740" s="2">
        <v>159</v>
      </c>
      <c r="F3740" s="2">
        <v>270</v>
      </c>
      <c r="G3740" s="2">
        <v>638</v>
      </c>
      <c r="H3740" s="2">
        <v>1136</v>
      </c>
      <c r="I3740" s="2">
        <v>1766</v>
      </c>
      <c r="J3740" s="2">
        <v>2.72</v>
      </c>
      <c r="K3740" s="2">
        <v>6.06</v>
      </c>
      <c r="L3740" s="2">
        <v>9.31</v>
      </c>
      <c r="M3740" s="2">
        <v>12.18</v>
      </c>
      <c r="N3740" s="2">
        <v>4.6685359780000004</v>
      </c>
      <c r="O3740" s="2">
        <v>4.4440194970000002</v>
      </c>
      <c r="P3740" s="2">
        <v>2.3828980120000001</v>
      </c>
      <c r="Q3740" s="2">
        <v>2.1604666469999998</v>
      </c>
      <c r="R3740" s="2">
        <v>0.99642078300000003</v>
      </c>
      <c r="S3740" s="2">
        <v>1.0564207830000001</v>
      </c>
      <c r="T3740" s="2">
        <v>2.164566598</v>
      </c>
      <c r="U3740" s="2">
        <v>1.8845665979999999</v>
      </c>
      <c r="V3740" s="2">
        <v>2.6119313690000001</v>
      </c>
      <c r="W3740" s="2">
        <v>2.6808233760000002</v>
      </c>
      <c r="X3740">
        <f t="shared" si="174"/>
        <v>0</v>
      </c>
      <c r="Y3740">
        <f t="shared" si="175"/>
        <v>0</v>
      </c>
      <c r="Z3740">
        <f t="shared" si="176"/>
        <v>1</v>
      </c>
    </row>
    <row r="3741" spans="1:26" ht="15.75" customHeight="1" x14ac:dyDescent="0.2">
      <c r="A3741" s="2" t="s">
        <v>36</v>
      </c>
      <c r="B3741" s="2" t="s">
        <v>35</v>
      </c>
      <c r="C3741" s="2" t="s">
        <v>25</v>
      </c>
      <c r="D3741" s="2" t="s">
        <v>25</v>
      </c>
      <c r="E3741" s="2">
        <v>155</v>
      </c>
      <c r="F3741" s="2">
        <v>250</v>
      </c>
      <c r="G3741" s="2">
        <v>890</v>
      </c>
      <c r="H3741" s="2">
        <v>1358</v>
      </c>
      <c r="I3741" s="2">
        <v>1838</v>
      </c>
      <c r="J3741" s="2">
        <v>2.5</v>
      </c>
      <c r="K3741" s="2">
        <v>7.84</v>
      </c>
      <c r="L3741" s="2">
        <v>10.44</v>
      </c>
      <c r="M3741" s="2">
        <v>12.44</v>
      </c>
      <c r="N3741" s="2">
        <v>1.156064309</v>
      </c>
      <c r="O3741" s="2">
        <v>0.88041336800000003</v>
      </c>
      <c r="P3741" s="2">
        <v>2.9678091590000002</v>
      </c>
      <c r="Q3741" s="2">
        <v>2.9408886710000002</v>
      </c>
      <c r="R3741" s="2">
        <v>2.7844018240000001</v>
      </c>
      <c r="S3741" s="2">
        <v>2.8444018240000002</v>
      </c>
      <c r="T3741" s="2">
        <v>1.0271308020000001</v>
      </c>
      <c r="U3741" s="2">
        <v>0.74713080200000004</v>
      </c>
      <c r="V3741" s="2">
        <v>4.3999124109999999</v>
      </c>
      <c r="W3741" s="2">
        <v>4.4688044170000003</v>
      </c>
      <c r="X3741">
        <f t="shared" si="174"/>
        <v>0</v>
      </c>
      <c r="Y3741">
        <f t="shared" si="175"/>
        <v>0</v>
      </c>
      <c r="Z3741">
        <f t="shared" si="176"/>
        <v>0</v>
      </c>
    </row>
    <row r="3742" spans="1:26" ht="15.75" customHeight="1" x14ac:dyDescent="0.2">
      <c r="A3742" s="2" t="s">
        <v>36</v>
      </c>
      <c r="B3742" s="2" t="s">
        <v>35</v>
      </c>
      <c r="C3742" s="2" t="s">
        <v>30</v>
      </c>
      <c r="D3742" s="2" t="s">
        <v>31</v>
      </c>
      <c r="E3742" s="2">
        <v>145</v>
      </c>
      <c r="F3742" s="2">
        <v>238</v>
      </c>
      <c r="G3742" s="2">
        <v>819</v>
      </c>
      <c r="H3742" s="2">
        <v>1249</v>
      </c>
      <c r="I3742" s="2">
        <v>2812</v>
      </c>
      <c r="J3742" s="2">
        <v>2.37</v>
      </c>
      <c r="K3742" s="2">
        <v>7.37</v>
      </c>
      <c r="L3742" s="2">
        <v>9.91</v>
      </c>
      <c r="M3742" s="2">
        <v>15.27</v>
      </c>
      <c r="N3742" s="2">
        <v>4.6589095919999997</v>
      </c>
      <c r="O3742" s="2">
        <v>4.4954652509999997</v>
      </c>
      <c r="P3742" s="2">
        <v>2.7921644479999999</v>
      </c>
      <c r="Q3742" s="2">
        <v>2.6982048989999998</v>
      </c>
      <c r="R3742" s="2">
        <v>2.3134516669999998</v>
      </c>
      <c r="S3742" s="2">
        <v>2.3734516669999999</v>
      </c>
      <c r="T3742" s="2">
        <v>1.5633693390000001</v>
      </c>
      <c r="U3742" s="2">
        <v>1.2833693390000001</v>
      </c>
      <c r="V3742" s="2">
        <v>3.928962254</v>
      </c>
      <c r="W3742" s="2">
        <v>3.99785426</v>
      </c>
      <c r="X3742">
        <f t="shared" si="174"/>
        <v>0</v>
      </c>
      <c r="Y3742">
        <f t="shared" si="175"/>
        <v>0</v>
      </c>
      <c r="Z3742">
        <f t="shared" si="176"/>
        <v>1</v>
      </c>
    </row>
    <row r="3743" spans="1:26" ht="15.75" customHeight="1" x14ac:dyDescent="0.2">
      <c r="A3743" s="2" t="s">
        <v>36</v>
      </c>
      <c r="B3743" s="2" t="s">
        <v>35</v>
      </c>
      <c r="C3743" s="2" t="s">
        <v>25</v>
      </c>
      <c r="D3743" s="2" t="s">
        <v>25</v>
      </c>
      <c r="E3743" s="2">
        <v>127</v>
      </c>
      <c r="F3743" s="2">
        <v>254</v>
      </c>
      <c r="G3743" s="2">
        <v>857</v>
      </c>
      <c r="H3743" s="2">
        <v>1492</v>
      </c>
      <c r="I3743" s="2">
        <v>2554</v>
      </c>
      <c r="J3743" s="2">
        <v>2.5499999999999998</v>
      </c>
      <c r="K3743" s="2">
        <v>7.63</v>
      </c>
      <c r="L3743" s="2">
        <v>11.06</v>
      </c>
      <c r="M3743" s="2">
        <v>14.64</v>
      </c>
      <c r="N3743" s="2">
        <v>0.644830711</v>
      </c>
      <c r="O3743" s="2">
        <v>0.81366921800000003</v>
      </c>
      <c r="P3743" s="2">
        <v>2.7329603320000002</v>
      </c>
      <c r="Q3743" s="2">
        <v>2.838832783</v>
      </c>
      <c r="R3743" s="2">
        <v>2.6762548810000002</v>
      </c>
      <c r="S3743" s="2">
        <v>2.7862548810000001</v>
      </c>
      <c r="T3743" s="2">
        <v>0.55383389699999996</v>
      </c>
      <c r="U3743" s="2">
        <v>0.54383389699999996</v>
      </c>
      <c r="V3743" s="2">
        <v>4.323847926</v>
      </c>
      <c r="W3743" s="2">
        <v>4.286802636</v>
      </c>
      <c r="X3743">
        <f t="shared" si="174"/>
        <v>0</v>
      </c>
      <c r="Y3743">
        <f t="shared" si="175"/>
        <v>0</v>
      </c>
      <c r="Z3743">
        <f t="shared" si="176"/>
        <v>0</v>
      </c>
    </row>
    <row r="3744" spans="1:26" ht="15.75" customHeight="1" x14ac:dyDescent="0.2">
      <c r="A3744" s="2" t="s">
        <v>36</v>
      </c>
      <c r="B3744" s="2" t="s">
        <v>35</v>
      </c>
      <c r="C3744" s="2" t="s">
        <v>26</v>
      </c>
      <c r="D3744" s="2" t="s">
        <v>26</v>
      </c>
      <c r="E3744" s="2">
        <v>102</v>
      </c>
      <c r="F3744" s="2">
        <v>260</v>
      </c>
      <c r="G3744" s="2">
        <v>473</v>
      </c>
      <c r="H3744" s="2">
        <v>1191</v>
      </c>
      <c r="I3744" s="2">
        <v>2504</v>
      </c>
      <c r="J3744" s="2">
        <v>2.61</v>
      </c>
      <c r="K3744" s="2">
        <v>4.6900000000000004</v>
      </c>
      <c r="L3744" s="2">
        <v>9.6</v>
      </c>
      <c r="M3744" s="2">
        <v>14.51</v>
      </c>
      <c r="N3744" s="2">
        <v>1.299799419</v>
      </c>
      <c r="O3744" s="2">
        <v>1.2037283670000001</v>
      </c>
      <c r="P3744" s="2">
        <v>2.0238949700000002</v>
      </c>
      <c r="Q3744" s="2">
        <v>2.0024840249999998</v>
      </c>
      <c r="R3744" s="2">
        <v>0.26490411000000003</v>
      </c>
      <c r="S3744" s="2">
        <v>0.15490411000000001</v>
      </c>
      <c r="T3744" s="2">
        <v>2.0064836559999999</v>
      </c>
      <c r="U3744" s="2">
        <v>1.9964836560000001</v>
      </c>
      <c r="V3744" s="2">
        <v>1.382688935</v>
      </c>
      <c r="W3744" s="2">
        <v>1.345643645</v>
      </c>
      <c r="X3744">
        <f t="shared" si="174"/>
        <v>0</v>
      </c>
      <c r="Y3744">
        <f t="shared" si="175"/>
        <v>0</v>
      </c>
      <c r="Z3744">
        <f t="shared" si="176"/>
        <v>0</v>
      </c>
    </row>
    <row r="3745" spans="1:26" ht="15.75" customHeight="1" x14ac:dyDescent="0.2">
      <c r="A3745" s="2" t="s">
        <v>36</v>
      </c>
      <c r="B3745" s="2" t="s">
        <v>35</v>
      </c>
      <c r="C3745" s="2" t="s">
        <v>27</v>
      </c>
      <c r="D3745" s="2" t="s">
        <v>27</v>
      </c>
      <c r="E3745" s="2">
        <v>101</v>
      </c>
      <c r="F3745" s="2">
        <v>250</v>
      </c>
      <c r="G3745" s="2">
        <v>488</v>
      </c>
      <c r="H3745" s="2">
        <v>2152</v>
      </c>
      <c r="I3745" s="2">
        <v>3100</v>
      </c>
      <c r="J3745" s="2">
        <v>2.5</v>
      </c>
      <c r="K3745" s="2">
        <v>4.82</v>
      </c>
      <c r="L3745" s="2">
        <v>13.5</v>
      </c>
      <c r="M3745" s="2">
        <v>15.9</v>
      </c>
      <c r="N3745" s="2">
        <v>0.46298675</v>
      </c>
      <c r="O3745" s="2">
        <v>0.41467705599999999</v>
      </c>
      <c r="P3745" s="2">
        <v>1.8955579979999999</v>
      </c>
      <c r="Q3745" s="2">
        <v>1.901048743</v>
      </c>
      <c r="R3745" s="2">
        <v>0.132600408</v>
      </c>
      <c r="S3745" s="2">
        <v>2.2600407999999999E-2</v>
      </c>
      <c r="T3745" s="2">
        <v>1.890914397</v>
      </c>
      <c r="U3745" s="2">
        <v>1.900914397</v>
      </c>
      <c r="V3745" s="2">
        <v>1.5149926359999999</v>
      </c>
      <c r="W3745" s="2">
        <v>1.477947347</v>
      </c>
      <c r="X3745">
        <f t="shared" si="174"/>
        <v>0</v>
      </c>
      <c r="Y3745">
        <f t="shared" si="175"/>
        <v>0</v>
      </c>
      <c r="Z3745">
        <f t="shared" si="176"/>
        <v>0</v>
      </c>
    </row>
    <row r="3746" spans="1:26" ht="15.75" customHeight="1" x14ac:dyDescent="0.2">
      <c r="A3746" s="2" t="s">
        <v>36</v>
      </c>
      <c r="B3746" s="2" t="s">
        <v>35</v>
      </c>
      <c r="C3746" s="2" t="s">
        <v>28</v>
      </c>
      <c r="D3746" s="2" t="s">
        <v>29</v>
      </c>
      <c r="E3746" s="2">
        <v>95</v>
      </c>
      <c r="F3746" s="2">
        <v>251</v>
      </c>
      <c r="G3746" s="2">
        <v>446</v>
      </c>
      <c r="H3746" s="2">
        <v>883</v>
      </c>
      <c r="I3746" s="2">
        <v>2418</v>
      </c>
      <c r="J3746" s="2">
        <v>2.5099999999999998</v>
      </c>
      <c r="K3746" s="2">
        <v>4.4400000000000004</v>
      </c>
      <c r="L3746" s="2">
        <v>7.8</v>
      </c>
      <c r="M3746" s="2">
        <v>14.28</v>
      </c>
      <c r="N3746" s="2">
        <v>0.52447305499999997</v>
      </c>
      <c r="O3746" s="2">
        <v>0.69255650899999999</v>
      </c>
      <c r="P3746" s="2">
        <v>3.8467368569999998</v>
      </c>
      <c r="Q3746" s="2">
        <v>3.823837835</v>
      </c>
      <c r="R3746" s="2">
        <v>0.50720736899999996</v>
      </c>
      <c r="S3746" s="2">
        <v>0.39720736899999998</v>
      </c>
      <c r="T3746" s="2">
        <v>3.8131515999999999</v>
      </c>
      <c r="U3746" s="2">
        <v>3.8031516000000001</v>
      </c>
      <c r="V3746" s="2">
        <v>1.1403856750000001</v>
      </c>
      <c r="W3746" s="2">
        <v>1.103340386</v>
      </c>
      <c r="X3746">
        <f t="shared" si="174"/>
        <v>0</v>
      </c>
      <c r="Y3746">
        <f t="shared" si="175"/>
        <v>0</v>
      </c>
      <c r="Z3746">
        <f t="shared" si="176"/>
        <v>1</v>
      </c>
    </row>
    <row r="3747" spans="1:26" ht="15.75" customHeight="1" x14ac:dyDescent="0.2">
      <c r="A3747" s="2" t="s">
        <v>36</v>
      </c>
      <c r="B3747" s="2" t="s">
        <v>35</v>
      </c>
      <c r="C3747" s="2" t="s">
        <v>30</v>
      </c>
      <c r="D3747" s="2" t="s">
        <v>31</v>
      </c>
      <c r="E3747" s="2">
        <v>152</v>
      </c>
      <c r="F3747" s="2">
        <v>249</v>
      </c>
      <c r="G3747" s="2">
        <v>649</v>
      </c>
      <c r="H3747" s="2">
        <v>1646</v>
      </c>
      <c r="I3747" s="2">
        <v>2701</v>
      </c>
      <c r="J3747" s="2">
        <v>2.5</v>
      </c>
      <c r="K3747" s="2">
        <v>6.14</v>
      </c>
      <c r="L3747" s="2">
        <v>11.71</v>
      </c>
      <c r="M3747" s="2">
        <v>15.01</v>
      </c>
      <c r="N3747" s="2">
        <v>2.5474545059999998</v>
      </c>
      <c r="O3747" s="2">
        <v>2.6397637280000001</v>
      </c>
      <c r="P3747" s="2">
        <v>1.190437838</v>
      </c>
      <c r="Q3747" s="2">
        <v>1.3008867850000001</v>
      </c>
      <c r="R3747" s="2">
        <v>1.1865295170000001</v>
      </c>
      <c r="S3747" s="2">
        <v>1.296529517</v>
      </c>
      <c r="T3747" s="2">
        <v>9.6384394999999998E-2</v>
      </c>
      <c r="U3747" s="2">
        <v>0.10638439500000001</v>
      </c>
      <c r="V3747" s="2">
        <v>2.8341225620000001</v>
      </c>
      <c r="W3747" s="2">
        <v>2.7970772720000001</v>
      </c>
      <c r="X3747">
        <f t="shared" si="174"/>
        <v>0</v>
      </c>
      <c r="Y3747">
        <f t="shared" si="175"/>
        <v>0</v>
      </c>
      <c r="Z3747">
        <f t="shared" si="176"/>
        <v>1</v>
      </c>
    </row>
    <row r="3748" spans="1:26" ht="15.75" customHeight="1" x14ac:dyDescent="0.2">
      <c r="A3748" s="2" t="s">
        <v>36</v>
      </c>
      <c r="B3748" s="2" t="s">
        <v>35</v>
      </c>
      <c r="C3748" s="2" t="s">
        <v>26</v>
      </c>
      <c r="D3748" s="2" t="s">
        <v>26</v>
      </c>
      <c r="E3748" s="2">
        <v>118</v>
      </c>
      <c r="F3748" s="2">
        <v>246</v>
      </c>
      <c r="G3748" s="2">
        <v>452</v>
      </c>
      <c r="H3748" s="2">
        <v>689</v>
      </c>
      <c r="I3748" s="2">
        <v>2561</v>
      </c>
      <c r="J3748" s="2">
        <v>2.46</v>
      </c>
      <c r="K3748" s="2">
        <v>4.5</v>
      </c>
      <c r="L3748" s="2">
        <v>6.45</v>
      </c>
      <c r="M3748" s="2">
        <v>14.66</v>
      </c>
      <c r="N3748" s="2">
        <v>1.8743508369999999</v>
      </c>
      <c r="O3748" s="2">
        <v>2.0358819970000002</v>
      </c>
      <c r="P3748" s="2">
        <v>5.1840935330000004</v>
      </c>
      <c r="Q3748" s="2">
        <v>5.1656658569999996</v>
      </c>
      <c r="R3748" s="2">
        <v>0.45289346400000002</v>
      </c>
      <c r="S3748" s="2">
        <v>0.34289346399999998</v>
      </c>
      <c r="T3748" s="2">
        <v>5.1642727730000004</v>
      </c>
      <c r="U3748" s="2">
        <v>5.1542727729999998</v>
      </c>
      <c r="V3748" s="2">
        <v>1.1946995810000001</v>
      </c>
      <c r="W3748" s="2">
        <v>1.1576542910000001</v>
      </c>
      <c r="X3748">
        <f t="shared" si="174"/>
        <v>0</v>
      </c>
      <c r="Y3748">
        <f t="shared" si="175"/>
        <v>0</v>
      </c>
      <c r="Z3748">
        <f t="shared" si="176"/>
        <v>0</v>
      </c>
    </row>
    <row r="3749" spans="1:26" ht="15.75" customHeight="1" x14ac:dyDescent="0.2">
      <c r="A3749" s="2" t="s">
        <v>36</v>
      </c>
      <c r="B3749" s="2" t="s">
        <v>35</v>
      </c>
      <c r="C3749" s="2" t="s">
        <v>28</v>
      </c>
      <c r="D3749" s="2" t="s">
        <v>29</v>
      </c>
      <c r="E3749" s="2">
        <v>141</v>
      </c>
      <c r="F3749" s="2">
        <v>271</v>
      </c>
      <c r="G3749" s="2">
        <v>512</v>
      </c>
      <c r="H3749" s="2">
        <v>1825</v>
      </c>
      <c r="I3749" s="2">
        <v>3117</v>
      </c>
      <c r="J3749" s="2">
        <v>2.73</v>
      </c>
      <c r="K3749" s="2">
        <v>5.03</v>
      </c>
      <c r="L3749" s="2">
        <v>12.4</v>
      </c>
      <c r="M3749" s="2">
        <v>15.93</v>
      </c>
      <c r="N3749" s="2">
        <v>4.113248027</v>
      </c>
      <c r="O3749" s="2">
        <v>3.997066813</v>
      </c>
      <c r="P3749" s="2">
        <v>0.790519737</v>
      </c>
      <c r="Q3749" s="2">
        <v>0.81824402299999999</v>
      </c>
      <c r="R3749" s="2">
        <v>7.5746258999999996E-2</v>
      </c>
      <c r="S3749" s="2">
        <v>0.185746259</v>
      </c>
      <c r="T3749" s="2">
        <v>0.78688243099999999</v>
      </c>
      <c r="U3749" s="2">
        <v>0.796882431</v>
      </c>
      <c r="V3749" s="2">
        <v>1.7233393029999999</v>
      </c>
      <c r="W3749" s="2">
        <v>1.686294014</v>
      </c>
      <c r="X3749">
        <f t="shared" si="174"/>
        <v>0</v>
      </c>
      <c r="Y3749">
        <f t="shared" si="175"/>
        <v>0</v>
      </c>
      <c r="Z3749">
        <f t="shared" si="176"/>
        <v>1</v>
      </c>
    </row>
    <row r="3750" spans="1:26" ht="15.75" customHeight="1" x14ac:dyDescent="0.2">
      <c r="A3750" s="2" t="s">
        <v>36</v>
      </c>
      <c r="B3750" s="2" t="s">
        <v>35</v>
      </c>
      <c r="C3750" s="2" t="s">
        <v>32</v>
      </c>
      <c r="D3750" s="2" t="s">
        <v>33</v>
      </c>
      <c r="E3750" s="2">
        <v>190</v>
      </c>
      <c r="F3750" s="2">
        <v>268</v>
      </c>
      <c r="G3750" s="2">
        <v>565</v>
      </c>
      <c r="H3750" s="2">
        <v>957</v>
      </c>
      <c r="I3750" s="2">
        <v>2414</v>
      </c>
      <c r="J3750" s="2">
        <v>2.7</v>
      </c>
      <c r="K3750" s="2">
        <v>5.47</v>
      </c>
      <c r="L3750" s="2">
        <v>8.27</v>
      </c>
      <c r="M3750" s="2">
        <v>14.27</v>
      </c>
      <c r="N3750" s="2">
        <v>3.9037036010000001</v>
      </c>
      <c r="O3750" s="2">
        <v>3.997195364</v>
      </c>
      <c r="P3750" s="2">
        <v>3.3847267790000002</v>
      </c>
      <c r="Q3750" s="2">
        <v>3.3935953969999999</v>
      </c>
      <c r="R3750" s="2">
        <v>0.52181626199999998</v>
      </c>
      <c r="S3750" s="2">
        <v>0.63181626199999996</v>
      </c>
      <c r="T3750" s="2">
        <v>3.3442612270000001</v>
      </c>
      <c r="U3750" s="2">
        <v>3.3342612269999998</v>
      </c>
      <c r="V3750" s="2">
        <v>2.169409307</v>
      </c>
      <c r="W3750" s="2">
        <v>2.132364017</v>
      </c>
      <c r="X3750">
        <f t="shared" si="174"/>
        <v>0</v>
      </c>
      <c r="Y3750">
        <f t="shared" si="175"/>
        <v>0</v>
      </c>
      <c r="Z3750">
        <f t="shared" si="176"/>
        <v>1</v>
      </c>
    </row>
    <row r="3751" spans="1:26" ht="15.75" customHeight="1" x14ac:dyDescent="0.2">
      <c r="A3751" s="2" t="s">
        <v>36</v>
      </c>
      <c r="B3751" s="2" t="s">
        <v>35</v>
      </c>
      <c r="C3751" s="2" t="s">
        <v>32</v>
      </c>
      <c r="D3751" s="2" t="s">
        <v>33</v>
      </c>
      <c r="E3751" s="2">
        <v>160</v>
      </c>
      <c r="F3751" s="2">
        <v>255</v>
      </c>
      <c r="G3751" s="2">
        <v>600</v>
      </c>
      <c r="H3751" s="2">
        <v>941</v>
      </c>
      <c r="I3751" s="2">
        <v>2504</v>
      </c>
      <c r="J3751" s="2">
        <v>2.5499999999999998</v>
      </c>
      <c r="K3751" s="2">
        <v>5.75</v>
      </c>
      <c r="L3751" s="2">
        <v>8.16</v>
      </c>
      <c r="M3751" s="2">
        <v>14.51</v>
      </c>
      <c r="N3751" s="2">
        <v>3.8640076130000001</v>
      </c>
      <c r="O3751" s="2">
        <v>3.9679641000000001</v>
      </c>
      <c r="P3751" s="2">
        <v>3.538162582</v>
      </c>
      <c r="Q3751" s="2">
        <v>3.5550908749999999</v>
      </c>
      <c r="R3751" s="2">
        <v>0.80359375</v>
      </c>
      <c r="S3751" s="2">
        <v>0.91359374999999998</v>
      </c>
      <c r="T3751" s="2">
        <v>3.4456975409999999</v>
      </c>
      <c r="U3751" s="2">
        <v>3.4356975410000001</v>
      </c>
      <c r="V3751" s="2">
        <v>2.4511867949999999</v>
      </c>
      <c r="W3751" s="2">
        <v>2.4141415049999999</v>
      </c>
      <c r="X3751">
        <f t="shared" si="174"/>
        <v>0</v>
      </c>
      <c r="Y3751">
        <f t="shared" si="175"/>
        <v>0</v>
      </c>
      <c r="Z3751">
        <f t="shared" si="176"/>
        <v>1</v>
      </c>
    </row>
    <row r="3752" spans="1:26" ht="15.75" customHeight="1" x14ac:dyDescent="0.2">
      <c r="A3752" s="2" t="s">
        <v>36</v>
      </c>
      <c r="B3752" s="2" t="s">
        <v>35</v>
      </c>
      <c r="C3752" s="2" t="s">
        <v>25</v>
      </c>
      <c r="D3752" s="2" t="s">
        <v>25</v>
      </c>
      <c r="E3752" s="2">
        <v>194</v>
      </c>
      <c r="F3752" s="2">
        <v>254</v>
      </c>
      <c r="G3752" s="2">
        <v>845</v>
      </c>
      <c r="H3752" s="2">
        <v>1701</v>
      </c>
      <c r="I3752" s="2">
        <v>2783</v>
      </c>
      <c r="J3752" s="2">
        <v>2.5499999999999998</v>
      </c>
      <c r="K3752" s="2">
        <v>7.54</v>
      </c>
      <c r="L3752" s="2">
        <v>11.93</v>
      </c>
      <c r="M3752" s="2">
        <v>15.2</v>
      </c>
      <c r="N3752" s="2">
        <v>0.30315925799999999</v>
      </c>
      <c r="O3752" s="2">
        <v>0.25275594099999998</v>
      </c>
      <c r="P3752" s="2">
        <v>2.6134803889999998</v>
      </c>
      <c r="Q3752" s="2">
        <v>2.7238837359999999</v>
      </c>
      <c r="R3752" s="2">
        <v>2.5942262899999999</v>
      </c>
      <c r="S3752" s="2">
        <v>2.7042262899999998</v>
      </c>
      <c r="T3752" s="2">
        <v>0.31665391999999998</v>
      </c>
      <c r="U3752" s="2">
        <v>0.32665391999999999</v>
      </c>
      <c r="V3752" s="2">
        <v>4.2418193339999997</v>
      </c>
      <c r="W3752" s="2">
        <v>4.2047740449999997</v>
      </c>
      <c r="X3752">
        <f t="shared" si="174"/>
        <v>0</v>
      </c>
      <c r="Y3752">
        <f t="shared" si="175"/>
        <v>0</v>
      </c>
      <c r="Z3752">
        <f t="shared" si="176"/>
        <v>0</v>
      </c>
    </row>
    <row r="3753" spans="1:26" ht="15.75" customHeight="1" x14ac:dyDescent="0.2">
      <c r="A3753" s="2" t="s">
        <v>36</v>
      </c>
      <c r="B3753" s="2" t="s">
        <v>35</v>
      </c>
      <c r="C3753" s="2" t="s">
        <v>32</v>
      </c>
      <c r="D3753" s="2" t="s">
        <v>33</v>
      </c>
      <c r="E3753" s="2">
        <v>118</v>
      </c>
      <c r="F3753" s="2">
        <v>272</v>
      </c>
      <c r="G3753" s="2">
        <v>599</v>
      </c>
      <c r="H3753" s="2">
        <v>1087</v>
      </c>
      <c r="I3753" s="2">
        <v>2586</v>
      </c>
      <c r="J3753" s="2">
        <v>2.74</v>
      </c>
      <c r="K3753" s="2">
        <v>5.75</v>
      </c>
      <c r="L3753" s="2">
        <v>9.0299999999999994</v>
      </c>
      <c r="M3753" s="2">
        <v>14.72</v>
      </c>
      <c r="N3753" s="2">
        <v>3.1050379000000001</v>
      </c>
      <c r="O3753" s="2">
        <v>3.192761076</v>
      </c>
      <c r="P3753" s="2">
        <v>2.6975560129999998</v>
      </c>
      <c r="Q3753" s="2">
        <v>2.7225875500000001</v>
      </c>
      <c r="R3753" s="2">
        <v>0.79557248899999999</v>
      </c>
      <c r="S3753" s="2">
        <v>0.90557248899999998</v>
      </c>
      <c r="T3753" s="2">
        <v>2.5775711160000001</v>
      </c>
      <c r="U3753" s="2">
        <v>2.5675711159999999</v>
      </c>
      <c r="V3753" s="2">
        <v>2.4431655339999998</v>
      </c>
      <c r="W3753" s="2">
        <v>2.4061202439999998</v>
      </c>
      <c r="X3753">
        <f t="shared" si="174"/>
        <v>0</v>
      </c>
      <c r="Y3753">
        <f t="shared" si="175"/>
        <v>0</v>
      </c>
      <c r="Z3753">
        <f t="shared" si="176"/>
        <v>1</v>
      </c>
    </row>
    <row r="3754" spans="1:26" ht="15.75" customHeight="1" x14ac:dyDescent="0.2">
      <c r="A3754" s="2" t="s">
        <v>36</v>
      </c>
      <c r="B3754" s="2" t="s">
        <v>35</v>
      </c>
      <c r="C3754" s="2" t="s">
        <v>32</v>
      </c>
      <c r="D3754" s="2" t="s">
        <v>33</v>
      </c>
      <c r="E3754" s="2">
        <v>136</v>
      </c>
      <c r="F3754" s="2">
        <v>262</v>
      </c>
      <c r="G3754" s="2">
        <v>571</v>
      </c>
      <c r="H3754" s="2">
        <v>1018</v>
      </c>
      <c r="I3754" s="2">
        <v>2562</v>
      </c>
      <c r="J3754" s="2">
        <v>2.63</v>
      </c>
      <c r="K3754" s="2">
        <v>5.52</v>
      </c>
      <c r="L3754" s="2">
        <v>8.6300000000000008</v>
      </c>
      <c r="M3754" s="2">
        <v>14.66</v>
      </c>
      <c r="N3754" s="2">
        <v>3.5612291979999999</v>
      </c>
      <c r="O3754" s="2">
        <v>3.6494129690000001</v>
      </c>
      <c r="P3754" s="2">
        <v>3.029587727</v>
      </c>
      <c r="Q3754" s="2">
        <v>3.0424902290000002</v>
      </c>
      <c r="R3754" s="2">
        <v>0.57113773999999995</v>
      </c>
      <c r="S3754" s="2">
        <v>0.68113774000000005</v>
      </c>
      <c r="T3754" s="2">
        <v>2.9752652789999998</v>
      </c>
      <c r="U3754" s="2">
        <v>2.965265279</v>
      </c>
      <c r="V3754" s="2">
        <v>2.218730785</v>
      </c>
      <c r="W3754" s="2">
        <v>2.181685495</v>
      </c>
      <c r="X3754">
        <f t="shared" si="174"/>
        <v>0</v>
      </c>
      <c r="Y3754">
        <f t="shared" si="175"/>
        <v>0</v>
      </c>
      <c r="Z3754">
        <f t="shared" si="176"/>
        <v>1</v>
      </c>
    </row>
    <row r="3755" spans="1:26" ht="15.75" customHeight="1" x14ac:dyDescent="0.2">
      <c r="A3755" s="2" t="s">
        <v>36</v>
      </c>
      <c r="B3755" s="2" t="s">
        <v>35</v>
      </c>
      <c r="C3755" s="2" t="s">
        <v>25</v>
      </c>
      <c r="D3755" s="2" t="s">
        <v>25</v>
      </c>
      <c r="E3755" s="2">
        <v>110</v>
      </c>
      <c r="F3755" s="2">
        <v>255</v>
      </c>
      <c r="G3755" s="2">
        <v>767</v>
      </c>
      <c r="H3755" s="2">
        <v>1769</v>
      </c>
      <c r="I3755" s="2">
        <v>2708</v>
      </c>
      <c r="J3755" s="2">
        <v>2.5499999999999998</v>
      </c>
      <c r="K3755" s="2">
        <v>7.01</v>
      </c>
      <c r="L3755" s="2">
        <v>12.19</v>
      </c>
      <c r="M3755" s="2">
        <v>15.02</v>
      </c>
      <c r="N3755" s="2">
        <v>0.65877883999999998</v>
      </c>
      <c r="O3755" s="2">
        <v>0.49123909599999999</v>
      </c>
      <c r="P3755" s="2">
        <v>2.1383284979999999</v>
      </c>
      <c r="Q3755" s="2">
        <v>2.247011332</v>
      </c>
      <c r="R3755" s="2">
        <v>2.0582640589999999</v>
      </c>
      <c r="S3755" s="2">
        <v>2.1682640590000002</v>
      </c>
      <c r="T3755" s="2">
        <v>0.57965319999999998</v>
      </c>
      <c r="U3755" s="2">
        <v>0.58965319999999999</v>
      </c>
      <c r="V3755" s="2">
        <v>3.7058571040000001</v>
      </c>
      <c r="W3755" s="2">
        <v>3.6688118140000001</v>
      </c>
      <c r="X3755">
        <f t="shared" si="174"/>
        <v>0</v>
      </c>
      <c r="Y3755">
        <f t="shared" si="175"/>
        <v>0</v>
      </c>
      <c r="Z3755">
        <f t="shared" si="176"/>
        <v>0</v>
      </c>
    </row>
    <row r="3756" spans="1:26" ht="15.75" customHeight="1" x14ac:dyDescent="0.2">
      <c r="A3756" s="2" t="s">
        <v>36</v>
      </c>
      <c r="B3756" s="2" t="s">
        <v>35</v>
      </c>
      <c r="C3756" s="2" t="s">
        <v>25</v>
      </c>
      <c r="D3756" s="2" t="s">
        <v>25</v>
      </c>
      <c r="E3756" s="2">
        <v>167</v>
      </c>
      <c r="F3756" s="2">
        <v>256</v>
      </c>
      <c r="G3756" s="2">
        <v>819</v>
      </c>
      <c r="H3756" s="2">
        <v>1530</v>
      </c>
      <c r="I3756" s="2">
        <v>2732</v>
      </c>
      <c r="J3756" s="2">
        <v>2.57</v>
      </c>
      <c r="K3756" s="2">
        <v>7.37</v>
      </c>
      <c r="L3756" s="2">
        <v>11.22</v>
      </c>
      <c r="M3756" s="2">
        <v>15.08</v>
      </c>
      <c r="N3756" s="2">
        <v>0.43628972599999999</v>
      </c>
      <c r="O3756" s="2">
        <v>0.58722185400000004</v>
      </c>
      <c r="P3756" s="2">
        <v>2.4493911100000001</v>
      </c>
      <c r="Q3756" s="2">
        <v>2.556594338</v>
      </c>
      <c r="R3756" s="2">
        <v>2.4189155470000001</v>
      </c>
      <c r="S3756" s="2">
        <v>2.528915547</v>
      </c>
      <c r="T3756" s="2">
        <v>0.38518097600000001</v>
      </c>
      <c r="U3756" s="2">
        <v>0.375180976</v>
      </c>
      <c r="V3756" s="2">
        <v>4.0665085919999999</v>
      </c>
      <c r="W3756" s="2">
        <v>4.0294633019999999</v>
      </c>
      <c r="X3756">
        <f t="shared" si="174"/>
        <v>0</v>
      </c>
      <c r="Y3756">
        <f t="shared" si="175"/>
        <v>0</v>
      </c>
      <c r="Z3756">
        <f t="shared" si="176"/>
        <v>0</v>
      </c>
    </row>
    <row r="3757" spans="1:26" ht="15.75" customHeight="1" x14ac:dyDescent="0.2">
      <c r="A3757" s="2" t="s">
        <v>36</v>
      </c>
      <c r="B3757" s="2" t="s">
        <v>35</v>
      </c>
      <c r="C3757" s="2" t="s">
        <v>27</v>
      </c>
      <c r="D3757" s="2" t="s">
        <v>27</v>
      </c>
      <c r="E3757" s="2">
        <v>116</v>
      </c>
      <c r="F3757" s="2">
        <v>253</v>
      </c>
      <c r="G3757" s="2">
        <v>493</v>
      </c>
      <c r="H3757" s="2">
        <v>2273</v>
      </c>
      <c r="I3757" s="2">
        <v>2966</v>
      </c>
      <c r="J3757" s="2">
        <v>2.5299999999999998</v>
      </c>
      <c r="K3757" s="2">
        <v>4.8600000000000003</v>
      </c>
      <c r="L3757" s="2">
        <v>13.87</v>
      </c>
      <c r="M3757" s="2">
        <v>15.61</v>
      </c>
      <c r="N3757" s="2">
        <v>0.111517554</v>
      </c>
      <c r="O3757" s="2">
        <v>0.24542446200000001</v>
      </c>
      <c r="P3757" s="2">
        <v>2.2591659850000001</v>
      </c>
      <c r="Q3757" s="2">
        <v>2.2672328579999999</v>
      </c>
      <c r="R3757" s="2">
        <v>9.4680619999999993E-2</v>
      </c>
      <c r="S3757" s="2">
        <v>1.531938E-2</v>
      </c>
      <c r="T3757" s="2">
        <v>2.2571811020000001</v>
      </c>
      <c r="U3757" s="2">
        <v>2.2671811019999999</v>
      </c>
      <c r="V3757" s="2">
        <v>1.5529124249999999</v>
      </c>
      <c r="W3757" s="2">
        <v>1.5158671349999999</v>
      </c>
      <c r="X3757">
        <f t="shared" si="174"/>
        <v>0</v>
      </c>
      <c r="Y3757">
        <f t="shared" si="175"/>
        <v>0</v>
      </c>
      <c r="Z3757">
        <f t="shared" si="176"/>
        <v>0</v>
      </c>
    </row>
    <row r="3758" spans="1:26" ht="15.75" customHeight="1" x14ac:dyDescent="0.2">
      <c r="A3758" s="2" t="s">
        <v>36</v>
      </c>
      <c r="B3758" s="2" t="s">
        <v>35</v>
      </c>
      <c r="C3758" s="2" t="s">
        <v>30</v>
      </c>
      <c r="D3758" s="2" t="s">
        <v>31</v>
      </c>
      <c r="E3758" s="2">
        <v>130</v>
      </c>
      <c r="F3758" s="2">
        <v>275</v>
      </c>
      <c r="G3758" s="2">
        <v>685</v>
      </c>
      <c r="H3758" s="2">
        <v>1542</v>
      </c>
      <c r="I3758" s="2">
        <v>2785</v>
      </c>
      <c r="J3758" s="2">
        <v>2.77</v>
      </c>
      <c r="K3758" s="2">
        <v>6.41</v>
      </c>
      <c r="L3758" s="2">
        <v>11.27</v>
      </c>
      <c r="M3758" s="2">
        <v>15.21</v>
      </c>
      <c r="N3758" s="2">
        <v>3.0599648820000001</v>
      </c>
      <c r="O3758" s="2">
        <v>3.1529973290000002</v>
      </c>
      <c r="P3758" s="2">
        <v>1.5014162419999999</v>
      </c>
      <c r="Q3758" s="2">
        <v>1.606746029</v>
      </c>
      <c r="R3758" s="2">
        <v>1.463232514</v>
      </c>
      <c r="S3758" s="2">
        <v>1.5732325140000001</v>
      </c>
      <c r="T3758" s="2">
        <v>0.33645406900000002</v>
      </c>
      <c r="U3758" s="2">
        <v>0.32645406900000001</v>
      </c>
      <c r="V3758" s="2">
        <v>3.1108255589999998</v>
      </c>
      <c r="W3758" s="2">
        <v>3.0737802689999998</v>
      </c>
      <c r="X3758">
        <f t="shared" si="174"/>
        <v>0</v>
      </c>
      <c r="Y3758">
        <f t="shared" si="175"/>
        <v>0</v>
      </c>
      <c r="Z3758">
        <f t="shared" si="176"/>
        <v>1</v>
      </c>
    </row>
    <row r="3759" spans="1:26" ht="15.75" customHeight="1" x14ac:dyDescent="0.2">
      <c r="A3759" s="2" t="s">
        <v>36</v>
      </c>
      <c r="B3759" s="2" t="s">
        <v>35</v>
      </c>
      <c r="C3759" s="2" t="s">
        <v>28</v>
      </c>
      <c r="D3759" s="2" t="s">
        <v>29</v>
      </c>
      <c r="E3759" s="2">
        <v>113</v>
      </c>
      <c r="F3759" s="2">
        <v>248</v>
      </c>
      <c r="G3759" s="2">
        <v>487</v>
      </c>
      <c r="H3759" s="2">
        <v>926</v>
      </c>
      <c r="I3759" s="2">
        <v>2455</v>
      </c>
      <c r="J3759" s="2">
        <v>2.48</v>
      </c>
      <c r="K3759" s="2">
        <v>4.8099999999999996</v>
      </c>
      <c r="L3759" s="2">
        <v>8.07</v>
      </c>
      <c r="M3759" s="2">
        <v>14.38</v>
      </c>
      <c r="N3759" s="2">
        <v>0.41156209799999999</v>
      </c>
      <c r="O3759" s="2">
        <v>0.66156161000000002</v>
      </c>
      <c r="P3759" s="2">
        <v>3.5405850829999999</v>
      </c>
      <c r="Q3759" s="2">
        <v>3.5279010830000002</v>
      </c>
      <c r="R3759" s="2">
        <v>0.141370199</v>
      </c>
      <c r="S3759" s="2">
        <v>3.1370199000000001E-2</v>
      </c>
      <c r="T3759" s="2">
        <v>3.5377616079999998</v>
      </c>
      <c r="U3759" s="2">
        <v>3.527761608</v>
      </c>
      <c r="V3759" s="2">
        <v>1.506222846</v>
      </c>
      <c r="W3759" s="2">
        <v>1.469177556</v>
      </c>
      <c r="X3759">
        <f t="shared" si="174"/>
        <v>0</v>
      </c>
      <c r="Y3759">
        <f t="shared" si="175"/>
        <v>0</v>
      </c>
      <c r="Z3759">
        <f t="shared" si="176"/>
        <v>1</v>
      </c>
    </row>
    <row r="3760" spans="1:26" ht="15.75" customHeight="1" x14ac:dyDescent="0.2">
      <c r="A3760" s="2" t="s">
        <v>36</v>
      </c>
      <c r="B3760" s="2" t="s">
        <v>35</v>
      </c>
      <c r="C3760" s="2" t="s">
        <v>28</v>
      </c>
      <c r="D3760" s="2" t="s">
        <v>29</v>
      </c>
      <c r="E3760" s="2">
        <v>163</v>
      </c>
      <c r="F3760" s="2">
        <v>259</v>
      </c>
      <c r="G3760" s="2">
        <v>342</v>
      </c>
      <c r="H3760" s="2">
        <v>983</v>
      </c>
      <c r="I3760" s="2">
        <v>2423</v>
      </c>
      <c r="J3760" s="2">
        <v>2.6</v>
      </c>
      <c r="K3760" s="2">
        <v>3.46</v>
      </c>
      <c r="L3760" s="2">
        <v>8.42</v>
      </c>
      <c r="M3760" s="2">
        <v>14.29</v>
      </c>
      <c r="N3760" s="2">
        <v>1.0289877590000001</v>
      </c>
      <c r="O3760" s="2">
        <v>0.82486282200000005</v>
      </c>
      <c r="P3760" s="2">
        <v>3.5179362300000001</v>
      </c>
      <c r="Q3760" s="2">
        <v>3.4634917110000001</v>
      </c>
      <c r="R3760" s="2">
        <v>1.4936282030000001</v>
      </c>
      <c r="S3760" s="2">
        <v>1.383628203</v>
      </c>
      <c r="T3760" s="2">
        <v>3.1851138290000001</v>
      </c>
      <c r="U3760" s="2">
        <v>3.1751138289999998</v>
      </c>
      <c r="V3760" s="2">
        <v>0.15396484199999999</v>
      </c>
      <c r="W3760" s="2">
        <v>0.116919552</v>
      </c>
      <c r="X3760">
        <f t="shared" si="174"/>
        <v>0</v>
      </c>
      <c r="Y3760">
        <f t="shared" si="175"/>
        <v>0</v>
      </c>
      <c r="Z3760">
        <f t="shared" si="176"/>
        <v>1</v>
      </c>
    </row>
    <row r="3761" spans="1:26" ht="15.75" customHeight="1" x14ac:dyDescent="0.2">
      <c r="A3761" s="2" t="s">
        <v>36</v>
      </c>
      <c r="B3761" s="2" t="s">
        <v>35</v>
      </c>
      <c r="C3761" s="2" t="s">
        <v>32</v>
      </c>
      <c r="D3761" s="2" t="s">
        <v>33</v>
      </c>
      <c r="E3761" s="2">
        <v>177</v>
      </c>
      <c r="F3761" s="2">
        <v>236</v>
      </c>
      <c r="G3761" s="2">
        <v>533</v>
      </c>
      <c r="H3761" s="2">
        <v>963</v>
      </c>
      <c r="I3761" s="2">
        <v>2290</v>
      </c>
      <c r="J3761" s="2">
        <v>2.35</v>
      </c>
      <c r="K3761" s="2">
        <v>5.2</v>
      </c>
      <c r="L3761" s="2">
        <v>8.3000000000000007</v>
      </c>
      <c r="M3761" s="2">
        <v>13.92</v>
      </c>
      <c r="N3761" s="2">
        <v>4.0145467970000004</v>
      </c>
      <c r="O3761" s="2">
        <v>4.0989750909999998</v>
      </c>
      <c r="P3761" s="2">
        <v>3.3189103069999999</v>
      </c>
      <c r="Q3761" s="2">
        <v>3.3191273039999998</v>
      </c>
      <c r="R3761" s="2">
        <v>0.25194143600000002</v>
      </c>
      <c r="S3761" s="2">
        <v>0.36194143600000001</v>
      </c>
      <c r="T3761" s="2">
        <v>3.3093339419999999</v>
      </c>
      <c r="U3761" s="2">
        <v>3.2993339420000001</v>
      </c>
      <c r="V3761" s="2">
        <v>1.8995344810000001</v>
      </c>
      <c r="W3761" s="2">
        <v>1.8624891910000001</v>
      </c>
      <c r="X3761">
        <f t="shared" si="174"/>
        <v>0</v>
      </c>
      <c r="Y3761">
        <f t="shared" si="175"/>
        <v>0</v>
      </c>
      <c r="Z3761">
        <f t="shared" si="176"/>
        <v>1</v>
      </c>
    </row>
    <row r="3762" spans="1:26" ht="15.75" customHeight="1" x14ac:dyDescent="0.2">
      <c r="A3762" s="2" t="s">
        <v>36</v>
      </c>
      <c r="B3762" s="2" t="s">
        <v>35</v>
      </c>
      <c r="C3762" s="2" t="s">
        <v>26</v>
      </c>
      <c r="D3762" s="2" t="s">
        <v>26</v>
      </c>
      <c r="E3762" s="2">
        <v>145</v>
      </c>
      <c r="F3762" s="2">
        <v>255</v>
      </c>
      <c r="G3762" s="2">
        <v>476</v>
      </c>
      <c r="H3762" s="2">
        <v>1000</v>
      </c>
      <c r="I3762" s="2">
        <v>2588</v>
      </c>
      <c r="J3762" s="2">
        <v>2.5499999999999998</v>
      </c>
      <c r="K3762" s="2">
        <v>4.71</v>
      </c>
      <c r="L3762" s="2">
        <v>8.5299999999999994</v>
      </c>
      <c r="M3762" s="2">
        <v>14.73</v>
      </c>
      <c r="N3762" s="2">
        <v>0.31013140500000003</v>
      </c>
      <c r="O3762" s="2">
        <v>0.43283522299999999</v>
      </c>
      <c r="P3762" s="2">
        <v>3.0900018729999998</v>
      </c>
      <c r="Q3762" s="2">
        <v>3.073373073</v>
      </c>
      <c r="R3762" s="2">
        <v>0.24126436800000001</v>
      </c>
      <c r="S3762" s="2">
        <v>0.13126436799999999</v>
      </c>
      <c r="T3762" s="2">
        <v>3.0805686300000001</v>
      </c>
      <c r="U3762" s="2">
        <v>3.0705686299999999</v>
      </c>
      <c r="V3762" s="2">
        <v>1.4063286770000001</v>
      </c>
      <c r="W3762" s="2">
        <v>1.3692833870000001</v>
      </c>
      <c r="X3762">
        <f t="shared" si="174"/>
        <v>0</v>
      </c>
      <c r="Y3762">
        <f t="shared" si="175"/>
        <v>0</v>
      </c>
      <c r="Z3762">
        <f t="shared" si="176"/>
        <v>0</v>
      </c>
    </row>
    <row r="3763" spans="1:26" ht="15.75" customHeight="1" x14ac:dyDescent="0.2">
      <c r="A3763" s="2" t="s">
        <v>36</v>
      </c>
      <c r="B3763" s="2" t="s">
        <v>35</v>
      </c>
      <c r="C3763" s="2" t="s">
        <v>25</v>
      </c>
      <c r="D3763" s="2" t="s">
        <v>25</v>
      </c>
      <c r="E3763" s="2">
        <v>179</v>
      </c>
      <c r="F3763" s="2">
        <v>255</v>
      </c>
      <c r="G3763" s="2">
        <v>875</v>
      </c>
      <c r="H3763" s="2">
        <v>1567</v>
      </c>
      <c r="I3763" s="2">
        <v>2706</v>
      </c>
      <c r="J3763" s="2">
        <v>2.56</v>
      </c>
      <c r="K3763" s="2">
        <v>7.75</v>
      </c>
      <c r="L3763" s="2">
        <v>11.38</v>
      </c>
      <c r="M3763" s="2">
        <v>15.02</v>
      </c>
      <c r="N3763" s="2">
        <v>0.44582671000000001</v>
      </c>
      <c r="O3763" s="2">
        <v>0.60595660799999995</v>
      </c>
      <c r="P3763" s="2">
        <v>2.8063177069999998</v>
      </c>
      <c r="Q3763" s="2">
        <v>2.9151893690000001</v>
      </c>
      <c r="R3763" s="2">
        <v>2.7968704440000001</v>
      </c>
      <c r="S3763" s="2">
        <v>2.9068704439999999</v>
      </c>
      <c r="T3763" s="2">
        <v>0.23007561400000001</v>
      </c>
      <c r="U3763" s="2">
        <v>0.220075614</v>
      </c>
      <c r="V3763" s="2">
        <v>4.4444634890000003</v>
      </c>
      <c r="W3763" s="2">
        <v>4.4074181990000003</v>
      </c>
      <c r="X3763">
        <f t="shared" si="174"/>
        <v>0</v>
      </c>
      <c r="Y3763">
        <f t="shared" si="175"/>
        <v>0</v>
      </c>
      <c r="Z3763">
        <f t="shared" si="176"/>
        <v>0</v>
      </c>
    </row>
    <row r="3764" spans="1:26" ht="15.75" customHeight="1" x14ac:dyDescent="0.2">
      <c r="A3764" s="2" t="s">
        <v>36</v>
      </c>
      <c r="B3764" s="2" t="s">
        <v>35</v>
      </c>
      <c r="C3764" s="2" t="s">
        <v>30</v>
      </c>
      <c r="D3764" s="2" t="s">
        <v>31</v>
      </c>
      <c r="E3764" s="2">
        <v>140</v>
      </c>
      <c r="F3764" s="2">
        <v>249</v>
      </c>
      <c r="G3764" s="2">
        <v>550</v>
      </c>
      <c r="H3764" s="2">
        <v>1086</v>
      </c>
      <c r="I3764" s="2">
        <v>2262</v>
      </c>
      <c r="J3764" s="2">
        <v>2.4900000000000002</v>
      </c>
      <c r="K3764" s="2">
        <v>5.34</v>
      </c>
      <c r="L3764" s="2">
        <v>9.0299999999999994</v>
      </c>
      <c r="M3764" s="2">
        <v>13.83</v>
      </c>
      <c r="N3764" s="2">
        <v>4.9387876860000004</v>
      </c>
      <c r="O3764" s="2">
        <v>4.886889633</v>
      </c>
      <c r="P3764" s="2">
        <v>2.6113476109999998</v>
      </c>
      <c r="Q3764" s="2">
        <v>2.6204090689999999</v>
      </c>
      <c r="R3764" s="2">
        <v>0.394701195</v>
      </c>
      <c r="S3764" s="2">
        <v>0.50470119499999999</v>
      </c>
      <c r="T3764" s="2">
        <v>2.581346028</v>
      </c>
      <c r="U3764" s="2">
        <v>2.5713460279999998</v>
      </c>
      <c r="V3764" s="2">
        <v>2.0422942399999999</v>
      </c>
      <c r="W3764" s="2">
        <v>2.0052489499999999</v>
      </c>
      <c r="X3764">
        <f t="shared" si="174"/>
        <v>0</v>
      </c>
      <c r="Y3764">
        <f t="shared" si="175"/>
        <v>0</v>
      </c>
      <c r="Z3764">
        <f t="shared" si="176"/>
        <v>1</v>
      </c>
    </row>
    <row r="3765" spans="1:26" ht="15.75" customHeight="1" x14ac:dyDescent="0.2">
      <c r="A3765" s="2" t="s">
        <v>36</v>
      </c>
      <c r="B3765" s="2" t="s">
        <v>35</v>
      </c>
      <c r="C3765" s="2" t="s">
        <v>27</v>
      </c>
      <c r="D3765" s="2" t="s">
        <v>27</v>
      </c>
      <c r="E3765" s="2">
        <v>130</v>
      </c>
      <c r="F3765" s="2">
        <v>266</v>
      </c>
      <c r="G3765" s="2">
        <v>513</v>
      </c>
      <c r="H3765" s="2">
        <v>2454</v>
      </c>
      <c r="I3765" s="2">
        <v>3075</v>
      </c>
      <c r="J3765" s="2">
        <v>2.68</v>
      </c>
      <c r="K3765" s="2">
        <v>5.03</v>
      </c>
      <c r="L3765" s="2">
        <v>14.38</v>
      </c>
      <c r="M3765" s="2">
        <v>15.84</v>
      </c>
      <c r="N3765" s="2">
        <v>0.43805687199999999</v>
      </c>
      <c r="O3765" s="2">
        <v>0.66636616800000004</v>
      </c>
      <c r="P3765" s="2">
        <v>2.7673410230000002</v>
      </c>
      <c r="Q3765" s="2">
        <v>2.7827367600000001</v>
      </c>
      <c r="R3765" s="2">
        <v>8.1475939999999997E-2</v>
      </c>
      <c r="S3765" s="2">
        <v>0.19147594000000001</v>
      </c>
      <c r="T3765" s="2">
        <v>2.7661413580000001</v>
      </c>
      <c r="U3765" s="2">
        <v>2.7761413579999998</v>
      </c>
      <c r="V3765" s="2">
        <v>1.7290689850000001</v>
      </c>
      <c r="W3765" s="2">
        <v>1.692023695</v>
      </c>
      <c r="X3765">
        <f t="shared" si="174"/>
        <v>0</v>
      </c>
      <c r="Y3765">
        <f t="shared" si="175"/>
        <v>0</v>
      </c>
      <c r="Z3765">
        <f t="shared" si="176"/>
        <v>0</v>
      </c>
    </row>
    <row r="3766" spans="1:26" ht="15.75" customHeight="1" x14ac:dyDescent="0.2">
      <c r="A3766" s="2" t="s">
        <v>36</v>
      </c>
      <c r="B3766" s="2" t="s">
        <v>35</v>
      </c>
      <c r="C3766" s="2" t="s">
        <v>30</v>
      </c>
      <c r="D3766" s="2" t="s">
        <v>31</v>
      </c>
      <c r="E3766" s="2">
        <v>170</v>
      </c>
      <c r="F3766" s="2">
        <v>269</v>
      </c>
      <c r="G3766" s="2">
        <v>639</v>
      </c>
      <c r="H3766" s="2">
        <v>1439</v>
      </c>
      <c r="I3766" s="2">
        <v>2037</v>
      </c>
      <c r="J3766" s="2">
        <v>2.71</v>
      </c>
      <c r="K3766" s="2">
        <v>6.06</v>
      </c>
      <c r="L3766" s="2">
        <v>10.82</v>
      </c>
      <c r="M3766" s="2">
        <v>13.13</v>
      </c>
      <c r="N3766" s="2">
        <v>3.3271374269999998</v>
      </c>
      <c r="O3766" s="2">
        <v>3.3674267269999998</v>
      </c>
      <c r="P3766" s="2">
        <v>1.361461394</v>
      </c>
      <c r="Q3766" s="2">
        <v>1.4470542260000001</v>
      </c>
      <c r="R3766" s="2">
        <v>1.1090148790000001</v>
      </c>
      <c r="S3766" s="2">
        <v>1.2190148789999999</v>
      </c>
      <c r="T3766" s="2">
        <v>0.78972344800000005</v>
      </c>
      <c r="U3766" s="2">
        <v>0.77972344800000004</v>
      </c>
      <c r="V3766" s="2">
        <v>2.7566079239999999</v>
      </c>
      <c r="W3766" s="2">
        <v>2.7195626339999999</v>
      </c>
      <c r="X3766">
        <f t="shared" si="174"/>
        <v>0</v>
      </c>
      <c r="Y3766">
        <f t="shared" si="175"/>
        <v>0</v>
      </c>
      <c r="Z3766">
        <f t="shared" si="176"/>
        <v>1</v>
      </c>
    </row>
    <row r="3767" spans="1:26" ht="15.75" customHeight="1" x14ac:dyDescent="0.2">
      <c r="A3767" s="2" t="s">
        <v>36</v>
      </c>
      <c r="B3767" s="2" t="s">
        <v>35</v>
      </c>
      <c r="C3767" s="2" t="s">
        <v>27</v>
      </c>
      <c r="D3767" s="2" t="s">
        <v>27</v>
      </c>
      <c r="E3767" s="2">
        <v>142</v>
      </c>
      <c r="F3767" s="2">
        <v>259</v>
      </c>
      <c r="G3767" s="2">
        <v>486</v>
      </c>
      <c r="H3767" s="2">
        <v>2340</v>
      </c>
      <c r="I3767" s="2">
        <v>2952</v>
      </c>
      <c r="J3767" s="2">
        <v>2.6</v>
      </c>
      <c r="K3767" s="2">
        <v>4.79</v>
      </c>
      <c r="L3767" s="2">
        <v>14.06</v>
      </c>
      <c r="M3767" s="2">
        <v>15.58</v>
      </c>
      <c r="N3767" s="2">
        <v>0.17409228099999999</v>
      </c>
      <c r="O3767" s="2">
        <v>0.27079336300000001</v>
      </c>
      <c r="P3767" s="2">
        <v>2.4536448489999998</v>
      </c>
      <c r="Q3767" s="2">
        <v>2.459110838</v>
      </c>
      <c r="R3767" s="2">
        <v>0.15600245300000001</v>
      </c>
      <c r="S3767" s="2">
        <v>4.6002452999999999E-2</v>
      </c>
      <c r="T3767" s="2">
        <v>2.4486805180000002</v>
      </c>
      <c r="U3767" s="2">
        <v>2.458680518</v>
      </c>
      <c r="V3767" s="2">
        <v>1.4915905920000001</v>
      </c>
      <c r="W3767" s="2">
        <v>1.4545453020000001</v>
      </c>
      <c r="X3767">
        <f t="shared" si="174"/>
        <v>0</v>
      </c>
      <c r="Y3767">
        <f t="shared" si="175"/>
        <v>0</v>
      </c>
      <c r="Z3767">
        <f t="shared" si="176"/>
        <v>0</v>
      </c>
    </row>
    <row r="3768" spans="1:26" ht="15.75" customHeight="1" x14ac:dyDescent="0.2">
      <c r="A3768" s="2" t="s">
        <v>36</v>
      </c>
      <c r="B3768" s="2" t="s">
        <v>35</v>
      </c>
      <c r="C3768" s="2" t="s">
        <v>26</v>
      </c>
      <c r="D3768" s="2" t="s">
        <v>26</v>
      </c>
      <c r="E3768" s="2">
        <v>133</v>
      </c>
      <c r="F3768" s="2">
        <v>256</v>
      </c>
      <c r="G3768" s="2">
        <v>438</v>
      </c>
      <c r="H3768" s="2">
        <v>995</v>
      </c>
      <c r="I3768" s="2">
        <v>2533</v>
      </c>
      <c r="J3768" s="2">
        <v>2.57</v>
      </c>
      <c r="K3768" s="2">
        <v>4.37</v>
      </c>
      <c r="L3768" s="2">
        <v>8.5</v>
      </c>
      <c r="M3768" s="2">
        <v>14.58</v>
      </c>
      <c r="N3768" s="2">
        <v>0.20705478799999999</v>
      </c>
      <c r="O3768" s="2">
        <v>9.3465508000000003E-2</v>
      </c>
      <c r="P3768" s="2">
        <v>3.1681641059999999</v>
      </c>
      <c r="Q3768" s="2">
        <v>3.1399937680000001</v>
      </c>
      <c r="R3768" s="2">
        <v>0.58004864499999997</v>
      </c>
      <c r="S3768" s="2">
        <v>0.47004864499999999</v>
      </c>
      <c r="T3768" s="2">
        <v>3.1146119130000001</v>
      </c>
      <c r="U3768" s="2">
        <v>3.1046119129999998</v>
      </c>
      <c r="V3768" s="2">
        <v>1.0675444000000001</v>
      </c>
      <c r="W3768" s="2">
        <v>1.0304991100000001</v>
      </c>
      <c r="X3768">
        <f t="shared" si="174"/>
        <v>0</v>
      </c>
      <c r="Y3768">
        <f t="shared" si="175"/>
        <v>0</v>
      </c>
      <c r="Z3768">
        <f t="shared" si="176"/>
        <v>0</v>
      </c>
    </row>
    <row r="3769" spans="1:26" ht="15.75" customHeight="1" x14ac:dyDescent="0.2">
      <c r="A3769" s="2" t="s">
        <v>36</v>
      </c>
      <c r="B3769" s="2" t="s">
        <v>35</v>
      </c>
      <c r="C3769" s="2" t="s">
        <v>27</v>
      </c>
      <c r="D3769" s="2" t="s">
        <v>27</v>
      </c>
      <c r="E3769" s="2">
        <v>92</v>
      </c>
      <c r="F3769" s="2">
        <v>260</v>
      </c>
      <c r="G3769" s="2">
        <v>501</v>
      </c>
      <c r="H3769" s="2">
        <v>2264</v>
      </c>
      <c r="I3769" s="2">
        <v>2869</v>
      </c>
      <c r="J3769" s="2">
        <v>2.61</v>
      </c>
      <c r="K3769" s="2">
        <v>4.93</v>
      </c>
      <c r="L3769" s="2">
        <v>13.84</v>
      </c>
      <c r="M3769" s="2">
        <v>15.4</v>
      </c>
      <c r="N3769" s="2">
        <v>0.10926721</v>
      </c>
      <c r="O3769" s="2">
        <v>0.32133638599999997</v>
      </c>
      <c r="P3769" s="2">
        <v>2.230818406</v>
      </c>
      <c r="Q3769" s="2">
        <v>2.2425727000000002</v>
      </c>
      <c r="R3769" s="2">
        <v>1.9241602999999999E-2</v>
      </c>
      <c r="S3769" s="2">
        <v>9.0758397000000005E-2</v>
      </c>
      <c r="T3769" s="2">
        <v>2.230735422</v>
      </c>
      <c r="U3769" s="2">
        <v>2.2407354220000002</v>
      </c>
      <c r="V3769" s="2">
        <v>1.628351441</v>
      </c>
      <c r="W3769" s="2">
        <v>1.591306152</v>
      </c>
      <c r="X3769">
        <f t="shared" si="174"/>
        <v>0</v>
      </c>
      <c r="Y3769">
        <f t="shared" si="175"/>
        <v>0</v>
      </c>
      <c r="Z3769">
        <f t="shared" si="176"/>
        <v>0</v>
      </c>
    </row>
    <row r="3770" spans="1:26" ht="15.75" customHeight="1" x14ac:dyDescent="0.2">
      <c r="A3770" s="2" t="s">
        <v>36</v>
      </c>
      <c r="B3770" s="2" t="s">
        <v>35</v>
      </c>
      <c r="C3770" s="2" t="s">
        <v>30</v>
      </c>
      <c r="D3770" s="2" t="s">
        <v>31</v>
      </c>
      <c r="E3770" s="2">
        <v>133</v>
      </c>
      <c r="F3770" s="2">
        <v>263</v>
      </c>
      <c r="G3770" s="2">
        <v>716</v>
      </c>
      <c r="H3770" s="2">
        <v>1476</v>
      </c>
      <c r="I3770" s="2">
        <v>2538</v>
      </c>
      <c r="J3770" s="2">
        <v>2.64</v>
      </c>
      <c r="K3770" s="2">
        <v>6.65</v>
      </c>
      <c r="L3770" s="2">
        <v>10.99</v>
      </c>
      <c r="M3770" s="2">
        <v>14.6</v>
      </c>
      <c r="N3770" s="2">
        <v>3.4241626869999999</v>
      </c>
      <c r="O3770" s="2">
        <v>3.5213822229999998</v>
      </c>
      <c r="P3770" s="2">
        <v>1.806725403</v>
      </c>
      <c r="Q3770" s="2">
        <v>1.907111161</v>
      </c>
      <c r="R3770" s="2">
        <v>1.6958238880000001</v>
      </c>
      <c r="S3770" s="2">
        <v>1.8058238879999999</v>
      </c>
      <c r="T3770" s="2">
        <v>0.62324796299999996</v>
      </c>
      <c r="U3770" s="2">
        <v>0.61324796299999995</v>
      </c>
      <c r="V3770" s="2">
        <v>3.3434169329999999</v>
      </c>
      <c r="W3770" s="2">
        <v>3.3063716429999999</v>
      </c>
      <c r="X3770">
        <f t="shared" si="174"/>
        <v>0</v>
      </c>
      <c r="Y3770">
        <f t="shared" si="175"/>
        <v>0</v>
      </c>
      <c r="Z3770">
        <f t="shared" si="176"/>
        <v>1</v>
      </c>
    </row>
    <row r="3771" spans="1:26" ht="15.75" customHeight="1" x14ac:dyDescent="0.2">
      <c r="A3771" s="2" t="s">
        <v>36</v>
      </c>
      <c r="B3771" s="2" t="s">
        <v>35</v>
      </c>
      <c r="C3771" s="2" t="s">
        <v>27</v>
      </c>
      <c r="D3771" s="2" t="s">
        <v>27</v>
      </c>
      <c r="E3771" s="2">
        <v>135</v>
      </c>
      <c r="F3771" s="2">
        <v>265</v>
      </c>
      <c r="G3771" s="2">
        <v>522</v>
      </c>
      <c r="H3771" s="2">
        <v>2155</v>
      </c>
      <c r="I3771" s="2">
        <v>2742</v>
      </c>
      <c r="J3771" s="2">
        <v>2.67</v>
      </c>
      <c r="K3771" s="2">
        <v>5.1100000000000003</v>
      </c>
      <c r="L3771" s="2">
        <v>13.51</v>
      </c>
      <c r="M3771" s="2">
        <v>15.1</v>
      </c>
      <c r="N3771" s="2">
        <v>0.47665743799999999</v>
      </c>
      <c r="O3771" s="2">
        <v>0.61190962999999998</v>
      </c>
      <c r="P3771" s="2">
        <v>1.9060395050000001</v>
      </c>
      <c r="Q3771" s="2">
        <v>1.928385738</v>
      </c>
      <c r="R3771" s="2">
        <v>0.161368336</v>
      </c>
      <c r="S3771" s="2">
        <v>0.27136833599999999</v>
      </c>
      <c r="T3771" s="2">
        <v>1.8991963709999999</v>
      </c>
      <c r="U3771" s="2">
        <v>1.9091963709999999</v>
      </c>
      <c r="V3771" s="2">
        <v>1.808961381</v>
      </c>
      <c r="W3771" s="2">
        <v>1.771916091</v>
      </c>
      <c r="X3771">
        <f t="shared" si="174"/>
        <v>0</v>
      </c>
      <c r="Y3771">
        <f t="shared" si="175"/>
        <v>0</v>
      </c>
      <c r="Z3771">
        <f t="shared" si="176"/>
        <v>0</v>
      </c>
    </row>
    <row r="3772" spans="1:26" ht="15.75" customHeight="1" x14ac:dyDescent="0.2">
      <c r="A3772" s="2" t="s">
        <v>36</v>
      </c>
      <c r="B3772" s="2" t="s">
        <v>35</v>
      </c>
      <c r="C3772" s="2" t="s">
        <v>26</v>
      </c>
      <c r="D3772" s="2" t="s">
        <v>26</v>
      </c>
      <c r="E3772" s="2">
        <v>163</v>
      </c>
      <c r="F3772" s="2">
        <v>253</v>
      </c>
      <c r="G3772" s="2">
        <v>409</v>
      </c>
      <c r="H3772" s="2">
        <v>981</v>
      </c>
      <c r="I3772" s="2">
        <v>2640</v>
      </c>
      <c r="J3772" s="2">
        <v>2.54</v>
      </c>
      <c r="K3772" s="2">
        <v>4.0999999999999996</v>
      </c>
      <c r="L3772" s="2">
        <v>8.41</v>
      </c>
      <c r="M3772" s="2">
        <v>14.86</v>
      </c>
      <c r="N3772" s="2">
        <v>0.392941608</v>
      </c>
      <c r="O3772" s="2">
        <v>0.18956668400000001</v>
      </c>
      <c r="P3772" s="2">
        <v>3.3067032099999998</v>
      </c>
      <c r="Q3772" s="2">
        <v>3.270364839</v>
      </c>
      <c r="R3772" s="2">
        <v>0.851342339</v>
      </c>
      <c r="S3772" s="2">
        <v>0.74134233900000002</v>
      </c>
      <c r="T3772" s="2">
        <v>3.1952311880000002</v>
      </c>
      <c r="U3772" s="2">
        <v>3.1852311879999999</v>
      </c>
      <c r="V3772" s="2">
        <v>0.79625070600000003</v>
      </c>
      <c r="W3772" s="2">
        <v>0.75920541699999999</v>
      </c>
      <c r="X3772">
        <f t="shared" si="174"/>
        <v>0</v>
      </c>
      <c r="Y3772">
        <f t="shared" si="175"/>
        <v>0</v>
      </c>
      <c r="Z3772">
        <f t="shared" si="176"/>
        <v>0</v>
      </c>
    </row>
    <row r="3773" spans="1:26" ht="15.75" customHeight="1" x14ac:dyDescent="0.2">
      <c r="A3773" s="2" t="s">
        <v>36</v>
      </c>
      <c r="B3773" s="2" t="s">
        <v>35</v>
      </c>
      <c r="C3773" s="2" t="s">
        <v>30</v>
      </c>
      <c r="D3773" s="2" t="s">
        <v>31</v>
      </c>
      <c r="E3773" s="2">
        <v>108</v>
      </c>
      <c r="F3773" s="2">
        <v>262</v>
      </c>
      <c r="G3773" s="2">
        <v>860</v>
      </c>
      <c r="H3773" s="2">
        <v>1493</v>
      </c>
      <c r="I3773" s="2">
        <v>2616</v>
      </c>
      <c r="J3773" s="2">
        <v>2.63</v>
      </c>
      <c r="K3773" s="2">
        <v>7.65</v>
      </c>
      <c r="L3773" s="2">
        <v>11.06</v>
      </c>
      <c r="M3773" s="2">
        <v>14.8</v>
      </c>
      <c r="N3773" s="2">
        <v>3.967107033</v>
      </c>
      <c r="O3773" s="2">
        <v>4.1313502409999998</v>
      </c>
      <c r="P3773" s="2">
        <v>2.7536700999999999</v>
      </c>
      <c r="Q3773" s="2">
        <v>2.8596392920000002</v>
      </c>
      <c r="R3773" s="2">
        <v>2.698301619</v>
      </c>
      <c r="S3773" s="2">
        <v>2.8083016189999999</v>
      </c>
      <c r="T3773" s="2">
        <v>0.54942459899999996</v>
      </c>
      <c r="U3773" s="2">
        <v>0.53942459899999995</v>
      </c>
      <c r="V3773" s="2">
        <v>4.3458946640000002</v>
      </c>
      <c r="W3773" s="2">
        <v>4.3088493740000002</v>
      </c>
      <c r="X3773">
        <f t="shared" si="174"/>
        <v>0</v>
      </c>
      <c r="Y3773">
        <f t="shared" si="175"/>
        <v>0</v>
      </c>
      <c r="Z3773">
        <f t="shared" si="176"/>
        <v>1</v>
      </c>
    </row>
    <row r="3774" spans="1:26" ht="15.75" customHeight="1" x14ac:dyDescent="0.2">
      <c r="A3774" s="2" t="s">
        <v>36</v>
      </c>
      <c r="B3774" s="2" t="s">
        <v>35</v>
      </c>
      <c r="C3774" s="2" t="s">
        <v>32</v>
      </c>
      <c r="D3774" s="2" t="s">
        <v>33</v>
      </c>
      <c r="E3774" s="2">
        <v>134</v>
      </c>
      <c r="F3774" s="2">
        <v>259</v>
      </c>
      <c r="G3774" s="2">
        <v>563</v>
      </c>
      <c r="H3774" s="2">
        <v>987</v>
      </c>
      <c r="I3774" s="2">
        <v>2588</v>
      </c>
      <c r="J3774" s="2">
        <v>2.6</v>
      </c>
      <c r="K3774" s="2">
        <v>5.46</v>
      </c>
      <c r="L3774" s="2">
        <v>8.4499999999999993</v>
      </c>
      <c r="M3774" s="2">
        <v>14.73</v>
      </c>
      <c r="N3774" s="2">
        <v>3.7538658969999998</v>
      </c>
      <c r="O3774" s="2">
        <v>3.8435042099999999</v>
      </c>
      <c r="P3774" s="2">
        <v>3.2010165810000002</v>
      </c>
      <c r="Q3774" s="2">
        <v>3.2103988499999998</v>
      </c>
      <c r="R3774" s="2">
        <v>0.50532364600000002</v>
      </c>
      <c r="S3774" s="2">
        <v>0.615323646</v>
      </c>
      <c r="T3774" s="2">
        <v>3.16087886</v>
      </c>
      <c r="U3774" s="2">
        <v>3.1508788600000002</v>
      </c>
      <c r="V3774" s="2">
        <v>2.1529166910000002</v>
      </c>
      <c r="W3774" s="2">
        <v>2.1158714010000002</v>
      </c>
      <c r="X3774">
        <f t="shared" si="174"/>
        <v>0</v>
      </c>
      <c r="Y3774">
        <f t="shared" si="175"/>
        <v>0</v>
      </c>
      <c r="Z3774">
        <f t="shared" si="176"/>
        <v>1</v>
      </c>
    </row>
    <row r="3775" spans="1:26" ht="15.75" customHeight="1" x14ac:dyDescent="0.2">
      <c r="A3775" s="2" t="s">
        <v>36</v>
      </c>
      <c r="B3775" s="2" t="s">
        <v>35</v>
      </c>
      <c r="C3775" s="2" t="s">
        <v>28</v>
      </c>
      <c r="D3775" s="2" t="s">
        <v>29</v>
      </c>
      <c r="E3775" s="2">
        <v>137</v>
      </c>
      <c r="F3775" s="2">
        <v>262</v>
      </c>
      <c r="G3775" s="2">
        <v>464</v>
      </c>
      <c r="H3775" s="2">
        <v>843</v>
      </c>
      <c r="I3775" s="2">
        <v>2457</v>
      </c>
      <c r="J3775" s="2">
        <v>2.63</v>
      </c>
      <c r="K3775" s="2">
        <v>4.5999999999999996</v>
      </c>
      <c r="L3775" s="2">
        <v>7.53</v>
      </c>
      <c r="M3775" s="2">
        <v>14.38</v>
      </c>
      <c r="N3775" s="2">
        <v>0.798971023</v>
      </c>
      <c r="O3775" s="2">
        <v>0.993765024</v>
      </c>
      <c r="P3775" s="2">
        <v>4.0937132180000004</v>
      </c>
      <c r="Q3775" s="2">
        <v>4.0759280120000003</v>
      </c>
      <c r="R3775" s="2">
        <v>0.34507218499999998</v>
      </c>
      <c r="S3775" s="2">
        <v>0.23507218499999999</v>
      </c>
      <c r="T3775" s="2">
        <v>4.0791436729999999</v>
      </c>
      <c r="U3775" s="2">
        <v>4.0691436730000001</v>
      </c>
      <c r="V3775" s="2">
        <v>1.30252086</v>
      </c>
      <c r="W3775" s="2">
        <v>1.26547557</v>
      </c>
      <c r="X3775">
        <f t="shared" si="174"/>
        <v>0</v>
      </c>
      <c r="Y3775">
        <f t="shared" si="175"/>
        <v>0</v>
      </c>
      <c r="Z3775">
        <f t="shared" si="176"/>
        <v>1</v>
      </c>
    </row>
    <row r="3776" spans="1:26" ht="15.75" customHeight="1" x14ac:dyDescent="0.2">
      <c r="A3776" s="2" t="s">
        <v>36</v>
      </c>
      <c r="B3776" s="2" t="s">
        <v>35</v>
      </c>
      <c r="C3776" s="2" t="s">
        <v>28</v>
      </c>
      <c r="D3776" s="2" t="s">
        <v>29</v>
      </c>
      <c r="E3776" s="2">
        <v>106</v>
      </c>
      <c r="F3776" s="2">
        <v>256</v>
      </c>
      <c r="G3776" s="2">
        <v>518</v>
      </c>
      <c r="H3776" s="2">
        <v>932</v>
      </c>
      <c r="I3776" s="2">
        <v>2556</v>
      </c>
      <c r="J3776" s="2">
        <v>2.57</v>
      </c>
      <c r="K3776" s="2">
        <v>5.07</v>
      </c>
      <c r="L3776" s="2">
        <v>8.11</v>
      </c>
      <c r="M3776" s="2">
        <v>14.64</v>
      </c>
      <c r="N3776" s="2">
        <v>0.628368814</v>
      </c>
      <c r="O3776" s="2">
        <v>0.87038527399999999</v>
      </c>
      <c r="P3776" s="2">
        <v>3.504187607</v>
      </c>
      <c r="Q3776" s="2">
        <v>3.4997455039999998</v>
      </c>
      <c r="R3776" s="2">
        <v>0.121497377</v>
      </c>
      <c r="S3776" s="2">
        <v>0.231497377</v>
      </c>
      <c r="T3776" s="2">
        <v>3.5020806919999998</v>
      </c>
      <c r="U3776" s="2">
        <v>3.492080692</v>
      </c>
      <c r="V3776" s="2">
        <v>1.769090421</v>
      </c>
      <c r="W3776" s="2">
        <v>1.7320451320000001</v>
      </c>
      <c r="X3776">
        <f t="shared" si="174"/>
        <v>0</v>
      </c>
      <c r="Y3776">
        <f t="shared" si="175"/>
        <v>0</v>
      </c>
      <c r="Z3776">
        <f t="shared" si="176"/>
        <v>1</v>
      </c>
    </row>
    <row r="3777" spans="1:26" ht="15.75" customHeight="1" x14ac:dyDescent="0.2">
      <c r="A3777" s="2" t="s">
        <v>36</v>
      </c>
      <c r="B3777" s="2" t="s">
        <v>35</v>
      </c>
      <c r="C3777" s="2" t="s">
        <v>26</v>
      </c>
      <c r="D3777" s="2" t="s">
        <v>26</v>
      </c>
      <c r="E3777" s="2">
        <v>196</v>
      </c>
      <c r="F3777" s="2">
        <v>268</v>
      </c>
      <c r="G3777" s="2">
        <v>439</v>
      </c>
      <c r="H3777" s="2">
        <v>968</v>
      </c>
      <c r="I3777" s="2">
        <v>2634</v>
      </c>
      <c r="J3777" s="2">
        <v>2.69</v>
      </c>
      <c r="K3777" s="2">
        <v>4.37</v>
      </c>
      <c r="L3777" s="2">
        <v>8.33</v>
      </c>
      <c r="M3777" s="2">
        <v>14.84</v>
      </c>
      <c r="N3777" s="2">
        <v>0.107841564</v>
      </c>
      <c r="O3777" s="2">
        <v>0.16523818100000001</v>
      </c>
      <c r="P3777" s="2">
        <v>3.3270017709999999</v>
      </c>
      <c r="Q3777" s="2">
        <v>3.2997982110000001</v>
      </c>
      <c r="R3777" s="2">
        <v>0.57700389100000005</v>
      </c>
      <c r="S3777" s="2">
        <v>0.467003891</v>
      </c>
      <c r="T3777" s="2">
        <v>3.2765846989999998</v>
      </c>
      <c r="U3777" s="2">
        <v>3.266584699</v>
      </c>
      <c r="V3777" s="2">
        <v>1.0705891540000001</v>
      </c>
      <c r="W3777" s="2">
        <v>1.0335438640000001</v>
      </c>
      <c r="X3777">
        <f t="shared" si="174"/>
        <v>0</v>
      </c>
      <c r="Y3777">
        <f t="shared" si="175"/>
        <v>0</v>
      </c>
      <c r="Z3777">
        <f t="shared" si="176"/>
        <v>0</v>
      </c>
    </row>
    <row r="3778" spans="1:26" ht="15.75" customHeight="1" x14ac:dyDescent="0.2">
      <c r="A3778" s="2" t="s">
        <v>36</v>
      </c>
      <c r="B3778" s="2" t="s">
        <v>35</v>
      </c>
      <c r="C3778" s="2" t="s">
        <v>25</v>
      </c>
      <c r="D3778" s="2" t="s">
        <v>25</v>
      </c>
      <c r="E3778" s="2">
        <v>172</v>
      </c>
      <c r="F3778" s="2">
        <v>259</v>
      </c>
      <c r="G3778" s="2">
        <v>827</v>
      </c>
      <c r="H3778" s="2">
        <v>1707</v>
      </c>
      <c r="I3778" s="2">
        <v>2829</v>
      </c>
      <c r="J3778" s="2">
        <v>2.6</v>
      </c>
      <c r="K3778" s="2">
        <v>7.43</v>
      </c>
      <c r="L3778" s="2">
        <v>11.95</v>
      </c>
      <c r="M3778" s="2">
        <v>15.31</v>
      </c>
      <c r="N3778" s="2">
        <v>0.29125410000000002</v>
      </c>
      <c r="O3778" s="2">
        <v>0.175388136</v>
      </c>
      <c r="P3778" s="2">
        <v>2.4987200920000001</v>
      </c>
      <c r="Q3778" s="2">
        <v>2.6090623439999998</v>
      </c>
      <c r="R3778" s="2">
        <v>2.4754610690000001</v>
      </c>
      <c r="S3778" s="2">
        <v>2.5854610689999999</v>
      </c>
      <c r="T3778" s="2">
        <v>0.34013907799999998</v>
      </c>
      <c r="U3778" s="2">
        <v>0.35013907799999999</v>
      </c>
      <c r="V3778" s="2">
        <v>4.1230541140000003</v>
      </c>
      <c r="W3778" s="2">
        <v>4.0860088240000003</v>
      </c>
      <c r="X3778">
        <f t="shared" si="174"/>
        <v>0</v>
      </c>
      <c r="Y3778">
        <f t="shared" si="175"/>
        <v>0</v>
      </c>
      <c r="Z3778">
        <f t="shared" si="176"/>
        <v>0</v>
      </c>
    </row>
    <row r="3779" spans="1:26" ht="15.75" customHeight="1" x14ac:dyDescent="0.2">
      <c r="A3779" s="2" t="s">
        <v>36</v>
      </c>
      <c r="B3779" s="2" t="s">
        <v>35</v>
      </c>
      <c r="C3779" s="2" t="s">
        <v>30</v>
      </c>
      <c r="D3779" s="2" t="s">
        <v>31</v>
      </c>
      <c r="E3779" s="2">
        <v>137</v>
      </c>
      <c r="F3779" s="2">
        <v>255</v>
      </c>
      <c r="G3779" s="2">
        <v>708</v>
      </c>
      <c r="H3779" s="2">
        <v>1654</v>
      </c>
      <c r="I3779" s="2">
        <v>2499</v>
      </c>
      <c r="J3779" s="2">
        <v>2.5499999999999998</v>
      </c>
      <c r="K3779" s="2">
        <v>6.58</v>
      </c>
      <c r="L3779" s="2">
        <v>11.74</v>
      </c>
      <c r="M3779" s="2">
        <v>14.49</v>
      </c>
      <c r="N3779" s="2">
        <v>2.7596352049999999</v>
      </c>
      <c r="O3779" s="2">
        <v>2.896101587</v>
      </c>
      <c r="P3779" s="2">
        <v>1.639765361</v>
      </c>
      <c r="Q3779" s="2">
        <v>1.7502132850000001</v>
      </c>
      <c r="R3779" s="2">
        <v>1.6344977510000001</v>
      </c>
      <c r="S3779" s="2">
        <v>1.7444977509999999</v>
      </c>
      <c r="T3779" s="2">
        <v>0.13132989</v>
      </c>
      <c r="U3779" s="2">
        <v>0.14132989000000001</v>
      </c>
      <c r="V3779" s="2">
        <v>3.2820907959999999</v>
      </c>
      <c r="W3779" s="2">
        <v>3.2450455059999999</v>
      </c>
      <c r="X3779">
        <f t="shared" ref="X3779:X3842" si="177">IF(B3779="normal",1,0)</f>
        <v>0</v>
      </c>
      <c r="Y3779">
        <f t="shared" ref="Y3779:Y3842" si="178">IF(A3779="lecture",1,0)</f>
        <v>0</v>
      </c>
      <c r="Z3779">
        <f t="shared" ref="Z3779:Z3842" si="179">IF(ISNUMBER(FIND("~",D3779)),1,0)</f>
        <v>1</v>
      </c>
    </row>
    <row r="3780" spans="1:26" ht="15.75" customHeight="1" x14ac:dyDescent="0.2">
      <c r="A3780" s="2" t="s">
        <v>36</v>
      </c>
      <c r="B3780" s="2" t="s">
        <v>35</v>
      </c>
      <c r="C3780" s="2" t="s">
        <v>28</v>
      </c>
      <c r="D3780" s="2" t="s">
        <v>29</v>
      </c>
      <c r="E3780" s="2">
        <v>128</v>
      </c>
      <c r="F3780" s="2">
        <v>258</v>
      </c>
      <c r="G3780" s="2">
        <v>478</v>
      </c>
      <c r="H3780" s="2">
        <v>701</v>
      </c>
      <c r="I3780" s="2">
        <v>2539</v>
      </c>
      <c r="J3780" s="2">
        <v>2.59</v>
      </c>
      <c r="K3780" s="2">
        <v>4.7300000000000004</v>
      </c>
      <c r="L3780" s="2">
        <v>6.53</v>
      </c>
      <c r="M3780" s="2">
        <v>14.6</v>
      </c>
      <c r="N3780" s="2">
        <v>1.8066726500000001</v>
      </c>
      <c r="O3780" s="2">
        <v>1.990496112</v>
      </c>
      <c r="P3780" s="2">
        <v>5.0847044209999996</v>
      </c>
      <c r="Q3780" s="2">
        <v>5.0710588870000004</v>
      </c>
      <c r="R3780" s="2">
        <v>0.223568499</v>
      </c>
      <c r="S3780" s="2">
        <v>0.113568499</v>
      </c>
      <c r="T3780" s="2">
        <v>5.0797870209999996</v>
      </c>
      <c r="U3780" s="2">
        <v>5.0697870209999998</v>
      </c>
      <c r="V3780" s="2">
        <v>1.4240245460000001</v>
      </c>
      <c r="W3780" s="2">
        <v>1.386979256</v>
      </c>
      <c r="X3780">
        <f t="shared" si="177"/>
        <v>0</v>
      </c>
      <c r="Y3780">
        <f t="shared" si="178"/>
        <v>0</v>
      </c>
      <c r="Z3780">
        <f t="shared" si="179"/>
        <v>1</v>
      </c>
    </row>
    <row r="3781" spans="1:26" ht="15.75" customHeight="1" x14ac:dyDescent="0.2">
      <c r="A3781" s="2" t="s">
        <v>36</v>
      </c>
      <c r="B3781" s="2" t="s">
        <v>35</v>
      </c>
      <c r="C3781" s="2" t="s">
        <v>28</v>
      </c>
      <c r="D3781" s="2" t="s">
        <v>29</v>
      </c>
      <c r="E3781" s="2">
        <v>132</v>
      </c>
      <c r="F3781" s="2">
        <v>251</v>
      </c>
      <c r="G3781" s="2">
        <v>484</v>
      </c>
      <c r="H3781" s="2">
        <v>1456</v>
      </c>
      <c r="I3781" s="2">
        <v>2416</v>
      </c>
      <c r="J3781" s="2">
        <v>2.5099999999999998</v>
      </c>
      <c r="K3781" s="2">
        <v>4.78</v>
      </c>
      <c r="L3781" s="2">
        <v>10.9</v>
      </c>
      <c r="M3781" s="2">
        <v>14.27</v>
      </c>
      <c r="N3781" s="2">
        <v>2.5930483030000002</v>
      </c>
      <c r="O3781" s="2">
        <v>2.4765750670000002</v>
      </c>
      <c r="P3781" s="2">
        <v>0.734391232</v>
      </c>
      <c r="Q3781" s="2">
        <v>0.70689510799999999</v>
      </c>
      <c r="R3781" s="2">
        <v>0.17065466400000001</v>
      </c>
      <c r="S3781" s="2">
        <v>6.0654663999999997E-2</v>
      </c>
      <c r="T3781" s="2">
        <v>0.71428808399999999</v>
      </c>
      <c r="U3781" s="2">
        <v>0.70428808399999998</v>
      </c>
      <c r="V3781" s="2">
        <v>1.47693838</v>
      </c>
      <c r="W3781" s="2">
        <v>1.4398930910000001</v>
      </c>
      <c r="X3781">
        <f t="shared" si="177"/>
        <v>0</v>
      </c>
      <c r="Y3781">
        <f t="shared" si="178"/>
        <v>0</v>
      </c>
      <c r="Z3781">
        <f t="shared" si="179"/>
        <v>1</v>
      </c>
    </row>
    <row r="3782" spans="1:26" ht="15.75" customHeight="1" x14ac:dyDescent="0.2">
      <c r="A3782" s="2" t="s">
        <v>36</v>
      </c>
      <c r="B3782" s="2" t="s">
        <v>35</v>
      </c>
      <c r="C3782" s="2" t="s">
        <v>32</v>
      </c>
      <c r="D3782" s="2" t="s">
        <v>33</v>
      </c>
      <c r="E3782" s="2">
        <v>130</v>
      </c>
      <c r="F3782" s="2">
        <v>259</v>
      </c>
      <c r="G3782" s="2">
        <v>515</v>
      </c>
      <c r="H3782" s="2">
        <v>1088</v>
      </c>
      <c r="I3782" s="2">
        <v>2460</v>
      </c>
      <c r="J3782" s="2">
        <v>2.6</v>
      </c>
      <c r="K3782" s="2">
        <v>5.05</v>
      </c>
      <c r="L3782" s="2">
        <v>9.0399999999999991</v>
      </c>
      <c r="M3782" s="2">
        <v>14.39</v>
      </c>
      <c r="N3782" s="2">
        <v>3.5171137219999999</v>
      </c>
      <c r="O3782" s="2">
        <v>3.5789205260000001</v>
      </c>
      <c r="P3782" s="2">
        <v>2.570146276</v>
      </c>
      <c r="Q3782" s="2">
        <v>2.5668697420000002</v>
      </c>
      <c r="R3782" s="2">
        <v>0.101505521</v>
      </c>
      <c r="S3782" s="2">
        <v>0.211505521</v>
      </c>
      <c r="T3782" s="2">
        <v>2.5681410609999999</v>
      </c>
      <c r="U3782" s="2">
        <v>2.5581410610000002</v>
      </c>
      <c r="V3782" s="2">
        <v>1.749098566</v>
      </c>
      <c r="W3782" s="2">
        <v>1.712053276</v>
      </c>
      <c r="X3782">
        <f t="shared" si="177"/>
        <v>0</v>
      </c>
      <c r="Y3782">
        <f t="shared" si="178"/>
        <v>0</v>
      </c>
      <c r="Z3782">
        <f t="shared" si="179"/>
        <v>1</v>
      </c>
    </row>
    <row r="3783" spans="1:26" ht="15.75" customHeight="1" x14ac:dyDescent="0.2">
      <c r="A3783" s="2" t="s">
        <v>36</v>
      </c>
      <c r="B3783" s="2" t="s">
        <v>35</v>
      </c>
      <c r="C3783" s="2" t="s">
        <v>25</v>
      </c>
      <c r="D3783" s="2" t="s">
        <v>25</v>
      </c>
      <c r="E3783" s="2">
        <v>150</v>
      </c>
      <c r="F3783" s="2">
        <v>251</v>
      </c>
      <c r="G3783" s="2">
        <v>777</v>
      </c>
      <c r="H3783" s="2">
        <v>1796</v>
      </c>
      <c r="I3783" s="2">
        <v>2792</v>
      </c>
      <c r="J3783" s="2">
        <v>2.52</v>
      </c>
      <c r="K3783" s="2">
        <v>7.08</v>
      </c>
      <c r="L3783" s="2">
        <v>12.29</v>
      </c>
      <c r="M3783" s="2">
        <v>15.22</v>
      </c>
      <c r="N3783" s="2">
        <v>0.70803928999999999</v>
      </c>
      <c r="O3783" s="2">
        <v>0.53807933100000005</v>
      </c>
      <c r="P3783" s="2">
        <v>2.234942304</v>
      </c>
      <c r="Q3783" s="2">
        <v>2.3428820610000001</v>
      </c>
      <c r="R3783" s="2">
        <v>2.1286845310000002</v>
      </c>
      <c r="S3783" s="2">
        <v>2.2386845310000001</v>
      </c>
      <c r="T3783" s="2">
        <v>0.680932647</v>
      </c>
      <c r="U3783" s="2">
        <v>0.69093264700000001</v>
      </c>
      <c r="V3783" s="2">
        <v>3.776277576</v>
      </c>
      <c r="W3783" s="2">
        <v>3.739232286</v>
      </c>
      <c r="X3783">
        <f t="shared" si="177"/>
        <v>0</v>
      </c>
      <c r="Y3783">
        <f t="shared" si="178"/>
        <v>0</v>
      </c>
      <c r="Z3783">
        <f t="shared" si="179"/>
        <v>0</v>
      </c>
    </row>
    <row r="3784" spans="1:26" ht="15.75" customHeight="1" x14ac:dyDescent="0.2">
      <c r="A3784" s="2" t="s">
        <v>36</v>
      </c>
      <c r="B3784" s="2" t="s">
        <v>35</v>
      </c>
      <c r="C3784" s="2" t="s">
        <v>27</v>
      </c>
      <c r="D3784" s="2" t="s">
        <v>27</v>
      </c>
      <c r="E3784" s="2">
        <v>108</v>
      </c>
      <c r="F3784" s="2">
        <v>274</v>
      </c>
      <c r="G3784" s="2">
        <v>523</v>
      </c>
      <c r="H3784" s="2">
        <v>2308</v>
      </c>
      <c r="I3784" s="2">
        <v>3115</v>
      </c>
      <c r="J3784" s="2">
        <v>2.76</v>
      </c>
      <c r="K3784" s="2">
        <v>5.12</v>
      </c>
      <c r="L3784" s="2">
        <v>13.97</v>
      </c>
      <c r="M3784" s="2">
        <v>15.93</v>
      </c>
      <c r="N3784" s="2">
        <v>0.18782669199999999</v>
      </c>
      <c r="O3784" s="2">
        <v>0.51822745400000003</v>
      </c>
      <c r="P3784" s="2">
        <v>2.3629544669999998</v>
      </c>
      <c r="Q3784" s="2">
        <v>2.3832008070000001</v>
      </c>
      <c r="R3784" s="2">
        <v>0.167051953</v>
      </c>
      <c r="S3784" s="2">
        <v>0.27705195300000002</v>
      </c>
      <c r="T3784" s="2">
        <v>2.3570421000000001</v>
      </c>
      <c r="U3784" s="2">
        <v>2.3670420999999999</v>
      </c>
      <c r="V3784" s="2">
        <v>1.8146449979999999</v>
      </c>
      <c r="W3784" s="2">
        <v>1.7775997079999999</v>
      </c>
      <c r="X3784">
        <f t="shared" si="177"/>
        <v>0</v>
      </c>
      <c r="Y3784">
        <f t="shared" si="178"/>
        <v>0</v>
      </c>
      <c r="Z3784">
        <f t="shared" si="179"/>
        <v>0</v>
      </c>
    </row>
    <row r="3785" spans="1:26" ht="15.75" customHeight="1" x14ac:dyDescent="0.2">
      <c r="A3785" s="2" t="s">
        <v>36</v>
      </c>
      <c r="B3785" s="2" t="s">
        <v>35</v>
      </c>
      <c r="C3785" s="2" t="s">
        <v>32</v>
      </c>
      <c r="D3785" s="2" t="s">
        <v>33</v>
      </c>
      <c r="E3785" s="2">
        <v>140</v>
      </c>
      <c r="F3785" s="2">
        <v>281</v>
      </c>
      <c r="G3785" s="2">
        <v>530</v>
      </c>
      <c r="H3785" s="2">
        <v>965</v>
      </c>
      <c r="I3785" s="2">
        <v>2637</v>
      </c>
      <c r="J3785" s="2">
        <v>2.83</v>
      </c>
      <c r="K3785" s="2">
        <v>5.17</v>
      </c>
      <c r="L3785" s="2">
        <v>8.31</v>
      </c>
      <c r="M3785" s="2">
        <v>14.85</v>
      </c>
      <c r="N3785" s="2">
        <v>4.0198245469999998</v>
      </c>
      <c r="O3785" s="2">
        <v>4.1031446960000002</v>
      </c>
      <c r="P3785" s="2">
        <v>3.3046205510000002</v>
      </c>
      <c r="Q3785" s="2">
        <v>3.3039362529999998</v>
      </c>
      <c r="R3785" s="2">
        <v>0.22372071199999999</v>
      </c>
      <c r="S3785" s="2">
        <v>0.33372071199999997</v>
      </c>
      <c r="T3785" s="2">
        <v>3.2970389789999999</v>
      </c>
      <c r="U3785" s="2">
        <v>3.2870389790000001</v>
      </c>
      <c r="V3785" s="2">
        <v>1.871313757</v>
      </c>
      <c r="W3785" s="2">
        <v>1.834268467</v>
      </c>
      <c r="X3785">
        <f t="shared" si="177"/>
        <v>0</v>
      </c>
      <c r="Y3785">
        <f t="shared" si="178"/>
        <v>0</v>
      </c>
      <c r="Z3785">
        <f t="shared" si="179"/>
        <v>1</v>
      </c>
    </row>
    <row r="3786" spans="1:26" ht="15.75" customHeight="1" x14ac:dyDescent="0.2">
      <c r="A3786" s="2" t="s">
        <v>36</v>
      </c>
      <c r="B3786" s="2" t="s">
        <v>35</v>
      </c>
      <c r="C3786" s="2" t="s">
        <v>28</v>
      </c>
      <c r="D3786" s="2" t="s">
        <v>29</v>
      </c>
      <c r="E3786" s="2">
        <v>130</v>
      </c>
      <c r="F3786" s="2">
        <v>265</v>
      </c>
      <c r="G3786" s="2">
        <v>523</v>
      </c>
      <c r="H3786" s="2">
        <v>809</v>
      </c>
      <c r="I3786" s="2">
        <v>2496</v>
      </c>
      <c r="J3786" s="2">
        <v>2.66</v>
      </c>
      <c r="K3786" s="2">
        <v>5.12</v>
      </c>
      <c r="L3786" s="2">
        <v>7.3</v>
      </c>
      <c r="M3786" s="2">
        <v>14.49</v>
      </c>
      <c r="N3786" s="2">
        <v>1.201649862</v>
      </c>
      <c r="O3786" s="2">
        <v>1.437897956</v>
      </c>
      <c r="P3786" s="2">
        <v>4.3104530309999998</v>
      </c>
      <c r="Q3786" s="2">
        <v>4.3062094279999998</v>
      </c>
      <c r="R3786" s="2">
        <v>0.169892617</v>
      </c>
      <c r="S3786" s="2">
        <v>0.27989261700000001</v>
      </c>
      <c r="T3786" s="2">
        <v>4.307103648</v>
      </c>
      <c r="U3786" s="2">
        <v>4.2971036480000002</v>
      </c>
      <c r="V3786" s="2">
        <v>1.8174856619999999</v>
      </c>
      <c r="W3786" s="2">
        <v>1.780440373</v>
      </c>
      <c r="X3786">
        <f t="shared" si="177"/>
        <v>0</v>
      </c>
      <c r="Y3786">
        <f t="shared" si="178"/>
        <v>0</v>
      </c>
      <c r="Z3786">
        <f t="shared" si="179"/>
        <v>1</v>
      </c>
    </row>
    <row r="3787" spans="1:26" ht="15.75" customHeight="1" x14ac:dyDescent="0.2">
      <c r="A3787" s="2" t="s">
        <v>36</v>
      </c>
      <c r="B3787" s="2" t="s">
        <v>35</v>
      </c>
      <c r="C3787" s="2" t="s">
        <v>27</v>
      </c>
      <c r="D3787" s="2" t="s">
        <v>27</v>
      </c>
      <c r="E3787" s="2">
        <v>120</v>
      </c>
      <c r="F3787" s="2">
        <v>273</v>
      </c>
      <c r="G3787" s="2">
        <v>484</v>
      </c>
      <c r="H3787" s="2">
        <v>2380</v>
      </c>
      <c r="I3787" s="2">
        <v>3067</v>
      </c>
      <c r="J3787" s="2">
        <v>2.74</v>
      </c>
      <c r="K3787" s="2">
        <v>4.78</v>
      </c>
      <c r="L3787" s="2">
        <v>14.17</v>
      </c>
      <c r="M3787" s="2">
        <v>15.83</v>
      </c>
      <c r="N3787" s="2">
        <v>0.26609788299999998</v>
      </c>
      <c r="O3787" s="2">
        <v>0.35581547800000002</v>
      </c>
      <c r="P3787" s="2">
        <v>2.5668136480000001</v>
      </c>
      <c r="Q3787" s="2">
        <v>2.5719758719999999</v>
      </c>
      <c r="R3787" s="2">
        <v>0.16772262399999999</v>
      </c>
      <c r="S3787" s="2">
        <v>5.7722624E-2</v>
      </c>
      <c r="T3787" s="2">
        <v>2.561328059</v>
      </c>
      <c r="U3787" s="2">
        <v>2.5713280589999998</v>
      </c>
      <c r="V3787" s="2">
        <v>1.479870421</v>
      </c>
      <c r="W3787" s="2">
        <v>1.442825131</v>
      </c>
      <c r="X3787">
        <f t="shared" si="177"/>
        <v>0</v>
      </c>
      <c r="Y3787">
        <f t="shared" si="178"/>
        <v>0</v>
      </c>
      <c r="Z3787">
        <f t="shared" si="179"/>
        <v>0</v>
      </c>
    </row>
    <row r="3788" spans="1:26" ht="15.75" customHeight="1" x14ac:dyDescent="0.2">
      <c r="A3788" s="2" t="s">
        <v>36</v>
      </c>
      <c r="B3788" s="2" t="s">
        <v>35</v>
      </c>
      <c r="C3788" s="2" t="s">
        <v>26</v>
      </c>
      <c r="D3788" s="2" t="s">
        <v>26</v>
      </c>
      <c r="E3788" s="2">
        <v>165</v>
      </c>
      <c r="F3788" s="2">
        <v>258</v>
      </c>
      <c r="G3788" s="2">
        <v>447</v>
      </c>
      <c r="H3788" s="2">
        <v>900</v>
      </c>
      <c r="I3788" s="2">
        <v>2719</v>
      </c>
      <c r="J3788" s="2">
        <v>2.59</v>
      </c>
      <c r="K3788" s="2">
        <v>4.45</v>
      </c>
      <c r="L3788" s="2">
        <v>7.9</v>
      </c>
      <c r="M3788" s="2">
        <v>15.05</v>
      </c>
      <c r="N3788" s="2">
        <v>0.416832337</v>
      </c>
      <c r="O3788" s="2">
        <v>0.58924067999999996</v>
      </c>
      <c r="P3788" s="2">
        <v>3.7395721329999998</v>
      </c>
      <c r="Q3788" s="2">
        <v>3.7163921950000001</v>
      </c>
      <c r="R3788" s="2">
        <v>0.504182825</v>
      </c>
      <c r="S3788" s="2">
        <v>0.39418282500000001</v>
      </c>
      <c r="T3788" s="2">
        <v>3.7054283720000001</v>
      </c>
      <c r="U3788" s="2">
        <v>3.6954283719999999</v>
      </c>
      <c r="V3788" s="2">
        <v>1.1434102189999999</v>
      </c>
      <c r="W3788" s="2">
        <v>1.10636493</v>
      </c>
      <c r="X3788">
        <f t="shared" si="177"/>
        <v>0</v>
      </c>
      <c r="Y3788">
        <f t="shared" si="178"/>
        <v>0</v>
      </c>
      <c r="Z3788">
        <f t="shared" si="179"/>
        <v>0</v>
      </c>
    </row>
    <row r="3789" spans="1:26" ht="15.75" customHeight="1" x14ac:dyDescent="0.2">
      <c r="A3789" s="2" t="s">
        <v>36</v>
      </c>
      <c r="B3789" s="2" t="s">
        <v>35</v>
      </c>
      <c r="C3789" s="2" t="s">
        <v>27</v>
      </c>
      <c r="D3789" s="2" t="s">
        <v>27</v>
      </c>
      <c r="E3789" s="2">
        <v>122</v>
      </c>
      <c r="F3789" s="2">
        <v>250</v>
      </c>
      <c r="G3789" s="2">
        <v>474</v>
      </c>
      <c r="H3789" s="2">
        <v>2286</v>
      </c>
      <c r="I3789" s="2">
        <v>3098</v>
      </c>
      <c r="J3789" s="2">
        <v>2.5099999999999998</v>
      </c>
      <c r="K3789" s="2">
        <v>4.6900000000000004</v>
      </c>
      <c r="L3789" s="2">
        <v>13.9</v>
      </c>
      <c r="M3789" s="2">
        <v>15.89</v>
      </c>
      <c r="N3789" s="2">
        <v>0.246241034</v>
      </c>
      <c r="O3789" s="2">
        <v>8.9705034000000003E-2</v>
      </c>
      <c r="P3789" s="2">
        <v>2.3091167320000001</v>
      </c>
      <c r="Q3789" s="2">
        <v>2.3092154759999999</v>
      </c>
      <c r="R3789" s="2">
        <v>0.26194630899999999</v>
      </c>
      <c r="S3789" s="2">
        <v>0.151946309</v>
      </c>
      <c r="T3789" s="2">
        <v>2.2942110219999998</v>
      </c>
      <c r="U3789" s="2">
        <v>2.3042110220000001</v>
      </c>
      <c r="V3789" s="2">
        <v>1.385646736</v>
      </c>
      <c r="W3789" s="2">
        <v>1.348601446</v>
      </c>
      <c r="X3789">
        <f t="shared" si="177"/>
        <v>0</v>
      </c>
      <c r="Y3789">
        <f t="shared" si="178"/>
        <v>0</v>
      </c>
      <c r="Z3789">
        <f t="shared" si="179"/>
        <v>0</v>
      </c>
    </row>
    <row r="3790" spans="1:26" ht="15.75" customHeight="1" x14ac:dyDescent="0.2">
      <c r="A3790" s="2" t="s">
        <v>36</v>
      </c>
      <c r="B3790" s="2" t="s">
        <v>35</v>
      </c>
      <c r="C3790" s="2" t="s">
        <v>27</v>
      </c>
      <c r="D3790" s="2" t="s">
        <v>27</v>
      </c>
      <c r="E3790" s="2">
        <v>140</v>
      </c>
      <c r="F3790" s="2">
        <v>246</v>
      </c>
      <c r="G3790" s="2">
        <v>549</v>
      </c>
      <c r="H3790" s="2">
        <v>2461</v>
      </c>
      <c r="I3790" s="2">
        <v>3101</v>
      </c>
      <c r="J3790" s="2">
        <v>2.46</v>
      </c>
      <c r="K3790" s="2">
        <v>5.34</v>
      </c>
      <c r="L3790" s="2">
        <v>14.39</v>
      </c>
      <c r="M3790" s="2">
        <v>15.9</v>
      </c>
      <c r="N3790" s="2">
        <v>0.60194988299999996</v>
      </c>
      <c r="O3790" s="2">
        <v>0.90158124699999997</v>
      </c>
      <c r="P3790" s="2">
        <v>2.8107719869999999</v>
      </c>
      <c r="Q3790" s="2">
        <v>2.8378371279999999</v>
      </c>
      <c r="R3790" s="2">
        <v>0.386357114</v>
      </c>
      <c r="S3790" s="2">
        <v>0.49635711399999999</v>
      </c>
      <c r="T3790" s="2">
        <v>2.7840918339999998</v>
      </c>
      <c r="U3790" s="2">
        <v>2.7940918340000001</v>
      </c>
      <c r="V3790" s="2">
        <v>2.0339501590000002</v>
      </c>
      <c r="W3790" s="2">
        <v>1.996904869</v>
      </c>
      <c r="X3790">
        <f t="shared" si="177"/>
        <v>0</v>
      </c>
      <c r="Y3790">
        <f t="shared" si="178"/>
        <v>0</v>
      </c>
      <c r="Z3790">
        <f t="shared" si="179"/>
        <v>0</v>
      </c>
    </row>
    <row r="3791" spans="1:26" ht="15.75" customHeight="1" x14ac:dyDescent="0.2">
      <c r="A3791" s="2" t="s">
        <v>36</v>
      </c>
      <c r="B3791" s="2" t="s">
        <v>35</v>
      </c>
      <c r="C3791" s="2" t="s">
        <v>32</v>
      </c>
      <c r="D3791" s="2" t="s">
        <v>33</v>
      </c>
      <c r="E3791" s="2">
        <v>140</v>
      </c>
      <c r="F3791" s="2">
        <v>258</v>
      </c>
      <c r="G3791" s="2">
        <v>538</v>
      </c>
      <c r="H3791" s="2">
        <v>1002</v>
      </c>
      <c r="I3791" s="2">
        <v>2105</v>
      </c>
      <c r="J3791" s="2">
        <v>2.59</v>
      </c>
      <c r="K3791" s="2">
        <v>5.24</v>
      </c>
      <c r="L3791" s="2">
        <v>8.5399999999999991</v>
      </c>
      <c r="M3791" s="2">
        <v>13.35</v>
      </c>
      <c r="N3791" s="2">
        <v>3.7928608810000002</v>
      </c>
      <c r="O3791" s="2">
        <v>3.8737486859999999</v>
      </c>
      <c r="P3791" s="2">
        <v>3.0846359579999998</v>
      </c>
      <c r="Q3791" s="2">
        <v>3.0871469459999998</v>
      </c>
      <c r="R3791" s="2">
        <v>0.29413130500000001</v>
      </c>
      <c r="S3791" s="2">
        <v>0.404131305</v>
      </c>
      <c r="T3791" s="2">
        <v>3.0705806889999998</v>
      </c>
      <c r="U3791" s="2">
        <v>3.060580689</v>
      </c>
      <c r="V3791" s="2">
        <v>1.9417243500000001</v>
      </c>
      <c r="W3791" s="2">
        <v>1.9046790600000001</v>
      </c>
      <c r="X3791">
        <f t="shared" si="177"/>
        <v>0</v>
      </c>
      <c r="Y3791">
        <f t="shared" si="178"/>
        <v>0</v>
      </c>
      <c r="Z3791">
        <f t="shared" si="179"/>
        <v>1</v>
      </c>
    </row>
    <row r="3792" spans="1:26" ht="15.75" customHeight="1" x14ac:dyDescent="0.2">
      <c r="A3792" s="2" t="s">
        <v>36</v>
      </c>
      <c r="B3792" s="2" t="s">
        <v>35</v>
      </c>
      <c r="C3792" s="2" t="s">
        <v>28</v>
      </c>
      <c r="D3792" s="2" t="s">
        <v>29</v>
      </c>
      <c r="E3792" s="2">
        <v>184</v>
      </c>
      <c r="F3792" s="2">
        <v>258</v>
      </c>
      <c r="G3792" s="2">
        <v>466</v>
      </c>
      <c r="H3792" s="2">
        <v>979</v>
      </c>
      <c r="I3792" s="2">
        <v>2670</v>
      </c>
      <c r="J3792" s="2">
        <v>2.59</v>
      </c>
      <c r="K3792" s="2">
        <v>4.62</v>
      </c>
      <c r="L3792" s="2">
        <v>8.4</v>
      </c>
      <c r="M3792" s="2">
        <v>14.93</v>
      </c>
      <c r="N3792" s="2">
        <v>0.16396403000000001</v>
      </c>
      <c r="O3792" s="2">
        <v>0.34975186800000002</v>
      </c>
      <c r="P3792" s="2">
        <v>3.2260512530000001</v>
      </c>
      <c r="Q3792" s="2">
        <v>3.2067792490000002</v>
      </c>
      <c r="R3792" s="2">
        <v>0.32720566000000001</v>
      </c>
      <c r="S3792" s="2">
        <v>0.21720565999999999</v>
      </c>
      <c r="T3792" s="2">
        <v>3.2094147670000002</v>
      </c>
      <c r="U3792" s="2">
        <v>3.1994147669999999</v>
      </c>
      <c r="V3792" s="2">
        <v>1.3203873850000001</v>
      </c>
      <c r="W3792" s="2">
        <v>1.2833420950000001</v>
      </c>
      <c r="X3792">
        <f t="shared" si="177"/>
        <v>0</v>
      </c>
      <c r="Y3792">
        <f t="shared" si="178"/>
        <v>0</v>
      </c>
      <c r="Z3792">
        <f t="shared" si="179"/>
        <v>1</v>
      </c>
    </row>
    <row r="3793" spans="1:26" ht="15.75" customHeight="1" x14ac:dyDescent="0.2">
      <c r="A3793" s="2" t="s">
        <v>36</v>
      </c>
      <c r="B3793" s="2" t="s">
        <v>35</v>
      </c>
      <c r="C3793" s="2" t="s">
        <v>26</v>
      </c>
      <c r="D3793" s="2" t="s">
        <v>26</v>
      </c>
      <c r="E3793" s="2">
        <v>114</v>
      </c>
      <c r="F3793" s="2">
        <v>250</v>
      </c>
      <c r="G3793" s="2">
        <v>445</v>
      </c>
      <c r="H3793" s="2">
        <v>1278</v>
      </c>
      <c r="I3793" s="2">
        <v>2714</v>
      </c>
      <c r="J3793" s="2">
        <v>2.5099999999999998</v>
      </c>
      <c r="K3793" s="2">
        <v>4.43</v>
      </c>
      <c r="L3793" s="2">
        <v>10.050000000000001</v>
      </c>
      <c r="M3793" s="2">
        <v>15.04</v>
      </c>
      <c r="N3793" s="2">
        <v>1.7307083000000001</v>
      </c>
      <c r="O3793" s="2">
        <v>1.586801554</v>
      </c>
      <c r="P3793" s="2">
        <v>1.6452057790000001</v>
      </c>
      <c r="Q3793" s="2">
        <v>1.6039903369999999</v>
      </c>
      <c r="R3793" s="2">
        <v>0.52234266699999998</v>
      </c>
      <c r="S3793" s="2">
        <v>0.412342667</v>
      </c>
      <c r="T3793" s="2">
        <v>1.560083393</v>
      </c>
      <c r="U3793" s="2">
        <v>1.550083393</v>
      </c>
      <c r="V3793" s="2">
        <v>1.1252503780000001</v>
      </c>
      <c r="W3793" s="2">
        <v>1.088205088</v>
      </c>
      <c r="X3793">
        <f t="shared" si="177"/>
        <v>0</v>
      </c>
      <c r="Y3793">
        <f t="shared" si="178"/>
        <v>0</v>
      </c>
      <c r="Z3793">
        <f t="shared" si="179"/>
        <v>0</v>
      </c>
    </row>
    <row r="3794" spans="1:26" ht="15.75" customHeight="1" x14ac:dyDescent="0.2">
      <c r="A3794" s="2" t="s">
        <v>36</v>
      </c>
      <c r="B3794" s="2" t="s">
        <v>35</v>
      </c>
      <c r="C3794" s="2" t="s">
        <v>30</v>
      </c>
      <c r="D3794" s="2" t="s">
        <v>31</v>
      </c>
      <c r="E3794" s="2">
        <v>90</v>
      </c>
      <c r="F3794" s="2">
        <v>246</v>
      </c>
      <c r="G3794" s="2">
        <v>672</v>
      </c>
      <c r="H3794" s="2">
        <v>1381</v>
      </c>
      <c r="I3794" s="2">
        <v>2356</v>
      </c>
      <c r="J3794" s="2">
        <v>2.46</v>
      </c>
      <c r="K3794" s="2">
        <v>6.31</v>
      </c>
      <c r="L3794" s="2">
        <v>10.55</v>
      </c>
      <c r="M3794" s="2">
        <v>14.1</v>
      </c>
      <c r="N3794" s="2">
        <v>3.670055713</v>
      </c>
      <c r="O3794" s="2">
        <v>3.72192385</v>
      </c>
      <c r="P3794" s="2">
        <v>1.7261309819999999</v>
      </c>
      <c r="Q3794" s="2">
        <v>1.808397561</v>
      </c>
      <c r="R3794" s="2">
        <v>1.362577581</v>
      </c>
      <c r="S3794" s="2">
        <v>1.4725775809999999</v>
      </c>
      <c r="T3794" s="2">
        <v>1.059674716</v>
      </c>
      <c r="U3794" s="2">
        <v>1.049674716</v>
      </c>
      <c r="V3794" s="2">
        <v>3.0101706259999998</v>
      </c>
      <c r="W3794" s="2">
        <v>2.9731253359999998</v>
      </c>
      <c r="X3794">
        <f t="shared" si="177"/>
        <v>0</v>
      </c>
      <c r="Y3794">
        <f t="shared" si="178"/>
        <v>0</v>
      </c>
      <c r="Z3794">
        <f t="shared" si="179"/>
        <v>1</v>
      </c>
    </row>
    <row r="3795" spans="1:26" ht="15.75" customHeight="1" x14ac:dyDescent="0.2">
      <c r="A3795" s="2" t="s">
        <v>36</v>
      </c>
      <c r="B3795" s="2" t="s">
        <v>35</v>
      </c>
      <c r="C3795" s="2" t="s">
        <v>27</v>
      </c>
      <c r="D3795" s="2" t="s">
        <v>27</v>
      </c>
      <c r="E3795" s="2">
        <v>133</v>
      </c>
      <c r="F3795" s="2">
        <v>254</v>
      </c>
      <c r="G3795" s="2">
        <v>499</v>
      </c>
      <c r="H3795" s="2">
        <v>2332</v>
      </c>
      <c r="I3795" s="2">
        <v>3078</v>
      </c>
      <c r="J3795" s="2">
        <v>2.5499999999999998</v>
      </c>
      <c r="K3795" s="2">
        <v>4.91</v>
      </c>
      <c r="L3795" s="2">
        <v>14.04</v>
      </c>
      <c r="M3795" s="2">
        <v>15.85</v>
      </c>
      <c r="N3795" s="2">
        <v>8.8084535000000005E-2</v>
      </c>
      <c r="O3795" s="2">
        <v>0.34819655500000002</v>
      </c>
      <c r="P3795" s="2">
        <v>2.4262205859999999</v>
      </c>
      <c r="Q3795" s="2">
        <v>2.4369190299999999</v>
      </c>
      <c r="R3795" s="2">
        <v>3.9499797000000003E-2</v>
      </c>
      <c r="S3795" s="2">
        <v>7.0500202999999997E-2</v>
      </c>
      <c r="T3795" s="2">
        <v>2.425899029</v>
      </c>
      <c r="U3795" s="2">
        <v>2.4358990290000002</v>
      </c>
      <c r="V3795" s="2">
        <v>1.6080932480000001</v>
      </c>
      <c r="W3795" s="2">
        <v>1.5710479580000001</v>
      </c>
      <c r="X3795">
        <f t="shared" si="177"/>
        <v>0</v>
      </c>
      <c r="Y3795">
        <f t="shared" si="178"/>
        <v>0</v>
      </c>
      <c r="Z3795">
        <f t="shared" si="179"/>
        <v>0</v>
      </c>
    </row>
    <row r="3796" spans="1:26" ht="15.75" customHeight="1" x14ac:dyDescent="0.2">
      <c r="A3796" s="2" t="s">
        <v>36</v>
      </c>
      <c r="B3796" s="2" t="s">
        <v>35</v>
      </c>
      <c r="C3796" s="2" t="s">
        <v>30</v>
      </c>
      <c r="D3796" s="2" t="s">
        <v>31</v>
      </c>
      <c r="E3796" s="2">
        <v>125</v>
      </c>
      <c r="F3796" s="2">
        <v>241</v>
      </c>
      <c r="G3796" s="2">
        <v>641</v>
      </c>
      <c r="H3796" s="2">
        <v>1528</v>
      </c>
      <c r="I3796" s="2">
        <v>2444</v>
      </c>
      <c r="J3796" s="2">
        <v>2.4</v>
      </c>
      <c r="K3796" s="2">
        <v>6.08</v>
      </c>
      <c r="L3796" s="2">
        <v>11.22</v>
      </c>
      <c r="M3796" s="2">
        <v>14.35</v>
      </c>
      <c r="N3796" s="2">
        <v>2.9657448560000002</v>
      </c>
      <c r="O3796" s="2">
        <v>3.0248788809999998</v>
      </c>
      <c r="P3796" s="2">
        <v>1.196415198</v>
      </c>
      <c r="Q3796" s="2">
        <v>1.2977968600000001</v>
      </c>
      <c r="R3796" s="2">
        <v>1.1297437210000001</v>
      </c>
      <c r="S3796" s="2">
        <v>1.239743721</v>
      </c>
      <c r="T3796" s="2">
        <v>0.39381270899999998</v>
      </c>
      <c r="U3796" s="2">
        <v>0.38381270899999997</v>
      </c>
      <c r="V3796" s="2">
        <v>2.7773367659999999</v>
      </c>
      <c r="W3796" s="2">
        <v>2.7402914759999999</v>
      </c>
      <c r="X3796">
        <f t="shared" si="177"/>
        <v>0</v>
      </c>
      <c r="Y3796">
        <f t="shared" si="178"/>
        <v>0</v>
      </c>
      <c r="Z3796">
        <f t="shared" si="179"/>
        <v>1</v>
      </c>
    </row>
    <row r="3797" spans="1:26" ht="15.75" customHeight="1" x14ac:dyDescent="0.2">
      <c r="A3797" s="2" t="s">
        <v>36</v>
      </c>
      <c r="B3797" s="2" t="s">
        <v>35</v>
      </c>
      <c r="C3797" s="2" t="s">
        <v>26</v>
      </c>
      <c r="D3797" s="2" t="s">
        <v>26</v>
      </c>
      <c r="E3797" s="2">
        <v>140</v>
      </c>
      <c r="F3797" s="2">
        <v>252</v>
      </c>
      <c r="G3797" s="2">
        <v>451</v>
      </c>
      <c r="H3797" s="2">
        <v>1052</v>
      </c>
      <c r="I3797" s="2">
        <v>2653</v>
      </c>
      <c r="J3797" s="2">
        <v>2.5299999999999998</v>
      </c>
      <c r="K3797" s="2">
        <v>4.4800000000000004</v>
      </c>
      <c r="L3797" s="2">
        <v>8.83</v>
      </c>
      <c r="M3797" s="2">
        <v>14.89</v>
      </c>
      <c r="N3797" s="2">
        <v>0.51392173699999999</v>
      </c>
      <c r="O3797" s="2">
        <v>0.41624372300000001</v>
      </c>
      <c r="P3797" s="2">
        <v>2.815246643</v>
      </c>
      <c r="Q3797" s="2">
        <v>2.7891472230000001</v>
      </c>
      <c r="R3797" s="2">
        <v>0.46795354</v>
      </c>
      <c r="S3797" s="2">
        <v>0.35795354000000001</v>
      </c>
      <c r="T3797" s="2">
        <v>2.7760823370000001</v>
      </c>
      <c r="U3797" s="2">
        <v>2.7660823369999998</v>
      </c>
      <c r="V3797" s="2">
        <v>1.1796395049999999</v>
      </c>
      <c r="W3797" s="2">
        <v>1.1425942149999999</v>
      </c>
      <c r="X3797">
        <f t="shared" si="177"/>
        <v>0</v>
      </c>
      <c r="Y3797">
        <f t="shared" si="178"/>
        <v>0</v>
      </c>
      <c r="Z3797">
        <f t="shared" si="179"/>
        <v>0</v>
      </c>
    </row>
    <row r="3798" spans="1:26" ht="15.75" customHeight="1" x14ac:dyDescent="0.2">
      <c r="A3798" s="2" t="s">
        <v>36</v>
      </c>
      <c r="B3798" s="2" t="s">
        <v>35</v>
      </c>
      <c r="C3798" s="2" t="s">
        <v>26</v>
      </c>
      <c r="D3798" s="2" t="s">
        <v>26</v>
      </c>
      <c r="E3798" s="2">
        <v>130</v>
      </c>
      <c r="F3798" s="2">
        <v>243</v>
      </c>
      <c r="G3798" s="2">
        <v>429</v>
      </c>
      <c r="H3798" s="2">
        <v>872</v>
      </c>
      <c r="I3798" s="2">
        <v>2604</v>
      </c>
      <c r="J3798" s="2">
        <v>2.4300000000000002</v>
      </c>
      <c r="K3798" s="2">
        <v>4.28</v>
      </c>
      <c r="L3798" s="2">
        <v>7.73</v>
      </c>
      <c r="M3798" s="2">
        <v>14.77</v>
      </c>
      <c r="N3798" s="2">
        <v>0.62518180499999998</v>
      </c>
      <c r="O3798" s="2">
        <v>0.74276090699999997</v>
      </c>
      <c r="P3798" s="2">
        <v>3.9399244850000001</v>
      </c>
      <c r="Q3798" s="2">
        <v>3.912854737</v>
      </c>
      <c r="R3798" s="2">
        <v>0.66871616</v>
      </c>
      <c r="S3798" s="2">
        <v>0.55871616000000002</v>
      </c>
      <c r="T3798" s="2">
        <v>3.8827597979999999</v>
      </c>
      <c r="U3798" s="2">
        <v>3.8727597980000001</v>
      </c>
      <c r="V3798" s="2">
        <v>0.97887688500000003</v>
      </c>
      <c r="W3798" s="2">
        <v>0.94183159500000002</v>
      </c>
      <c r="X3798">
        <f t="shared" si="177"/>
        <v>0</v>
      </c>
      <c r="Y3798">
        <f t="shared" si="178"/>
        <v>0</v>
      </c>
      <c r="Z3798">
        <f t="shared" si="179"/>
        <v>0</v>
      </c>
    </row>
    <row r="3799" spans="1:26" ht="15.75" customHeight="1" x14ac:dyDescent="0.2">
      <c r="A3799" s="2" t="s">
        <v>36</v>
      </c>
      <c r="B3799" s="2" t="s">
        <v>35</v>
      </c>
      <c r="C3799" s="2" t="s">
        <v>26</v>
      </c>
      <c r="D3799" s="2" t="s">
        <v>26</v>
      </c>
      <c r="E3799" s="2">
        <v>94</v>
      </c>
      <c r="F3799" s="2">
        <v>261</v>
      </c>
      <c r="G3799" s="2">
        <v>490</v>
      </c>
      <c r="H3799" s="2">
        <v>793</v>
      </c>
      <c r="I3799" s="2">
        <v>2791</v>
      </c>
      <c r="J3799" s="2">
        <v>2.62</v>
      </c>
      <c r="K3799" s="2">
        <v>4.83</v>
      </c>
      <c r="L3799" s="2">
        <v>7.19</v>
      </c>
      <c r="M3799" s="2">
        <v>15.22</v>
      </c>
      <c r="N3799" s="2">
        <v>1.1797382160000001</v>
      </c>
      <c r="O3799" s="2">
        <v>1.3906023009999999</v>
      </c>
      <c r="P3799" s="2">
        <v>4.4165843420000002</v>
      </c>
      <c r="Q3799" s="2">
        <v>4.4050876780000001</v>
      </c>
      <c r="R3799" s="2">
        <v>0.115082302</v>
      </c>
      <c r="S3799" s="2">
        <v>5.0823020000000003E-3</v>
      </c>
      <c r="T3799" s="2">
        <v>4.4150847459999998</v>
      </c>
      <c r="U3799" s="2">
        <v>4.405084746</v>
      </c>
      <c r="V3799" s="2">
        <v>1.532510743</v>
      </c>
      <c r="W3799" s="2">
        <v>1.495465453</v>
      </c>
      <c r="X3799">
        <f t="shared" si="177"/>
        <v>0</v>
      </c>
      <c r="Y3799">
        <f t="shared" si="178"/>
        <v>0</v>
      </c>
      <c r="Z3799">
        <f t="shared" si="179"/>
        <v>0</v>
      </c>
    </row>
    <row r="3800" spans="1:26" ht="15.75" customHeight="1" x14ac:dyDescent="0.2">
      <c r="A3800" s="2" t="s">
        <v>36</v>
      </c>
      <c r="B3800" s="2" t="s">
        <v>35</v>
      </c>
      <c r="C3800" s="2" t="s">
        <v>25</v>
      </c>
      <c r="D3800" s="2" t="s">
        <v>25</v>
      </c>
      <c r="E3800" s="2">
        <v>152</v>
      </c>
      <c r="F3800" s="2">
        <v>262</v>
      </c>
      <c r="G3800" s="2">
        <v>875</v>
      </c>
      <c r="H3800" s="2">
        <v>1591</v>
      </c>
      <c r="I3800" s="2">
        <v>2765</v>
      </c>
      <c r="J3800" s="2">
        <v>2.63</v>
      </c>
      <c r="K3800" s="2">
        <v>7.74</v>
      </c>
      <c r="L3800" s="2">
        <v>11.48</v>
      </c>
      <c r="M3800" s="2">
        <v>15.16</v>
      </c>
      <c r="N3800" s="2">
        <v>0.38856495400000002</v>
      </c>
      <c r="O3800" s="2">
        <v>0.53744006899999996</v>
      </c>
      <c r="P3800" s="2">
        <v>2.797683723</v>
      </c>
      <c r="Q3800" s="2">
        <v>2.907142769</v>
      </c>
      <c r="R3800" s="2">
        <v>2.7946913580000001</v>
      </c>
      <c r="S3800" s="2">
        <v>2.904691358</v>
      </c>
      <c r="T3800" s="2">
        <v>0.12936162200000001</v>
      </c>
      <c r="U3800" s="2">
        <v>0.119361622</v>
      </c>
      <c r="V3800" s="2">
        <v>4.4422844030000004</v>
      </c>
      <c r="W3800" s="2">
        <v>4.4052391130000004</v>
      </c>
      <c r="X3800">
        <f t="shared" si="177"/>
        <v>0</v>
      </c>
      <c r="Y3800">
        <f t="shared" si="178"/>
        <v>0</v>
      </c>
      <c r="Z3800">
        <f t="shared" si="179"/>
        <v>0</v>
      </c>
    </row>
    <row r="3801" spans="1:26" ht="15.75" customHeight="1" x14ac:dyDescent="0.2">
      <c r="A3801" s="2" t="s">
        <v>36</v>
      </c>
      <c r="B3801" s="2" t="s">
        <v>35</v>
      </c>
      <c r="C3801" s="2" t="s">
        <v>25</v>
      </c>
      <c r="D3801" s="2" t="s">
        <v>25</v>
      </c>
      <c r="E3801" s="2">
        <v>167</v>
      </c>
      <c r="F3801" s="2">
        <v>246</v>
      </c>
      <c r="G3801" s="2">
        <v>748</v>
      </c>
      <c r="H3801" s="2">
        <v>1560</v>
      </c>
      <c r="I3801" s="2">
        <v>2696</v>
      </c>
      <c r="J3801" s="2">
        <v>2.46</v>
      </c>
      <c r="K3801" s="2">
        <v>6.88</v>
      </c>
      <c r="L3801" s="2">
        <v>11.35</v>
      </c>
      <c r="M3801" s="2">
        <v>14.99</v>
      </c>
      <c r="N3801" s="2">
        <v>0.60918221800000005</v>
      </c>
      <c r="O3801" s="2">
        <v>0.63951787000000004</v>
      </c>
      <c r="P3801" s="2">
        <v>1.9428573870000001</v>
      </c>
      <c r="Q3801" s="2">
        <v>2.0506811690000002</v>
      </c>
      <c r="R3801" s="2">
        <v>1.925420975</v>
      </c>
      <c r="S3801" s="2">
        <v>2.0354209750000001</v>
      </c>
      <c r="T3801" s="2">
        <v>0.25970925299999997</v>
      </c>
      <c r="U3801" s="2">
        <v>0.24970925299999999</v>
      </c>
      <c r="V3801" s="2">
        <v>3.57301402</v>
      </c>
      <c r="W3801" s="2">
        <v>3.53596873</v>
      </c>
      <c r="X3801">
        <f t="shared" si="177"/>
        <v>0</v>
      </c>
      <c r="Y3801">
        <f t="shared" si="178"/>
        <v>0</v>
      </c>
      <c r="Z3801">
        <f t="shared" si="179"/>
        <v>0</v>
      </c>
    </row>
    <row r="3802" spans="1:26" ht="15.75" customHeight="1" x14ac:dyDescent="0.2">
      <c r="A3802" s="2" t="s">
        <v>36</v>
      </c>
      <c r="B3802" s="2" t="s">
        <v>35</v>
      </c>
      <c r="C3802" s="2" t="s">
        <v>25</v>
      </c>
      <c r="D3802" s="2" t="s">
        <v>25</v>
      </c>
      <c r="E3802" s="2">
        <v>137</v>
      </c>
      <c r="F3802" s="2">
        <v>261</v>
      </c>
      <c r="G3802" s="2">
        <v>837</v>
      </c>
      <c r="H3802" s="2">
        <v>1467</v>
      </c>
      <c r="I3802" s="2">
        <v>2417</v>
      </c>
      <c r="J3802" s="2">
        <v>2.62</v>
      </c>
      <c r="K3802" s="2">
        <v>7.49</v>
      </c>
      <c r="L3802" s="2">
        <v>10.95</v>
      </c>
      <c r="M3802" s="2">
        <v>14.28</v>
      </c>
      <c r="N3802" s="2">
        <v>0.71795187699999996</v>
      </c>
      <c r="O3802" s="2">
        <v>0.87908486799999996</v>
      </c>
      <c r="P3802" s="2">
        <v>2.6276092709999999</v>
      </c>
      <c r="Q3802" s="2">
        <v>2.731798618</v>
      </c>
      <c r="R3802" s="2">
        <v>2.5428709330000001</v>
      </c>
      <c r="S3802" s="2">
        <v>2.652870933</v>
      </c>
      <c r="T3802" s="2">
        <v>0.66191986000000003</v>
      </c>
      <c r="U3802" s="2">
        <v>0.65191986000000002</v>
      </c>
      <c r="V3802" s="2">
        <v>4.1904639780000004</v>
      </c>
      <c r="W3802" s="2">
        <v>4.1534186880000004</v>
      </c>
      <c r="X3802">
        <f t="shared" si="177"/>
        <v>0</v>
      </c>
      <c r="Y3802">
        <f t="shared" si="178"/>
        <v>0</v>
      </c>
      <c r="Z3802">
        <f t="shared" si="179"/>
        <v>0</v>
      </c>
    </row>
    <row r="3803" spans="1:26" ht="15.75" customHeight="1" x14ac:dyDescent="0.2">
      <c r="A3803" s="2" t="s">
        <v>36</v>
      </c>
      <c r="B3803" s="2" t="s">
        <v>35</v>
      </c>
      <c r="C3803" s="2" t="s">
        <v>28</v>
      </c>
      <c r="D3803" s="2" t="s">
        <v>29</v>
      </c>
      <c r="E3803" s="2">
        <v>148</v>
      </c>
      <c r="F3803" s="2">
        <v>261</v>
      </c>
      <c r="G3803" s="2">
        <v>487</v>
      </c>
      <c r="H3803" s="2">
        <v>881</v>
      </c>
      <c r="I3803" s="2">
        <v>2351</v>
      </c>
      <c r="J3803" s="2">
        <v>2.62</v>
      </c>
      <c r="K3803" s="2">
        <v>4.8099999999999996</v>
      </c>
      <c r="L3803" s="2">
        <v>7.79</v>
      </c>
      <c r="M3803" s="2">
        <v>14.09</v>
      </c>
      <c r="N3803" s="2">
        <v>0.627013979</v>
      </c>
      <c r="O3803" s="2">
        <v>0.86446311600000003</v>
      </c>
      <c r="P3803" s="2">
        <v>3.8266057139999998</v>
      </c>
      <c r="Q3803" s="2">
        <v>3.8141224380000001</v>
      </c>
      <c r="R3803" s="2">
        <v>0.141370199</v>
      </c>
      <c r="S3803" s="2">
        <v>3.1370199000000001E-2</v>
      </c>
      <c r="T3803" s="2">
        <v>3.8239934299999998</v>
      </c>
      <c r="U3803" s="2">
        <v>3.81399343</v>
      </c>
      <c r="V3803" s="2">
        <v>1.506222846</v>
      </c>
      <c r="W3803" s="2">
        <v>1.469177556</v>
      </c>
      <c r="X3803">
        <f t="shared" si="177"/>
        <v>0</v>
      </c>
      <c r="Y3803">
        <f t="shared" si="178"/>
        <v>0</v>
      </c>
      <c r="Z3803">
        <f t="shared" si="179"/>
        <v>1</v>
      </c>
    </row>
    <row r="3804" spans="1:26" ht="15.75" customHeight="1" x14ac:dyDescent="0.2">
      <c r="A3804" s="2" t="s">
        <v>36</v>
      </c>
      <c r="B3804" s="2" t="s">
        <v>35</v>
      </c>
      <c r="C3804" s="2" t="s">
        <v>30</v>
      </c>
      <c r="D3804" s="2" t="s">
        <v>31</v>
      </c>
      <c r="E3804" s="2">
        <v>132</v>
      </c>
      <c r="F3804" s="2">
        <v>256</v>
      </c>
      <c r="G3804" s="2">
        <v>509</v>
      </c>
      <c r="H3804" s="2">
        <v>1295</v>
      </c>
      <c r="I3804" s="2">
        <v>2491</v>
      </c>
      <c r="J3804" s="2">
        <v>2.56</v>
      </c>
      <c r="K3804" s="2">
        <v>5</v>
      </c>
      <c r="L3804" s="2">
        <v>10.14</v>
      </c>
      <c r="M3804" s="2">
        <v>14.48</v>
      </c>
      <c r="N3804" s="2">
        <v>3.814245315</v>
      </c>
      <c r="O3804" s="2">
        <v>3.743717695</v>
      </c>
      <c r="P3804" s="2">
        <v>1.4744068610000001</v>
      </c>
      <c r="Q3804" s="2">
        <v>1.472057672</v>
      </c>
      <c r="R3804" s="2">
        <v>4.7051438000000001E-2</v>
      </c>
      <c r="S3804" s="2">
        <v>0.15705143799999999</v>
      </c>
      <c r="T3804" s="2">
        <v>1.4736559140000001</v>
      </c>
      <c r="U3804" s="2">
        <v>1.4636559140000001</v>
      </c>
      <c r="V3804" s="2">
        <v>1.694644483</v>
      </c>
      <c r="W3804" s="2">
        <v>1.657599193</v>
      </c>
      <c r="X3804">
        <f t="shared" si="177"/>
        <v>0</v>
      </c>
      <c r="Y3804">
        <f t="shared" si="178"/>
        <v>0</v>
      </c>
      <c r="Z3804">
        <f t="shared" si="179"/>
        <v>1</v>
      </c>
    </row>
    <row r="3805" spans="1:26" ht="15.75" customHeight="1" x14ac:dyDescent="0.2">
      <c r="A3805" s="2" t="s">
        <v>36</v>
      </c>
      <c r="B3805" s="2" t="s">
        <v>35</v>
      </c>
      <c r="C3805" s="2" t="s">
        <v>32</v>
      </c>
      <c r="D3805" s="2" t="s">
        <v>33</v>
      </c>
      <c r="E3805" s="2">
        <v>165</v>
      </c>
      <c r="F3805" s="2">
        <v>255</v>
      </c>
      <c r="G3805" s="2">
        <v>520</v>
      </c>
      <c r="H3805" s="2">
        <v>1046</v>
      </c>
      <c r="I3805" s="2">
        <v>2300</v>
      </c>
      <c r="J3805" s="2">
        <v>2.5499999999999998</v>
      </c>
      <c r="K3805" s="2">
        <v>5.09</v>
      </c>
      <c r="L3805" s="2">
        <v>8.8000000000000007</v>
      </c>
      <c r="M3805" s="2">
        <v>13.94</v>
      </c>
      <c r="N3805" s="2">
        <v>3.6728662600000002</v>
      </c>
      <c r="O3805" s="2">
        <v>3.742676103</v>
      </c>
      <c r="P3805" s="2">
        <v>2.8126705730000001</v>
      </c>
      <c r="Q3805" s="2">
        <v>2.810495016</v>
      </c>
      <c r="R3805" s="2">
        <v>0.14429915300000001</v>
      </c>
      <c r="S3805" s="2">
        <v>0.254299153</v>
      </c>
      <c r="T3805" s="2">
        <v>2.8089666260000001</v>
      </c>
      <c r="U3805" s="2">
        <v>2.7989666259999999</v>
      </c>
      <c r="V3805" s="2">
        <v>1.791892198</v>
      </c>
      <c r="W3805" s="2">
        <v>1.754846908</v>
      </c>
      <c r="X3805">
        <f t="shared" si="177"/>
        <v>0</v>
      </c>
      <c r="Y3805">
        <f t="shared" si="178"/>
        <v>0</v>
      </c>
      <c r="Z3805">
        <f t="shared" si="179"/>
        <v>1</v>
      </c>
    </row>
    <row r="3806" spans="1:26" ht="15.75" customHeight="1" x14ac:dyDescent="0.2">
      <c r="A3806" s="2" t="s">
        <v>36</v>
      </c>
      <c r="B3806" s="2" t="s">
        <v>35</v>
      </c>
      <c r="C3806" s="2" t="s">
        <v>26</v>
      </c>
      <c r="D3806" s="2" t="s">
        <v>26</v>
      </c>
      <c r="E3806" s="2">
        <v>115</v>
      </c>
      <c r="F3806" s="2">
        <v>273</v>
      </c>
      <c r="G3806" s="2">
        <v>454</v>
      </c>
      <c r="H3806" s="2">
        <v>964</v>
      </c>
      <c r="I3806" s="2">
        <v>2625</v>
      </c>
      <c r="J3806" s="2">
        <v>2.75</v>
      </c>
      <c r="K3806" s="2">
        <v>4.51</v>
      </c>
      <c r="L3806" s="2">
        <v>8.31</v>
      </c>
      <c r="M3806" s="2">
        <v>14.82</v>
      </c>
      <c r="N3806" s="2">
        <v>3.0523607000000001E-2</v>
      </c>
      <c r="O3806" s="2">
        <v>0.278950947</v>
      </c>
      <c r="P3806" s="2">
        <v>3.328412943</v>
      </c>
      <c r="Q3806" s="2">
        <v>3.305686267</v>
      </c>
      <c r="R3806" s="2">
        <v>0.440860378</v>
      </c>
      <c r="S3806" s="2">
        <v>0.33086037800000001</v>
      </c>
      <c r="T3806" s="2">
        <v>3.2990869709999999</v>
      </c>
      <c r="U3806" s="2">
        <v>3.2890869710000001</v>
      </c>
      <c r="V3806" s="2">
        <v>1.206732666</v>
      </c>
      <c r="W3806" s="2">
        <v>1.169687377</v>
      </c>
      <c r="X3806">
        <f t="shared" si="177"/>
        <v>0</v>
      </c>
      <c r="Y3806">
        <f t="shared" si="178"/>
        <v>0</v>
      </c>
      <c r="Z3806">
        <f t="shared" si="179"/>
        <v>0</v>
      </c>
    </row>
    <row r="3807" spans="1:26" ht="15.75" customHeight="1" x14ac:dyDescent="0.2">
      <c r="A3807" s="2" t="s">
        <v>36</v>
      </c>
      <c r="B3807" s="2" t="s">
        <v>35</v>
      </c>
      <c r="C3807" s="2" t="s">
        <v>32</v>
      </c>
      <c r="D3807" s="2" t="s">
        <v>33</v>
      </c>
      <c r="E3807" s="2">
        <v>112</v>
      </c>
      <c r="F3807" s="2">
        <v>261</v>
      </c>
      <c r="G3807" s="2">
        <v>543</v>
      </c>
      <c r="H3807" s="2">
        <v>1015</v>
      </c>
      <c r="I3807" s="2">
        <v>2541</v>
      </c>
      <c r="J3807" s="2">
        <v>2.62</v>
      </c>
      <c r="K3807" s="2">
        <v>5.28</v>
      </c>
      <c r="L3807" s="2">
        <v>8.61</v>
      </c>
      <c r="M3807" s="2">
        <v>14.61</v>
      </c>
      <c r="N3807" s="2">
        <v>3.708427844</v>
      </c>
      <c r="O3807" s="2">
        <v>3.7889557310000002</v>
      </c>
      <c r="P3807" s="2">
        <v>3.0135327639999998</v>
      </c>
      <c r="Q3807" s="2">
        <v>3.017783519</v>
      </c>
      <c r="R3807" s="2">
        <v>0.33335641999999999</v>
      </c>
      <c r="S3807" s="2">
        <v>0.44335641999999997</v>
      </c>
      <c r="T3807" s="2">
        <v>2.9950380999999999</v>
      </c>
      <c r="U3807" s="2">
        <v>2.9850381000000001</v>
      </c>
      <c r="V3807" s="2">
        <v>1.9809494649999999</v>
      </c>
      <c r="W3807" s="2">
        <v>1.9439041749999999</v>
      </c>
      <c r="X3807">
        <f t="shared" si="177"/>
        <v>0</v>
      </c>
      <c r="Y3807">
        <f t="shared" si="178"/>
        <v>0</v>
      </c>
      <c r="Z3807">
        <f t="shared" si="179"/>
        <v>1</v>
      </c>
    </row>
    <row r="3808" spans="1:26" ht="15.75" customHeight="1" x14ac:dyDescent="0.2">
      <c r="A3808" s="2" t="s">
        <v>36</v>
      </c>
      <c r="B3808" s="2" t="s">
        <v>35</v>
      </c>
      <c r="C3808" s="2" t="s">
        <v>28</v>
      </c>
      <c r="D3808" s="2" t="s">
        <v>29</v>
      </c>
      <c r="E3808" s="2">
        <v>140</v>
      </c>
      <c r="F3808" s="2">
        <v>263</v>
      </c>
      <c r="G3808" s="2">
        <v>488</v>
      </c>
      <c r="H3808" s="2">
        <v>1677</v>
      </c>
      <c r="I3808" s="2">
        <v>2736</v>
      </c>
      <c r="J3808" s="2">
        <v>2.64</v>
      </c>
      <c r="K3808" s="2">
        <v>4.8099999999999996</v>
      </c>
      <c r="L3808" s="2">
        <v>11.83</v>
      </c>
      <c r="M3808" s="2">
        <v>15.09</v>
      </c>
      <c r="N3808" s="2">
        <v>3.5262358730000001</v>
      </c>
      <c r="O3808" s="2">
        <v>3.402392796</v>
      </c>
      <c r="P3808" s="2">
        <v>0.260457139</v>
      </c>
      <c r="Q3808" s="2">
        <v>0.23236190100000001</v>
      </c>
      <c r="R3808" s="2">
        <v>0.138446139</v>
      </c>
      <c r="S3808" s="2">
        <v>2.8446138999999999E-2</v>
      </c>
      <c r="T3808" s="2">
        <v>0.220614115</v>
      </c>
      <c r="U3808" s="2">
        <v>0.23061411500000001</v>
      </c>
      <c r="V3808" s="2">
        <v>1.509146906</v>
      </c>
      <c r="W3808" s="2">
        <v>1.472101616</v>
      </c>
      <c r="X3808">
        <f t="shared" si="177"/>
        <v>0</v>
      </c>
      <c r="Y3808">
        <f t="shared" si="178"/>
        <v>0</v>
      </c>
      <c r="Z3808">
        <f t="shared" si="179"/>
        <v>1</v>
      </c>
    </row>
    <row r="3809" spans="1:26" ht="15.75" customHeight="1" x14ac:dyDescent="0.2">
      <c r="A3809" s="2" t="s">
        <v>36</v>
      </c>
      <c r="B3809" s="2" t="s">
        <v>35</v>
      </c>
      <c r="C3809" s="2" t="s">
        <v>32</v>
      </c>
      <c r="D3809" s="2" t="s">
        <v>33</v>
      </c>
      <c r="E3809" s="2">
        <v>139</v>
      </c>
      <c r="F3809" s="2">
        <v>258</v>
      </c>
      <c r="G3809" s="2">
        <v>492</v>
      </c>
      <c r="H3809" s="2">
        <v>1091</v>
      </c>
      <c r="I3809" s="2">
        <v>2328</v>
      </c>
      <c r="J3809" s="2">
        <v>2.59</v>
      </c>
      <c r="K3809" s="2">
        <v>4.8499999999999996</v>
      </c>
      <c r="L3809" s="2">
        <v>9.06</v>
      </c>
      <c r="M3809" s="2">
        <v>14.02</v>
      </c>
      <c r="N3809" s="2">
        <v>3.6409385510000001</v>
      </c>
      <c r="O3809" s="2">
        <v>3.6956835039999998</v>
      </c>
      <c r="P3809" s="2">
        <v>2.553058885</v>
      </c>
      <c r="Q3809" s="2">
        <v>2.5412232100000001</v>
      </c>
      <c r="R3809" s="2">
        <v>9.7592768999999996E-2</v>
      </c>
      <c r="S3809" s="2">
        <v>1.2407230999999999E-2</v>
      </c>
      <c r="T3809" s="2">
        <v>2.5511929210000002</v>
      </c>
      <c r="U3809" s="2">
        <v>2.5411929209999999</v>
      </c>
      <c r="V3809" s="2">
        <v>1.550000276</v>
      </c>
      <c r="W3809" s="2">
        <v>1.512954986</v>
      </c>
      <c r="X3809">
        <f t="shared" si="177"/>
        <v>0</v>
      </c>
      <c r="Y3809">
        <f t="shared" si="178"/>
        <v>0</v>
      </c>
      <c r="Z3809">
        <f t="shared" si="179"/>
        <v>1</v>
      </c>
    </row>
    <row r="3810" spans="1:26" ht="15.75" customHeight="1" x14ac:dyDescent="0.2">
      <c r="A3810" s="2" t="s">
        <v>36</v>
      </c>
      <c r="B3810" s="2" t="s">
        <v>35</v>
      </c>
      <c r="C3810" s="2" t="s">
        <v>25</v>
      </c>
      <c r="D3810" s="2" t="s">
        <v>25</v>
      </c>
      <c r="E3810" s="2">
        <v>190</v>
      </c>
      <c r="F3810" s="2">
        <v>244</v>
      </c>
      <c r="G3810" s="2">
        <v>846</v>
      </c>
      <c r="H3810" s="2">
        <v>1806</v>
      </c>
      <c r="I3810" s="2">
        <v>2763</v>
      </c>
      <c r="J3810" s="2">
        <v>2.44</v>
      </c>
      <c r="K3810" s="2">
        <v>7.56</v>
      </c>
      <c r="L3810" s="2">
        <v>12.33</v>
      </c>
      <c r="M3810" s="2">
        <v>15.15</v>
      </c>
      <c r="N3810" s="2">
        <v>0.68349449299999998</v>
      </c>
      <c r="O3810" s="2">
        <v>0.56678016200000003</v>
      </c>
      <c r="P3810" s="2">
        <v>2.7018432090000002</v>
      </c>
      <c r="Q3810" s="2">
        <v>2.810630991</v>
      </c>
      <c r="R3810" s="2">
        <v>2.6053533670000002</v>
      </c>
      <c r="S3810" s="2">
        <v>2.7153533670000001</v>
      </c>
      <c r="T3810" s="2">
        <v>0.71560502800000003</v>
      </c>
      <c r="U3810" s="2">
        <v>0.72560502800000004</v>
      </c>
      <c r="V3810" s="2">
        <v>4.252946412</v>
      </c>
      <c r="W3810" s="2">
        <v>4.215901122</v>
      </c>
      <c r="X3810">
        <f t="shared" si="177"/>
        <v>0</v>
      </c>
      <c r="Y3810">
        <f t="shared" si="178"/>
        <v>0</v>
      </c>
      <c r="Z3810">
        <f t="shared" si="179"/>
        <v>0</v>
      </c>
    </row>
    <row r="3811" spans="1:26" ht="15.75" customHeight="1" x14ac:dyDescent="0.2">
      <c r="A3811" s="2" t="s">
        <v>36</v>
      </c>
      <c r="B3811" s="2" t="s">
        <v>35</v>
      </c>
      <c r="C3811" s="2" t="s">
        <v>27</v>
      </c>
      <c r="D3811" s="2" t="s">
        <v>27</v>
      </c>
      <c r="E3811" s="2">
        <v>91</v>
      </c>
      <c r="F3811" s="2">
        <v>263</v>
      </c>
      <c r="G3811" s="2">
        <v>490</v>
      </c>
      <c r="H3811" s="2">
        <v>2259</v>
      </c>
      <c r="I3811" s="2">
        <v>3011</v>
      </c>
      <c r="J3811" s="2">
        <v>2.65</v>
      </c>
      <c r="K3811" s="2">
        <v>4.83</v>
      </c>
      <c r="L3811" s="2">
        <v>13.82</v>
      </c>
      <c r="M3811" s="2">
        <v>15.71</v>
      </c>
      <c r="N3811" s="2">
        <v>0.15782887700000001</v>
      </c>
      <c r="O3811" s="2">
        <v>0.22777633799999999</v>
      </c>
      <c r="P3811" s="2">
        <v>2.2170154470000001</v>
      </c>
      <c r="Q3811" s="2">
        <v>2.2240323559999999</v>
      </c>
      <c r="R3811" s="2">
        <v>0.115082302</v>
      </c>
      <c r="S3811" s="2">
        <v>5.0823020000000003E-3</v>
      </c>
      <c r="T3811" s="2">
        <v>2.2140265490000002</v>
      </c>
      <c r="U3811" s="2">
        <v>2.224026549</v>
      </c>
      <c r="V3811" s="2">
        <v>1.532510743</v>
      </c>
      <c r="W3811" s="2">
        <v>1.495465453</v>
      </c>
      <c r="X3811">
        <f t="shared" si="177"/>
        <v>0</v>
      </c>
      <c r="Y3811">
        <f t="shared" si="178"/>
        <v>0</v>
      </c>
      <c r="Z3811">
        <f t="shared" si="179"/>
        <v>0</v>
      </c>
    </row>
    <row r="3812" spans="1:26" ht="15.75" customHeight="1" x14ac:dyDescent="0.2">
      <c r="A3812" s="2" t="s">
        <v>36</v>
      </c>
      <c r="B3812" s="2" t="s">
        <v>35</v>
      </c>
      <c r="C3812" s="2" t="s">
        <v>30</v>
      </c>
      <c r="D3812" s="2" t="s">
        <v>31</v>
      </c>
      <c r="E3812" s="2">
        <v>122</v>
      </c>
      <c r="F3812" s="2">
        <v>247</v>
      </c>
      <c r="G3812" s="2">
        <v>675</v>
      </c>
      <c r="H3812" s="2">
        <v>1514</v>
      </c>
      <c r="I3812" s="2">
        <v>2653</v>
      </c>
      <c r="J3812" s="2">
        <v>2.4700000000000002</v>
      </c>
      <c r="K3812" s="2">
        <v>6.34</v>
      </c>
      <c r="L3812" s="2">
        <v>11.15</v>
      </c>
      <c r="M3812" s="2">
        <v>14.89</v>
      </c>
      <c r="N3812" s="2">
        <v>3.1316991590000001</v>
      </c>
      <c r="O3812" s="2">
        <v>3.2117783759999998</v>
      </c>
      <c r="P3812" s="2">
        <v>1.4612734949999999</v>
      </c>
      <c r="Q3812" s="2">
        <v>1.563232551</v>
      </c>
      <c r="R3812" s="2">
        <v>1.387836812</v>
      </c>
      <c r="S3812" s="2">
        <v>1.4978368120000001</v>
      </c>
      <c r="T3812" s="2">
        <v>0.45741579500000001</v>
      </c>
      <c r="U3812" s="2">
        <v>0.44741579500000001</v>
      </c>
      <c r="V3812" s="2">
        <v>3.035429857</v>
      </c>
      <c r="W3812" s="2">
        <v>2.998384567</v>
      </c>
      <c r="X3812">
        <f t="shared" si="177"/>
        <v>0</v>
      </c>
      <c r="Y3812">
        <f t="shared" si="178"/>
        <v>0</v>
      </c>
      <c r="Z3812">
        <f t="shared" si="179"/>
        <v>1</v>
      </c>
    </row>
    <row r="3813" spans="1:26" ht="15.75" customHeight="1" x14ac:dyDescent="0.2">
      <c r="A3813" s="2" t="s">
        <v>36</v>
      </c>
      <c r="B3813" s="2" t="s">
        <v>35</v>
      </c>
      <c r="C3813" s="2" t="s">
        <v>25</v>
      </c>
      <c r="D3813" s="2" t="s">
        <v>25</v>
      </c>
      <c r="E3813" s="2">
        <v>133</v>
      </c>
      <c r="F3813" s="2">
        <v>269</v>
      </c>
      <c r="G3813" s="2">
        <v>813</v>
      </c>
      <c r="H3813" s="2">
        <v>1668</v>
      </c>
      <c r="I3813" s="2">
        <v>2670</v>
      </c>
      <c r="J3813" s="2">
        <v>2.71</v>
      </c>
      <c r="K3813" s="2">
        <v>7.33</v>
      </c>
      <c r="L3813" s="2">
        <v>11.8</v>
      </c>
      <c r="M3813" s="2">
        <v>14.93</v>
      </c>
      <c r="N3813" s="2">
        <v>0.15514982399999999</v>
      </c>
      <c r="O3813" s="2">
        <v>1.489768E-2</v>
      </c>
      <c r="P3813" s="2">
        <v>2.3853671689999998</v>
      </c>
      <c r="Q3813" s="2">
        <v>2.4958131720000001</v>
      </c>
      <c r="R3813" s="2">
        <v>2.3779923059999999</v>
      </c>
      <c r="S3813" s="2">
        <v>2.4879923060000002</v>
      </c>
      <c r="T3813" s="2">
        <v>0.187427653</v>
      </c>
      <c r="U3813" s="2">
        <v>0.19742765300000001</v>
      </c>
      <c r="V3813" s="2">
        <v>4.0255853510000001</v>
      </c>
      <c r="W3813" s="2">
        <v>3.9885400610000001</v>
      </c>
      <c r="X3813">
        <f t="shared" si="177"/>
        <v>0</v>
      </c>
      <c r="Y3813">
        <f t="shared" si="178"/>
        <v>0</v>
      </c>
      <c r="Z3813">
        <f t="shared" si="179"/>
        <v>0</v>
      </c>
    </row>
    <row r="3814" spans="1:26" ht="15.75" customHeight="1" x14ac:dyDescent="0.2">
      <c r="A3814" s="2" t="s">
        <v>36</v>
      </c>
      <c r="B3814" s="2" t="s">
        <v>35</v>
      </c>
      <c r="C3814" s="2" t="s">
        <v>30</v>
      </c>
      <c r="D3814" s="2" t="s">
        <v>31</v>
      </c>
      <c r="E3814" s="2">
        <v>133</v>
      </c>
      <c r="F3814" s="2">
        <v>245</v>
      </c>
      <c r="G3814" s="2">
        <v>677</v>
      </c>
      <c r="H3814" s="2">
        <v>1571</v>
      </c>
      <c r="I3814" s="2">
        <v>2572</v>
      </c>
      <c r="J3814" s="2">
        <v>2.4500000000000002</v>
      </c>
      <c r="K3814" s="2">
        <v>6.35</v>
      </c>
      <c r="L3814" s="2">
        <v>11.4</v>
      </c>
      <c r="M3814" s="2">
        <v>14.69</v>
      </c>
      <c r="N3814" s="2">
        <v>2.9192672220000002</v>
      </c>
      <c r="O3814" s="2">
        <v>3.013741027</v>
      </c>
      <c r="P3814" s="2">
        <v>1.416157136</v>
      </c>
      <c r="Q3814" s="2">
        <v>1.523676697</v>
      </c>
      <c r="R3814" s="2">
        <v>1.400442478</v>
      </c>
      <c r="S3814" s="2">
        <v>1.5104424780000001</v>
      </c>
      <c r="T3814" s="2">
        <v>0.21038512400000001</v>
      </c>
      <c r="U3814" s="2">
        <v>0.200385124</v>
      </c>
      <c r="V3814" s="2">
        <v>3.0480355229999998</v>
      </c>
      <c r="W3814" s="2">
        <v>3.0109902329999998</v>
      </c>
      <c r="X3814">
        <f t="shared" si="177"/>
        <v>0</v>
      </c>
      <c r="Y3814">
        <f t="shared" si="178"/>
        <v>0</v>
      </c>
      <c r="Z3814">
        <f t="shared" si="179"/>
        <v>1</v>
      </c>
    </row>
    <row r="3815" spans="1:26" ht="15.75" customHeight="1" x14ac:dyDescent="0.2">
      <c r="A3815" s="2" t="s">
        <v>36</v>
      </c>
      <c r="B3815" s="2" t="s">
        <v>35</v>
      </c>
      <c r="C3815" s="2" t="s">
        <v>25</v>
      </c>
      <c r="D3815" s="2" t="s">
        <v>25</v>
      </c>
      <c r="E3815" s="2">
        <v>260</v>
      </c>
      <c r="F3815" s="2">
        <v>173</v>
      </c>
      <c r="G3815" s="2">
        <v>659</v>
      </c>
      <c r="H3815" s="2">
        <v>1344</v>
      </c>
      <c r="I3815" s="2">
        <v>2624</v>
      </c>
      <c r="J3815" s="2">
        <v>1.65</v>
      </c>
      <c r="K3815" s="2">
        <v>6.22</v>
      </c>
      <c r="L3815" s="2">
        <v>10.38</v>
      </c>
      <c r="M3815" s="2">
        <v>14.82</v>
      </c>
      <c r="N3815" s="2">
        <v>0.62065827600000001</v>
      </c>
      <c r="O3815" s="2">
        <v>0.76216005799999997</v>
      </c>
      <c r="P3815" s="2">
        <v>1.9582892270000001</v>
      </c>
      <c r="Q3815" s="2">
        <v>2.1474723330000001</v>
      </c>
      <c r="R3815" s="2">
        <v>1.8385594300000001</v>
      </c>
      <c r="S3815" s="2">
        <v>2.0485594300000001</v>
      </c>
      <c r="T3815" s="2">
        <v>0.67423728800000005</v>
      </c>
      <c r="U3815" s="2">
        <v>0.64423728800000002</v>
      </c>
      <c r="V3815" s="2">
        <v>2.7130246090000001</v>
      </c>
      <c r="W3815" s="2">
        <v>2.877708095</v>
      </c>
      <c r="X3815">
        <f t="shared" si="177"/>
        <v>0</v>
      </c>
      <c r="Y3815">
        <f t="shared" si="178"/>
        <v>0</v>
      </c>
      <c r="Z3815">
        <f t="shared" si="179"/>
        <v>0</v>
      </c>
    </row>
    <row r="3816" spans="1:26" ht="15.75" customHeight="1" x14ac:dyDescent="0.2">
      <c r="A3816" s="2" t="s">
        <v>36</v>
      </c>
      <c r="B3816" s="2" t="s">
        <v>35</v>
      </c>
      <c r="C3816" s="2" t="s">
        <v>26</v>
      </c>
      <c r="D3816" s="2" t="s">
        <v>26</v>
      </c>
      <c r="E3816" s="2">
        <v>142</v>
      </c>
      <c r="F3816" s="2">
        <v>167</v>
      </c>
      <c r="G3816" s="2">
        <v>416</v>
      </c>
      <c r="H3816" s="2">
        <v>1166</v>
      </c>
      <c r="I3816" s="2">
        <v>2679</v>
      </c>
      <c r="J3816" s="2">
        <v>1.57</v>
      </c>
      <c r="K3816" s="2">
        <v>4.17</v>
      </c>
      <c r="L3816" s="2">
        <v>9.4700000000000006</v>
      </c>
      <c r="M3816" s="2">
        <v>14.95</v>
      </c>
      <c r="N3816" s="2">
        <v>0.95777126199999996</v>
      </c>
      <c r="O3816" s="2">
        <v>0.990172673</v>
      </c>
      <c r="P3816" s="2">
        <v>1.59413224</v>
      </c>
      <c r="Q3816" s="2">
        <v>1.5498555430000001</v>
      </c>
      <c r="R3816" s="2">
        <v>0.21289100899999999</v>
      </c>
      <c r="S3816" s="2">
        <v>2.8910089999999999E-3</v>
      </c>
      <c r="T3816" s="2">
        <v>1.5798528469999999</v>
      </c>
      <c r="U3816" s="2">
        <v>1.5498528469999999</v>
      </c>
      <c r="V3816" s="2">
        <v>0.66157416999999996</v>
      </c>
      <c r="W3816" s="2">
        <v>0.82625765600000001</v>
      </c>
      <c r="X3816">
        <f t="shared" si="177"/>
        <v>0</v>
      </c>
      <c r="Y3816">
        <f t="shared" si="178"/>
        <v>0</v>
      </c>
      <c r="Z3816">
        <f t="shared" si="179"/>
        <v>0</v>
      </c>
    </row>
    <row r="3817" spans="1:26" ht="15.75" customHeight="1" x14ac:dyDescent="0.2">
      <c r="A3817" s="2" t="s">
        <v>36</v>
      </c>
      <c r="B3817" s="2" t="s">
        <v>35</v>
      </c>
      <c r="C3817" s="2" t="s">
        <v>27</v>
      </c>
      <c r="D3817" s="2" t="s">
        <v>27</v>
      </c>
      <c r="E3817" s="2">
        <v>116</v>
      </c>
      <c r="F3817" s="2">
        <v>160</v>
      </c>
      <c r="G3817" s="2">
        <v>376</v>
      </c>
      <c r="H3817" s="2">
        <v>1842</v>
      </c>
      <c r="I3817" s="2">
        <v>2627</v>
      </c>
      <c r="J3817" s="2">
        <v>1.5</v>
      </c>
      <c r="K3817" s="2">
        <v>3.79</v>
      </c>
      <c r="L3817" s="2">
        <v>12.46</v>
      </c>
      <c r="M3817" s="2">
        <v>14.83</v>
      </c>
      <c r="N3817" s="2">
        <v>0.48600265399999998</v>
      </c>
      <c r="O3817" s="2">
        <v>0.40705770400000002</v>
      </c>
      <c r="P3817" s="2">
        <v>1.5282044400000001</v>
      </c>
      <c r="Q3817" s="2">
        <v>1.4883222300000001</v>
      </c>
      <c r="R3817" s="2">
        <v>0.59469178099999997</v>
      </c>
      <c r="S3817" s="2">
        <v>0.38469178100000001</v>
      </c>
      <c r="T3817" s="2">
        <v>1.407746602</v>
      </c>
      <c r="U3817" s="2">
        <v>1.437746602</v>
      </c>
      <c r="V3817" s="2">
        <v>0.27977339800000001</v>
      </c>
      <c r="W3817" s="2">
        <v>0.444456884</v>
      </c>
      <c r="X3817">
        <f t="shared" si="177"/>
        <v>0</v>
      </c>
      <c r="Y3817">
        <f t="shared" si="178"/>
        <v>0</v>
      </c>
      <c r="Z3817">
        <f t="shared" si="179"/>
        <v>0</v>
      </c>
    </row>
    <row r="3818" spans="1:26" ht="15.75" customHeight="1" x14ac:dyDescent="0.2">
      <c r="A3818" s="2" t="s">
        <v>36</v>
      </c>
      <c r="B3818" s="2" t="s">
        <v>35</v>
      </c>
      <c r="C3818" s="2" t="s">
        <v>28</v>
      </c>
      <c r="D3818" s="2" t="s">
        <v>29</v>
      </c>
      <c r="E3818" s="2">
        <v>128</v>
      </c>
      <c r="F3818" s="2">
        <v>162</v>
      </c>
      <c r="G3818" s="2">
        <v>488</v>
      </c>
      <c r="H3818" s="2">
        <v>953</v>
      </c>
      <c r="I3818" s="2">
        <v>2975</v>
      </c>
      <c r="J3818" s="2">
        <v>1.51</v>
      </c>
      <c r="K3818" s="2">
        <v>4.8099999999999996</v>
      </c>
      <c r="L3818" s="2">
        <v>8.24</v>
      </c>
      <c r="M3818" s="2">
        <v>15.63</v>
      </c>
      <c r="N3818" s="2">
        <v>0.54813876299999997</v>
      </c>
      <c r="O3818" s="2">
        <v>0.69746054199999996</v>
      </c>
      <c r="P3818" s="2">
        <v>2.844440208</v>
      </c>
      <c r="Q3818" s="2">
        <v>2.8547603690000001</v>
      </c>
      <c r="R3818" s="2">
        <v>0.43447712399999999</v>
      </c>
      <c r="S3818" s="2">
        <v>0.64447712400000001</v>
      </c>
      <c r="T3818" s="2">
        <v>2.8110620279999998</v>
      </c>
      <c r="U3818" s="2">
        <v>2.781062028</v>
      </c>
      <c r="V3818" s="2">
        <v>1.308942303</v>
      </c>
      <c r="W3818" s="2">
        <v>1.473625789</v>
      </c>
      <c r="X3818">
        <f t="shared" si="177"/>
        <v>0</v>
      </c>
      <c r="Y3818">
        <f t="shared" si="178"/>
        <v>0</v>
      </c>
      <c r="Z3818">
        <f t="shared" si="179"/>
        <v>1</v>
      </c>
    </row>
    <row r="3819" spans="1:26" ht="15.75" customHeight="1" x14ac:dyDescent="0.2">
      <c r="A3819" s="2" t="s">
        <v>36</v>
      </c>
      <c r="B3819" s="2" t="s">
        <v>35</v>
      </c>
      <c r="C3819" s="2" t="s">
        <v>30</v>
      </c>
      <c r="D3819" s="2" t="s">
        <v>31</v>
      </c>
      <c r="E3819" s="2">
        <v>246</v>
      </c>
      <c r="F3819" s="2">
        <v>163</v>
      </c>
      <c r="G3819" s="2">
        <v>613</v>
      </c>
      <c r="H3819" s="2">
        <v>1342</v>
      </c>
      <c r="I3819" s="2">
        <v>2770</v>
      </c>
      <c r="J3819" s="2">
        <v>1.53</v>
      </c>
      <c r="K3819" s="2">
        <v>5.86</v>
      </c>
      <c r="L3819" s="2">
        <v>10.36</v>
      </c>
      <c r="M3819" s="2">
        <v>15.17</v>
      </c>
      <c r="N3819" s="2">
        <v>2.971879473</v>
      </c>
      <c r="O3819" s="2">
        <v>3.1171109719999999</v>
      </c>
      <c r="P3819" s="2">
        <v>1.6285890220000001</v>
      </c>
      <c r="Q3819" s="2">
        <v>1.81014937</v>
      </c>
      <c r="R3819" s="2">
        <v>1.4773027590000001</v>
      </c>
      <c r="S3819" s="2">
        <v>1.687302759</v>
      </c>
      <c r="T3819" s="2">
        <v>0.68547703199999999</v>
      </c>
      <c r="U3819" s="2">
        <v>0.65547703199999996</v>
      </c>
      <c r="V3819" s="2">
        <v>2.3517679380000001</v>
      </c>
      <c r="W3819" s="2">
        <v>2.516451424</v>
      </c>
      <c r="X3819">
        <f t="shared" si="177"/>
        <v>0</v>
      </c>
      <c r="Y3819">
        <f t="shared" si="178"/>
        <v>0</v>
      </c>
      <c r="Z3819">
        <f t="shared" si="179"/>
        <v>1</v>
      </c>
    </row>
    <row r="3820" spans="1:26" ht="15.75" customHeight="1" x14ac:dyDescent="0.2">
      <c r="A3820" s="2" t="s">
        <v>36</v>
      </c>
      <c r="B3820" s="2" t="s">
        <v>35</v>
      </c>
      <c r="C3820" s="2" t="s">
        <v>26</v>
      </c>
      <c r="D3820" s="2" t="s">
        <v>26</v>
      </c>
      <c r="E3820" s="2">
        <v>232</v>
      </c>
      <c r="F3820" s="2">
        <v>155</v>
      </c>
      <c r="G3820" s="2">
        <v>450</v>
      </c>
      <c r="H3820" s="2">
        <v>908</v>
      </c>
      <c r="I3820" s="2">
        <v>2666</v>
      </c>
      <c r="J3820" s="2">
        <v>1.43</v>
      </c>
      <c r="K3820" s="2">
        <v>4.4800000000000004</v>
      </c>
      <c r="L3820" s="2">
        <v>7.96</v>
      </c>
      <c r="M3820" s="2">
        <v>14.92</v>
      </c>
      <c r="N3820" s="2">
        <v>0.58640832899999995</v>
      </c>
      <c r="O3820" s="2">
        <v>0.61180327000000001</v>
      </c>
      <c r="P3820" s="2">
        <v>3.0936217570000002</v>
      </c>
      <c r="Q3820" s="2">
        <v>3.0775910729999998</v>
      </c>
      <c r="R3820" s="2">
        <v>9.9031945999999996E-2</v>
      </c>
      <c r="S3820" s="2">
        <v>0.309031946</v>
      </c>
      <c r="T3820" s="2">
        <v>3.0920362620000001</v>
      </c>
      <c r="U3820" s="2">
        <v>3.0620362619999999</v>
      </c>
      <c r="V3820" s="2">
        <v>0.97349712499999996</v>
      </c>
      <c r="W3820" s="2">
        <v>1.1381806109999999</v>
      </c>
      <c r="X3820">
        <f t="shared" si="177"/>
        <v>0</v>
      </c>
      <c r="Y3820">
        <f t="shared" si="178"/>
        <v>0</v>
      </c>
      <c r="Z3820">
        <f t="shared" si="179"/>
        <v>0</v>
      </c>
    </row>
    <row r="3821" spans="1:26" ht="15.75" customHeight="1" x14ac:dyDescent="0.2">
      <c r="A3821" s="2" t="s">
        <v>36</v>
      </c>
      <c r="B3821" s="2" t="s">
        <v>35</v>
      </c>
      <c r="C3821" s="2" t="s">
        <v>28</v>
      </c>
      <c r="D3821" s="2" t="s">
        <v>29</v>
      </c>
      <c r="E3821" s="2">
        <v>210</v>
      </c>
      <c r="F3821" s="2">
        <v>161</v>
      </c>
      <c r="G3821" s="2">
        <v>486</v>
      </c>
      <c r="H3821" s="2">
        <v>1158</v>
      </c>
      <c r="I3821" s="2">
        <v>2865</v>
      </c>
      <c r="J3821" s="2">
        <v>1.5</v>
      </c>
      <c r="K3821" s="2">
        <v>4.8</v>
      </c>
      <c r="L3821" s="2">
        <v>9.43</v>
      </c>
      <c r="M3821" s="2">
        <v>15.39</v>
      </c>
      <c r="N3821" s="2">
        <v>1.001887349</v>
      </c>
      <c r="O3821" s="2">
        <v>1.141421869</v>
      </c>
      <c r="P3821" s="2">
        <v>1.6781541280000001</v>
      </c>
      <c r="Q3821" s="2">
        <v>1.714658099</v>
      </c>
      <c r="R3821" s="2">
        <v>0.41985284099999998</v>
      </c>
      <c r="S3821" s="2">
        <v>0.62985284100000005</v>
      </c>
      <c r="T3821" s="2">
        <v>1.624784561</v>
      </c>
      <c r="U3821" s="2">
        <v>1.594784561</v>
      </c>
      <c r="V3821" s="2">
        <v>1.29431802</v>
      </c>
      <c r="W3821" s="2">
        <v>1.4590015059999999</v>
      </c>
      <c r="X3821">
        <f t="shared" si="177"/>
        <v>0</v>
      </c>
      <c r="Y3821">
        <f t="shared" si="178"/>
        <v>0</v>
      </c>
      <c r="Z3821">
        <f t="shared" si="179"/>
        <v>1</v>
      </c>
    </row>
    <row r="3822" spans="1:26" ht="15.75" customHeight="1" x14ac:dyDescent="0.2">
      <c r="A3822" s="2" t="s">
        <v>36</v>
      </c>
      <c r="B3822" s="2" t="s">
        <v>35</v>
      </c>
      <c r="C3822" s="2" t="s">
        <v>32</v>
      </c>
      <c r="D3822" s="2" t="s">
        <v>33</v>
      </c>
      <c r="E3822" s="2">
        <v>290</v>
      </c>
      <c r="F3822" s="2">
        <v>157</v>
      </c>
      <c r="G3822" s="2">
        <v>661</v>
      </c>
      <c r="H3822" s="2">
        <v>926</v>
      </c>
      <c r="I3822" s="2">
        <v>2732</v>
      </c>
      <c r="J3822" s="2">
        <v>1.46</v>
      </c>
      <c r="K3822" s="2">
        <v>6.23</v>
      </c>
      <c r="L3822" s="2">
        <v>8.07</v>
      </c>
      <c r="M3822" s="2">
        <v>15.08</v>
      </c>
      <c r="N3822" s="2">
        <v>2.878234865</v>
      </c>
      <c r="O3822" s="2">
        <v>2.8492834579999999</v>
      </c>
      <c r="P3822" s="2">
        <v>3.503210261</v>
      </c>
      <c r="Q3822" s="2">
        <v>3.593803613</v>
      </c>
      <c r="R3822" s="2">
        <v>1.8487662170000001</v>
      </c>
      <c r="S3822" s="2">
        <v>2.0587662170000001</v>
      </c>
      <c r="T3822" s="2">
        <v>2.975658852</v>
      </c>
      <c r="U3822" s="2">
        <v>2.9456588520000002</v>
      </c>
      <c r="V3822" s="2">
        <v>2.7232313960000001</v>
      </c>
      <c r="W3822" s="2">
        <v>2.887914882</v>
      </c>
      <c r="X3822">
        <f t="shared" si="177"/>
        <v>0</v>
      </c>
      <c r="Y3822">
        <f t="shared" si="178"/>
        <v>0</v>
      </c>
      <c r="Z3822">
        <f t="shared" si="179"/>
        <v>1</v>
      </c>
    </row>
    <row r="3823" spans="1:26" ht="15.75" customHeight="1" x14ac:dyDescent="0.2">
      <c r="A3823" s="2" t="s">
        <v>36</v>
      </c>
      <c r="B3823" s="2" t="s">
        <v>35</v>
      </c>
      <c r="C3823" s="2" t="s">
        <v>32</v>
      </c>
      <c r="D3823" s="2" t="s">
        <v>33</v>
      </c>
      <c r="E3823" s="2">
        <v>236</v>
      </c>
      <c r="F3823" s="2">
        <v>156</v>
      </c>
      <c r="G3823" s="2">
        <v>693</v>
      </c>
      <c r="H3823" s="2">
        <v>967</v>
      </c>
      <c r="I3823" s="2">
        <v>2778</v>
      </c>
      <c r="J3823" s="2">
        <v>1.45</v>
      </c>
      <c r="K3823" s="2">
        <v>6.47</v>
      </c>
      <c r="L3823" s="2">
        <v>8.33</v>
      </c>
      <c r="M3823" s="2">
        <v>15.19</v>
      </c>
      <c r="N3823" s="2">
        <v>2.6626298789999998</v>
      </c>
      <c r="O3823" s="2">
        <v>2.6693698870000002</v>
      </c>
      <c r="P3823" s="2">
        <v>3.4343001200000001</v>
      </c>
      <c r="Q3823" s="2">
        <v>3.5433279670000002</v>
      </c>
      <c r="R3823" s="2">
        <v>2.0931398419999998</v>
      </c>
      <c r="S3823" s="2">
        <v>2.3031398420000002</v>
      </c>
      <c r="T3823" s="2">
        <v>2.7227160920000002</v>
      </c>
      <c r="U3823" s="2">
        <v>2.6927160919999999</v>
      </c>
      <c r="V3823" s="2">
        <v>2.9676050209999998</v>
      </c>
      <c r="W3823" s="2">
        <v>3.1322885060000001</v>
      </c>
      <c r="X3823">
        <f t="shared" si="177"/>
        <v>0</v>
      </c>
      <c r="Y3823">
        <f t="shared" si="178"/>
        <v>0</v>
      </c>
      <c r="Z3823">
        <f t="shared" si="179"/>
        <v>1</v>
      </c>
    </row>
    <row r="3824" spans="1:26" ht="15.75" customHeight="1" x14ac:dyDescent="0.2">
      <c r="A3824" s="2" t="s">
        <v>36</v>
      </c>
      <c r="B3824" s="2" t="s">
        <v>35</v>
      </c>
      <c r="C3824" s="2" t="s">
        <v>25</v>
      </c>
      <c r="D3824" s="2" t="s">
        <v>25</v>
      </c>
      <c r="E3824" s="2">
        <v>228</v>
      </c>
      <c r="F3824" s="2">
        <v>155</v>
      </c>
      <c r="G3824" s="2">
        <v>636</v>
      </c>
      <c r="H3824" s="2">
        <v>1517</v>
      </c>
      <c r="I3824" s="2">
        <v>2326</v>
      </c>
      <c r="J3824" s="2">
        <v>1.43</v>
      </c>
      <c r="K3824" s="2">
        <v>6.04</v>
      </c>
      <c r="L3824" s="2">
        <v>11.17</v>
      </c>
      <c r="M3824" s="2">
        <v>14.02</v>
      </c>
      <c r="N3824" s="2">
        <v>0.24018814999999999</v>
      </c>
      <c r="O3824" s="2">
        <v>0.51084721399999999</v>
      </c>
      <c r="P3824" s="2">
        <v>1.6623719830000001</v>
      </c>
      <c r="Q3824" s="2">
        <v>1.8740245600000001</v>
      </c>
      <c r="R3824" s="2">
        <v>1.6582434509999999</v>
      </c>
      <c r="S3824" s="2">
        <v>1.8682434510000001</v>
      </c>
      <c r="T3824" s="2">
        <v>0.117086569</v>
      </c>
      <c r="U3824" s="2">
        <v>0.147086569</v>
      </c>
      <c r="V3824" s="2">
        <v>2.5327086300000001</v>
      </c>
      <c r="W3824" s="2">
        <v>2.6973921160000001</v>
      </c>
      <c r="X3824">
        <f t="shared" si="177"/>
        <v>0</v>
      </c>
      <c r="Y3824">
        <f t="shared" si="178"/>
        <v>0</v>
      </c>
      <c r="Z3824">
        <f t="shared" si="179"/>
        <v>0</v>
      </c>
    </row>
    <row r="3825" spans="1:26" ht="15.75" customHeight="1" x14ac:dyDescent="0.2">
      <c r="A3825" s="2" t="s">
        <v>36</v>
      </c>
      <c r="B3825" s="2" t="s">
        <v>35</v>
      </c>
      <c r="C3825" s="2" t="s">
        <v>32</v>
      </c>
      <c r="D3825" s="2" t="s">
        <v>33</v>
      </c>
      <c r="E3825" s="2">
        <v>167</v>
      </c>
      <c r="F3825" s="2">
        <v>164</v>
      </c>
      <c r="G3825" s="2">
        <v>628</v>
      </c>
      <c r="H3825" s="2">
        <v>1042</v>
      </c>
      <c r="I3825" s="2">
        <v>2788</v>
      </c>
      <c r="J3825" s="2">
        <v>1.54</v>
      </c>
      <c r="K3825" s="2">
        <v>5.98</v>
      </c>
      <c r="L3825" s="2">
        <v>8.7799999999999994</v>
      </c>
      <c r="M3825" s="2">
        <v>15.21</v>
      </c>
      <c r="N3825" s="2">
        <v>2.1642539479999998</v>
      </c>
      <c r="O3825" s="2">
        <v>2.112668298</v>
      </c>
      <c r="P3825" s="2">
        <v>2.7781546229999998</v>
      </c>
      <c r="Q3825" s="2">
        <v>2.8804294229999998</v>
      </c>
      <c r="R3825" s="2">
        <v>1.5956723340000001</v>
      </c>
      <c r="S3825" s="2">
        <v>1.805672334</v>
      </c>
      <c r="T3825" s="2">
        <v>2.2741972019999999</v>
      </c>
      <c r="U3825" s="2">
        <v>2.2441972020000001</v>
      </c>
      <c r="V3825" s="2">
        <v>2.4701375130000001</v>
      </c>
      <c r="W3825" s="2">
        <v>2.634820999</v>
      </c>
      <c r="X3825">
        <f t="shared" si="177"/>
        <v>0</v>
      </c>
      <c r="Y3825">
        <f t="shared" si="178"/>
        <v>0</v>
      </c>
      <c r="Z3825">
        <f t="shared" si="179"/>
        <v>1</v>
      </c>
    </row>
    <row r="3826" spans="1:26" ht="15.75" customHeight="1" x14ac:dyDescent="0.2">
      <c r="A3826" s="2" t="s">
        <v>36</v>
      </c>
      <c r="B3826" s="2" t="s">
        <v>35</v>
      </c>
      <c r="C3826" s="2" t="s">
        <v>32</v>
      </c>
      <c r="D3826" s="2" t="s">
        <v>33</v>
      </c>
      <c r="E3826" s="2">
        <v>249</v>
      </c>
      <c r="F3826" s="2">
        <v>173</v>
      </c>
      <c r="G3826" s="2">
        <v>614</v>
      </c>
      <c r="H3826" s="2">
        <v>1004</v>
      </c>
      <c r="I3826" s="2">
        <v>2807</v>
      </c>
      <c r="J3826" s="2">
        <v>1.64</v>
      </c>
      <c r="K3826" s="2">
        <v>5.87</v>
      </c>
      <c r="L3826" s="2">
        <v>8.5500000000000007</v>
      </c>
      <c r="M3826" s="2">
        <v>15.26</v>
      </c>
      <c r="N3826" s="2">
        <v>2.3924814369999998</v>
      </c>
      <c r="O3826" s="2">
        <v>2.322547567</v>
      </c>
      <c r="P3826" s="2">
        <v>2.9084272680000001</v>
      </c>
      <c r="Q3826" s="2">
        <v>2.9962831090000002</v>
      </c>
      <c r="R3826" s="2">
        <v>1.485236985</v>
      </c>
      <c r="S3826" s="2">
        <v>1.695236985</v>
      </c>
      <c r="T3826" s="2">
        <v>2.5006039819999999</v>
      </c>
      <c r="U3826" s="2">
        <v>2.4706039820000001</v>
      </c>
      <c r="V3826" s="2">
        <v>2.3597021640000002</v>
      </c>
      <c r="W3826" s="2">
        <v>2.5243856500000001</v>
      </c>
      <c r="X3826">
        <f t="shared" si="177"/>
        <v>0</v>
      </c>
      <c r="Y3826">
        <f t="shared" si="178"/>
        <v>0</v>
      </c>
      <c r="Z3826">
        <f t="shared" si="179"/>
        <v>1</v>
      </c>
    </row>
    <row r="3827" spans="1:26" ht="15.75" customHeight="1" x14ac:dyDescent="0.2">
      <c r="A3827" s="2" t="s">
        <v>36</v>
      </c>
      <c r="B3827" s="2" t="s">
        <v>35</v>
      </c>
      <c r="C3827" s="2" t="s">
        <v>25</v>
      </c>
      <c r="D3827" s="2" t="s">
        <v>25</v>
      </c>
      <c r="E3827" s="2">
        <v>170</v>
      </c>
      <c r="F3827" s="2">
        <v>166</v>
      </c>
      <c r="G3827" s="2">
        <v>646</v>
      </c>
      <c r="H3827" s="2">
        <v>1495</v>
      </c>
      <c r="I3827" s="2">
        <v>2637</v>
      </c>
      <c r="J3827" s="2">
        <v>1.56</v>
      </c>
      <c r="K3827" s="2">
        <v>6.12</v>
      </c>
      <c r="L3827" s="2">
        <v>11.07</v>
      </c>
      <c r="M3827" s="2">
        <v>14.85</v>
      </c>
      <c r="N3827" s="2">
        <v>0.20449696000000001</v>
      </c>
      <c r="O3827" s="2">
        <v>0.53027886099999999</v>
      </c>
      <c r="P3827" s="2">
        <v>1.7360606139999999</v>
      </c>
      <c r="Q3827" s="2">
        <v>1.946620381</v>
      </c>
      <c r="R3827" s="2">
        <v>1.735917114</v>
      </c>
      <c r="S3827" s="2">
        <v>1.945917114</v>
      </c>
      <c r="T3827" s="2">
        <v>2.2321049999999999E-2</v>
      </c>
      <c r="U3827" s="2">
        <v>5.2321050000000001E-2</v>
      </c>
      <c r="V3827" s="2">
        <v>2.6103822929999998</v>
      </c>
      <c r="W3827" s="2">
        <v>2.7750657790000002</v>
      </c>
      <c r="X3827">
        <f t="shared" si="177"/>
        <v>0</v>
      </c>
      <c r="Y3827">
        <f t="shared" si="178"/>
        <v>0</v>
      </c>
      <c r="Z3827">
        <f t="shared" si="179"/>
        <v>0</v>
      </c>
    </row>
    <row r="3828" spans="1:26" ht="15.75" customHeight="1" x14ac:dyDescent="0.2">
      <c r="A3828" s="2" t="s">
        <v>36</v>
      </c>
      <c r="B3828" s="2" t="s">
        <v>35</v>
      </c>
      <c r="C3828" s="2" t="s">
        <v>25</v>
      </c>
      <c r="D3828" s="2" t="s">
        <v>25</v>
      </c>
      <c r="E3828" s="2">
        <v>241</v>
      </c>
      <c r="F3828" s="2">
        <v>165</v>
      </c>
      <c r="G3828" s="2">
        <v>631</v>
      </c>
      <c r="H3828" s="2">
        <v>1458</v>
      </c>
      <c r="I3828" s="2">
        <v>2618</v>
      </c>
      <c r="J3828" s="2">
        <v>1.56</v>
      </c>
      <c r="K3828" s="2">
        <v>6</v>
      </c>
      <c r="L3828" s="2">
        <v>10.91</v>
      </c>
      <c r="M3828" s="2">
        <v>14.8</v>
      </c>
      <c r="N3828" s="2">
        <v>5.2809877999999998E-2</v>
      </c>
      <c r="O3828" s="2">
        <v>0.37483969700000003</v>
      </c>
      <c r="P3828" s="2">
        <v>1.628020332</v>
      </c>
      <c r="Q3828" s="2">
        <v>1.8352288809999999</v>
      </c>
      <c r="R3828" s="2">
        <v>1.621790584</v>
      </c>
      <c r="S3828" s="2">
        <v>1.8317905839999999</v>
      </c>
      <c r="T3828" s="2">
        <v>0.14228668899999999</v>
      </c>
      <c r="U3828" s="2">
        <v>0.112286689</v>
      </c>
      <c r="V3828" s="2">
        <v>2.4962557630000002</v>
      </c>
      <c r="W3828" s="2">
        <v>2.6609392490000001</v>
      </c>
      <c r="X3828">
        <f t="shared" si="177"/>
        <v>0</v>
      </c>
      <c r="Y3828">
        <f t="shared" si="178"/>
        <v>0</v>
      </c>
      <c r="Z3828">
        <f t="shared" si="179"/>
        <v>0</v>
      </c>
    </row>
    <row r="3829" spans="1:26" ht="15.75" customHeight="1" x14ac:dyDescent="0.2">
      <c r="A3829" s="2" t="s">
        <v>36</v>
      </c>
      <c r="B3829" s="2" t="s">
        <v>35</v>
      </c>
      <c r="C3829" s="2" t="s">
        <v>27</v>
      </c>
      <c r="D3829" s="2" t="s">
        <v>27</v>
      </c>
      <c r="E3829" s="2">
        <v>202</v>
      </c>
      <c r="F3829" s="2">
        <v>165</v>
      </c>
      <c r="G3829" s="2">
        <v>381</v>
      </c>
      <c r="H3829" s="2">
        <v>1946</v>
      </c>
      <c r="I3829" s="2">
        <v>2619</v>
      </c>
      <c r="J3829" s="2">
        <v>1.56</v>
      </c>
      <c r="K3829" s="2">
        <v>3.83</v>
      </c>
      <c r="L3829" s="2">
        <v>12.83</v>
      </c>
      <c r="M3829" s="2">
        <v>14.8</v>
      </c>
      <c r="N3829" s="2">
        <v>0.30873003300000001</v>
      </c>
      <c r="O3829" s="2">
        <v>0.11672213200000001</v>
      </c>
      <c r="P3829" s="2">
        <v>1.858038455</v>
      </c>
      <c r="Q3829" s="2">
        <v>1.83691687</v>
      </c>
      <c r="R3829" s="2">
        <v>0.54664673200000002</v>
      </c>
      <c r="S3829" s="2">
        <v>0.336646732</v>
      </c>
      <c r="T3829" s="2">
        <v>1.77580524</v>
      </c>
      <c r="U3829" s="2">
        <v>1.80580524</v>
      </c>
      <c r="V3829" s="2">
        <v>0.32781844700000001</v>
      </c>
      <c r="W3829" s="2">
        <v>0.492501933</v>
      </c>
      <c r="X3829">
        <f t="shared" si="177"/>
        <v>0</v>
      </c>
      <c r="Y3829">
        <f t="shared" si="178"/>
        <v>0</v>
      </c>
      <c r="Z3829">
        <f t="shared" si="179"/>
        <v>0</v>
      </c>
    </row>
    <row r="3830" spans="1:26" ht="15.75" customHeight="1" x14ac:dyDescent="0.2">
      <c r="A3830" s="2" t="s">
        <v>36</v>
      </c>
      <c r="B3830" s="2" t="s">
        <v>35</v>
      </c>
      <c r="C3830" s="2" t="s">
        <v>30</v>
      </c>
      <c r="D3830" s="2" t="s">
        <v>31</v>
      </c>
      <c r="E3830" s="2">
        <v>246</v>
      </c>
      <c r="F3830" s="2">
        <v>169</v>
      </c>
      <c r="G3830" s="2">
        <v>646</v>
      </c>
      <c r="H3830" s="2">
        <v>1261</v>
      </c>
      <c r="I3830" s="2">
        <v>2903</v>
      </c>
      <c r="J3830" s="2">
        <v>1.6</v>
      </c>
      <c r="K3830" s="2">
        <v>6.12</v>
      </c>
      <c r="L3830" s="2">
        <v>9.9600000000000009</v>
      </c>
      <c r="M3830" s="2">
        <v>15.47</v>
      </c>
      <c r="N3830" s="2">
        <v>3.4480610860000001</v>
      </c>
      <c r="O3830" s="2">
        <v>3.59217677</v>
      </c>
      <c r="P3830" s="2">
        <v>2.0475025210000002</v>
      </c>
      <c r="Q3830" s="2">
        <v>2.213866892</v>
      </c>
      <c r="R3830" s="2">
        <v>1.735917114</v>
      </c>
      <c r="S3830" s="2">
        <v>1.945917114</v>
      </c>
      <c r="T3830" s="2">
        <v>1.085752432</v>
      </c>
      <c r="U3830" s="2">
        <v>1.055752432</v>
      </c>
      <c r="V3830" s="2">
        <v>2.6103822929999998</v>
      </c>
      <c r="W3830" s="2">
        <v>2.7750657790000002</v>
      </c>
      <c r="X3830">
        <f t="shared" si="177"/>
        <v>0</v>
      </c>
      <c r="Y3830">
        <f t="shared" si="178"/>
        <v>0</v>
      </c>
      <c r="Z3830">
        <f t="shared" si="179"/>
        <v>1</v>
      </c>
    </row>
    <row r="3831" spans="1:26" ht="15.75" customHeight="1" x14ac:dyDescent="0.2">
      <c r="A3831" s="2" t="s">
        <v>36</v>
      </c>
      <c r="B3831" s="2" t="s">
        <v>35</v>
      </c>
      <c r="C3831" s="2" t="s">
        <v>28</v>
      </c>
      <c r="D3831" s="2" t="s">
        <v>29</v>
      </c>
      <c r="E3831" s="2">
        <v>138</v>
      </c>
      <c r="F3831" s="2">
        <v>165</v>
      </c>
      <c r="G3831" s="2">
        <v>541</v>
      </c>
      <c r="H3831" s="2">
        <v>1147</v>
      </c>
      <c r="I3831" s="2">
        <v>3034</v>
      </c>
      <c r="J3831" s="2">
        <v>1.56</v>
      </c>
      <c r="K3831" s="2">
        <v>5.27</v>
      </c>
      <c r="L3831" s="2">
        <v>9.3699999999999992</v>
      </c>
      <c r="M3831" s="2">
        <v>15.76</v>
      </c>
      <c r="N3831" s="2">
        <v>1.2414691849999999</v>
      </c>
      <c r="O3831" s="2">
        <v>1.4184057999999999</v>
      </c>
      <c r="P3831" s="2">
        <v>1.901920651</v>
      </c>
      <c r="Q3831" s="2">
        <v>1.9833557260000001</v>
      </c>
      <c r="R3831" s="2">
        <v>0.88656358300000004</v>
      </c>
      <c r="S3831" s="2">
        <v>1.096563583</v>
      </c>
      <c r="T3831" s="2">
        <v>1.682648857</v>
      </c>
      <c r="U3831" s="2">
        <v>1.652648857</v>
      </c>
      <c r="V3831" s="2">
        <v>1.761028762</v>
      </c>
      <c r="W3831" s="2">
        <v>1.925712248</v>
      </c>
      <c r="X3831">
        <f t="shared" si="177"/>
        <v>0</v>
      </c>
      <c r="Y3831">
        <f t="shared" si="178"/>
        <v>0</v>
      </c>
      <c r="Z3831">
        <f t="shared" si="179"/>
        <v>1</v>
      </c>
    </row>
    <row r="3832" spans="1:26" ht="15.75" customHeight="1" x14ac:dyDescent="0.2">
      <c r="A3832" s="2" t="s">
        <v>36</v>
      </c>
      <c r="B3832" s="2" t="s">
        <v>35</v>
      </c>
      <c r="C3832" s="2" t="s">
        <v>28</v>
      </c>
      <c r="D3832" s="2" t="s">
        <v>29</v>
      </c>
      <c r="E3832" s="2">
        <v>215</v>
      </c>
      <c r="F3832" s="2">
        <v>179</v>
      </c>
      <c r="G3832" s="2">
        <v>529</v>
      </c>
      <c r="H3832" s="2">
        <v>784</v>
      </c>
      <c r="I3832" s="2">
        <v>2765</v>
      </c>
      <c r="J3832" s="2">
        <v>1.71</v>
      </c>
      <c r="K3832" s="2">
        <v>5.17</v>
      </c>
      <c r="L3832" s="2">
        <v>7.13</v>
      </c>
      <c r="M3832" s="2">
        <v>15.16</v>
      </c>
      <c r="N3832" s="2">
        <v>1.622919515</v>
      </c>
      <c r="O3832" s="2">
        <v>1.6865371790000001</v>
      </c>
      <c r="P3832" s="2">
        <v>3.9989891329999998</v>
      </c>
      <c r="Q3832" s="2">
        <v>4.0167013540000003</v>
      </c>
      <c r="R3832" s="2">
        <v>0.79089448299999998</v>
      </c>
      <c r="S3832" s="2">
        <v>1.0008944829999999</v>
      </c>
      <c r="T3832" s="2">
        <v>3.92</v>
      </c>
      <c r="U3832" s="2">
        <v>3.89</v>
      </c>
      <c r="V3832" s="2">
        <v>1.665359662</v>
      </c>
      <c r="W3832" s="2">
        <v>1.8300431479999999</v>
      </c>
      <c r="X3832">
        <f t="shared" si="177"/>
        <v>0</v>
      </c>
      <c r="Y3832">
        <f t="shared" si="178"/>
        <v>0</v>
      </c>
      <c r="Z3832">
        <f t="shared" si="179"/>
        <v>1</v>
      </c>
    </row>
    <row r="3833" spans="1:26" ht="15.75" customHeight="1" x14ac:dyDescent="0.2">
      <c r="A3833" s="2" t="s">
        <v>36</v>
      </c>
      <c r="B3833" s="2" t="s">
        <v>35</v>
      </c>
      <c r="C3833" s="2" t="s">
        <v>32</v>
      </c>
      <c r="D3833" s="2" t="s">
        <v>33</v>
      </c>
      <c r="E3833" s="2">
        <v>257</v>
      </c>
      <c r="F3833" s="2">
        <v>164</v>
      </c>
      <c r="G3833" s="2">
        <v>739</v>
      </c>
      <c r="H3833" s="2">
        <v>1036</v>
      </c>
      <c r="I3833" s="2">
        <v>2835</v>
      </c>
      <c r="J3833" s="2">
        <v>1.54</v>
      </c>
      <c r="K3833" s="2">
        <v>6.81</v>
      </c>
      <c r="L3833" s="2">
        <v>8.74</v>
      </c>
      <c r="M3833" s="2">
        <v>15.32</v>
      </c>
      <c r="N3833" s="2">
        <v>2.3589241959999998</v>
      </c>
      <c r="O3833" s="2">
        <v>2.4271385859999999</v>
      </c>
      <c r="P3833" s="2">
        <v>3.3545067930000001</v>
      </c>
      <c r="Q3833" s="2">
        <v>3.490139079</v>
      </c>
      <c r="R3833" s="2">
        <v>2.433119289</v>
      </c>
      <c r="S3833" s="2">
        <v>2.6431192889999999</v>
      </c>
      <c r="T3833" s="2">
        <v>2.3092523360000001</v>
      </c>
      <c r="U3833" s="2">
        <v>2.2792523359999999</v>
      </c>
      <c r="V3833" s="2">
        <v>3.3075844679999999</v>
      </c>
      <c r="W3833" s="2">
        <v>3.4722679529999998</v>
      </c>
      <c r="X3833">
        <f t="shared" si="177"/>
        <v>0</v>
      </c>
      <c r="Y3833">
        <f t="shared" si="178"/>
        <v>0</v>
      </c>
      <c r="Z3833">
        <f t="shared" si="179"/>
        <v>1</v>
      </c>
    </row>
    <row r="3834" spans="1:26" ht="15.75" customHeight="1" x14ac:dyDescent="0.2">
      <c r="A3834" s="2" t="s">
        <v>36</v>
      </c>
      <c r="B3834" s="2" t="s">
        <v>35</v>
      </c>
      <c r="C3834" s="2" t="s">
        <v>26</v>
      </c>
      <c r="D3834" s="2" t="s">
        <v>26</v>
      </c>
      <c r="E3834" s="2">
        <v>225</v>
      </c>
      <c r="F3834" s="2">
        <v>166</v>
      </c>
      <c r="G3834" s="2">
        <v>443</v>
      </c>
      <c r="H3834" s="2">
        <v>1040</v>
      </c>
      <c r="I3834" s="2">
        <v>2661</v>
      </c>
      <c r="J3834" s="2">
        <v>1.56</v>
      </c>
      <c r="K3834" s="2">
        <v>4.41</v>
      </c>
      <c r="L3834" s="2">
        <v>8.76</v>
      </c>
      <c r="M3834" s="2">
        <v>14.91</v>
      </c>
      <c r="N3834" s="2">
        <v>0.24233199899999999</v>
      </c>
      <c r="O3834" s="2">
        <v>0.38011646399999999</v>
      </c>
      <c r="P3834" s="2">
        <v>2.2860977089999999</v>
      </c>
      <c r="Q3834" s="2">
        <v>2.2688634099999998</v>
      </c>
      <c r="R3834" s="2">
        <v>3.2501040000000002E-2</v>
      </c>
      <c r="S3834" s="2">
        <v>0.24250104</v>
      </c>
      <c r="T3834" s="2">
        <v>2.2858666670000001</v>
      </c>
      <c r="U3834" s="2">
        <v>2.2558666669999998</v>
      </c>
      <c r="V3834" s="2">
        <v>0.90696621899999996</v>
      </c>
      <c r="W3834" s="2">
        <v>1.071649705</v>
      </c>
      <c r="X3834">
        <f t="shared" si="177"/>
        <v>0</v>
      </c>
      <c r="Y3834">
        <f t="shared" si="178"/>
        <v>0</v>
      </c>
      <c r="Z3834">
        <f t="shared" si="179"/>
        <v>0</v>
      </c>
    </row>
    <row r="3835" spans="1:26" ht="15.75" customHeight="1" x14ac:dyDescent="0.2">
      <c r="A3835" s="2" t="s">
        <v>36</v>
      </c>
      <c r="B3835" s="2" t="s">
        <v>35</v>
      </c>
      <c r="C3835" s="2" t="s">
        <v>25</v>
      </c>
      <c r="D3835" s="2" t="s">
        <v>25</v>
      </c>
      <c r="E3835" s="2">
        <v>184</v>
      </c>
      <c r="F3835" s="2">
        <v>160</v>
      </c>
      <c r="G3835" s="2">
        <v>624</v>
      </c>
      <c r="H3835" s="2">
        <v>1401</v>
      </c>
      <c r="I3835" s="2">
        <v>2599</v>
      </c>
      <c r="J3835" s="2">
        <v>1.5</v>
      </c>
      <c r="K3835" s="2">
        <v>5.95</v>
      </c>
      <c r="L3835" s="2">
        <v>10.64</v>
      </c>
      <c r="M3835" s="2">
        <v>14.75</v>
      </c>
      <c r="N3835" s="2">
        <v>0.29635552399999998</v>
      </c>
      <c r="O3835" s="2">
        <v>0.38351902599999999</v>
      </c>
      <c r="P3835" s="2">
        <v>1.618626691</v>
      </c>
      <c r="Q3835" s="2">
        <v>1.8162245379999999</v>
      </c>
      <c r="R3835" s="2">
        <v>1.56686444</v>
      </c>
      <c r="S3835" s="2">
        <v>1.77686444</v>
      </c>
      <c r="T3835" s="2">
        <v>0.40606427299999998</v>
      </c>
      <c r="U3835" s="2">
        <v>0.376064273</v>
      </c>
      <c r="V3835" s="2">
        <v>2.4413296180000001</v>
      </c>
      <c r="W3835" s="2">
        <v>2.6060131040000001</v>
      </c>
      <c r="X3835">
        <f t="shared" si="177"/>
        <v>0</v>
      </c>
      <c r="Y3835">
        <f t="shared" si="178"/>
        <v>0</v>
      </c>
      <c r="Z3835">
        <f t="shared" si="179"/>
        <v>0</v>
      </c>
    </row>
    <row r="3836" spans="1:26" ht="15.75" customHeight="1" x14ac:dyDescent="0.2">
      <c r="A3836" s="2" t="s">
        <v>36</v>
      </c>
      <c r="B3836" s="2" t="s">
        <v>35</v>
      </c>
      <c r="C3836" s="2" t="s">
        <v>30</v>
      </c>
      <c r="D3836" s="2" t="s">
        <v>31</v>
      </c>
      <c r="E3836" s="2">
        <v>254</v>
      </c>
      <c r="F3836" s="2">
        <v>163</v>
      </c>
      <c r="G3836" s="2">
        <v>632</v>
      </c>
      <c r="H3836" s="2">
        <v>1238</v>
      </c>
      <c r="I3836" s="2">
        <v>2722</v>
      </c>
      <c r="J3836" s="2">
        <v>1.52</v>
      </c>
      <c r="K3836" s="2">
        <v>6.01</v>
      </c>
      <c r="L3836" s="2">
        <v>9.85</v>
      </c>
      <c r="M3836" s="2">
        <v>15.06</v>
      </c>
      <c r="N3836" s="2">
        <v>3.482447853</v>
      </c>
      <c r="O3836" s="2">
        <v>3.6207430129999998</v>
      </c>
      <c r="P3836" s="2">
        <v>2.0214812119999999</v>
      </c>
      <c r="Q3836" s="2">
        <v>2.1777851030000002</v>
      </c>
      <c r="R3836" s="2">
        <v>1.6270061730000001</v>
      </c>
      <c r="S3836" s="2">
        <v>1.837006173</v>
      </c>
      <c r="T3836" s="2">
        <v>1.1996821259999999</v>
      </c>
      <c r="U3836" s="2">
        <v>1.1696821260000001</v>
      </c>
      <c r="V3836" s="2">
        <v>2.5014713519999998</v>
      </c>
      <c r="W3836" s="2">
        <v>2.6661548380000002</v>
      </c>
      <c r="X3836">
        <f t="shared" si="177"/>
        <v>0</v>
      </c>
      <c r="Y3836">
        <f t="shared" si="178"/>
        <v>0</v>
      </c>
      <c r="Z3836">
        <f t="shared" si="179"/>
        <v>1</v>
      </c>
    </row>
    <row r="3837" spans="1:26" ht="15.75" customHeight="1" x14ac:dyDescent="0.2">
      <c r="A3837" s="2" t="s">
        <v>36</v>
      </c>
      <c r="B3837" s="2" t="s">
        <v>35</v>
      </c>
      <c r="C3837" s="2" t="s">
        <v>27</v>
      </c>
      <c r="D3837" s="2" t="s">
        <v>27</v>
      </c>
      <c r="E3837" s="2">
        <v>219</v>
      </c>
      <c r="F3837" s="2">
        <v>166</v>
      </c>
      <c r="G3837" s="2">
        <v>411</v>
      </c>
      <c r="H3837" s="2">
        <v>1976</v>
      </c>
      <c r="I3837" s="2">
        <v>2690</v>
      </c>
      <c r="J3837" s="2">
        <v>1.57</v>
      </c>
      <c r="K3837" s="2">
        <v>4.12</v>
      </c>
      <c r="L3837" s="2">
        <v>12.93</v>
      </c>
      <c r="M3837" s="2">
        <v>14.98</v>
      </c>
      <c r="N3837" s="2">
        <v>0.140850536</v>
      </c>
      <c r="O3837" s="2">
        <v>0.197391171</v>
      </c>
      <c r="P3837" s="2">
        <v>1.8973240300000001</v>
      </c>
      <c r="Q3837" s="2">
        <v>1.9101337860000001</v>
      </c>
      <c r="R3837" s="2">
        <v>0.25951644600000001</v>
      </c>
      <c r="S3837" s="2">
        <v>4.9516445999999999E-2</v>
      </c>
      <c r="T3837" s="2">
        <v>1.8794918700000001</v>
      </c>
      <c r="U3837" s="2">
        <v>1.9094918700000001</v>
      </c>
      <c r="V3837" s="2">
        <v>0.614948732</v>
      </c>
      <c r="W3837" s="2">
        <v>0.77963221800000004</v>
      </c>
      <c r="X3837">
        <f t="shared" si="177"/>
        <v>0</v>
      </c>
      <c r="Y3837">
        <f t="shared" si="178"/>
        <v>0</v>
      </c>
      <c r="Z3837">
        <f t="shared" si="179"/>
        <v>0</v>
      </c>
    </row>
    <row r="3838" spans="1:26" ht="15.75" customHeight="1" x14ac:dyDescent="0.2">
      <c r="A3838" s="2" t="s">
        <v>36</v>
      </c>
      <c r="B3838" s="2" t="s">
        <v>35</v>
      </c>
      <c r="C3838" s="2" t="s">
        <v>30</v>
      </c>
      <c r="D3838" s="2" t="s">
        <v>31</v>
      </c>
      <c r="E3838" s="2">
        <v>233</v>
      </c>
      <c r="F3838" s="2">
        <v>160</v>
      </c>
      <c r="G3838" s="2">
        <v>640</v>
      </c>
      <c r="H3838" s="2">
        <v>1215</v>
      </c>
      <c r="I3838" s="2">
        <v>2757</v>
      </c>
      <c r="J3838" s="2">
        <v>1.49</v>
      </c>
      <c r="K3838" s="2">
        <v>6.07</v>
      </c>
      <c r="L3838" s="2">
        <v>9.73</v>
      </c>
      <c r="M3838" s="2">
        <v>15.14</v>
      </c>
      <c r="N3838" s="2">
        <v>3.61792398</v>
      </c>
      <c r="O3838" s="2">
        <v>3.755559662</v>
      </c>
      <c r="P3838" s="2">
        <v>2.1432186340000001</v>
      </c>
      <c r="Q3838" s="2">
        <v>2.2951055459999998</v>
      </c>
      <c r="R3838" s="2">
        <v>1.6867931789999999</v>
      </c>
      <c r="S3838" s="2">
        <v>1.8967931790000001</v>
      </c>
      <c r="T3838" s="2">
        <v>1.322162957</v>
      </c>
      <c r="U3838" s="2">
        <v>1.2921629569999999</v>
      </c>
      <c r="V3838" s="2">
        <v>2.5612583579999999</v>
      </c>
      <c r="W3838" s="2">
        <v>2.7259418430000002</v>
      </c>
      <c r="X3838">
        <f t="shared" si="177"/>
        <v>0</v>
      </c>
      <c r="Y3838">
        <f t="shared" si="178"/>
        <v>0</v>
      </c>
      <c r="Z3838">
        <f t="shared" si="179"/>
        <v>1</v>
      </c>
    </row>
    <row r="3839" spans="1:26" ht="15.75" customHeight="1" x14ac:dyDescent="0.2">
      <c r="A3839" s="2" t="s">
        <v>36</v>
      </c>
      <c r="B3839" s="2" t="s">
        <v>35</v>
      </c>
      <c r="C3839" s="2" t="s">
        <v>27</v>
      </c>
      <c r="D3839" s="2" t="s">
        <v>27</v>
      </c>
      <c r="E3839" s="2">
        <v>207</v>
      </c>
      <c r="F3839" s="2">
        <v>164</v>
      </c>
      <c r="G3839" s="2">
        <v>424</v>
      </c>
      <c r="H3839" s="2">
        <v>1941</v>
      </c>
      <c r="I3839" s="2">
        <v>2663</v>
      </c>
      <c r="J3839" s="2">
        <v>1.54</v>
      </c>
      <c r="K3839" s="2">
        <v>4.24</v>
      </c>
      <c r="L3839" s="2">
        <v>12.81</v>
      </c>
      <c r="M3839" s="2">
        <v>14.91</v>
      </c>
      <c r="N3839" s="2">
        <v>0.100412399</v>
      </c>
      <c r="O3839" s="2">
        <v>0.28885621299999997</v>
      </c>
      <c r="P3839" s="2">
        <v>1.766559784</v>
      </c>
      <c r="Q3839" s="2">
        <v>1.7921601949999999</v>
      </c>
      <c r="R3839" s="2">
        <v>0.14177852299999999</v>
      </c>
      <c r="S3839" s="2">
        <v>6.8221477000000003E-2</v>
      </c>
      <c r="T3839" s="2">
        <v>1.760861244</v>
      </c>
      <c r="U3839" s="2">
        <v>1.790861244</v>
      </c>
      <c r="V3839" s="2">
        <v>0.73268665499999996</v>
      </c>
      <c r="W3839" s="2">
        <v>0.89737014100000001</v>
      </c>
      <c r="X3839">
        <f t="shared" si="177"/>
        <v>0</v>
      </c>
      <c r="Y3839">
        <f t="shared" si="178"/>
        <v>0</v>
      </c>
      <c r="Z3839">
        <f t="shared" si="179"/>
        <v>0</v>
      </c>
    </row>
    <row r="3840" spans="1:26" ht="15.75" customHeight="1" x14ac:dyDescent="0.2">
      <c r="A3840" s="2" t="s">
        <v>36</v>
      </c>
      <c r="B3840" s="2" t="s">
        <v>35</v>
      </c>
      <c r="C3840" s="2" t="s">
        <v>26</v>
      </c>
      <c r="D3840" s="2" t="s">
        <v>26</v>
      </c>
      <c r="E3840" s="2">
        <v>188</v>
      </c>
      <c r="F3840" s="2">
        <v>165</v>
      </c>
      <c r="G3840" s="2">
        <v>457</v>
      </c>
      <c r="H3840" s="2">
        <v>1016</v>
      </c>
      <c r="I3840" s="2">
        <v>2675</v>
      </c>
      <c r="J3840" s="2">
        <v>1.55</v>
      </c>
      <c r="K3840" s="2">
        <v>4.54</v>
      </c>
      <c r="L3840" s="2">
        <v>8.6199999999999992</v>
      </c>
      <c r="M3840" s="2">
        <v>14.94</v>
      </c>
      <c r="N3840" s="2">
        <v>0.20804714599999999</v>
      </c>
      <c r="O3840" s="2">
        <v>0.402385569</v>
      </c>
      <c r="P3840" s="2">
        <v>2.432142453</v>
      </c>
      <c r="Q3840" s="2">
        <v>2.42492866</v>
      </c>
      <c r="R3840" s="2">
        <v>0.156165517</v>
      </c>
      <c r="S3840" s="2">
        <v>0.366165517</v>
      </c>
      <c r="T3840" s="2">
        <v>2.427123656</v>
      </c>
      <c r="U3840" s="2">
        <v>2.3971236560000002</v>
      </c>
      <c r="V3840" s="2">
        <v>1.030630696</v>
      </c>
      <c r="W3840" s="2">
        <v>1.1953141819999999</v>
      </c>
      <c r="X3840">
        <f t="shared" si="177"/>
        <v>0</v>
      </c>
      <c r="Y3840">
        <f t="shared" si="178"/>
        <v>0</v>
      </c>
      <c r="Z3840">
        <f t="shared" si="179"/>
        <v>0</v>
      </c>
    </row>
    <row r="3841" spans="1:26" ht="15.75" customHeight="1" x14ac:dyDescent="0.2">
      <c r="A3841" s="2" t="s">
        <v>36</v>
      </c>
      <c r="B3841" s="2" t="s">
        <v>35</v>
      </c>
      <c r="C3841" s="2" t="s">
        <v>27</v>
      </c>
      <c r="D3841" s="2" t="s">
        <v>27</v>
      </c>
      <c r="E3841" s="2">
        <v>123</v>
      </c>
      <c r="F3841" s="2">
        <v>164</v>
      </c>
      <c r="G3841" s="2">
        <v>423</v>
      </c>
      <c r="H3841" s="2">
        <v>1887</v>
      </c>
      <c r="I3841" s="2">
        <v>2618</v>
      </c>
      <c r="J3841" s="2">
        <v>1.54</v>
      </c>
      <c r="K3841" s="2">
        <v>4.2300000000000004</v>
      </c>
      <c r="L3841" s="2">
        <v>12.62</v>
      </c>
      <c r="M3841" s="2">
        <v>14.8</v>
      </c>
      <c r="N3841" s="2">
        <v>0.191732439</v>
      </c>
      <c r="O3841" s="2">
        <v>0.35056752000000002</v>
      </c>
      <c r="P3841" s="2">
        <v>1.578759644</v>
      </c>
      <c r="Q3841" s="2">
        <v>1.6030141170000001</v>
      </c>
      <c r="R3841" s="2">
        <v>0.14794405599999999</v>
      </c>
      <c r="S3841" s="2">
        <v>6.2055944000000002E-2</v>
      </c>
      <c r="T3841" s="2">
        <v>1.5718125110000001</v>
      </c>
      <c r="U3841" s="2">
        <v>1.6018125110000001</v>
      </c>
      <c r="V3841" s="2">
        <v>0.72652112300000005</v>
      </c>
      <c r="W3841" s="2">
        <v>0.89120460899999998</v>
      </c>
      <c r="X3841">
        <f t="shared" si="177"/>
        <v>0</v>
      </c>
      <c r="Y3841">
        <f t="shared" si="178"/>
        <v>0</v>
      </c>
      <c r="Z3841">
        <f t="shared" si="179"/>
        <v>0</v>
      </c>
    </row>
    <row r="3842" spans="1:26" ht="15.75" customHeight="1" x14ac:dyDescent="0.2">
      <c r="A3842" s="2" t="s">
        <v>36</v>
      </c>
      <c r="B3842" s="2" t="s">
        <v>35</v>
      </c>
      <c r="C3842" s="2" t="s">
        <v>30</v>
      </c>
      <c r="D3842" s="2" t="s">
        <v>31</v>
      </c>
      <c r="E3842" s="2">
        <v>291</v>
      </c>
      <c r="F3842" s="2">
        <v>160</v>
      </c>
      <c r="G3842" s="2">
        <v>619</v>
      </c>
      <c r="H3842" s="2">
        <v>1248</v>
      </c>
      <c r="I3842" s="2">
        <v>2775</v>
      </c>
      <c r="J3842" s="2">
        <v>1.5</v>
      </c>
      <c r="K3842" s="2">
        <v>5.91</v>
      </c>
      <c r="L3842" s="2">
        <v>9.9</v>
      </c>
      <c r="M3842" s="2">
        <v>15.18</v>
      </c>
      <c r="N3842" s="2">
        <v>3.3863181330000001</v>
      </c>
      <c r="O3842" s="2">
        <v>3.5224365030000002</v>
      </c>
      <c r="P3842" s="2">
        <v>1.911044194</v>
      </c>
      <c r="Q3842" s="2">
        <v>2.0663276860000002</v>
      </c>
      <c r="R3842" s="2">
        <v>1.5274489529999999</v>
      </c>
      <c r="S3842" s="2">
        <v>1.7374489529999999</v>
      </c>
      <c r="T3842" s="2">
        <v>1.1484727269999999</v>
      </c>
      <c r="U3842" s="2">
        <v>1.1184727270000001</v>
      </c>
      <c r="V3842" s="2">
        <v>2.4019141319999999</v>
      </c>
      <c r="W3842" s="2">
        <v>2.5665976179999999</v>
      </c>
      <c r="X3842">
        <f t="shared" si="177"/>
        <v>0</v>
      </c>
      <c r="Y3842">
        <f t="shared" si="178"/>
        <v>0</v>
      </c>
      <c r="Z3842">
        <f t="shared" si="179"/>
        <v>1</v>
      </c>
    </row>
    <row r="3843" spans="1:26" ht="15.75" customHeight="1" x14ac:dyDescent="0.2">
      <c r="A3843" s="2" t="s">
        <v>36</v>
      </c>
      <c r="B3843" s="2" t="s">
        <v>35</v>
      </c>
      <c r="C3843" s="2" t="s">
        <v>27</v>
      </c>
      <c r="D3843" s="2" t="s">
        <v>27</v>
      </c>
      <c r="E3843" s="2">
        <v>200</v>
      </c>
      <c r="F3843" s="2">
        <v>165</v>
      </c>
      <c r="G3843" s="2">
        <v>481</v>
      </c>
      <c r="H3843" s="2">
        <v>1859</v>
      </c>
      <c r="I3843" s="2">
        <v>2623</v>
      </c>
      <c r="J3843" s="2">
        <v>1.55</v>
      </c>
      <c r="K3843" s="2">
        <v>4.75</v>
      </c>
      <c r="L3843" s="2">
        <v>12.52</v>
      </c>
      <c r="M3843" s="2">
        <v>14.81</v>
      </c>
      <c r="N3843" s="2">
        <v>0.67004551800000001</v>
      </c>
      <c r="O3843" s="2">
        <v>0.86094627800000001</v>
      </c>
      <c r="P3843" s="2">
        <v>1.515868027</v>
      </c>
      <c r="Q3843" s="2">
        <v>1.608614159</v>
      </c>
      <c r="R3843" s="2">
        <v>0.37292093399999998</v>
      </c>
      <c r="S3843" s="2">
        <v>0.582920934</v>
      </c>
      <c r="T3843" s="2">
        <v>1.469280726</v>
      </c>
      <c r="U3843" s="2">
        <v>1.4992807260000001</v>
      </c>
      <c r="V3843" s="2">
        <v>1.2473861129999999</v>
      </c>
      <c r="W3843" s="2">
        <v>1.4120695990000001</v>
      </c>
      <c r="X3843">
        <f t="shared" ref="X3843:X3906" si="180">IF(B3843="normal",1,0)</f>
        <v>0</v>
      </c>
      <c r="Y3843">
        <f t="shared" ref="Y3843:Y3906" si="181">IF(A3843="lecture",1,0)</f>
        <v>0</v>
      </c>
      <c r="Z3843">
        <f t="shared" ref="Z3843:Z3906" si="182">IF(ISNUMBER(FIND("~",D3843)),1,0)</f>
        <v>0</v>
      </c>
    </row>
    <row r="3844" spans="1:26" ht="15.75" customHeight="1" x14ac:dyDescent="0.2">
      <c r="A3844" s="2" t="s">
        <v>36</v>
      </c>
      <c r="B3844" s="2" t="s">
        <v>35</v>
      </c>
      <c r="C3844" s="2" t="s">
        <v>26</v>
      </c>
      <c r="D3844" s="2" t="s">
        <v>26</v>
      </c>
      <c r="E3844" s="2">
        <v>216</v>
      </c>
      <c r="F3844" s="2">
        <v>165</v>
      </c>
      <c r="G3844" s="2">
        <v>423</v>
      </c>
      <c r="H3844" s="2">
        <v>1020</v>
      </c>
      <c r="I3844" s="2">
        <v>2681</v>
      </c>
      <c r="J3844" s="2">
        <v>1.55</v>
      </c>
      <c r="K3844" s="2">
        <v>4.2300000000000004</v>
      </c>
      <c r="L3844" s="2">
        <v>8.64</v>
      </c>
      <c r="M3844" s="2">
        <v>14.96</v>
      </c>
      <c r="N3844" s="2">
        <v>0.16667935</v>
      </c>
      <c r="O3844" s="2">
        <v>0.178470659</v>
      </c>
      <c r="P3844" s="2">
        <v>2.410132113</v>
      </c>
      <c r="Q3844" s="2">
        <v>2.376127367</v>
      </c>
      <c r="R3844" s="2">
        <v>0.15102811599999999</v>
      </c>
      <c r="S3844" s="2">
        <v>5.8971884000000002E-2</v>
      </c>
      <c r="T3844" s="2">
        <v>2.4053954580000001</v>
      </c>
      <c r="U3844" s="2">
        <v>2.3753954579999998</v>
      </c>
      <c r="V3844" s="2">
        <v>0.72343706299999999</v>
      </c>
      <c r="W3844" s="2">
        <v>0.88812054900000004</v>
      </c>
      <c r="X3844">
        <f t="shared" si="180"/>
        <v>0</v>
      </c>
      <c r="Y3844">
        <f t="shared" si="181"/>
        <v>0</v>
      </c>
      <c r="Z3844">
        <f t="shared" si="182"/>
        <v>0</v>
      </c>
    </row>
    <row r="3845" spans="1:26" ht="15.75" customHeight="1" x14ac:dyDescent="0.2">
      <c r="A3845" s="2" t="s">
        <v>36</v>
      </c>
      <c r="B3845" s="2" t="s">
        <v>35</v>
      </c>
      <c r="C3845" s="2" t="s">
        <v>30</v>
      </c>
      <c r="D3845" s="2" t="s">
        <v>31</v>
      </c>
      <c r="E3845" s="2">
        <v>242</v>
      </c>
      <c r="F3845" s="2">
        <v>163</v>
      </c>
      <c r="G3845" s="2">
        <v>613</v>
      </c>
      <c r="H3845" s="2">
        <v>1207</v>
      </c>
      <c r="I3845" s="2">
        <v>2882</v>
      </c>
      <c r="J3845" s="2">
        <v>1.53</v>
      </c>
      <c r="K3845" s="2">
        <v>5.86</v>
      </c>
      <c r="L3845" s="2">
        <v>9.69</v>
      </c>
      <c r="M3845" s="2">
        <v>15.43</v>
      </c>
      <c r="N3845" s="2">
        <v>3.5486486259999999</v>
      </c>
      <c r="O3845" s="2">
        <v>3.6786554200000001</v>
      </c>
      <c r="P3845" s="2">
        <v>2.0126314129999998</v>
      </c>
      <c r="Q3845" s="2">
        <v>2.1530036469999998</v>
      </c>
      <c r="R3845" s="2">
        <v>1.479948187</v>
      </c>
      <c r="S3845" s="2">
        <v>1.6899481869999999</v>
      </c>
      <c r="T3845" s="2">
        <v>1.3639789470000001</v>
      </c>
      <c r="U3845" s="2">
        <v>1.3339789470000001</v>
      </c>
      <c r="V3845" s="2">
        <v>2.3544133650000001</v>
      </c>
      <c r="W3845" s="2">
        <v>2.519096851</v>
      </c>
      <c r="X3845">
        <f t="shared" si="180"/>
        <v>0</v>
      </c>
      <c r="Y3845">
        <f t="shared" si="181"/>
        <v>0</v>
      </c>
      <c r="Z3845">
        <f t="shared" si="182"/>
        <v>1</v>
      </c>
    </row>
    <row r="3846" spans="1:26" ht="15.75" customHeight="1" x14ac:dyDescent="0.2">
      <c r="A3846" s="2" t="s">
        <v>36</v>
      </c>
      <c r="B3846" s="2" t="s">
        <v>35</v>
      </c>
      <c r="C3846" s="2" t="s">
        <v>32</v>
      </c>
      <c r="D3846" s="2" t="s">
        <v>33</v>
      </c>
      <c r="E3846" s="2">
        <v>252</v>
      </c>
      <c r="F3846" s="2">
        <v>168</v>
      </c>
      <c r="G3846" s="2">
        <v>620</v>
      </c>
      <c r="H3846" s="2">
        <v>998</v>
      </c>
      <c r="I3846" s="2">
        <v>2671</v>
      </c>
      <c r="J3846" s="2">
        <v>1.58</v>
      </c>
      <c r="K3846" s="2">
        <v>5.91</v>
      </c>
      <c r="L3846" s="2">
        <v>8.52</v>
      </c>
      <c r="M3846" s="2">
        <v>14.93</v>
      </c>
      <c r="N3846" s="2">
        <v>2.425031734</v>
      </c>
      <c r="O3846" s="2">
        <v>2.3615542129999998</v>
      </c>
      <c r="P3846" s="2">
        <v>2.9619686180000002</v>
      </c>
      <c r="Q3846" s="2">
        <v>3.051216707</v>
      </c>
      <c r="R3846" s="2">
        <v>1.5327131780000001</v>
      </c>
      <c r="S3846" s="2">
        <v>1.742713178</v>
      </c>
      <c r="T3846" s="2">
        <v>2.5345706560000001</v>
      </c>
      <c r="U3846" s="2">
        <v>2.5045706559999998</v>
      </c>
      <c r="V3846" s="2">
        <v>2.4071783569999998</v>
      </c>
      <c r="W3846" s="2">
        <v>2.5718618430000002</v>
      </c>
      <c r="X3846">
        <f t="shared" si="180"/>
        <v>0</v>
      </c>
      <c r="Y3846">
        <f t="shared" si="181"/>
        <v>0</v>
      </c>
      <c r="Z3846">
        <f t="shared" si="182"/>
        <v>1</v>
      </c>
    </row>
    <row r="3847" spans="1:26" ht="15.75" customHeight="1" x14ac:dyDescent="0.2">
      <c r="A3847" s="2" t="s">
        <v>36</v>
      </c>
      <c r="B3847" s="2" t="s">
        <v>35</v>
      </c>
      <c r="C3847" s="2" t="s">
        <v>28</v>
      </c>
      <c r="D3847" s="2" t="s">
        <v>29</v>
      </c>
      <c r="E3847" s="2">
        <v>279</v>
      </c>
      <c r="F3847" s="2">
        <v>162</v>
      </c>
      <c r="G3847" s="2">
        <v>599</v>
      </c>
      <c r="H3847" s="2">
        <v>1210</v>
      </c>
      <c r="I3847" s="2">
        <v>3076</v>
      </c>
      <c r="J3847" s="2">
        <v>1.52</v>
      </c>
      <c r="K3847" s="2">
        <v>5.75</v>
      </c>
      <c r="L3847" s="2">
        <v>9.6999999999999993</v>
      </c>
      <c r="M3847" s="2">
        <v>15.85</v>
      </c>
      <c r="N3847" s="2">
        <v>1.823363509</v>
      </c>
      <c r="O3847" s="2">
        <v>2.0027278989999999</v>
      </c>
      <c r="P3847" s="2">
        <v>1.91779331</v>
      </c>
      <c r="Q3847" s="2">
        <v>2.0532120749999998</v>
      </c>
      <c r="R3847" s="2">
        <v>1.3655724890000001</v>
      </c>
      <c r="S3847" s="2">
        <v>1.575572489</v>
      </c>
      <c r="T3847" s="2">
        <v>1.346529968</v>
      </c>
      <c r="U3847" s="2">
        <v>1.316529968</v>
      </c>
      <c r="V3847" s="2">
        <v>2.2400376679999998</v>
      </c>
      <c r="W3847" s="2">
        <v>2.4047211540000002</v>
      </c>
      <c r="X3847">
        <f t="shared" si="180"/>
        <v>0</v>
      </c>
      <c r="Y3847">
        <f t="shared" si="181"/>
        <v>0</v>
      </c>
      <c r="Z3847">
        <f t="shared" si="182"/>
        <v>1</v>
      </c>
    </row>
    <row r="3848" spans="1:26" ht="15.75" customHeight="1" x14ac:dyDescent="0.2">
      <c r="A3848" s="2" t="s">
        <v>36</v>
      </c>
      <c r="B3848" s="2" t="s">
        <v>35</v>
      </c>
      <c r="C3848" s="2" t="s">
        <v>28</v>
      </c>
      <c r="D3848" s="2" t="s">
        <v>29</v>
      </c>
      <c r="E3848" s="2">
        <v>204</v>
      </c>
      <c r="F3848" s="2">
        <v>166</v>
      </c>
      <c r="G3848" s="2">
        <v>533</v>
      </c>
      <c r="H3848" s="2">
        <v>1158</v>
      </c>
      <c r="I3848" s="2">
        <v>3228</v>
      </c>
      <c r="J3848" s="2">
        <v>1.56</v>
      </c>
      <c r="K3848" s="2">
        <v>5.2</v>
      </c>
      <c r="L3848" s="2">
        <v>9.43</v>
      </c>
      <c r="M3848" s="2">
        <v>16.149999999999999</v>
      </c>
      <c r="N3848" s="2">
        <v>1.2390535220000001</v>
      </c>
      <c r="O3848" s="2">
        <v>1.410093585</v>
      </c>
      <c r="P3848" s="2">
        <v>1.820522118</v>
      </c>
      <c r="Q3848" s="2">
        <v>1.8995580409999999</v>
      </c>
      <c r="R3848" s="2">
        <v>0.824759358</v>
      </c>
      <c r="S3848" s="2">
        <v>1.0347593580000001</v>
      </c>
      <c r="T3848" s="2">
        <v>1.6229826810000001</v>
      </c>
      <c r="U3848" s="2">
        <v>1.5929826810000001</v>
      </c>
      <c r="V3848" s="2">
        <v>1.6992245370000001</v>
      </c>
      <c r="W3848" s="2">
        <v>1.863908023</v>
      </c>
      <c r="X3848">
        <f t="shared" si="180"/>
        <v>0</v>
      </c>
      <c r="Y3848">
        <f t="shared" si="181"/>
        <v>0</v>
      </c>
      <c r="Z3848">
        <f t="shared" si="182"/>
        <v>1</v>
      </c>
    </row>
    <row r="3849" spans="1:26" ht="15.75" customHeight="1" x14ac:dyDescent="0.2">
      <c r="A3849" s="2" t="s">
        <v>36</v>
      </c>
      <c r="B3849" s="2" t="s">
        <v>35</v>
      </c>
      <c r="C3849" s="2" t="s">
        <v>26</v>
      </c>
      <c r="D3849" s="2" t="s">
        <v>26</v>
      </c>
      <c r="E3849" s="2">
        <v>246</v>
      </c>
      <c r="F3849" s="2">
        <v>166</v>
      </c>
      <c r="G3849" s="2">
        <v>432</v>
      </c>
      <c r="H3849" s="2">
        <v>948</v>
      </c>
      <c r="I3849" s="2">
        <v>2605</v>
      </c>
      <c r="J3849" s="2">
        <v>1.56</v>
      </c>
      <c r="K3849" s="2">
        <v>4.32</v>
      </c>
      <c r="L3849" s="2">
        <v>8.2100000000000009</v>
      </c>
      <c r="M3849" s="2">
        <v>14.77</v>
      </c>
      <c r="N3849" s="2">
        <v>0.32192197</v>
      </c>
      <c r="O3849" s="2">
        <v>0.31134007800000002</v>
      </c>
      <c r="P3849" s="2">
        <v>2.8407574759999998</v>
      </c>
      <c r="Q3849" s="2">
        <v>2.8137523889999998</v>
      </c>
      <c r="R3849" s="2">
        <v>6.4999302999999994E-2</v>
      </c>
      <c r="S3849" s="2">
        <v>0.14500069700000001</v>
      </c>
      <c r="T3849" s="2">
        <v>2.8400137550000002</v>
      </c>
      <c r="U3849" s="2">
        <v>2.8100137549999999</v>
      </c>
      <c r="V3849" s="2">
        <v>0.80946587599999997</v>
      </c>
      <c r="W3849" s="2">
        <v>0.97414936100000005</v>
      </c>
      <c r="X3849">
        <f t="shared" si="180"/>
        <v>0</v>
      </c>
      <c r="Y3849">
        <f t="shared" si="181"/>
        <v>0</v>
      </c>
      <c r="Z3849">
        <f t="shared" si="182"/>
        <v>0</v>
      </c>
    </row>
    <row r="3850" spans="1:26" ht="15.75" customHeight="1" x14ac:dyDescent="0.2">
      <c r="A3850" s="2" t="s">
        <v>36</v>
      </c>
      <c r="B3850" s="2" t="s">
        <v>35</v>
      </c>
      <c r="C3850" s="2" t="s">
        <v>25</v>
      </c>
      <c r="D3850" s="2" t="s">
        <v>25</v>
      </c>
      <c r="E3850" s="2">
        <v>269</v>
      </c>
      <c r="F3850" s="2">
        <v>149</v>
      </c>
      <c r="G3850" s="2">
        <v>612</v>
      </c>
      <c r="H3850" s="2">
        <v>1475</v>
      </c>
      <c r="I3850" s="2">
        <v>2533</v>
      </c>
      <c r="J3850" s="2">
        <v>1.36</v>
      </c>
      <c r="K3850" s="2">
        <v>5.85</v>
      </c>
      <c r="L3850" s="2">
        <v>10.98</v>
      </c>
      <c r="M3850" s="2">
        <v>14.58</v>
      </c>
      <c r="N3850" s="2">
        <v>0.118986314</v>
      </c>
      <c r="O3850" s="2">
        <v>0.25187769999999998</v>
      </c>
      <c r="P3850" s="2">
        <v>1.4708535920000001</v>
      </c>
      <c r="Q3850" s="2">
        <v>1.679752819</v>
      </c>
      <c r="R3850" s="2">
        <v>1.469362364</v>
      </c>
      <c r="S3850" s="2">
        <v>1.6793623639999999</v>
      </c>
      <c r="T3850" s="2">
        <v>6.6215797000000007E-2</v>
      </c>
      <c r="U3850" s="2">
        <v>3.6215797000000001E-2</v>
      </c>
      <c r="V3850" s="2">
        <v>2.3438275430000002</v>
      </c>
      <c r="W3850" s="2">
        <v>2.5085110290000001</v>
      </c>
      <c r="X3850">
        <f t="shared" si="180"/>
        <v>0</v>
      </c>
      <c r="Y3850">
        <f t="shared" si="181"/>
        <v>0</v>
      </c>
      <c r="Z3850">
        <f t="shared" si="182"/>
        <v>0</v>
      </c>
    </row>
    <row r="3851" spans="1:26" ht="15.75" customHeight="1" x14ac:dyDescent="0.2">
      <c r="A3851" s="2" t="s">
        <v>36</v>
      </c>
      <c r="B3851" s="2" t="s">
        <v>35</v>
      </c>
      <c r="C3851" s="2" t="s">
        <v>30</v>
      </c>
      <c r="D3851" s="2" t="s">
        <v>31</v>
      </c>
      <c r="E3851" s="2">
        <v>294</v>
      </c>
      <c r="F3851" s="2">
        <v>172</v>
      </c>
      <c r="G3851" s="2">
        <v>627</v>
      </c>
      <c r="H3851" s="2">
        <v>1346</v>
      </c>
      <c r="I3851" s="2">
        <v>2737</v>
      </c>
      <c r="J3851" s="2">
        <v>1.63</v>
      </c>
      <c r="K3851" s="2">
        <v>5.97</v>
      </c>
      <c r="L3851" s="2">
        <v>10.39</v>
      </c>
      <c r="M3851" s="2">
        <v>15.09</v>
      </c>
      <c r="N3851" s="2">
        <v>3.0175902739999998</v>
      </c>
      <c r="O3851" s="2">
        <v>3.1669181370000001</v>
      </c>
      <c r="P3851" s="2">
        <v>1.7182739680000001</v>
      </c>
      <c r="Q3851" s="2">
        <v>1.903541758</v>
      </c>
      <c r="R3851" s="2">
        <v>1.585206186</v>
      </c>
      <c r="S3851" s="2">
        <v>1.7952061859999999</v>
      </c>
      <c r="T3851" s="2">
        <v>0.66301340900000005</v>
      </c>
      <c r="U3851" s="2">
        <v>0.63301340900000003</v>
      </c>
      <c r="V3851" s="2">
        <v>2.4596713640000001</v>
      </c>
      <c r="W3851" s="2">
        <v>2.62435485</v>
      </c>
      <c r="X3851">
        <f t="shared" si="180"/>
        <v>0</v>
      </c>
      <c r="Y3851">
        <f t="shared" si="181"/>
        <v>0</v>
      </c>
      <c r="Z3851">
        <f t="shared" si="182"/>
        <v>1</v>
      </c>
    </row>
    <row r="3852" spans="1:26" ht="15.75" customHeight="1" x14ac:dyDescent="0.2">
      <c r="A3852" s="2" t="s">
        <v>36</v>
      </c>
      <c r="B3852" s="2" t="s">
        <v>35</v>
      </c>
      <c r="C3852" s="2" t="s">
        <v>28</v>
      </c>
      <c r="D3852" s="2" t="s">
        <v>29</v>
      </c>
      <c r="E3852" s="2">
        <v>316</v>
      </c>
      <c r="F3852" s="2">
        <v>162</v>
      </c>
      <c r="G3852" s="2">
        <v>535</v>
      </c>
      <c r="H3852" s="2">
        <v>1257</v>
      </c>
      <c r="I3852" s="2">
        <v>2818</v>
      </c>
      <c r="J3852" s="2">
        <v>1.51</v>
      </c>
      <c r="K3852" s="2">
        <v>5.22</v>
      </c>
      <c r="L3852" s="2">
        <v>9.94</v>
      </c>
      <c r="M3852" s="2">
        <v>15.28</v>
      </c>
      <c r="N3852" s="2">
        <v>1.661040152</v>
      </c>
      <c r="O3852" s="2">
        <v>1.808390902</v>
      </c>
      <c r="P3852" s="2">
        <v>1.3898576309999999</v>
      </c>
      <c r="Q3852" s="2">
        <v>1.5046046660000001</v>
      </c>
      <c r="R3852" s="2">
        <v>0.84165108200000005</v>
      </c>
      <c r="S3852" s="2">
        <v>1.051651082</v>
      </c>
      <c r="T3852" s="2">
        <v>1.1060414510000001</v>
      </c>
      <c r="U3852" s="2">
        <v>1.076041451</v>
      </c>
      <c r="V3852" s="2">
        <v>1.716116261</v>
      </c>
      <c r="W3852" s="2">
        <v>1.880799747</v>
      </c>
      <c r="X3852">
        <f t="shared" si="180"/>
        <v>0</v>
      </c>
      <c r="Y3852">
        <f t="shared" si="181"/>
        <v>0</v>
      </c>
      <c r="Z3852">
        <f t="shared" si="182"/>
        <v>1</v>
      </c>
    </row>
    <row r="3853" spans="1:26" ht="15.75" customHeight="1" x14ac:dyDescent="0.2">
      <c r="A3853" s="2" t="s">
        <v>36</v>
      </c>
      <c r="B3853" s="2" t="s">
        <v>35</v>
      </c>
      <c r="C3853" s="2" t="s">
        <v>28</v>
      </c>
      <c r="D3853" s="2" t="s">
        <v>29</v>
      </c>
      <c r="E3853" s="2">
        <v>176</v>
      </c>
      <c r="F3853" s="2">
        <v>164</v>
      </c>
      <c r="G3853" s="2">
        <v>540</v>
      </c>
      <c r="H3853" s="2">
        <v>1207</v>
      </c>
      <c r="I3853" s="2">
        <v>3030</v>
      </c>
      <c r="J3853" s="2">
        <v>1.54</v>
      </c>
      <c r="K3853" s="2">
        <v>5.26</v>
      </c>
      <c r="L3853" s="2">
        <v>9.69</v>
      </c>
      <c r="M3853" s="2">
        <v>15.75</v>
      </c>
      <c r="N3853" s="2">
        <v>1.473548767</v>
      </c>
      <c r="O3853" s="2">
        <v>1.634863204</v>
      </c>
      <c r="P3853" s="2">
        <v>1.625261251</v>
      </c>
      <c r="Q3853" s="2">
        <v>1.7250552180000001</v>
      </c>
      <c r="R3853" s="2">
        <v>0.88376216500000004</v>
      </c>
      <c r="S3853" s="2">
        <v>1.093762165</v>
      </c>
      <c r="T3853" s="2">
        <v>1.3639789470000001</v>
      </c>
      <c r="U3853" s="2">
        <v>1.3339789470000001</v>
      </c>
      <c r="V3853" s="2">
        <v>1.758227344</v>
      </c>
      <c r="W3853" s="2">
        <v>1.92291083</v>
      </c>
      <c r="X3853">
        <f t="shared" si="180"/>
        <v>0</v>
      </c>
      <c r="Y3853">
        <f t="shared" si="181"/>
        <v>0</v>
      </c>
      <c r="Z3853">
        <f t="shared" si="182"/>
        <v>1</v>
      </c>
    </row>
    <row r="3854" spans="1:26" ht="15.75" customHeight="1" x14ac:dyDescent="0.2">
      <c r="A3854" s="2" t="s">
        <v>36</v>
      </c>
      <c r="B3854" s="2" t="s">
        <v>35</v>
      </c>
      <c r="C3854" s="2" t="s">
        <v>32</v>
      </c>
      <c r="D3854" s="2" t="s">
        <v>33</v>
      </c>
      <c r="E3854" s="2">
        <v>187</v>
      </c>
      <c r="F3854" s="2">
        <v>152</v>
      </c>
      <c r="G3854" s="2">
        <v>688</v>
      </c>
      <c r="H3854" s="2">
        <v>1053</v>
      </c>
      <c r="I3854" s="2">
        <v>2876</v>
      </c>
      <c r="J3854" s="2">
        <v>1.4</v>
      </c>
      <c r="K3854" s="2">
        <v>6.44</v>
      </c>
      <c r="L3854" s="2">
        <v>8.84</v>
      </c>
      <c r="M3854" s="2">
        <v>15.41</v>
      </c>
      <c r="N3854" s="2">
        <v>2.1521705440000001</v>
      </c>
      <c r="O3854" s="2">
        <v>2.174175016</v>
      </c>
      <c r="P3854" s="2">
        <v>3.0188093</v>
      </c>
      <c r="Q3854" s="2">
        <v>3.1448637060000002</v>
      </c>
      <c r="R3854" s="2">
        <v>2.058237885</v>
      </c>
      <c r="S3854" s="2">
        <v>2.268237885</v>
      </c>
      <c r="T3854" s="2">
        <v>2.2083628320000002</v>
      </c>
      <c r="U3854" s="2">
        <v>2.1783628319999999</v>
      </c>
      <c r="V3854" s="2">
        <v>2.932703064</v>
      </c>
      <c r="W3854" s="2">
        <v>3.09738655</v>
      </c>
      <c r="X3854">
        <f t="shared" si="180"/>
        <v>0</v>
      </c>
      <c r="Y3854">
        <f t="shared" si="181"/>
        <v>0</v>
      </c>
      <c r="Z3854">
        <f t="shared" si="182"/>
        <v>1</v>
      </c>
    </row>
    <row r="3855" spans="1:26" ht="15.75" customHeight="1" x14ac:dyDescent="0.2">
      <c r="A3855" s="2" t="s">
        <v>36</v>
      </c>
      <c r="B3855" s="2" t="s">
        <v>35</v>
      </c>
      <c r="C3855" s="2" t="s">
        <v>25</v>
      </c>
      <c r="D3855" s="2" t="s">
        <v>25</v>
      </c>
      <c r="E3855" s="2">
        <v>206</v>
      </c>
      <c r="F3855" s="2">
        <v>152</v>
      </c>
      <c r="G3855" s="2">
        <v>642</v>
      </c>
      <c r="H3855" s="2">
        <v>1510</v>
      </c>
      <c r="I3855" s="2">
        <v>2737</v>
      </c>
      <c r="J3855" s="2">
        <v>1.4</v>
      </c>
      <c r="K3855" s="2">
        <v>6.09</v>
      </c>
      <c r="L3855" s="2">
        <v>11.14</v>
      </c>
      <c r="M3855" s="2">
        <v>15.09</v>
      </c>
      <c r="N3855" s="2">
        <v>0.23432698299999999</v>
      </c>
      <c r="O3855" s="2">
        <v>0.53462048100000004</v>
      </c>
      <c r="P3855" s="2">
        <v>1.709700701</v>
      </c>
      <c r="Q3855" s="2">
        <v>1.9210478929999999</v>
      </c>
      <c r="R3855" s="2">
        <v>1.707506084</v>
      </c>
      <c r="S3855" s="2">
        <v>1.917506084</v>
      </c>
      <c r="T3855" s="2">
        <v>8.6599423999999994E-2</v>
      </c>
      <c r="U3855" s="2">
        <v>0.11659942399999999</v>
      </c>
      <c r="V3855" s="2">
        <v>2.5819712629999998</v>
      </c>
      <c r="W3855" s="2">
        <v>2.7466547490000002</v>
      </c>
      <c r="X3855">
        <f t="shared" si="180"/>
        <v>0</v>
      </c>
      <c r="Y3855">
        <f t="shared" si="181"/>
        <v>0</v>
      </c>
      <c r="Z3855">
        <f t="shared" si="182"/>
        <v>0</v>
      </c>
    </row>
    <row r="3856" spans="1:26" ht="15.75" customHeight="1" x14ac:dyDescent="0.2">
      <c r="A3856" s="2" t="s">
        <v>36</v>
      </c>
      <c r="B3856" s="2" t="s">
        <v>35</v>
      </c>
      <c r="C3856" s="2" t="s">
        <v>27</v>
      </c>
      <c r="D3856" s="2" t="s">
        <v>27</v>
      </c>
      <c r="E3856" s="2">
        <v>208</v>
      </c>
      <c r="F3856" s="2">
        <v>158</v>
      </c>
      <c r="G3856" s="2">
        <v>456</v>
      </c>
      <c r="H3856" s="2">
        <v>1921</v>
      </c>
      <c r="I3856" s="2">
        <v>2650</v>
      </c>
      <c r="J3856" s="2">
        <v>1.47</v>
      </c>
      <c r="K3856" s="2">
        <v>4.53</v>
      </c>
      <c r="L3856" s="2">
        <v>12.74</v>
      </c>
      <c r="M3856" s="2">
        <v>14.88</v>
      </c>
      <c r="N3856" s="2">
        <v>0.39049188400000001</v>
      </c>
      <c r="O3856" s="2">
        <v>0.584273826</v>
      </c>
      <c r="P3856" s="2">
        <v>1.69552941</v>
      </c>
      <c r="Q3856" s="2">
        <v>1.7558407810000001</v>
      </c>
      <c r="R3856" s="2">
        <v>0.147164344</v>
      </c>
      <c r="S3856" s="2">
        <v>0.35716434400000002</v>
      </c>
      <c r="T3856" s="2">
        <v>1.6891307339999999</v>
      </c>
      <c r="U3856" s="2">
        <v>1.7191307339999999</v>
      </c>
      <c r="V3856" s="2">
        <v>1.0216295230000001</v>
      </c>
      <c r="W3856" s="2">
        <v>1.186313009</v>
      </c>
      <c r="X3856">
        <f t="shared" si="180"/>
        <v>0</v>
      </c>
      <c r="Y3856">
        <f t="shared" si="181"/>
        <v>0</v>
      </c>
      <c r="Z3856">
        <f t="shared" si="182"/>
        <v>0</v>
      </c>
    </row>
    <row r="3857" spans="1:26" ht="15.75" customHeight="1" x14ac:dyDescent="0.2">
      <c r="A3857" s="2" t="s">
        <v>36</v>
      </c>
      <c r="B3857" s="2" t="s">
        <v>35</v>
      </c>
      <c r="C3857" s="2" t="s">
        <v>32</v>
      </c>
      <c r="D3857" s="2" t="s">
        <v>33</v>
      </c>
      <c r="E3857" s="2">
        <v>143</v>
      </c>
      <c r="F3857" s="2">
        <v>172</v>
      </c>
      <c r="G3857" s="2">
        <v>568</v>
      </c>
      <c r="H3857" s="2">
        <v>1036</v>
      </c>
      <c r="I3857" s="2">
        <v>2595</v>
      </c>
      <c r="J3857" s="2">
        <v>1.63</v>
      </c>
      <c r="K3857" s="2">
        <v>5.49</v>
      </c>
      <c r="L3857" s="2">
        <v>8.74</v>
      </c>
      <c r="M3857" s="2">
        <v>14.74</v>
      </c>
      <c r="N3857" s="2">
        <v>2.2486993370000001</v>
      </c>
      <c r="O3857" s="2">
        <v>2.1238042780000002</v>
      </c>
      <c r="P3857" s="2">
        <v>2.562620173</v>
      </c>
      <c r="Q3857" s="2">
        <v>2.6344064540000001</v>
      </c>
      <c r="R3857" s="2">
        <v>1.11102466</v>
      </c>
      <c r="S3857" s="2">
        <v>1.32102466</v>
      </c>
      <c r="T3857" s="2">
        <v>2.3092523360000001</v>
      </c>
      <c r="U3857" s="2">
        <v>2.2792523359999999</v>
      </c>
      <c r="V3857" s="2">
        <v>1.985489839</v>
      </c>
      <c r="W3857" s="2">
        <v>2.1501733249999999</v>
      </c>
      <c r="X3857">
        <f t="shared" si="180"/>
        <v>0</v>
      </c>
      <c r="Y3857">
        <f t="shared" si="181"/>
        <v>0</v>
      </c>
      <c r="Z3857">
        <f t="shared" si="182"/>
        <v>1</v>
      </c>
    </row>
    <row r="3858" spans="1:26" ht="15.75" customHeight="1" x14ac:dyDescent="0.2">
      <c r="A3858" s="2" t="s">
        <v>36</v>
      </c>
      <c r="B3858" s="2" t="s">
        <v>35</v>
      </c>
      <c r="C3858" s="2" t="s">
        <v>28</v>
      </c>
      <c r="D3858" s="2" t="s">
        <v>29</v>
      </c>
      <c r="E3858" s="2">
        <v>248</v>
      </c>
      <c r="F3858" s="2">
        <v>166</v>
      </c>
      <c r="G3858" s="2">
        <v>553</v>
      </c>
      <c r="H3858" s="2">
        <v>1274</v>
      </c>
      <c r="I3858" s="2">
        <v>2502</v>
      </c>
      <c r="J3858" s="2">
        <v>1.56</v>
      </c>
      <c r="K3858" s="2">
        <v>5.37</v>
      </c>
      <c r="L3858" s="2">
        <v>10.029999999999999</v>
      </c>
      <c r="M3858" s="2">
        <v>14.5</v>
      </c>
      <c r="N3858" s="2">
        <v>1.816586413</v>
      </c>
      <c r="O3858" s="2">
        <v>1.9690797630000001</v>
      </c>
      <c r="P3858" s="2">
        <v>1.4220765879999999</v>
      </c>
      <c r="Q3858" s="2">
        <v>1.5566081089999999</v>
      </c>
      <c r="R3858" s="2">
        <v>0.99246684399999996</v>
      </c>
      <c r="S3858" s="2">
        <v>1.2024668439999999</v>
      </c>
      <c r="T3858" s="2">
        <v>1.0184848479999999</v>
      </c>
      <c r="U3858" s="2">
        <v>0.98848484800000003</v>
      </c>
      <c r="V3858" s="2">
        <v>1.8669320220000001</v>
      </c>
      <c r="W3858" s="2">
        <v>2.0316155079999998</v>
      </c>
      <c r="X3858">
        <f t="shared" si="180"/>
        <v>0</v>
      </c>
      <c r="Y3858">
        <f t="shared" si="181"/>
        <v>0</v>
      </c>
      <c r="Z3858">
        <f t="shared" si="182"/>
        <v>1</v>
      </c>
    </row>
    <row r="3859" spans="1:26" ht="15.75" customHeight="1" x14ac:dyDescent="0.2">
      <c r="A3859" s="2" t="s">
        <v>36</v>
      </c>
      <c r="B3859" s="2" t="s">
        <v>35</v>
      </c>
      <c r="C3859" s="2" t="s">
        <v>27</v>
      </c>
      <c r="D3859" s="2" t="s">
        <v>27</v>
      </c>
      <c r="E3859" s="2">
        <v>137</v>
      </c>
      <c r="F3859" s="2">
        <v>155</v>
      </c>
      <c r="G3859" s="2">
        <v>400</v>
      </c>
      <c r="H3859" s="2">
        <v>2011</v>
      </c>
      <c r="I3859" s="2">
        <v>2739</v>
      </c>
      <c r="J3859" s="2">
        <v>1.44</v>
      </c>
      <c r="K3859" s="2">
        <v>4.01</v>
      </c>
      <c r="L3859" s="2">
        <v>13.05</v>
      </c>
      <c r="M3859" s="2">
        <v>15.1</v>
      </c>
      <c r="N3859" s="2">
        <v>0.28773819699999997</v>
      </c>
      <c r="O3859" s="2">
        <v>0.22554566200000001</v>
      </c>
      <c r="P3859" s="2">
        <v>2.0309785800000002</v>
      </c>
      <c r="Q3859" s="2">
        <v>2.0333939939999999</v>
      </c>
      <c r="R3859" s="2">
        <v>0.369077553</v>
      </c>
      <c r="S3859" s="2">
        <v>0.15907755300000001</v>
      </c>
      <c r="T3859" s="2">
        <v>1.997161924</v>
      </c>
      <c r="U3859" s="2">
        <v>2.0271619240000001</v>
      </c>
      <c r="V3859" s="2">
        <v>0.50538762599999998</v>
      </c>
      <c r="W3859" s="2">
        <v>0.67007111100000005</v>
      </c>
      <c r="X3859">
        <f t="shared" si="180"/>
        <v>0</v>
      </c>
      <c r="Y3859">
        <f t="shared" si="181"/>
        <v>0</v>
      </c>
      <c r="Z3859">
        <f t="shared" si="182"/>
        <v>0</v>
      </c>
    </row>
    <row r="3860" spans="1:26" ht="15.75" customHeight="1" x14ac:dyDescent="0.2">
      <c r="A3860" s="2" t="s">
        <v>36</v>
      </c>
      <c r="B3860" s="2" t="s">
        <v>35</v>
      </c>
      <c r="C3860" s="2" t="s">
        <v>26</v>
      </c>
      <c r="D3860" s="2" t="s">
        <v>26</v>
      </c>
      <c r="E3860" s="2">
        <v>286</v>
      </c>
      <c r="F3860" s="2">
        <v>147</v>
      </c>
      <c r="G3860" s="2">
        <v>396</v>
      </c>
      <c r="H3860" s="2">
        <v>906</v>
      </c>
      <c r="I3860" s="2">
        <v>2596</v>
      </c>
      <c r="J3860" s="2">
        <v>1.34</v>
      </c>
      <c r="K3860" s="2">
        <v>3.98</v>
      </c>
      <c r="L3860" s="2">
        <v>7.94</v>
      </c>
      <c r="M3860" s="2">
        <v>14.75</v>
      </c>
      <c r="N3860" s="2">
        <v>0.69415085899999995</v>
      </c>
      <c r="O3860" s="2">
        <v>0.56650643499999997</v>
      </c>
      <c r="P3860" s="2">
        <v>3.1326717290000001</v>
      </c>
      <c r="Q3860" s="2">
        <v>3.0828511609999998</v>
      </c>
      <c r="R3860" s="2">
        <v>0.40057999700000002</v>
      </c>
      <c r="S3860" s="2">
        <v>0.190579997</v>
      </c>
      <c r="T3860" s="2">
        <v>3.106954752</v>
      </c>
      <c r="U3860" s="2">
        <v>3.0769547519999998</v>
      </c>
      <c r="V3860" s="2">
        <v>0.47388518200000002</v>
      </c>
      <c r="W3860" s="2">
        <v>0.63856866800000001</v>
      </c>
      <c r="X3860">
        <f t="shared" si="180"/>
        <v>0</v>
      </c>
      <c r="Y3860">
        <f t="shared" si="181"/>
        <v>0</v>
      </c>
      <c r="Z3860">
        <f t="shared" si="182"/>
        <v>0</v>
      </c>
    </row>
    <row r="3861" spans="1:26" ht="15.75" customHeight="1" x14ac:dyDescent="0.2">
      <c r="A3861" s="2" t="s">
        <v>36</v>
      </c>
      <c r="B3861" s="2" t="s">
        <v>35</v>
      </c>
      <c r="C3861" s="2" t="s">
        <v>27</v>
      </c>
      <c r="D3861" s="2" t="s">
        <v>27</v>
      </c>
      <c r="E3861" s="2">
        <v>151</v>
      </c>
      <c r="F3861" s="2">
        <v>157</v>
      </c>
      <c r="G3861" s="2">
        <v>414</v>
      </c>
      <c r="H3861" s="2">
        <v>1921</v>
      </c>
      <c r="I3861" s="2">
        <v>2563</v>
      </c>
      <c r="J3861" s="2">
        <v>1.46</v>
      </c>
      <c r="K3861" s="2">
        <v>4.1500000000000004</v>
      </c>
      <c r="L3861" s="2">
        <v>12.74</v>
      </c>
      <c r="M3861" s="2">
        <v>14.66</v>
      </c>
      <c r="N3861" s="2">
        <v>4.8840112999999998E-2</v>
      </c>
      <c r="O3861" s="2">
        <v>0.21450243099999999</v>
      </c>
      <c r="P3861" s="2">
        <v>1.707651657</v>
      </c>
      <c r="Q3861" s="2">
        <v>1.7216326639999999</v>
      </c>
      <c r="R3861" s="2">
        <v>0.234625105</v>
      </c>
      <c r="S3861" s="2">
        <v>2.4625105000000001E-2</v>
      </c>
      <c r="T3861" s="2">
        <v>1.691456544</v>
      </c>
      <c r="U3861" s="2">
        <v>1.721456544</v>
      </c>
      <c r="V3861" s="2">
        <v>0.63984007399999998</v>
      </c>
      <c r="W3861" s="2">
        <v>0.80452355900000005</v>
      </c>
      <c r="X3861">
        <f t="shared" si="180"/>
        <v>0</v>
      </c>
      <c r="Y3861">
        <f t="shared" si="181"/>
        <v>0</v>
      </c>
      <c r="Z3861">
        <f t="shared" si="182"/>
        <v>0</v>
      </c>
    </row>
    <row r="3862" spans="1:26" ht="15.75" customHeight="1" x14ac:dyDescent="0.2">
      <c r="A3862" s="2" t="s">
        <v>36</v>
      </c>
      <c r="B3862" s="2" t="s">
        <v>35</v>
      </c>
      <c r="C3862" s="2" t="s">
        <v>27</v>
      </c>
      <c r="D3862" s="2" t="s">
        <v>27</v>
      </c>
      <c r="E3862" s="2">
        <v>273</v>
      </c>
      <c r="F3862" s="2">
        <v>150</v>
      </c>
      <c r="G3862" s="2">
        <v>433</v>
      </c>
      <c r="H3862" s="2">
        <v>1997</v>
      </c>
      <c r="I3862" s="2">
        <v>2598</v>
      </c>
      <c r="J3862" s="2">
        <v>1.38</v>
      </c>
      <c r="K3862" s="2">
        <v>4.32</v>
      </c>
      <c r="L3862" s="2">
        <v>13</v>
      </c>
      <c r="M3862" s="2">
        <v>14.75</v>
      </c>
      <c r="N3862" s="2">
        <v>0.28042454500000003</v>
      </c>
      <c r="O3862" s="2">
        <v>0.41159286699999997</v>
      </c>
      <c r="P3862" s="2">
        <v>1.952260493</v>
      </c>
      <c r="Q3862" s="2">
        <v>1.9874515450000001</v>
      </c>
      <c r="R3862" s="2">
        <v>5.5821727000000002E-2</v>
      </c>
      <c r="S3862" s="2">
        <v>0.154178273</v>
      </c>
      <c r="T3862" s="2">
        <v>1.9514622639999999</v>
      </c>
      <c r="U3862" s="2">
        <v>1.9814622639999999</v>
      </c>
      <c r="V3862" s="2">
        <v>0.81864345199999999</v>
      </c>
      <c r="W3862" s="2">
        <v>0.98332693800000004</v>
      </c>
      <c r="X3862">
        <f t="shared" si="180"/>
        <v>0</v>
      </c>
      <c r="Y3862">
        <f t="shared" si="181"/>
        <v>0</v>
      </c>
      <c r="Z3862">
        <f t="shared" si="182"/>
        <v>0</v>
      </c>
    </row>
    <row r="3863" spans="1:26" ht="15.75" customHeight="1" x14ac:dyDescent="0.2">
      <c r="A3863" s="2" t="s">
        <v>36</v>
      </c>
      <c r="B3863" s="2" t="s">
        <v>35</v>
      </c>
      <c r="C3863" s="2" t="s">
        <v>32</v>
      </c>
      <c r="D3863" s="2" t="s">
        <v>33</v>
      </c>
      <c r="E3863" s="2">
        <v>241</v>
      </c>
      <c r="F3863" s="2">
        <v>168</v>
      </c>
      <c r="G3863" s="2">
        <v>590</v>
      </c>
      <c r="H3863" s="2">
        <v>1004</v>
      </c>
      <c r="I3863" s="2">
        <v>2714</v>
      </c>
      <c r="J3863" s="2">
        <v>1.59</v>
      </c>
      <c r="K3863" s="2">
        <v>5.68</v>
      </c>
      <c r="L3863" s="2">
        <v>8.5500000000000007</v>
      </c>
      <c r="M3863" s="2">
        <v>15.04</v>
      </c>
      <c r="N3863" s="2">
        <v>2.405458833</v>
      </c>
      <c r="O3863" s="2">
        <v>2.3090640790000001</v>
      </c>
      <c r="P3863" s="2">
        <v>2.8146273669999999</v>
      </c>
      <c r="Q3863" s="2">
        <v>2.8916159850000001</v>
      </c>
      <c r="R3863" s="2">
        <v>1.2957913999999999</v>
      </c>
      <c r="S3863" s="2">
        <v>1.5057913999999999</v>
      </c>
      <c r="T3863" s="2">
        <v>2.498609987</v>
      </c>
      <c r="U3863" s="2">
        <v>2.4686099869999998</v>
      </c>
      <c r="V3863" s="2">
        <v>2.1702565790000001</v>
      </c>
      <c r="W3863" s="2">
        <v>2.3349400650000001</v>
      </c>
      <c r="X3863">
        <f t="shared" si="180"/>
        <v>0</v>
      </c>
      <c r="Y3863">
        <f t="shared" si="181"/>
        <v>0</v>
      </c>
      <c r="Z3863">
        <f t="shared" si="182"/>
        <v>1</v>
      </c>
    </row>
    <row r="3864" spans="1:26" ht="15.75" customHeight="1" x14ac:dyDescent="0.2">
      <c r="A3864" s="2" t="s">
        <v>36</v>
      </c>
      <c r="B3864" s="2" t="s">
        <v>35</v>
      </c>
      <c r="C3864" s="2" t="s">
        <v>28</v>
      </c>
      <c r="D3864" s="2" t="s">
        <v>29</v>
      </c>
      <c r="E3864" s="2">
        <v>191</v>
      </c>
      <c r="F3864" s="2">
        <v>164</v>
      </c>
      <c r="G3864" s="2">
        <v>549</v>
      </c>
      <c r="H3864" s="2">
        <v>1006</v>
      </c>
      <c r="I3864" s="2">
        <v>2843</v>
      </c>
      <c r="J3864" s="2">
        <v>1.54</v>
      </c>
      <c r="K3864" s="2">
        <v>5.34</v>
      </c>
      <c r="L3864" s="2">
        <v>8.57</v>
      </c>
      <c r="M3864" s="2">
        <v>15.34</v>
      </c>
      <c r="N3864" s="2">
        <v>0.98698984300000003</v>
      </c>
      <c r="O3864" s="2">
        <v>1.1794482589999999</v>
      </c>
      <c r="P3864" s="2">
        <v>2.6623630390000002</v>
      </c>
      <c r="Q3864" s="2">
        <v>2.7176767769999999</v>
      </c>
      <c r="R3864" s="2">
        <v>0.95635711400000001</v>
      </c>
      <c r="S3864" s="2">
        <v>1.166357114</v>
      </c>
      <c r="T3864" s="2">
        <v>2.484664569</v>
      </c>
      <c r="U3864" s="2">
        <v>2.4546645690000002</v>
      </c>
      <c r="V3864" s="2">
        <v>1.830822293</v>
      </c>
      <c r="W3864" s="2">
        <v>1.9955057789999999</v>
      </c>
      <c r="X3864">
        <f t="shared" si="180"/>
        <v>0</v>
      </c>
      <c r="Y3864">
        <f t="shared" si="181"/>
        <v>0</v>
      </c>
      <c r="Z3864">
        <f t="shared" si="182"/>
        <v>1</v>
      </c>
    </row>
    <row r="3865" spans="1:26" ht="15.75" customHeight="1" x14ac:dyDescent="0.2">
      <c r="A3865" s="2" t="s">
        <v>36</v>
      </c>
      <c r="B3865" s="2" t="s">
        <v>35</v>
      </c>
      <c r="C3865" s="2" t="s">
        <v>26</v>
      </c>
      <c r="D3865" s="2" t="s">
        <v>26</v>
      </c>
      <c r="E3865" s="2">
        <v>234</v>
      </c>
      <c r="F3865" s="2">
        <v>157</v>
      </c>
      <c r="G3865" s="2">
        <v>422</v>
      </c>
      <c r="H3865" s="2">
        <v>1076</v>
      </c>
      <c r="I3865" s="2">
        <v>2589</v>
      </c>
      <c r="J3865" s="2">
        <v>1.45</v>
      </c>
      <c r="K3865" s="2">
        <v>4.22</v>
      </c>
      <c r="L3865" s="2">
        <v>8.9700000000000006</v>
      </c>
      <c r="M3865" s="2">
        <v>14.73</v>
      </c>
      <c r="N3865" s="2">
        <v>0.459776564</v>
      </c>
      <c r="O3865" s="2">
        <v>0.49582463799999998</v>
      </c>
      <c r="P3865" s="2">
        <v>2.084105654</v>
      </c>
      <c r="Q3865" s="2">
        <v>2.0488491290000002</v>
      </c>
      <c r="R3865" s="2">
        <v>0.15719882499999999</v>
      </c>
      <c r="S3865" s="2">
        <v>5.2801174999999999E-2</v>
      </c>
      <c r="T3865" s="2">
        <v>2.0781686430000001</v>
      </c>
      <c r="U3865" s="2">
        <v>2.0481686429999999</v>
      </c>
      <c r="V3865" s="2">
        <v>0.71726635400000005</v>
      </c>
      <c r="W3865" s="2">
        <v>0.88194983999999998</v>
      </c>
      <c r="X3865">
        <f t="shared" si="180"/>
        <v>0</v>
      </c>
      <c r="Y3865">
        <f t="shared" si="181"/>
        <v>0</v>
      </c>
      <c r="Z3865">
        <f t="shared" si="182"/>
        <v>0</v>
      </c>
    </row>
    <row r="3866" spans="1:26" ht="15.75" customHeight="1" x14ac:dyDescent="0.2">
      <c r="A3866" s="2" t="s">
        <v>36</v>
      </c>
      <c r="B3866" s="2" t="s">
        <v>35</v>
      </c>
      <c r="C3866" s="2" t="s">
        <v>30</v>
      </c>
      <c r="D3866" s="2" t="s">
        <v>31</v>
      </c>
      <c r="E3866" s="2">
        <v>155</v>
      </c>
      <c r="F3866" s="2">
        <v>161</v>
      </c>
      <c r="G3866" s="2">
        <v>566</v>
      </c>
      <c r="H3866" s="2">
        <v>1345</v>
      </c>
      <c r="I3866" s="2">
        <v>2802</v>
      </c>
      <c r="J3866" s="2">
        <v>1.5</v>
      </c>
      <c r="K3866" s="2">
        <v>5.48</v>
      </c>
      <c r="L3866" s="2">
        <v>10.38</v>
      </c>
      <c r="M3866" s="2">
        <v>15.24</v>
      </c>
      <c r="N3866" s="2">
        <v>2.754269055</v>
      </c>
      <c r="O3866" s="2">
        <v>2.885221101</v>
      </c>
      <c r="P3866" s="2">
        <v>1.284550764</v>
      </c>
      <c r="Q3866" s="2">
        <v>1.4546032870000001</v>
      </c>
      <c r="R3866" s="2">
        <v>1.0973079969999999</v>
      </c>
      <c r="S3866" s="2">
        <v>1.3073079970000001</v>
      </c>
      <c r="T3866" s="2">
        <v>0.66782170200000002</v>
      </c>
      <c r="U3866" s="2">
        <v>0.63782170199999999</v>
      </c>
      <c r="V3866" s="2">
        <v>1.9717731759999999</v>
      </c>
      <c r="W3866" s="2">
        <v>2.1364566620000001</v>
      </c>
      <c r="X3866">
        <f t="shared" si="180"/>
        <v>0</v>
      </c>
      <c r="Y3866">
        <f t="shared" si="181"/>
        <v>0</v>
      </c>
      <c r="Z3866">
        <f t="shared" si="182"/>
        <v>1</v>
      </c>
    </row>
    <row r="3867" spans="1:26" ht="15.75" customHeight="1" x14ac:dyDescent="0.2">
      <c r="A3867" s="2" t="s">
        <v>36</v>
      </c>
      <c r="B3867" s="2" t="s">
        <v>35</v>
      </c>
      <c r="C3867" s="2" t="s">
        <v>27</v>
      </c>
      <c r="D3867" s="2" t="s">
        <v>27</v>
      </c>
      <c r="E3867" s="2">
        <v>230</v>
      </c>
      <c r="F3867" s="2">
        <v>170</v>
      </c>
      <c r="G3867" s="2">
        <v>381</v>
      </c>
      <c r="H3867" s="2">
        <v>2034</v>
      </c>
      <c r="I3867" s="2">
        <v>2659</v>
      </c>
      <c r="J3867" s="2">
        <v>1.61</v>
      </c>
      <c r="K3867" s="2">
        <v>3.83</v>
      </c>
      <c r="L3867" s="2">
        <v>13.12</v>
      </c>
      <c r="M3867" s="2">
        <v>14.9</v>
      </c>
      <c r="N3867" s="2">
        <v>0.45295085099999999</v>
      </c>
      <c r="O3867" s="2">
        <v>0.31570478499999999</v>
      </c>
      <c r="P3867" s="2">
        <v>2.1442167030000001</v>
      </c>
      <c r="Q3867" s="2">
        <v>2.1301350999999999</v>
      </c>
      <c r="R3867" s="2">
        <v>0.54664673200000002</v>
      </c>
      <c r="S3867" s="2">
        <v>0.336646732</v>
      </c>
      <c r="T3867" s="2">
        <v>2.0733650479999999</v>
      </c>
      <c r="U3867" s="2">
        <v>2.1033650480000001</v>
      </c>
      <c r="V3867" s="2">
        <v>0.32781844700000001</v>
      </c>
      <c r="W3867" s="2">
        <v>0.492501933</v>
      </c>
      <c r="X3867">
        <f t="shared" si="180"/>
        <v>0</v>
      </c>
      <c r="Y3867">
        <f t="shared" si="181"/>
        <v>0</v>
      </c>
      <c r="Z3867">
        <f t="shared" si="182"/>
        <v>0</v>
      </c>
    </row>
    <row r="3868" spans="1:26" ht="15.75" customHeight="1" x14ac:dyDescent="0.2">
      <c r="A3868" s="2" t="s">
        <v>36</v>
      </c>
      <c r="B3868" s="2" t="s">
        <v>35</v>
      </c>
      <c r="C3868" s="2" t="s">
        <v>30</v>
      </c>
      <c r="D3868" s="2" t="s">
        <v>31</v>
      </c>
      <c r="E3868" s="2">
        <v>211</v>
      </c>
      <c r="F3868" s="2">
        <v>164</v>
      </c>
      <c r="G3868" s="2">
        <v>657</v>
      </c>
      <c r="H3868" s="2">
        <v>1298</v>
      </c>
      <c r="I3868" s="2">
        <v>2640</v>
      </c>
      <c r="J3868" s="2">
        <v>1.54</v>
      </c>
      <c r="K3868" s="2">
        <v>6.2</v>
      </c>
      <c r="L3868" s="2">
        <v>10.15</v>
      </c>
      <c r="M3868" s="2">
        <v>14.86</v>
      </c>
      <c r="N3868" s="2">
        <v>3.3496467270000001</v>
      </c>
      <c r="O3868" s="2">
        <v>3.5004233679999999</v>
      </c>
      <c r="P3868" s="2">
        <v>2.0327300340000001</v>
      </c>
      <c r="Q3868" s="2">
        <v>2.2110677160000001</v>
      </c>
      <c r="R3868" s="2">
        <v>1.8232297500000001</v>
      </c>
      <c r="S3868" s="2">
        <v>2.0332297499999998</v>
      </c>
      <c r="T3868" s="2">
        <v>0.89879066900000004</v>
      </c>
      <c r="U3868" s="2">
        <v>0.86879066900000002</v>
      </c>
      <c r="V3868" s="2">
        <v>2.6976949289999999</v>
      </c>
      <c r="W3868" s="2">
        <v>2.8623784149999998</v>
      </c>
      <c r="X3868">
        <f t="shared" si="180"/>
        <v>0</v>
      </c>
      <c r="Y3868">
        <f t="shared" si="181"/>
        <v>0</v>
      </c>
      <c r="Z3868">
        <f t="shared" si="182"/>
        <v>1</v>
      </c>
    </row>
    <row r="3869" spans="1:26" ht="15.75" customHeight="1" x14ac:dyDescent="0.2">
      <c r="A3869" s="2" t="s">
        <v>36</v>
      </c>
      <c r="B3869" s="2" t="s">
        <v>35</v>
      </c>
      <c r="C3869" s="2" t="s">
        <v>26</v>
      </c>
      <c r="D3869" s="2" t="s">
        <v>26</v>
      </c>
      <c r="E3869" s="2">
        <v>246</v>
      </c>
      <c r="F3869" s="2">
        <v>159</v>
      </c>
      <c r="G3869" s="2">
        <v>481</v>
      </c>
      <c r="H3869" s="2">
        <v>1123</v>
      </c>
      <c r="I3869" s="2">
        <v>2488</v>
      </c>
      <c r="J3869" s="2">
        <v>1.49</v>
      </c>
      <c r="K3869" s="2">
        <v>4.76</v>
      </c>
      <c r="L3869" s="2">
        <v>9.23</v>
      </c>
      <c r="M3869" s="2">
        <v>14.47</v>
      </c>
      <c r="N3869" s="2">
        <v>0.81248174299999998</v>
      </c>
      <c r="O3869" s="2">
        <v>0.96090499100000004</v>
      </c>
      <c r="P3869" s="2">
        <v>1.8546357019999999</v>
      </c>
      <c r="Q3869" s="2">
        <v>1.8797781339999999</v>
      </c>
      <c r="R3869" s="2">
        <v>0.37586018599999999</v>
      </c>
      <c r="S3869" s="2">
        <v>0.58586018600000001</v>
      </c>
      <c r="T3869" s="2">
        <v>1.816150519</v>
      </c>
      <c r="U3869" s="2">
        <v>1.786150519</v>
      </c>
      <c r="V3869" s="2">
        <v>1.2503253649999999</v>
      </c>
      <c r="W3869" s="2">
        <v>1.41500885</v>
      </c>
      <c r="X3869">
        <f t="shared" si="180"/>
        <v>0</v>
      </c>
      <c r="Y3869">
        <f t="shared" si="181"/>
        <v>0</v>
      </c>
      <c r="Z3869">
        <f t="shared" si="182"/>
        <v>0</v>
      </c>
    </row>
    <row r="3870" spans="1:26" ht="15.75" customHeight="1" x14ac:dyDescent="0.2">
      <c r="A3870" s="2" t="s">
        <v>36</v>
      </c>
      <c r="B3870" s="2" t="s">
        <v>35</v>
      </c>
      <c r="C3870" s="2" t="s">
        <v>26</v>
      </c>
      <c r="D3870" s="2" t="s">
        <v>26</v>
      </c>
      <c r="E3870" s="2">
        <v>187</v>
      </c>
      <c r="F3870" s="2">
        <v>164</v>
      </c>
      <c r="G3870" s="2">
        <v>451</v>
      </c>
      <c r="H3870" s="2">
        <v>1021</v>
      </c>
      <c r="I3870" s="2">
        <v>2656</v>
      </c>
      <c r="J3870" s="2">
        <v>1.54</v>
      </c>
      <c r="K3870" s="2">
        <v>4.4800000000000004</v>
      </c>
      <c r="L3870" s="2">
        <v>8.65</v>
      </c>
      <c r="M3870" s="2">
        <v>14.9</v>
      </c>
      <c r="N3870" s="2">
        <v>0.17877810799999999</v>
      </c>
      <c r="O3870" s="2">
        <v>0.36440551599999998</v>
      </c>
      <c r="P3870" s="2">
        <v>2.4016478299999999</v>
      </c>
      <c r="Q3870" s="2">
        <v>2.3899378819999999</v>
      </c>
      <c r="R3870" s="2">
        <v>0.10204646000000001</v>
      </c>
      <c r="S3870" s="2">
        <v>0.31204646000000003</v>
      </c>
      <c r="T3870" s="2">
        <v>2.3994788640000002</v>
      </c>
      <c r="U3870" s="2">
        <v>2.369478864</v>
      </c>
      <c r="V3870" s="2">
        <v>0.97651163900000004</v>
      </c>
      <c r="W3870" s="2">
        <v>1.1411951250000001</v>
      </c>
      <c r="X3870">
        <f t="shared" si="180"/>
        <v>0</v>
      </c>
      <c r="Y3870">
        <f t="shared" si="181"/>
        <v>0</v>
      </c>
      <c r="Z3870">
        <f t="shared" si="182"/>
        <v>0</v>
      </c>
    </row>
    <row r="3871" spans="1:26" ht="15.75" customHeight="1" x14ac:dyDescent="0.2">
      <c r="A3871" s="2" t="s">
        <v>36</v>
      </c>
      <c r="B3871" s="2" t="s">
        <v>35</v>
      </c>
      <c r="C3871" s="2" t="s">
        <v>26</v>
      </c>
      <c r="D3871" s="2" t="s">
        <v>26</v>
      </c>
      <c r="E3871" s="2">
        <v>256</v>
      </c>
      <c r="F3871" s="2">
        <v>161</v>
      </c>
      <c r="G3871" s="2">
        <v>459</v>
      </c>
      <c r="H3871" s="2">
        <v>867</v>
      </c>
      <c r="I3871" s="2">
        <v>2675</v>
      </c>
      <c r="J3871" s="2">
        <v>1.51</v>
      </c>
      <c r="K3871" s="2">
        <v>4.5599999999999996</v>
      </c>
      <c r="L3871" s="2">
        <v>7.69</v>
      </c>
      <c r="M3871" s="2">
        <v>14.94</v>
      </c>
      <c r="N3871" s="2">
        <v>0.86583851099999998</v>
      </c>
      <c r="O3871" s="2">
        <v>0.885511889</v>
      </c>
      <c r="P3871" s="2">
        <v>3.3647779500000001</v>
      </c>
      <c r="Q3871" s="2">
        <v>3.3527285959999999</v>
      </c>
      <c r="R3871" s="2">
        <v>0.18013226800000001</v>
      </c>
      <c r="S3871" s="2">
        <v>0.390132268</v>
      </c>
      <c r="T3871" s="2">
        <v>3.3599528300000001</v>
      </c>
      <c r="U3871" s="2">
        <v>3.3299528299999999</v>
      </c>
      <c r="V3871" s="2">
        <v>1.0545974469999999</v>
      </c>
      <c r="W3871" s="2">
        <v>1.2192809330000001</v>
      </c>
      <c r="X3871">
        <f t="shared" si="180"/>
        <v>0</v>
      </c>
      <c r="Y3871">
        <f t="shared" si="181"/>
        <v>0</v>
      </c>
      <c r="Z3871">
        <f t="shared" si="182"/>
        <v>0</v>
      </c>
    </row>
    <row r="3872" spans="1:26" ht="15.75" customHeight="1" x14ac:dyDescent="0.2">
      <c r="A3872" s="2" t="s">
        <v>36</v>
      </c>
      <c r="B3872" s="2" t="s">
        <v>35</v>
      </c>
      <c r="C3872" s="2" t="s">
        <v>25</v>
      </c>
      <c r="D3872" s="2" t="s">
        <v>25</v>
      </c>
      <c r="E3872" s="2">
        <v>217</v>
      </c>
      <c r="F3872" s="2">
        <v>145</v>
      </c>
      <c r="G3872" s="2">
        <v>660</v>
      </c>
      <c r="H3872" s="2">
        <v>1390</v>
      </c>
      <c r="I3872" s="2">
        <v>2507</v>
      </c>
      <c r="J3872" s="2">
        <v>1.31</v>
      </c>
      <c r="K3872" s="2">
        <v>6.22</v>
      </c>
      <c r="L3872" s="2">
        <v>10.6</v>
      </c>
      <c r="M3872" s="2">
        <v>14.52</v>
      </c>
      <c r="N3872" s="2">
        <v>0.43210556100000003</v>
      </c>
      <c r="O3872" s="2">
        <v>0.64750504499999995</v>
      </c>
      <c r="P3872" s="2">
        <v>1.896331532</v>
      </c>
      <c r="Q3872" s="2">
        <v>2.094536454</v>
      </c>
      <c r="R3872" s="2">
        <v>1.841112101</v>
      </c>
      <c r="S3872" s="2">
        <v>2.0511121010000002</v>
      </c>
      <c r="T3872" s="2">
        <v>0.45429012000000002</v>
      </c>
      <c r="U3872" s="2">
        <v>0.42429011999999999</v>
      </c>
      <c r="V3872" s="2">
        <v>2.7155772800000002</v>
      </c>
      <c r="W3872" s="2">
        <v>2.8802607660000001</v>
      </c>
      <c r="X3872">
        <f t="shared" si="180"/>
        <v>0</v>
      </c>
      <c r="Y3872">
        <f t="shared" si="181"/>
        <v>0</v>
      </c>
      <c r="Z3872">
        <f t="shared" si="182"/>
        <v>0</v>
      </c>
    </row>
    <row r="3873" spans="1:26" ht="15.75" customHeight="1" x14ac:dyDescent="0.2">
      <c r="A3873" s="2" t="s">
        <v>36</v>
      </c>
      <c r="B3873" s="2" t="s">
        <v>35</v>
      </c>
      <c r="C3873" s="2" t="s">
        <v>25</v>
      </c>
      <c r="D3873" s="2" t="s">
        <v>25</v>
      </c>
      <c r="E3873" s="2">
        <v>208</v>
      </c>
      <c r="F3873" s="2">
        <v>159</v>
      </c>
      <c r="G3873" s="2">
        <v>591</v>
      </c>
      <c r="H3873" s="2">
        <v>1457</v>
      </c>
      <c r="I3873" s="2">
        <v>2560</v>
      </c>
      <c r="J3873" s="2">
        <v>1.48</v>
      </c>
      <c r="K3873" s="2">
        <v>5.68</v>
      </c>
      <c r="L3873" s="2">
        <v>10.9</v>
      </c>
      <c r="M3873" s="2">
        <v>14.65</v>
      </c>
      <c r="N3873" s="2">
        <v>0.27877416599999999</v>
      </c>
      <c r="O3873" s="2">
        <v>6.8130895999999996E-2</v>
      </c>
      <c r="P3873" s="2">
        <v>1.312272184</v>
      </c>
      <c r="Q3873" s="2">
        <v>1.5184812910000001</v>
      </c>
      <c r="R3873" s="2">
        <v>1.303867259</v>
      </c>
      <c r="S3873" s="2">
        <v>1.513867259</v>
      </c>
      <c r="T3873" s="2">
        <v>0.148285045</v>
      </c>
      <c r="U3873" s="2">
        <v>0.11828504500000001</v>
      </c>
      <c r="V3873" s="2">
        <v>2.178332438</v>
      </c>
      <c r="W3873" s="2">
        <v>2.3430159239999999</v>
      </c>
      <c r="X3873">
        <f t="shared" si="180"/>
        <v>0</v>
      </c>
      <c r="Y3873">
        <f t="shared" si="181"/>
        <v>0</v>
      </c>
      <c r="Z3873">
        <f t="shared" si="182"/>
        <v>0</v>
      </c>
    </row>
    <row r="3874" spans="1:26" ht="15.75" customHeight="1" x14ac:dyDescent="0.2">
      <c r="A3874" s="2" t="s">
        <v>36</v>
      </c>
      <c r="B3874" s="2" t="s">
        <v>35</v>
      </c>
      <c r="C3874" s="2" t="s">
        <v>25</v>
      </c>
      <c r="D3874" s="2" t="s">
        <v>25</v>
      </c>
      <c r="E3874" s="2">
        <v>156</v>
      </c>
      <c r="F3874" s="2">
        <v>165</v>
      </c>
      <c r="G3874" s="2">
        <v>572</v>
      </c>
      <c r="H3874" s="2">
        <v>1600</v>
      </c>
      <c r="I3874" s="2">
        <v>2607</v>
      </c>
      <c r="J3874" s="2">
        <v>1.56</v>
      </c>
      <c r="K3874" s="2">
        <v>5.53</v>
      </c>
      <c r="L3874" s="2">
        <v>11.52</v>
      </c>
      <c r="M3874" s="2">
        <v>14.77</v>
      </c>
      <c r="N3874" s="2">
        <v>0.72306580600000003</v>
      </c>
      <c r="O3874" s="2">
        <v>0.66844345800000005</v>
      </c>
      <c r="P3874" s="2">
        <v>1.242031868</v>
      </c>
      <c r="Q3874" s="2">
        <v>1.448659097</v>
      </c>
      <c r="R3874" s="2">
        <v>1.1493352640000001</v>
      </c>
      <c r="S3874" s="2">
        <v>1.359335264</v>
      </c>
      <c r="T3874" s="2">
        <v>0.47082014799999999</v>
      </c>
      <c r="U3874" s="2">
        <v>0.50082014799999997</v>
      </c>
      <c r="V3874" s="2">
        <v>2.0238004429999998</v>
      </c>
      <c r="W3874" s="2">
        <v>2.1884839290000002</v>
      </c>
      <c r="X3874">
        <f t="shared" si="180"/>
        <v>0</v>
      </c>
      <c r="Y3874">
        <f t="shared" si="181"/>
        <v>0</v>
      </c>
      <c r="Z3874">
        <f t="shared" si="182"/>
        <v>0</v>
      </c>
    </row>
    <row r="3875" spans="1:26" ht="15.75" customHeight="1" x14ac:dyDescent="0.2">
      <c r="A3875" s="2" t="s">
        <v>36</v>
      </c>
      <c r="B3875" s="2" t="s">
        <v>35</v>
      </c>
      <c r="C3875" s="2" t="s">
        <v>28</v>
      </c>
      <c r="D3875" s="2" t="s">
        <v>29</v>
      </c>
      <c r="E3875" s="2">
        <v>224</v>
      </c>
      <c r="F3875" s="2">
        <v>169</v>
      </c>
      <c r="G3875" s="2">
        <v>484</v>
      </c>
      <c r="H3875" s="2">
        <v>1180</v>
      </c>
      <c r="I3875" s="2">
        <v>2747</v>
      </c>
      <c r="J3875" s="2">
        <v>1.6</v>
      </c>
      <c r="K3875" s="2">
        <v>4.78</v>
      </c>
      <c r="L3875" s="2">
        <v>9.5500000000000007</v>
      </c>
      <c r="M3875" s="2">
        <v>15.12</v>
      </c>
      <c r="N3875" s="2">
        <v>1.101020696</v>
      </c>
      <c r="O3875" s="2">
        <v>1.2306067110000001</v>
      </c>
      <c r="P3875" s="2">
        <v>1.556239151</v>
      </c>
      <c r="Q3875" s="2">
        <v>1.594703507</v>
      </c>
      <c r="R3875" s="2">
        <v>0.39641249499999998</v>
      </c>
      <c r="S3875" s="2">
        <v>0.60641249500000005</v>
      </c>
      <c r="T3875" s="2">
        <v>1.504904459</v>
      </c>
      <c r="U3875" s="2">
        <v>1.474904459</v>
      </c>
      <c r="V3875" s="2">
        <v>1.2708776740000001</v>
      </c>
      <c r="W3875" s="2">
        <v>1.43556116</v>
      </c>
      <c r="X3875">
        <f t="shared" si="180"/>
        <v>0</v>
      </c>
      <c r="Y3875">
        <f t="shared" si="181"/>
        <v>0</v>
      </c>
      <c r="Z3875">
        <f t="shared" si="182"/>
        <v>1</v>
      </c>
    </row>
    <row r="3876" spans="1:26" ht="15.75" customHeight="1" x14ac:dyDescent="0.2">
      <c r="A3876" s="2" t="s">
        <v>36</v>
      </c>
      <c r="B3876" s="2" t="s">
        <v>35</v>
      </c>
      <c r="C3876" s="2" t="s">
        <v>30</v>
      </c>
      <c r="D3876" s="2" t="s">
        <v>31</v>
      </c>
      <c r="E3876" s="2">
        <v>237</v>
      </c>
      <c r="F3876" s="2">
        <v>170</v>
      </c>
      <c r="G3876" s="2">
        <v>667</v>
      </c>
      <c r="H3876" s="2">
        <v>1234</v>
      </c>
      <c r="I3876" s="2">
        <v>2698</v>
      </c>
      <c r="J3876" s="2">
        <v>1.61</v>
      </c>
      <c r="K3876" s="2">
        <v>6.28</v>
      </c>
      <c r="L3876" s="2">
        <v>9.83</v>
      </c>
      <c r="M3876" s="2">
        <v>15</v>
      </c>
      <c r="N3876" s="2">
        <v>3.652559825</v>
      </c>
      <c r="O3876" s="2">
        <v>3.798523232</v>
      </c>
      <c r="P3876" s="2">
        <v>2.257802935</v>
      </c>
      <c r="Q3876" s="2">
        <v>2.4222529910000001</v>
      </c>
      <c r="R3876" s="2">
        <v>1.8996447599999999</v>
      </c>
      <c r="S3876" s="2">
        <v>2.1096447600000001</v>
      </c>
      <c r="T3876" s="2">
        <v>1.2202556609999999</v>
      </c>
      <c r="U3876" s="2">
        <v>1.1902556609999999</v>
      </c>
      <c r="V3876" s="2">
        <v>2.7741099390000001</v>
      </c>
      <c r="W3876" s="2">
        <v>2.9387934250000001</v>
      </c>
      <c r="X3876">
        <f t="shared" si="180"/>
        <v>0</v>
      </c>
      <c r="Y3876">
        <f t="shared" si="181"/>
        <v>0</v>
      </c>
      <c r="Z3876">
        <f t="shared" si="182"/>
        <v>1</v>
      </c>
    </row>
    <row r="3877" spans="1:26" ht="15.75" customHeight="1" x14ac:dyDescent="0.2">
      <c r="A3877" s="2" t="s">
        <v>36</v>
      </c>
      <c r="B3877" s="2" t="s">
        <v>35</v>
      </c>
      <c r="C3877" s="2" t="s">
        <v>32</v>
      </c>
      <c r="D3877" s="2" t="s">
        <v>33</v>
      </c>
      <c r="E3877" s="2">
        <v>273</v>
      </c>
      <c r="F3877" s="2">
        <v>158</v>
      </c>
      <c r="G3877" s="2">
        <v>598</v>
      </c>
      <c r="H3877" s="2">
        <v>1024</v>
      </c>
      <c r="I3877" s="2">
        <v>2709</v>
      </c>
      <c r="J3877" s="2">
        <v>1.47</v>
      </c>
      <c r="K3877" s="2">
        <v>5.73</v>
      </c>
      <c r="L3877" s="2">
        <v>8.67</v>
      </c>
      <c r="M3877" s="2">
        <v>15.03</v>
      </c>
      <c r="N3877" s="2">
        <v>2.2809232480000001</v>
      </c>
      <c r="O3877" s="2">
        <v>2.1922951159999999</v>
      </c>
      <c r="P3877" s="2">
        <v>2.7384385459999998</v>
      </c>
      <c r="Q3877" s="2">
        <v>2.8231725019999998</v>
      </c>
      <c r="R3877" s="2">
        <v>1.3548677179999999</v>
      </c>
      <c r="S3877" s="2">
        <v>1.5648677179999999</v>
      </c>
      <c r="T3877" s="2">
        <v>2.3797855229999998</v>
      </c>
      <c r="U3877" s="2">
        <v>2.349785523</v>
      </c>
      <c r="V3877" s="2">
        <v>2.2293328969999999</v>
      </c>
      <c r="W3877" s="2">
        <v>2.3940163829999999</v>
      </c>
      <c r="X3877">
        <f t="shared" si="180"/>
        <v>0</v>
      </c>
      <c r="Y3877">
        <f t="shared" si="181"/>
        <v>0</v>
      </c>
      <c r="Z3877">
        <f t="shared" si="182"/>
        <v>1</v>
      </c>
    </row>
    <row r="3878" spans="1:26" ht="15.75" customHeight="1" x14ac:dyDescent="0.2">
      <c r="A3878" s="2" t="s">
        <v>36</v>
      </c>
      <c r="B3878" s="2" t="s">
        <v>35</v>
      </c>
      <c r="C3878" s="2" t="s">
        <v>26</v>
      </c>
      <c r="D3878" s="2" t="s">
        <v>26</v>
      </c>
      <c r="E3878" s="2">
        <v>269</v>
      </c>
      <c r="F3878" s="2">
        <v>154</v>
      </c>
      <c r="G3878" s="2">
        <v>403</v>
      </c>
      <c r="H3878" s="2">
        <v>952</v>
      </c>
      <c r="I3878" s="2">
        <v>2560</v>
      </c>
      <c r="J3878" s="2">
        <v>1.43</v>
      </c>
      <c r="K3878" s="2">
        <v>4.04</v>
      </c>
      <c r="L3878" s="2">
        <v>8.23</v>
      </c>
      <c r="M3878" s="2">
        <v>14.65</v>
      </c>
      <c r="N3878" s="2">
        <v>0.42780783100000003</v>
      </c>
      <c r="O3878" s="2">
        <v>0.27382733599999998</v>
      </c>
      <c r="P3878" s="2">
        <v>2.837421451</v>
      </c>
      <c r="Q3878" s="2">
        <v>2.7901803040000002</v>
      </c>
      <c r="R3878" s="2">
        <v>0.33766398600000003</v>
      </c>
      <c r="S3878" s="2">
        <v>0.12766398600000001</v>
      </c>
      <c r="T3878" s="2">
        <v>2.8172581569999999</v>
      </c>
      <c r="U3878" s="2">
        <v>2.7872581570000001</v>
      </c>
      <c r="V3878" s="2">
        <v>0.53680119199999998</v>
      </c>
      <c r="W3878" s="2">
        <v>0.70148467800000003</v>
      </c>
      <c r="X3878">
        <f t="shared" si="180"/>
        <v>0</v>
      </c>
      <c r="Y3878">
        <f t="shared" si="181"/>
        <v>0</v>
      </c>
      <c r="Z3878">
        <f t="shared" si="182"/>
        <v>0</v>
      </c>
    </row>
    <row r="3879" spans="1:26" ht="15.75" customHeight="1" x14ac:dyDescent="0.2">
      <c r="A3879" s="2" t="s">
        <v>36</v>
      </c>
      <c r="B3879" s="2" t="s">
        <v>35</v>
      </c>
      <c r="C3879" s="2" t="s">
        <v>32</v>
      </c>
      <c r="D3879" s="2" t="s">
        <v>33</v>
      </c>
      <c r="E3879" s="2">
        <v>171</v>
      </c>
      <c r="F3879" s="2">
        <v>156</v>
      </c>
      <c r="G3879" s="2">
        <v>597</v>
      </c>
      <c r="H3879" s="2">
        <v>963</v>
      </c>
      <c r="I3879" s="2">
        <v>2629</v>
      </c>
      <c r="J3879" s="2">
        <v>1.45</v>
      </c>
      <c r="K3879" s="2">
        <v>5.73</v>
      </c>
      <c r="L3879" s="2">
        <v>8.3000000000000007</v>
      </c>
      <c r="M3879" s="2">
        <v>14.83</v>
      </c>
      <c r="N3879" s="2">
        <v>2.6471045219999998</v>
      </c>
      <c r="O3879" s="2">
        <v>2.5593245649999998</v>
      </c>
      <c r="P3879" s="2">
        <v>3.0620229349999999</v>
      </c>
      <c r="Q3879" s="2">
        <v>3.1343367949999998</v>
      </c>
      <c r="R3879" s="2">
        <v>1.3521897810000001</v>
      </c>
      <c r="S3879" s="2">
        <v>1.5621897810000001</v>
      </c>
      <c r="T3879" s="2">
        <v>2.747283613</v>
      </c>
      <c r="U3879" s="2">
        <v>2.7172836130000002</v>
      </c>
      <c r="V3879" s="2">
        <v>2.2266549599999998</v>
      </c>
      <c r="W3879" s="2">
        <v>2.3913384459999998</v>
      </c>
      <c r="X3879">
        <f t="shared" si="180"/>
        <v>0</v>
      </c>
      <c r="Y3879">
        <f t="shared" si="181"/>
        <v>0</v>
      </c>
      <c r="Z3879">
        <f t="shared" si="182"/>
        <v>1</v>
      </c>
    </row>
    <row r="3880" spans="1:26" ht="15.75" customHeight="1" x14ac:dyDescent="0.2">
      <c r="A3880" s="2" t="s">
        <v>36</v>
      </c>
      <c r="B3880" s="2" t="s">
        <v>35</v>
      </c>
      <c r="C3880" s="2" t="s">
        <v>28</v>
      </c>
      <c r="D3880" s="2" t="s">
        <v>29</v>
      </c>
      <c r="E3880" s="2">
        <v>285</v>
      </c>
      <c r="F3880" s="2">
        <v>172</v>
      </c>
      <c r="G3880" s="2">
        <v>561</v>
      </c>
      <c r="H3880" s="2">
        <v>1169</v>
      </c>
      <c r="I3880" s="2">
        <v>2533</v>
      </c>
      <c r="J3880" s="2">
        <v>1.63</v>
      </c>
      <c r="K3880" s="2">
        <v>5.44</v>
      </c>
      <c r="L3880" s="2">
        <v>9.48</v>
      </c>
      <c r="M3880" s="2">
        <v>14.59</v>
      </c>
      <c r="N3880" s="2">
        <v>1.4458647529999999</v>
      </c>
      <c r="O3880" s="2">
        <v>1.6239676869999999</v>
      </c>
      <c r="P3880" s="2">
        <v>1.888414466</v>
      </c>
      <c r="Q3880" s="2">
        <v>1.990155355</v>
      </c>
      <c r="R3880" s="2">
        <v>1.0560491869999999</v>
      </c>
      <c r="S3880" s="2">
        <v>1.2660491869999999</v>
      </c>
      <c r="T3880" s="2">
        <v>1.5655252500000001</v>
      </c>
      <c r="U3880" s="2">
        <v>1.5355252500000001</v>
      </c>
      <c r="V3880" s="2">
        <v>1.9305143659999999</v>
      </c>
      <c r="W3880" s="2">
        <v>2.0951978520000001</v>
      </c>
      <c r="X3880">
        <f t="shared" si="180"/>
        <v>0</v>
      </c>
      <c r="Y3880">
        <f t="shared" si="181"/>
        <v>0</v>
      </c>
      <c r="Z3880">
        <f t="shared" si="182"/>
        <v>1</v>
      </c>
    </row>
    <row r="3881" spans="1:26" ht="15.75" customHeight="1" x14ac:dyDescent="0.2">
      <c r="A3881" s="2" t="s">
        <v>36</v>
      </c>
      <c r="B3881" s="2" t="s">
        <v>35</v>
      </c>
      <c r="C3881" s="2" t="s">
        <v>32</v>
      </c>
      <c r="D3881" s="2" t="s">
        <v>33</v>
      </c>
      <c r="E3881" s="2">
        <v>213</v>
      </c>
      <c r="F3881" s="2">
        <v>160</v>
      </c>
      <c r="G3881" s="2">
        <v>594</v>
      </c>
      <c r="H3881" s="2">
        <v>1048</v>
      </c>
      <c r="I3881" s="2">
        <v>2863</v>
      </c>
      <c r="J3881" s="2">
        <v>1.5</v>
      </c>
      <c r="K3881" s="2">
        <v>5.71</v>
      </c>
      <c r="L3881" s="2">
        <v>8.81</v>
      </c>
      <c r="M3881" s="2">
        <v>15.38</v>
      </c>
      <c r="N3881" s="2">
        <v>2.1463749889999999</v>
      </c>
      <c r="O3881" s="2">
        <v>2.0526023019999999</v>
      </c>
      <c r="P3881" s="2">
        <v>2.6037797459999998</v>
      </c>
      <c r="Q3881" s="2">
        <v>2.6919977909999999</v>
      </c>
      <c r="R3881" s="2">
        <v>1.3253719660000001</v>
      </c>
      <c r="S3881" s="2">
        <v>1.535371966</v>
      </c>
      <c r="T3881" s="2">
        <v>2.2412179980000002</v>
      </c>
      <c r="U3881" s="2">
        <v>2.211217998</v>
      </c>
      <c r="V3881" s="2">
        <v>2.199837144</v>
      </c>
      <c r="W3881" s="2">
        <v>2.3645206299999999</v>
      </c>
      <c r="X3881">
        <f t="shared" si="180"/>
        <v>0</v>
      </c>
      <c r="Y3881">
        <f t="shared" si="181"/>
        <v>0</v>
      </c>
      <c r="Z3881">
        <f t="shared" si="182"/>
        <v>1</v>
      </c>
    </row>
    <row r="3882" spans="1:26" ht="15.75" customHeight="1" x14ac:dyDescent="0.2">
      <c r="A3882" s="2" t="s">
        <v>36</v>
      </c>
      <c r="B3882" s="2" t="s">
        <v>35</v>
      </c>
      <c r="C3882" s="2" t="s">
        <v>25</v>
      </c>
      <c r="D3882" s="2" t="s">
        <v>25</v>
      </c>
      <c r="E3882" s="2">
        <v>207</v>
      </c>
      <c r="F3882" s="2">
        <v>155</v>
      </c>
      <c r="G3882" s="2">
        <v>592</v>
      </c>
      <c r="H3882" s="2">
        <v>1510</v>
      </c>
      <c r="I3882" s="2">
        <v>2469</v>
      </c>
      <c r="J3882" s="2">
        <v>1.43</v>
      </c>
      <c r="K3882" s="2">
        <v>5.69</v>
      </c>
      <c r="L3882" s="2">
        <v>11.14</v>
      </c>
      <c r="M3882" s="2">
        <v>14.42</v>
      </c>
      <c r="N3882" s="2">
        <v>0.33460150799999999</v>
      </c>
      <c r="O3882" s="2">
        <v>0.28287369099999998</v>
      </c>
      <c r="P3882" s="2">
        <v>1.312108557</v>
      </c>
      <c r="Q3882" s="2">
        <v>1.5237154740000001</v>
      </c>
      <c r="R3882" s="2">
        <v>1.309247649</v>
      </c>
      <c r="S3882" s="2">
        <v>1.519247649</v>
      </c>
      <c r="T3882" s="2">
        <v>8.6599423999999994E-2</v>
      </c>
      <c r="U3882" s="2">
        <v>0.11659942399999999</v>
      </c>
      <c r="V3882" s="2">
        <v>2.183712828</v>
      </c>
      <c r="W3882" s="2">
        <v>2.3483963139999999</v>
      </c>
      <c r="X3882">
        <f t="shared" si="180"/>
        <v>0</v>
      </c>
      <c r="Y3882">
        <f t="shared" si="181"/>
        <v>0</v>
      </c>
      <c r="Z3882">
        <f t="shared" si="182"/>
        <v>0</v>
      </c>
    </row>
    <row r="3883" spans="1:26" ht="15.75" customHeight="1" x14ac:dyDescent="0.2">
      <c r="A3883" s="2" t="s">
        <v>36</v>
      </c>
      <c r="B3883" s="2" t="s">
        <v>35</v>
      </c>
      <c r="C3883" s="2" t="s">
        <v>27</v>
      </c>
      <c r="D3883" s="2" t="s">
        <v>27</v>
      </c>
      <c r="E3883" s="2">
        <v>106</v>
      </c>
      <c r="F3883" s="2">
        <v>160</v>
      </c>
      <c r="G3883" s="2">
        <v>379</v>
      </c>
      <c r="H3883" s="2">
        <v>1907</v>
      </c>
      <c r="I3883" s="2">
        <v>2449</v>
      </c>
      <c r="J3883" s="2">
        <v>1.5</v>
      </c>
      <c r="K3883" s="2">
        <v>3.82</v>
      </c>
      <c r="L3883" s="2">
        <v>12.69</v>
      </c>
      <c r="M3883" s="2">
        <v>14.36</v>
      </c>
      <c r="N3883" s="2">
        <v>0.337750202</v>
      </c>
      <c r="O3883" s="2">
        <v>0.192780006</v>
      </c>
      <c r="P3883" s="2">
        <v>1.733926724</v>
      </c>
      <c r="Q3883" s="2">
        <v>1.706926988</v>
      </c>
      <c r="R3883" s="2">
        <v>0.56263892800000004</v>
      </c>
      <c r="S3883" s="2">
        <v>0.35263892800000002</v>
      </c>
      <c r="T3883" s="2">
        <v>1.6401034480000001</v>
      </c>
      <c r="U3883" s="2">
        <v>1.6701034480000001</v>
      </c>
      <c r="V3883" s="2">
        <v>0.31182625000000003</v>
      </c>
      <c r="W3883" s="2">
        <v>0.47650973600000002</v>
      </c>
      <c r="X3883">
        <f t="shared" si="180"/>
        <v>0</v>
      </c>
      <c r="Y3883">
        <f t="shared" si="181"/>
        <v>0</v>
      </c>
      <c r="Z3883">
        <f t="shared" si="182"/>
        <v>0</v>
      </c>
    </row>
    <row r="3884" spans="1:26" ht="15.75" customHeight="1" x14ac:dyDescent="0.2">
      <c r="A3884" s="2" t="s">
        <v>36</v>
      </c>
      <c r="B3884" s="2" t="s">
        <v>35</v>
      </c>
      <c r="C3884" s="2" t="s">
        <v>30</v>
      </c>
      <c r="D3884" s="2" t="s">
        <v>31</v>
      </c>
      <c r="E3884" s="2">
        <v>167</v>
      </c>
      <c r="F3884" s="2">
        <v>155</v>
      </c>
      <c r="G3884" s="2">
        <v>652</v>
      </c>
      <c r="H3884" s="2">
        <v>1219</v>
      </c>
      <c r="I3884" s="2">
        <v>2865</v>
      </c>
      <c r="J3884" s="2">
        <v>1.43</v>
      </c>
      <c r="K3884" s="2">
        <v>6.16</v>
      </c>
      <c r="L3884" s="2">
        <v>9.75</v>
      </c>
      <c r="M3884" s="2">
        <v>15.39</v>
      </c>
      <c r="N3884" s="2">
        <v>3.650836752</v>
      </c>
      <c r="O3884" s="2">
        <v>3.7918236570000001</v>
      </c>
      <c r="P3884" s="2">
        <v>2.2057484079999998</v>
      </c>
      <c r="Q3884" s="2">
        <v>2.3623905390000002</v>
      </c>
      <c r="R3884" s="2">
        <v>1.782235835</v>
      </c>
      <c r="S3884" s="2">
        <v>1.992235835</v>
      </c>
      <c r="T3884" s="2">
        <v>1.299600503</v>
      </c>
      <c r="U3884" s="2">
        <v>1.2696005029999999</v>
      </c>
      <c r="V3884" s="2">
        <v>2.6567010139999998</v>
      </c>
      <c r="W3884" s="2">
        <v>2.8213844990000001</v>
      </c>
      <c r="X3884">
        <f t="shared" si="180"/>
        <v>0</v>
      </c>
      <c r="Y3884">
        <f t="shared" si="181"/>
        <v>0</v>
      </c>
      <c r="Z3884">
        <f t="shared" si="182"/>
        <v>1</v>
      </c>
    </row>
    <row r="3885" spans="1:26" ht="15.75" customHeight="1" x14ac:dyDescent="0.2">
      <c r="A3885" s="2" t="s">
        <v>36</v>
      </c>
      <c r="B3885" s="2" t="s">
        <v>35</v>
      </c>
      <c r="C3885" s="2" t="s">
        <v>25</v>
      </c>
      <c r="D3885" s="2" t="s">
        <v>25</v>
      </c>
      <c r="E3885" s="2">
        <v>233</v>
      </c>
      <c r="F3885" s="2">
        <v>160</v>
      </c>
      <c r="G3885" s="2">
        <v>650</v>
      </c>
      <c r="H3885" s="2">
        <v>1455</v>
      </c>
      <c r="I3885" s="2">
        <v>2579</v>
      </c>
      <c r="J3885" s="2">
        <v>1.5</v>
      </c>
      <c r="K3885" s="2">
        <v>6.15</v>
      </c>
      <c r="L3885" s="2">
        <v>10.89</v>
      </c>
      <c r="M3885" s="2">
        <v>14.7</v>
      </c>
      <c r="N3885" s="2">
        <v>0.195575321</v>
      </c>
      <c r="O3885" s="2">
        <v>0.52032752999999998</v>
      </c>
      <c r="P3885" s="2">
        <v>1.776502027</v>
      </c>
      <c r="Q3885" s="2">
        <v>1.983576572</v>
      </c>
      <c r="R3885" s="2">
        <v>1.7693908819999999</v>
      </c>
      <c r="S3885" s="2">
        <v>1.9793908819999999</v>
      </c>
      <c r="T3885" s="2">
        <v>0.15879344000000001</v>
      </c>
      <c r="U3885" s="2">
        <v>0.12879344000000001</v>
      </c>
      <c r="V3885" s="2">
        <v>2.6438560610000001</v>
      </c>
      <c r="W3885" s="2">
        <v>2.8085395470000001</v>
      </c>
      <c r="X3885">
        <f t="shared" si="180"/>
        <v>0</v>
      </c>
      <c r="Y3885">
        <f t="shared" si="181"/>
        <v>0</v>
      </c>
      <c r="Z3885">
        <f t="shared" si="182"/>
        <v>0</v>
      </c>
    </row>
    <row r="3886" spans="1:26" ht="15.75" customHeight="1" x14ac:dyDescent="0.2">
      <c r="A3886" s="2" t="s">
        <v>36</v>
      </c>
      <c r="B3886" s="2" t="s">
        <v>35</v>
      </c>
      <c r="C3886" s="2" t="s">
        <v>30</v>
      </c>
      <c r="D3886" s="2" t="s">
        <v>31</v>
      </c>
      <c r="E3886" s="2">
        <v>160</v>
      </c>
      <c r="F3886" s="2">
        <v>164</v>
      </c>
      <c r="G3886" s="2">
        <v>555</v>
      </c>
      <c r="H3886" s="2">
        <v>1293</v>
      </c>
      <c r="I3886" s="2">
        <v>2627</v>
      </c>
      <c r="J3886" s="2">
        <v>1.54</v>
      </c>
      <c r="K3886" s="2">
        <v>5.39</v>
      </c>
      <c r="L3886" s="2">
        <v>10.119999999999999</v>
      </c>
      <c r="M3886" s="2">
        <v>14.83</v>
      </c>
      <c r="N3886" s="2">
        <v>2.9422449789999998</v>
      </c>
      <c r="O3886" s="2">
        <v>3.0628951729999998</v>
      </c>
      <c r="P3886" s="2">
        <v>1.367021254</v>
      </c>
      <c r="Q3886" s="2">
        <v>1.510260962</v>
      </c>
      <c r="R3886" s="2">
        <v>1.006322068</v>
      </c>
      <c r="S3886" s="2">
        <v>1.216322068</v>
      </c>
      <c r="T3886" s="2">
        <v>0.92523672899999998</v>
      </c>
      <c r="U3886" s="2">
        <v>0.89523672899999995</v>
      </c>
      <c r="V3886" s="2">
        <v>1.880787247</v>
      </c>
      <c r="W3886" s="2">
        <v>2.0454707320000001</v>
      </c>
      <c r="X3886">
        <f t="shared" si="180"/>
        <v>0</v>
      </c>
      <c r="Y3886">
        <f t="shared" si="181"/>
        <v>0</v>
      </c>
      <c r="Z3886">
        <f t="shared" si="182"/>
        <v>1</v>
      </c>
    </row>
    <row r="3887" spans="1:26" ht="15.75" customHeight="1" x14ac:dyDescent="0.2">
      <c r="A3887" s="2" t="s">
        <v>36</v>
      </c>
      <c r="B3887" s="2" t="s">
        <v>35</v>
      </c>
      <c r="C3887" s="2" t="s">
        <v>25</v>
      </c>
      <c r="D3887" s="2" t="s">
        <v>25</v>
      </c>
      <c r="E3887" s="2">
        <v>168</v>
      </c>
      <c r="F3887" s="2">
        <v>151</v>
      </c>
      <c r="G3887" s="2">
        <v>694</v>
      </c>
      <c r="H3887" s="2">
        <v>1313</v>
      </c>
      <c r="I3887" s="2">
        <v>2729</v>
      </c>
      <c r="J3887" s="2">
        <v>1.39</v>
      </c>
      <c r="K3887" s="2">
        <v>6.48</v>
      </c>
      <c r="L3887" s="2">
        <v>10.220000000000001</v>
      </c>
      <c r="M3887" s="2">
        <v>15.07</v>
      </c>
      <c r="N3887" s="2">
        <v>0.74892768600000004</v>
      </c>
      <c r="O3887" s="2">
        <v>0.78313608000000001</v>
      </c>
      <c r="P3887" s="2">
        <v>1.928662179</v>
      </c>
      <c r="Q3887" s="2">
        <v>2.0239236630000002</v>
      </c>
      <c r="R3887" s="2">
        <v>1.820602864</v>
      </c>
      <c r="S3887" s="2">
        <v>1.980602864</v>
      </c>
      <c r="T3887" s="2">
        <v>0.636508454</v>
      </c>
      <c r="U3887" s="2">
        <v>0.41650845399999997</v>
      </c>
      <c r="V3887" s="2">
        <v>2.7930188629999999</v>
      </c>
      <c r="W3887" s="2">
        <v>2.9326730379999999</v>
      </c>
      <c r="X3887">
        <f t="shared" si="180"/>
        <v>0</v>
      </c>
      <c r="Y3887">
        <f t="shared" si="181"/>
        <v>0</v>
      </c>
      <c r="Z3887">
        <f t="shared" si="182"/>
        <v>0</v>
      </c>
    </row>
    <row r="3888" spans="1:26" ht="15.75" customHeight="1" x14ac:dyDescent="0.2">
      <c r="A3888" s="2" t="s">
        <v>36</v>
      </c>
      <c r="B3888" s="2" t="s">
        <v>35</v>
      </c>
      <c r="C3888" s="2" t="s">
        <v>26</v>
      </c>
      <c r="D3888" s="2" t="s">
        <v>26</v>
      </c>
      <c r="E3888" s="2">
        <v>164</v>
      </c>
      <c r="F3888" s="2">
        <v>167</v>
      </c>
      <c r="G3888" s="2">
        <v>548</v>
      </c>
      <c r="H3888" s="2">
        <v>1171</v>
      </c>
      <c r="I3888" s="2">
        <v>2690</v>
      </c>
      <c r="J3888" s="2">
        <v>1.57</v>
      </c>
      <c r="K3888" s="2">
        <v>5.33</v>
      </c>
      <c r="L3888" s="2">
        <v>9.5</v>
      </c>
      <c r="M3888" s="2">
        <v>14.98</v>
      </c>
      <c r="N3888" s="2">
        <v>0.11295748</v>
      </c>
      <c r="O3888" s="2">
        <v>0.70683034199999994</v>
      </c>
      <c r="P3888" s="2">
        <v>1.5207324250000001</v>
      </c>
      <c r="Q3888" s="2">
        <v>1.4144858010000001</v>
      </c>
      <c r="R3888" s="2">
        <v>0.67079069800000002</v>
      </c>
      <c r="S3888" s="2">
        <v>0.83079069800000005</v>
      </c>
      <c r="T3888" s="2">
        <v>1.3647955709999999</v>
      </c>
      <c r="U3888" s="2">
        <v>1.144795571</v>
      </c>
      <c r="V3888" s="2">
        <v>1.6432066970000001</v>
      </c>
      <c r="W3888" s="2">
        <v>1.7828608720000001</v>
      </c>
      <c r="X3888">
        <f t="shared" si="180"/>
        <v>0</v>
      </c>
      <c r="Y3888">
        <f t="shared" si="181"/>
        <v>0</v>
      </c>
      <c r="Z3888">
        <f t="shared" si="182"/>
        <v>0</v>
      </c>
    </row>
    <row r="3889" spans="1:26" ht="15.75" customHeight="1" x14ac:dyDescent="0.2">
      <c r="A3889" s="2" t="s">
        <v>36</v>
      </c>
      <c r="B3889" s="2" t="s">
        <v>35</v>
      </c>
      <c r="C3889" s="2" t="s">
        <v>27</v>
      </c>
      <c r="D3889" s="2" t="s">
        <v>27</v>
      </c>
      <c r="E3889" s="2">
        <v>140</v>
      </c>
      <c r="F3889" s="2">
        <v>163</v>
      </c>
      <c r="G3889" s="2">
        <v>427</v>
      </c>
      <c r="H3889" s="2">
        <v>1639</v>
      </c>
      <c r="I3889" s="2">
        <v>2407</v>
      </c>
      <c r="J3889" s="2">
        <v>1.53</v>
      </c>
      <c r="K3889" s="2">
        <v>4.2699999999999996</v>
      </c>
      <c r="L3889" s="2">
        <v>11.68</v>
      </c>
      <c r="M3889" s="2">
        <v>14.25</v>
      </c>
      <c r="N3889" s="2">
        <v>0.27862671300000003</v>
      </c>
      <c r="O3889" s="2">
        <v>0.22691411</v>
      </c>
      <c r="P3889" s="2">
        <v>0.90667875799999997</v>
      </c>
      <c r="Q3889" s="2">
        <v>1.063429143</v>
      </c>
      <c r="R3889" s="2">
        <v>0.391002513</v>
      </c>
      <c r="S3889" s="2">
        <v>0.23100251299999999</v>
      </c>
      <c r="T3889" s="2">
        <v>0.81803630999999999</v>
      </c>
      <c r="U3889" s="2">
        <v>1.0380363100000001</v>
      </c>
      <c r="V3889" s="2">
        <v>0.58141348599999998</v>
      </c>
      <c r="W3889" s="2">
        <v>0.72106766099999997</v>
      </c>
      <c r="X3889">
        <f t="shared" si="180"/>
        <v>0</v>
      </c>
      <c r="Y3889">
        <f t="shared" si="181"/>
        <v>0</v>
      </c>
      <c r="Z3889">
        <f t="shared" si="182"/>
        <v>0</v>
      </c>
    </row>
    <row r="3890" spans="1:26" ht="15.75" customHeight="1" x14ac:dyDescent="0.2">
      <c r="A3890" s="2" t="s">
        <v>36</v>
      </c>
      <c r="B3890" s="2" t="s">
        <v>35</v>
      </c>
      <c r="C3890" s="2" t="s">
        <v>28</v>
      </c>
      <c r="D3890" s="2" t="s">
        <v>29</v>
      </c>
      <c r="E3890" s="2">
        <v>160</v>
      </c>
      <c r="F3890" s="2">
        <v>158</v>
      </c>
      <c r="G3890" s="2">
        <v>530</v>
      </c>
      <c r="H3890" s="2">
        <v>1411</v>
      </c>
      <c r="I3890" s="2">
        <v>2079</v>
      </c>
      <c r="J3890" s="2">
        <v>1.47</v>
      </c>
      <c r="K3890" s="2">
        <v>5.18</v>
      </c>
      <c r="L3890" s="2">
        <v>10.69</v>
      </c>
      <c r="M3890" s="2">
        <v>13.27</v>
      </c>
      <c r="N3890" s="2">
        <v>1.29350323</v>
      </c>
      <c r="O3890" s="2">
        <v>1.7892237499999999</v>
      </c>
      <c r="P3890" s="2">
        <v>0.54638443699999995</v>
      </c>
      <c r="Q3890" s="2">
        <v>0.68123223899999996</v>
      </c>
      <c r="R3890" s="2">
        <v>0.51937090100000005</v>
      </c>
      <c r="S3890" s="2">
        <v>0.67937090099999997</v>
      </c>
      <c r="T3890" s="2">
        <v>0.16967563299999999</v>
      </c>
      <c r="U3890" s="2">
        <v>5.0324367000000002E-2</v>
      </c>
      <c r="V3890" s="2">
        <v>1.4917868999999999</v>
      </c>
      <c r="W3890" s="2">
        <v>1.6314410749999999</v>
      </c>
      <c r="X3890">
        <f t="shared" si="180"/>
        <v>0</v>
      </c>
      <c r="Y3890">
        <f t="shared" si="181"/>
        <v>0</v>
      </c>
      <c r="Z3890">
        <f t="shared" si="182"/>
        <v>1</v>
      </c>
    </row>
    <row r="3891" spans="1:26" ht="15.75" customHeight="1" x14ac:dyDescent="0.2">
      <c r="A3891" s="2" t="s">
        <v>36</v>
      </c>
      <c r="B3891" s="2" t="s">
        <v>35</v>
      </c>
      <c r="C3891" s="2" t="s">
        <v>30</v>
      </c>
      <c r="D3891" s="2" t="s">
        <v>31</v>
      </c>
      <c r="E3891" s="2">
        <v>176</v>
      </c>
      <c r="F3891" s="2">
        <v>156</v>
      </c>
      <c r="G3891" s="2">
        <v>627</v>
      </c>
      <c r="H3891" s="2">
        <v>1423</v>
      </c>
      <c r="I3891" s="2">
        <v>2658</v>
      </c>
      <c r="J3891" s="2">
        <v>1.45</v>
      </c>
      <c r="K3891" s="2">
        <v>5.97</v>
      </c>
      <c r="L3891" s="2">
        <v>10.75</v>
      </c>
      <c r="M3891" s="2">
        <v>14.9</v>
      </c>
      <c r="N3891" s="2">
        <v>1.8609773270000001</v>
      </c>
      <c r="O3891" s="2">
        <v>1.983787652</v>
      </c>
      <c r="P3891" s="2">
        <v>1.315422131</v>
      </c>
      <c r="Q3891" s="2">
        <v>1.47422963</v>
      </c>
      <c r="R3891" s="2">
        <v>1.310440608</v>
      </c>
      <c r="S3891" s="2">
        <v>1.4704406080000001</v>
      </c>
      <c r="T3891" s="2">
        <v>0.11437130500000001</v>
      </c>
      <c r="U3891" s="2">
        <v>0.10562869499999999</v>
      </c>
      <c r="V3891" s="2">
        <v>2.2828566079999999</v>
      </c>
      <c r="W3891" s="2">
        <v>2.4225107819999998</v>
      </c>
      <c r="X3891">
        <f t="shared" si="180"/>
        <v>0</v>
      </c>
      <c r="Y3891">
        <f t="shared" si="181"/>
        <v>0</v>
      </c>
      <c r="Z3891">
        <f t="shared" si="182"/>
        <v>1</v>
      </c>
    </row>
    <row r="3892" spans="1:26" ht="15.75" customHeight="1" x14ac:dyDescent="0.2">
      <c r="A3892" s="2" t="s">
        <v>36</v>
      </c>
      <c r="B3892" s="2" t="s">
        <v>35</v>
      </c>
      <c r="C3892" s="2" t="s">
        <v>26</v>
      </c>
      <c r="D3892" s="2" t="s">
        <v>26</v>
      </c>
      <c r="E3892" s="2">
        <v>141</v>
      </c>
      <c r="F3892" s="2">
        <v>164</v>
      </c>
      <c r="G3892" s="2">
        <v>498</v>
      </c>
      <c r="H3892" s="2">
        <v>820</v>
      </c>
      <c r="I3892" s="2">
        <v>2176</v>
      </c>
      <c r="J3892" s="2">
        <v>1.54</v>
      </c>
      <c r="K3892" s="2">
        <v>4.9000000000000004</v>
      </c>
      <c r="L3892" s="2">
        <v>7.38</v>
      </c>
      <c r="M3892" s="2">
        <v>13.58</v>
      </c>
      <c r="N3892" s="2">
        <v>2.0547463499999998</v>
      </c>
      <c r="O3892" s="2">
        <v>1.5420902400000001</v>
      </c>
      <c r="P3892" s="2">
        <v>3.4906023519999998</v>
      </c>
      <c r="Q3892" s="2">
        <v>3.2870235889999999</v>
      </c>
      <c r="R3892" s="2">
        <v>0.24470508499999999</v>
      </c>
      <c r="S3892" s="2">
        <v>0.40470508500000002</v>
      </c>
      <c r="T3892" s="2">
        <v>3.4820143880000001</v>
      </c>
      <c r="U3892" s="2">
        <v>3.2620143879999999</v>
      </c>
      <c r="V3892" s="2">
        <v>1.217121084</v>
      </c>
      <c r="W3892" s="2">
        <v>1.356775259</v>
      </c>
      <c r="X3892">
        <f t="shared" si="180"/>
        <v>0</v>
      </c>
      <c r="Y3892">
        <f t="shared" si="181"/>
        <v>0</v>
      </c>
      <c r="Z3892">
        <f t="shared" si="182"/>
        <v>0</v>
      </c>
    </row>
    <row r="3893" spans="1:26" ht="15.75" customHeight="1" x14ac:dyDescent="0.2">
      <c r="A3893" s="2" t="s">
        <v>36</v>
      </c>
      <c r="B3893" s="2" t="s">
        <v>35</v>
      </c>
      <c r="C3893" s="2" t="s">
        <v>28</v>
      </c>
      <c r="D3893" s="2" t="s">
        <v>29</v>
      </c>
      <c r="E3893" s="2">
        <v>178</v>
      </c>
      <c r="F3893" s="2">
        <v>162</v>
      </c>
      <c r="G3893" s="2">
        <v>554</v>
      </c>
      <c r="H3893" s="2">
        <v>1633</v>
      </c>
      <c r="I3893" s="2">
        <v>2407</v>
      </c>
      <c r="J3893" s="2">
        <v>1.52</v>
      </c>
      <c r="K3893" s="2">
        <v>5.38</v>
      </c>
      <c r="L3893" s="2">
        <v>11.65</v>
      </c>
      <c r="M3893" s="2">
        <v>14.25</v>
      </c>
      <c r="N3893" s="2">
        <v>2.2562368789999998</v>
      </c>
      <c r="O3893" s="2">
        <v>2.7717533579999998</v>
      </c>
      <c r="P3893" s="2">
        <v>1.070243131</v>
      </c>
      <c r="Q3893" s="2">
        <v>1.341040617</v>
      </c>
      <c r="R3893" s="2">
        <v>0.71801113800000005</v>
      </c>
      <c r="S3893" s="2">
        <v>0.87801113799999997</v>
      </c>
      <c r="T3893" s="2">
        <v>0.79365002799999995</v>
      </c>
      <c r="U3893" s="2">
        <v>1.013650028</v>
      </c>
      <c r="V3893" s="2">
        <v>1.6904271369999999</v>
      </c>
      <c r="W3893" s="2">
        <v>1.8300813119999999</v>
      </c>
      <c r="X3893">
        <f t="shared" si="180"/>
        <v>0</v>
      </c>
      <c r="Y3893">
        <f t="shared" si="181"/>
        <v>0</v>
      </c>
      <c r="Z3893">
        <f t="shared" si="182"/>
        <v>1</v>
      </c>
    </row>
    <row r="3894" spans="1:26" ht="15.75" customHeight="1" x14ac:dyDescent="0.2">
      <c r="A3894" s="2" t="s">
        <v>36</v>
      </c>
      <c r="B3894" s="2" t="s">
        <v>35</v>
      </c>
      <c r="C3894" s="2" t="s">
        <v>32</v>
      </c>
      <c r="D3894" s="2" t="s">
        <v>33</v>
      </c>
      <c r="E3894" s="2">
        <v>198</v>
      </c>
      <c r="F3894" s="2">
        <v>164</v>
      </c>
      <c r="G3894" s="2">
        <v>697</v>
      </c>
      <c r="H3894" s="2">
        <v>978</v>
      </c>
      <c r="I3894" s="2">
        <v>2078</v>
      </c>
      <c r="J3894" s="2">
        <v>1.54</v>
      </c>
      <c r="K3894" s="2">
        <v>6.51</v>
      </c>
      <c r="L3894" s="2">
        <v>8.39</v>
      </c>
      <c r="M3894" s="2">
        <v>13.27</v>
      </c>
      <c r="N3894" s="2">
        <v>2.1925241689999999</v>
      </c>
      <c r="O3894" s="2">
        <v>2.1631357109999998</v>
      </c>
      <c r="P3894" s="2">
        <v>3.0796651060000002</v>
      </c>
      <c r="Q3894" s="2">
        <v>3.0106573220000001</v>
      </c>
      <c r="R3894" s="2">
        <v>1.845439037</v>
      </c>
      <c r="S3894" s="2">
        <v>2.0054390369999999</v>
      </c>
      <c r="T3894" s="2">
        <v>2.4655003400000002</v>
      </c>
      <c r="U3894" s="2">
        <v>2.24550034</v>
      </c>
      <c r="V3894" s="2">
        <v>2.8178550360000001</v>
      </c>
      <c r="W3894" s="2">
        <v>2.9575092110000001</v>
      </c>
      <c r="X3894">
        <f t="shared" si="180"/>
        <v>0</v>
      </c>
      <c r="Y3894">
        <f t="shared" si="181"/>
        <v>0</v>
      </c>
      <c r="Z3894">
        <f t="shared" si="182"/>
        <v>1</v>
      </c>
    </row>
    <row r="3895" spans="1:26" ht="15.75" customHeight="1" x14ac:dyDescent="0.2">
      <c r="A3895" s="2" t="s">
        <v>36</v>
      </c>
      <c r="B3895" s="2" t="s">
        <v>35</v>
      </c>
      <c r="C3895" s="2" t="s">
        <v>32</v>
      </c>
      <c r="D3895" s="2" t="s">
        <v>33</v>
      </c>
      <c r="E3895" s="2">
        <v>163</v>
      </c>
      <c r="F3895" s="2">
        <v>168</v>
      </c>
      <c r="G3895" s="2">
        <v>751</v>
      </c>
      <c r="H3895" s="2">
        <v>934</v>
      </c>
      <c r="I3895" s="2">
        <v>2143</v>
      </c>
      <c r="J3895" s="2">
        <v>1.59</v>
      </c>
      <c r="K3895" s="2">
        <v>6.89</v>
      </c>
      <c r="L3895" s="2">
        <v>8.1199999999999992</v>
      </c>
      <c r="M3895" s="2">
        <v>13.47</v>
      </c>
      <c r="N3895" s="2">
        <v>2.591973705</v>
      </c>
      <c r="O3895" s="2">
        <v>2.5694834000000002</v>
      </c>
      <c r="P3895" s="2">
        <v>3.532012398</v>
      </c>
      <c r="Q3895" s="2">
        <v>3.4728383539999998</v>
      </c>
      <c r="R3895" s="2">
        <v>2.2345105759999999</v>
      </c>
      <c r="S3895" s="2">
        <v>2.3945105760000001</v>
      </c>
      <c r="T3895" s="2">
        <v>2.7353380170000001</v>
      </c>
      <c r="U3895" s="2">
        <v>2.5153380169999999</v>
      </c>
      <c r="V3895" s="2">
        <v>3.2069265749999998</v>
      </c>
      <c r="W3895" s="2">
        <v>3.3465807500000002</v>
      </c>
      <c r="X3895">
        <f t="shared" si="180"/>
        <v>0</v>
      </c>
      <c r="Y3895">
        <f t="shared" si="181"/>
        <v>0</v>
      </c>
      <c r="Z3895">
        <f t="shared" si="182"/>
        <v>1</v>
      </c>
    </row>
    <row r="3896" spans="1:26" ht="15.75" customHeight="1" x14ac:dyDescent="0.2">
      <c r="A3896" s="2" t="s">
        <v>36</v>
      </c>
      <c r="B3896" s="2" t="s">
        <v>35</v>
      </c>
      <c r="C3896" s="2" t="s">
        <v>25</v>
      </c>
      <c r="D3896" s="2" t="s">
        <v>25</v>
      </c>
      <c r="E3896" s="2">
        <v>143</v>
      </c>
      <c r="F3896" s="2">
        <v>158</v>
      </c>
      <c r="G3896" s="2">
        <v>622</v>
      </c>
      <c r="H3896" s="2">
        <v>1451</v>
      </c>
      <c r="I3896" s="2">
        <v>2458</v>
      </c>
      <c r="J3896" s="2">
        <v>1.47</v>
      </c>
      <c r="K3896" s="2">
        <v>5.93</v>
      </c>
      <c r="L3896" s="2">
        <v>10.87</v>
      </c>
      <c r="M3896" s="2">
        <v>14.39</v>
      </c>
      <c r="N3896" s="2">
        <v>0.44346214299999998</v>
      </c>
      <c r="O3896" s="2">
        <v>0.50900510799999998</v>
      </c>
      <c r="P3896" s="2">
        <v>1.27118467</v>
      </c>
      <c r="Q3896" s="2">
        <v>1.4499853789999999</v>
      </c>
      <c r="R3896" s="2">
        <v>1.2711165609999999</v>
      </c>
      <c r="S3896" s="2">
        <v>1.4311165610000001</v>
      </c>
      <c r="T3896" s="2">
        <v>1.3158718E-2</v>
      </c>
      <c r="U3896" s="2">
        <v>0.23315871799999999</v>
      </c>
      <c r="V3896" s="2">
        <v>2.2435325609999999</v>
      </c>
      <c r="W3896" s="2">
        <v>2.3831867349999998</v>
      </c>
      <c r="X3896">
        <f t="shared" si="180"/>
        <v>0</v>
      </c>
      <c r="Y3896">
        <f t="shared" si="181"/>
        <v>0</v>
      </c>
      <c r="Z3896">
        <f t="shared" si="182"/>
        <v>0</v>
      </c>
    </row>
    <row r="3897" spans="1:26" ht="15.75" customHeight="1" x14ac:dyDescent="0.2">
      <c r="A3897" s="2" t="s">
        <v>36</v>
      </c>
      <c r="B3897" s="2" t="s">
        <v>35</v>
      </c>
      <c r="C3897" s="2" t="s">
        <v>32</v>
      </c>
      <c r="D3897" s="2" t="s">
        <v>33</v>
      </c>
      <c r="E3897" s="2">
        <v>110</v>
      </c>
      <c r="F3897" s="2">
        <v>170</v>
      </c>
      <c r="G3897" s="2">
        <v>591</v>
      </c>
      <c r="H3897" s="2">
        <v>1269</v>
      </c>
      <c r="I3897" s="2">
        <v>2366</v>
      </c>
      <c r="J3897" s="2">
        <v>1.61</v>
      </c>
      <c r="K3897" s="2">
        <v>5.68</v>
      </c>
      <c r="L3897" s="2">
        <v>10.01</v>
      </c>
      <c r="M3897" s="2">
        <v>14.13</v>
      </c>
      <c r="N3897" s="2">
        <v>0.462784007</v>
      </c>
      <c r="O3897" s="2">
        <v>0.40577448599999999</v>
      </c>
      <c r="P3897" s="2">
        <v>1.3289167449999999</v>
      </c>
      <c r="Q3897" s="2">
        <v>1.3380324260000001</v>
      </c>
      <c r="R3897" s="2">
        <v>1.0184840559999999</v>
      </c>
      <c r="S3897" s="2">
        <v>1.1784840560000001</v>
      </c>
      <c r="T3897" s="2">
        <v>0.85364509099999997</v>
      </c>
      <c r="U3897" s="2">
        <v>0.63364509099999999</v>
      </c>
      <c r="V3897" s="2">
        <v>1.9909000560000001</v>
      </c>
      <c r="W3897" s="2">
        <v>2.1305542310000001</v>
      </c>
      <c r="X3897">
        <f t="shared" si="180"/>
        <v>0</v>
      </c>
      <c r="Y3897">
        <f t="shared" si="181"/>
        <v>0</v>
      </c>
      <c r="Z3897">
        <f t="shared" si="182"/>
        <v>1</v>
      </c>
    </row>
    <row r="3898" spans="1:26" ht="15.75" customHeight="1" x14ac:dyDescent="0.2">
      <c r="A3898" s="2" t="s">
        <v>36</v>
      </c>
      <c r="B3898" s="2" t="s">
        <v>35</v>
      </c>
      <c r="C3898" s="2" t="s">
        <v>32</v>
      </c>
      <c r="D3898" s="2" t="s">
        <v>33</v>
      </c>
      <c r="E3898" s="2">
        <v>168</v>
      </c>
      <c r="F3898" s="2">
        <v>164</v>
      </c>
      <c r="G3898" s="2">
        <v>693</v>
      </c>
      <c r="H3898" s="2">
        <v>1197</v>
      </c>
      <c r="I3898" s="2">
        <v>2284</v>
      </c>
      <c r="J3898" s="2">
        <v>1.54</v>
      </c>
      <c r="K3898" s="2">
        <v>6.48</v>
      </c>
      <c r="L3898" s="2">
        <v>9.64</v>
      </c>
      <c r="M3898" s="2">
        <v>13.9</v>
      </c>
      <c r="N3898" s="2">
        <v>1.0854439440000001</v>
      </c>
      <c r="O3898" s="2">
        <v>1.082253406</v>
      </c>
      <c r="P3898" s="2">
        <v>2.1901174659999998</v>
      </c>
      <c r="Q3898" s="2">
        <v>2.216462994</v>
      </c>
      <c r="R3898" s="2">
        <v>1.8156281409999999</v>
      </c>
      <c r="S3898" s="2">
        <v>1.9756281410000001</v>
      </c>
      <c r="T3898" s="2">
        <v>1.2247893569999999</v>
      </c>
      <c r="U3898" s="2">
        <v>1.0047893569999999</v>
      </c>
      <c r="V3898" s="2">
        <v>2.7880441399999998</v>
      </c>
      <c r="W3898" s="2">
        <v>2.9276983150000002</v>
      </c>
      <c r="X3898">
        <f t="shared" si="180"/>
        <v>0</v>
      </c>
      <c r="Y3898">
        <f t="shared" si="181"/>
        <v>0</v>
      </c>
      <c r="Z3898">
        <f t="shared" si="182"/>
        <v>1</v>
      </c>
    </row>
    <row r="3899" spans="1:26" ht="15.75" customHeight="1" x14ac:dyDescent="0.2">
      <c r="A3899" s="2" t="s">
        <v>36</v>
      </c>
      <c r="B3899" s="2" t="s">
        <v>35</v>
      </c>
      <c r="C3899" s="2" t="s">
        <v>25</v>
      </c>
      <c r="D3899" s="2" t="s">
        <v>25</v>
      </c>
      <c r="E3899" s="2">
        <v>110</v>
      </c>
      <c r="F3899" s="2">
        <v>163</v>
      </c>
      <c r="G3899" s="2">
        <v>572</v>
      </c>
      <c r="H3899" s="2">
        <v>1392</v>
      </c>
      <c r="I3899" s="2">
        <v>2493</v>
      </c>
      <c r="J3899" s="2">
        <v>1.53</v>
      </c>
      <c r="K3899" s="2">
        <v>5.53</v>
      </c>
      <c r="L3899" s="2">
        <v>10.6</v>
      </c>
      <c r="M3899" s="2">
        <v>14.48</v>
      </c>
      <c r="N3899" s="2">
        <v>0.28255356199999998</v>
      </c>
      <c r="O3899" s="2">
        <v>0.27358307399999998</v>
      </c>
      <c r="P3899" s="2">
        <v>0.90376409999999996</v>
      </c>
      <c r="Q3899" s="2">
        <v>1.0272518369999999</v>
      </c>
      <c r="R3899" s="2">
        <v>0.86660347599999998</v>
      </c>
      <c r="S3899" s="2">
        <v>1.026603476</v>
      </c>
      <c r="T3899" s="2">
        <v>0.25649164699999999</v>
      </c>
      <c r="U3899" s="2">
        <v>3.6491647000000002E-2</v>
      </c>
      <c r="V3899" s="2">
        <v>1.839019475</v>
      </c>
      <c r="W3899" s="2">
        <v>1.97867365</v>
      </c>
      <c r="X3899">
        <f t="shared" si="180"/>
        <v>0</v>
      </c>
      <c r="Y3899">
        <f t="shared" si="181"/>
        <v>0</v>
      </c>
      <c r="Z3899">
        <f t="shared" si="182"/>
        <v>0</v>
      </c>
    </row>
    <row r="3900" spans="1:26" ht="15.75" customHeight="1" x14ac:dyDescent="0.2">
      <c r="A3900" s="2" t="s">
        <v>36</v>
      </c>
      <c r="B3900" s="2" t="s">
        <v>35</v>
      </c>
      <c r="C3900" s="2" t="s">
        <v>25</v>
      </c>
      <c r="D3900" s="2" t="s">
        <v>25</v>
      </c>
      <c r="E3900" s="2">
        <v>173</v>
      </c>
      <c r="F3900" s="2">
        <v>160</v>
      </c>
      <c r="G3900" s="2">
        <v>657</v>
      </c>
      <c r="H3900" s="2">
        <v>1363</v>
      </c>
      <c r="I3900" s="2">
        <v>2512</v>
      </c>
      <c r="J3900" s="2">
        <v>1.49</v>
      </c>
      <c r="K3900" s="2">
        <v>6.2</v>
      </c>
      <c r="L3900" s="2">
        <v>10.47</v>
      </c>
      <c r="M3900" s="2">
        <v>14.53</v>
      </c>
      <c r="N3900" s="2">
        <v>0.42819480599999998</v>
      </c>
      <c r="O3900" s="2">
        <v>0.48165417300000002</v>
      </c>
      <c r="P3900" s="2">
        <v>1.587210582</v>
      </c>
      <c r="Q3900" s="2">
        <v>1.7067745759999999</v>
      </c>
      <c r="R3900" s="2">
        <v>1.53811465</v>
      </c>
      <c r="S3900" s="2">
        <v>1.6981146499999999</v>
      </c>
      <c r="T3900" s="2">
        <v>0.39171514499999999</v>
      </c>
      <c r="U3900" s="2">
        <v>0.17171514500000001</v>
      </c>
      <c r="V3900" s="2">
        <v>2.5105306490000001</v>
      </c>
      <c r="W3900" s="2">
        <v>2.6501848240000001</v>
      </c>
      <c r="X3900">
        <f t="shared" si="180"/>
        <v>0</v>
      </c>
      <c r="Y3900">
        <f t="shared" si="181"/>
        <v>0</v>
      </c>
      <c r="Z3900">
        <f t="shared" si="182"/>
        <v>0</v>
      </c>
    </row>
    <row r="3901" spans="1:26" ht="15.75" customHeight="1" x14ac:dyDescent="0.2">
      <c r="A3901" s="2" t="s">
        <v>36</v>
      </c>
      <c r="B3901" s="2" t="s">
        <v>35</v>
      </c>
      <c r="C3901" s="2" t="s">
        <v>27</v>
      </c>
      <c r="D3901" s="2" t="s">
        <v>27</v>
      </c>
      <c r="E3901" s="2">
        <v>150</v>
      </c>
      <c r="F3901" s="2">
        <v>150</v>
      </c>
      <c r="G3901" s="2">
        <v>425</v>
      </c>
      <c r="H3901" s="2">
        <v>1704</v>
      </c>
      <c r="I3901" s="2">
        <v>2502</v>
      </c>
      <c r="J3901" s="2">
        <v>1.38</v>
      </c>
      <c r="K3901" s="2">
        <v>4.25</v>
      </c>
      <c r="L3901" s="2">
        <v>11.94</v>
      </c>
      <c r="M3901" s="2">
        <v>14.5</v>
      </c>
      <c r="N3901" s="2">
        <v>0.24248381299999999</v>
      </c>
      <c r="O3901" s="2">
        <v>0.110611958</v>
      </c>
      <c r="P3901" s="2">
        <v>1.153523053</v>
      </c>
      <c r="Q3901" s="2">
        <v>1.322152649</v>
      </c>
      <c r="R3901" s="2">
        <v>0.40945779799999998</v>
      </c>
      <c r="S3901" s="2">
        <v>0.24945779800000001</v>
      </c>
      <c r="T3901" s="2">
        <v>1.0784061140000001</v>
      </c>
      <c r="U3901" s="2">
        <v>1.2984061140000001</v>
      </c>
      <c r="V3901" s="2">
        <v>0.56295820200000002</v>
      </c>
      <c r="W3901" s="2">
        <v>0.70261237700000001</v>
      </c>
      <c r="X3901">
        <f t="shared" si="180"/>
        <v>0</v>
      </c>
      <c r="Y3901">
        <f t="shared" si="181"/>
        <v>0</v>
      </c>
      <c r="Z3901">
        <f t="shared" si="182"/>
        <v>0</v>
      </c>
    </row>
    <row r="3902" spans="1:26" ht="15.75" customHeight="1" x14ac:dyDescent="0.2">
      <c r="A3902" s="2" t="s">
        <v>36</v>
      </c>
      <c r="B3902" s="2" t="s">
        <v>35</v>
      </c>
      <c r="C3902" s="2" t="s">
        <v>30</v>
      </c>
      <c r="D3902" s="2" t="s">
        <v>31</v>
      </c>
      <c r="E3902" s="2">
        <v>171</v>
      </c>
      <c r="F3902" s="2">
        <v>164</v>
      </c>
      <c r="G3902" s="2">
        <v>748</v>
      </c>
      <c r="H3902" s="2">
        <v>1208</v>
      </c>
      <c r="I3902" s="2">
        <v>2405</v>
      </c>
      <c r="J3902" s="2">
        <v>1.54</v>
      </c>
      <c r="K3902" s="2">
        <v>6.87</v>
      </c>
      <c r="L3902" s="2">
        <v>9.69</v>
      </c>
      <c r="M3902" s="2">
        <v>14.24</v>
      </c>
      <c r="N3902" s="2">
        <v>3.2283850279999999</v>
      </c>
      <c r="O3902" s="2">
        <v>3.3455160949999998</v>
      </c>
      <c r="P3902" s="2">
        <v>2.50187698</v>
      </c>
      <c r="Q3902" s="2">
        <v>2.5550109449999998</v>
      </c>
      <c r="R3902" s="2">
        <v>2.2130321309999998</v>
      </c>
      <c r="S3902" s="2">
        <v>2.373032131</v>
      </c>
      <c r="T3902" s="2">
        <v>1.166994949</v>
      </c>
      <c r="U3902" s="2">
        <v>0.94699494900000003</v>
      </c>
      <c r="V3902" s="2">
        <v>3.1854481300000002</v>
      </c>
      <c r="W3902" s="2">
        <v>3.3251023050000001</v>
      </c>
      <c r="X3902">
        <f t="shared" si="180"/>
        <v>0</v>
      </c>
      <c r="Y3902">
        <f t="shared" si="181"/>
        <v>0</v>
      </c>
      <c r="Z3902">
        <f t="shared" si="182"/>
        <v>1</v>
      </c>
    </row>
    <row r="3903" spans="1:26" ht="15.75" customHeight="1" x14ac:dyDescent="0.2">
      <c r="A3903" s="2" t="s">
        <v>36</v>
      </c>
      <c r="B3903" s="2" t="s">
        <v>35</v>
      </c>
      <c r="C3903" s="2" t="s">
        <v>28</v>
      </c>
      <c r="D3903" s="2" t="s">
        <v>29</v>
      </c>
      <c r="E3903" s="2">
        <v>170</v>
      </c>
      <c r="F3903" s="2">
        <v>168</v>
      </c>
      <c r="G3903" s="2">
        <v>549</v>
      </c>
      <c r="H3903" s="2">
        <v>1379</v>
      </c>
      <c r="I3903" s="2">
        <v>2348</v>
      </c>
      <c r="J3903" s="2">
        <v>1.58</v>
      </c>
      <c r="K3903" s="2">
        <v>5.34</v>
      </c>
      <c r="L3903" s="2">
        <v>10.54</v>
      </c>
      <c r="M3903" s="2">
        <v>14.08</v>
      </c>
      <c r="N3903" s="2">
        <v>1.1428306559999999</v>
      </c>
      <c r="O3903" s="2">
        <v>1.6735227340000001</v>
      </c>
      <c r="P3903" s="2">
        <v>0.74785167299999999</v>
      </c>
      <c r="Q3903" s="2">
        <v>0.84220753199999998</v>
      </c>
      <c r="R3903" s="2">
        <v>0.67635711399999998</v>
      </c>
      <c r="S3903" s="2">
        <v>0.83635711400000001</v>
      </c>
      <c r="T3903" s="2">
        <v>0.31909744400000001</v>
      </c>
      <c r="U3903" s="2">
        <v>9.9097444000000007E-2</v>
      </c>
      <c r="V3903" s="2">
        <v>1.6487731139999999</v>
      </c>
      <c r="W3903" s="2">
        <v>1.7884272889999999</v>
      </c>
      <c r="X3903">
        <f t="shared" si="180"/>
        <v>0</v>
      </c>
      <c r="Y3903">
        <f t="shared" si="181"/>
        <v>0</v>
      </c>
      <c r="Z3903">
        <f t="shared" si="182"/>
        <v>1</v>
      </c>
    </row>
    <row r="3904" spans="1:26" ht="15.75" customHeight="1" x14ac:dyDescent="0.2">
      <c r="A3904" s="2" t="s">
        <v>36</v>
      </c>
      <c r="B3904" s="2" t="s">
        <v>35</v>
      </c>
      <c r="C3904" s="2" t="s">
        <v>28</v>
      </c>
      <c r="D3904" s="2" t="s">
        <v>29</v>
      </c>
      <c r="E3904" s="2">
        <v>176</v>
      </c>
      <c r="F3904" s="2">
        <v>168</v>
      </c>
      <c r="G3904" s="2">
        <v>527</v>
      </c>
      <c r="H3904" s="2">
        <v>1488</v>
      </c>
      <c r="I3904" s="2">
        <v>2259</v>
      </c>
      <c r="J3904" s="2">
        <v>1.58</v>
      </c>
      <c r="K3904" s="2">
        <v>5.15</v>
      </c>
      <c r="L3904" s="2">
        <v>11.04</v>
      </c>
      <c r="M3904" s="2">
        <v>13.83</v>
      </c>
      <c r="N3904" s="2">
        <v>1.6444893330000001</v>
      </c>
      <c r="O3904" s="2">
        <v>2.1322295969999998</v>
      </c>
      <c r="P3904" s="2">
        <v>0.520371896</v>
      </c>
      <c r="Q3904" s="2">
        <v>0.761721117</v>
      </c>
      <c r="R3904" s="2">
        <v>0.48825737299999999</v>
      </c>
      <c r="S3904" s="2">
        <v>0.64825737299999997</v>
      </c>
      <c r="T3904" s="2">
        <v>0.17997679799999999</v>
      </c>
      <c r="U3904" s="2">
        <v>0.39997679800000002</v>
      </c>
      <c r="V3904" s="2">
        <v>1.460673372</v>
      </c>
      <c r="W3904" s="2">
        <v>1.600327547</v>
      </c>
      <c r="X3904">
        <f t="shared" si="180"/>
        <v>0</v>
      </c>
      <c r="Y3904">
        <f t="shared" si="181"/>
        <v>0</v>
      </c>
      <c r="Z3904">
        <f t="shared" si="182"/>
        <v>1</v>
      </c>
    </row>
    <row r="3905" spans="1:26" ht="15.75" customHeight="1" x14ac:dyDescent="0.2">
      <c r="A3905" s="2" t="s">
        <v>36</v>
      </c>
      <c r="B3905" s="2" t="s">
        <v>35</v>
      </c>
      <c r="C3905" s="2" t="s">
        <v>32</v>
      </c>
      <c r="D3905" s="2" t="s">
        <v>33</v>
      </c>
      <c r="E3905" s="2">
        <v>156</v>
      </c>
      <c r="F3905" s="2">
        <v>166</v>
      </c>
      <c r="G3905" s="2">
        <v>660</v>
      </c>
      <c r="H3905" s="2">
        <v>1147</v>
      </c>
      <c r="I3905" s="2">
        <v>2329</v>
      </c>
      <c r="J3905" s="2">
        <v>1.56</v>
      </c>
      <c r="K3905" s="2">
        <v>6.23</v>
      </c>
      <c r="L3905" s="2">
        <v>9.3699999999999992</v>
      </c>
      <c r="M3905" s="2">
        <v>14.03</v>
      </c>
      <c r="N3905" s="2">
        <v>1.1857415280000001</v>
      </c>
      <c r="O3905" s="2">
        <v>1.1606714309999999</v>
      </c>
      <c r="P3905" s="2">
        <v>2.1648215130000001</v>
      </c>
      <c r="Q3905" s="2">
        <v>2.1457113489999999</v>
      </c>
      <c r="R3905" s="2">
        <v>1.5662154939999999</v>
      </c>
      <c r="S3905" s="2">
        <v>1.7262154940000001</v>
      </c>
      <c r="T3905" s="2">
        <v>1.494463519</v>
      </c>
      <c r="U3905" s="2">
        <v>1.274463519</v>
      </c>
      <c r="V3905" s="2">
        <v>2.5386314940000001</v>
      </c>
      <c r="W3905" s="2">
        <v>2.678285668</v>
      </c>
      <c r="X3905">
        <f t="shared" si="180"/>
        <v>0</v>
      </c>
      <c r="Y3905">
        <f t="shared" si="181"/>
        <v>0</v>
      </c>
      <c r="Z3905">
        <f t="shared" si="182"/>
        <v>1</v>
      </c>
    </row>
    <row r="3906" spans="1:26" ht="15.75" customHeight="1" x14ac:dyDescent="0.2">
      <c r="A3906" s="2" t="s">
        <v>36</v>
      </c>
      <c r="B3906" s="2" t="s">
        <v>35</v>
      </c>
      <c r="C3906" s="2" t="s">
        <v>26</v>
      </c>
      <c r="D3906" s="2" t="s">
        <v>26</v>
      </c>
      <c r="E3906" s="2">
        <v>146</v>
      </c>
      <c r="F3906" s="2">
        <v>173</v>
      </c>
      <c r="G3906" s="2">
        <v>648</v>
      </c>
      <c r="H3906" s="2">
        <v>1674</v>
      </c>
      <c r="I3906" s="2">
        <v>3048</v>
      </c>
      <c r="J3906" s="2">
        <v>1.64</v>
      </c>
      <c r="K3906" s="2">
        <v>6.13</v>
      </c>
      <c r="L3906" s="2">
        <v>11.82</v>
      </c>
      <c r="M3906" s="2">
        <v>15.79</v>
      </c>
      <c r="N3906" s="2">
        <v>2.56662824</v>
      </c>
      <c r="O3906" s="2">
        <v>3.1406338580000002</v>
      </c>
      <c r="P3906" s="2">
        <v>1.7539850560000001</v>
      </c>
      <c r="Q3906" s="2">
        <v>2.0105477619999998</v>
      </c>
      <c r="R3906" s="2">
        <v>1.4688048060000001</v>
      </c>
      <c r="S3906" s="2">
        <v>1.628804806</v>
      </c>
      <c r="T3906" s="2">
        <v>0.95868452400000004</v>
      </c>
      <c r="U3906" s="2">
        <v>1.1786845239999999</v>
      </c>
      <c r="V3906" s="2">
        <v>2.441220806</v>
      </c>
      <c r="W3906" s="2">
        <v>2.580874981</v>
      </c>
      <c r="X3906">
        <f t="shared" si="180"/>
        <v>0</v>
      </c>
      <c r="Y3906">
        <f t="shared" si="181"/>
        <v>0</v>
      </c>
      <c r="Z3906">
        <f t="shared" si="182"/>
        <v>0</v>
      </c>
    </row>
    <row r="3907" spans="1:26" ht="15.75" customHeight="1" x14ac:dyDescent="0.2">
      <c r="A3907" s="2" t="s">
        <v>36</v>
      </c>
      <c r="B3907" s="2" t="s">
        <v>35</v>
      </c>
      <c r="C3907" s="2" t="s">
        <v>25</v>
      </c>
      <c r="D3907" s="2" t="s">
        <v>25</v>
      </c>
      <c r="E3907" s="2">
        <v>136</v>
      </c>
      <c r="F3907" s="2">
        <v>160</v>
      </c>
      <c r="G3907" s="2">
        <v>598</v>
      </c>
      <c r="H3907" s="2">
        <v>1300</v>
      </c>
      <c r="I3907" s="2">
        <v>2443</v>
      </c>
      <c r="J3907" s="2">
        <v>1.5</v>
      </c>
      <c r="K3907" s="2">
        <v>5.74</v>
      </c>
      <c r="L3907" s="2">
        <v>10.16</v>
      </c>
      <c r="M3907" s="2">
        <v>14.35</v>
      </c>
      <c r="N3907" s="2">
        <v>0.30229131599999998</v>
      </c>
      <c r="O3907" s="2">
        <v>0.25115758599999999</v>
      </c>
      <c r="P3907" s="2">
        <v>1.2852490270000001</v>
      </c>
      <c r="Q3907" s="2">
        <v>1.3275692370000001</v>
      </c>
      <c r="R3907" s="2">
        <v>1.077544957</v>
      </c>
      <c r="S3907" s="2">
        <v>1.2375449569999999</v>
      </c>
      <c r="T3907" s="2">
        <v>0.70054402299999996</v>
      </c>
      <c r="U3907" s="2">
        <v>0.48054402299999999</v>
      </c>
      <c r="V3907" s="2">
        <v>2.0499609560000001</v>
      </c>
      <c r="W3907" s="2">
        <v>2.189615131</v>
      </c>
      <c r="X3907">
        <f t="shared" ref="X3907:X3970" si="183">IF(B3907="normal",1,0)</f>
        <v>0</v>
      </c>
      <c r="Y3907">
        <f t="shared" ref="Y3907:Y3970" si="184">IF(A3907="lecture",1,0)</f>
        <v>0</v>
      </c>
      <c r="Z3907">
        <f t="shared" ref="Z3907:Z3970" si="185">IF(ISNUMBER(FIND("~",D3907)),1,0)</f>
        <v>0</v>
      </c>
    </row>
    <row r="3908" spans="1:26" ht="15.75" customHeight="1" x14ac:dyDescent="0.2">
      <c r="A3908" s="2" t="s">
        <v>36</v>
      </c>
      <c r="B3908" s="2" t="s">
        <v>35</v>
      </c>
      <c r="C3908" s="2" t="s">
        <v>30</v>
      </c>
      <c r="D3908" s="2" t="s">
        <v>31</v>
      </c>
      <c r="E3908" s="2">
        <v>180</v>
      </c>
      <c r="F3908" s="2">
        <v>157</v>
      </c>
      <c r="G3908" s="2">
        <v>652</v>
      </c>
      <c r="H3908" s="2">
        <v>1114</v>
      </c>
      <c r="I3908" s="2">
        <v>2190</v>
      </c>
      <c r="J3908" s="2">
        <v>1.45</v>
      </c>
      <c r="K3908" s="2">
        <v>6.16</v>
      </c>
      <c r="L3908" s="2">
        <v>9.18</v>
      </c>
      <c r="M3908" s="2">
        <v>13.62</v>
      </c>
      <c r="N3908" s="2">
        <v>3.1608910720000001</v>
      </c>
      <c r="O3908" s="2">
        <v>3.2568355019999999</v>
      </c>
      <c r="P3908" s="2">
        <v>2.2507556069999999</v>
      </c>
      <c r="Q3908" s="2">
        <v>2.2097846959999998</v>
      </c>
      <c r="R3908" s="2">
        <v>1.502235835</v>
      </c>
      <c r="S3908" s="2">
        <v>1.6622358349999999</v>
      </c>
      <c r="T3908" s="2">
        <v>1.676063334</v>
      </c>
      <c r="U3908" s="2">
        <v>1.456063334</v>
      </c>
      <c r="V3908" s="2">
        <v>2.4746518339999999</v>
      </c>
      <c r="W3908" s="2">
        <v>2.6143060089999999</v>
      </c>
      <c r="X3908">
        <f t="shared" si="183"/>
        <v>0</v>
      </c>
      <c r="Y3908">
        <f t="shared" si="184"/>
        <v>0</v>
      </c>
      <c r="Z3908">
        <f t="shared" si="185"/>
        <v>1</v>
      </c>
    </row>
    <row r="3909" spans="1:26" ht="15.75" customHeight="1" x14ac:dyDescent="0.2">
      <c r="A3909" s="2" t="s">
        <v>36</v>
      </c>
      <c r="B3909" s="2" t="s">
        <v>35</v>
      </c>
      <c r="C3909" s="2" t="s">
        <v>27</v>
      </c>
      <c r="D3909" s="2" t="s">
        <v>27</v>
      </c>
      <c r="E3909" s="2">
        <v>121</v>
      </c>
      <c r="F3909" s="2">
        <v>161</v>
      </c>
      <c r="G3909" s="2">
        <v>439</v>
      </c>
      <c r="H3909" s="2">
        <v>1695</v>
      </c>
      <c r="I3909" s="2">
        <v>2440</v>
      </c>
      <c r="J3909" s="2">
        <v>1.51</v>
      </c>
      <c r="K3909" s="2">
        <v>4.38</v>
      </c>
      <c r="L3909" s="2">
        <v>11.9</v>
      </c>
      <c r="M3909" s="2">
        <v>14.34</v>
      </c>
      <c r="N3909" s="2">
        <v>0.109732018</v>
      </c>
      <c r="O3909" s="2">
        <v>3.1893838000000001E-2</v>
      </c>
      <c r="P3909" s="2">
        <v>1.080256691</v>
      </c>
      <c r="Q3909" s="2">
        <v>1.2688661990000001</v>
      </c>
      <c r="R3909" s="2">
        <v>0.28091692099999999</v>
      </c>
      <c r="S3909" s="2">
        <v>0.120916921</v>
      </c>
      <c r="T3909" s="2">
        <v>1.043091655</v>
      </c>
      <c r="U3909" s="2">
        <v>1.263091655</v>
      </c>
      <c r="V3909" s="2">
        <v>0.69149907799999999</v>
      </c>
      <c r="W3909" s="2">
        <v>0.83115325299999998</v>
      </c>
      <c r="X3909">
        <f t="shared" si="183"/>
        <v>0</v>
      </c>
      <c r="Y3909">
        <f t="shared" si="184"/>
        <v>0</v>
      </c>
      <c r="Z3909">
        <f t="shared" si="185"/>
        <v>0</v>
      </c>
    </row>
    <row r="3910" spans="1:26" ht="15.75" customHeight="1" x14ac:dyDescent="0.2">
      <c r="A3910" s="2" t="s">
        <v>36</v>
      </c>
      <c r="B3910" s="2" t="s">
        <v>35</v>
      </c>
      <c r="C3910" s="2" t="s">
        <v>30</v>
      </c>
      <c r="D3910" s="2" t="s">
        <v>31</v>
      </c>
      <c r="E3910" s="2">
        <v>180</v>
      </c>
      <c r="F3910" s="2">
        <v>136</v>
      </c>
      <c r="G3910" s="2">
        <v>647</v>
      </c>
      <c r="H3910" s="2">
        <v>1132</v>
      </c>
      <c r="I3910" s="2">
        <v>2266</v>
      </c>
      <c r="J3910" s="2">
        <v>1.21</v>
      </c>
      <c r="K3910" s="2">
        <v>6.13</v>
      </c>
      <c r="L3910" s="2">
        <v>9.2899999999999991</v>
      </c>
      <c r="M3910" s="2">
        <v>13.85</v>
      </c>
      <c r="N3910" s="2">
        <v>3.0559986910000001</v>
      </c>
      <c r="O3910" s="2">
        <v>3.1526860280000002</v>
      </c>
      <c r="P3910" s="2">
        <v>2.1516258330000002</v>
      </c>
      <c r="Q3910" s="2">
        <v>2.1165586780000001</v>
      </c>
      <c r="R3910" s="2">
        <v>1.4662285859999999</v>
      </c>
      <c r="S3910" s="2">
        <v>1.6262285860000001</v>
      </c>
      <c r="T3910" s="2">
        <v>1.5746959899999999</v>
      </c>
      <c r="U3910" s="2">
        <v>1.35469599</v>
      </c>
      <c r="V3910" s="2">
        <v>2.4386445860000001</v>
      </c>
      <c r="W3910" s="2">
        <v>2.57829876</v>
      </c>
      <c r="X3910">
        <f t="shared" si="183"/>
        <v>0</v>
      </c>
      <c r="Y3910">
        <f t="shared" si="184"/>
        <v>0</v>
      </c>
      <c r="Z3910">
        <f t="shared" si="185"/>
        <v>1</v>
      </c>
    </row>
    <row r="3911" spans="1:26" ht="15.75" customHeight="1" x14ac:dyDescent="0.2">
      <c r="A3911" s="2" t="s">
        <v>36</v>
      </c>
      <c r="B3911" s="2" t="s">
        <v>35</v>
      </c>
      <c r="C3911" s="2" t="s">
        <v>27</v>
      </c>
      <c r="D3911" s="2" t="s">
        <v>27</v>
      </c>
      <c r="E3911" s="2">
        <v>151</v>
      </c>
      <c r="F3911" s="2">
        <v>167</v>
      </c>
      <c r="G3911" s="2">
        <v>470</v>
      </c>
      <c r="H3911" s="2">
        <v>1629</v>
      </c>
      <c r="I3911" s="2">
        <v>2504</v>
      </c>
      <c r="J3911" s="2">
        <v>1.57</v>
      </c>
      <c r="K3911" s="2">
        <v>4.66</v>
      </c>
      <c r="L3911" s="2">
        <v>11.64</v>
      </c>
      <c r="M3911" s="2">
        <v>14.51</v>
      </c>
      <c r="N3911" s="2">
        <v>0.285332798</v>
      </c>
      <c r="O3911" s="2">
        <v>0.39870811099999998</v>
      </c>
      <c r="P3911" s="2">
        <v>0.77734877099999999</v>
      </c>
      <c r="Q3911" s="2">
        <v>1.009853661</v>
      </c>
      <c r="R3911" s="2">
        <v>1.560828E-3</v>
      </c>
      <c r="S3911" s="2">
        <v>0.15843917199999999</v>
      </c>
      <c r="T3911" s="2">
        <v>0.77734720400000001</v>
      </c>
      <c r="U3911" s="2">
        <v>0.99734720399999999</v>
      </c>
      <c r="V3911" s="2">
        <v>0.97085517099999996</v>
      </c>
      <c r="W3911" s="2">
        <v>1.110509346</v>
      </c>
      <c r="X3911">
        <f t="shared" si="183"/>
        <v>0</v>
      </c>
      <c r="Y3911">
        <f t="shared" si="184"/>
        <v>0</v>
      </c>
      <c r="Z3911">
        <f t="shared" si="185"/>
        <v>0</v>
      </c>
    </row>
    <row r="3912" spans="1:26" ht="15.75" customHeight="1" x14ac:dyDescent="0.2">
      <c r="A3912" s="2" t="s">
        <v>36</v>
      </c>
      <c r="B3912" s="2" t="s">
        <v>35</v>
      </c>
      <c r="C3912" s="2" t="s">
        <v>26</v>
      </c>
      <c r="D3912" s="2" t="s">
        <v>26</v>
      </c>
      <c r="E3912" s="2">
        <v>151</v>
      </c>
      <c r="F3912" s="2">
        <v>162</v>
      </c>
      <c r="G3912" s="2">
        <v>517</v>
      </c>
      <c r="H3912" s="2">
        <v>1249</v>
      </c>
      <c r="I3912" s="2">
        <v>2280</v>
      </c>
      <c r="J3912" s="2">
        <v>1.52</v>
      </c>
      <c r="K3912" s="2">
        <v>5.07</v>
      </c>
      <c r="L3912" s="2">
        <v>9.9</v>
      </c>
      <c r="M3912" s="2">
        <v>13.89</v>
      </c>
      <c r="N3912" s="2">
        <v>0.54359778000000003</v>
      </c>
      <c r="O3912" s="2">
        <v>0.99608324400000003</v>
      </c>
      <c r="P3912" s="2">
        <v>1.0388207739999999</v>
      </c>
      <c r="Q3912" s="2">
        <v>0.92934586399999997</v>
      </c>
      <c r="R3912" s="2">
        <v>0.40864370300000002</v>
      </c>
      <c r="S3912" s="2">
        <v>0.568643703</v>
      </c>
      <c r="T3912" s="2">
        <v>0.95507011500000005</v>
      </c>
      <c r="U3912" s="2">
        <v>0.73507011499999997</v>
      </c>
      <c r="V3912" s="2">
        <v>1.3810597019999999</v>
      </c>
      <c r="W3912" s="2">
        <v>1.5207138769999999</v>
      </c>
      <c r="X3912">
        <f t="shared" si="183"/>
        <v>0</v>
      </c>
      <c r="Y3912">
        <f t="shared" si="184"/>
        <v>0</v>
      </c>
      <c r="Z3912">
        <f t="shared" si="185"/>
        <v>0</v>
      </c>
    </row>
    <row r="3913" spans="1:26" ht="15.75" customHeight="1" x14ac:dyDescent="0.2">
      <c r="A3913" s="2" t="s">
        <v>36</v>
      </c>
      <c r="B3913" s="2" t="s">
        <v>35</v>
      </c>
      <c r="C3913" s="2" t="s">
        <v>27</v>
      </c>
      <c r="D3913" s="2" t="s">
        <v>27</v>
      </c>
      <c r="E3913" s="2">
        <v>159</v>
      </c>
      <c r="F3913" s="2">
        <v>168</v>
      </c>
      <c r="G3913" s="2">
        <v>425</v>
      </c>
      <c r="H3913" s="2">
        <v>1729</v>
      </c>
      <c r="I3913" s="2">
        <v>2416</v>
      </c>
      <c r="J3913" s="2">
        <v>1.59</v>
      </c>
      <c r="K3913" s="2">
        <v>4.25</v>
      </c>
      <c r="L3913" s="2">
        <v>12.04</v>
      </c>
      <c r="M3913" s="2">
        <v>14.27</v>
      </c>
      <c r="N3913" s="2">
        <v>0.29216692599999999</v>
      </c>
      <c r="O3913" s="2">
        <v>0.17913372399999999</v>
      </c>
      <c r="P3913" s="2">
        <v>1.2470942810000001</v>
      </c>
      <c r="Q3913" s="2">
        <v>1.4195286819999999</v>
      </c>
      <c r="R3913" s="2">
        <v>0.41253668799999998</v>
      </c>
      <c r="S3913" s="2">
        <v>0.25253668800000001</v>
      </c>
      <c r="T3913" s="2">
        <v>1.176884713</v>
      </c>
      <c r="U3913" s="2">
        <v>1.3968847129999999</v>
      </c>
      <c r="V3913" s="2">
        <v>0.55987931199999996</v>
      </c>
      <c r="W3913" s="2">
        <v>0.69953348699999995</v>
      </c>
      <c r="X3913">
        <f t="shared" si="183"/>
        <v>0</v>
      </c>
      <c r="Y3913">
        <f t="shared" si="184"/>
        <v>0</v>
      </c>
      <c r="Z3913">
        <f t="shared" si="185"/>
        <v>0</v>
      </c>
    </row>
    <row r="3914" spans="1:26" ht="15.75" customHeight="1" x14ac:dyDescent="0.2">
      <c r="A3914" s="2" t="s">
        <v>36</v>
      </c>
      <c r="B3914" s="2" t="s">
        <v>35</v>
      </c>
      <c r="C3914" s="2" t="s">
        <v>30</v>
      </c>
      <c r="D3914" s="2" t="s">
        <v>31</v>
      </c>
      <c r="E3914" s="2">
        <v>166</v>
      </c>
      <c r="F3914" s="2">
        <v>166</v>
      </c>
      <c r="G3914" s="2">
        <v>678</v>
      </c>
      <c r="H3914" s="2">
        <v>1300</v>
      </c>
      <c r="I3914" s="2">
        <v>2438</v>
      </c>
      <c r="J3914" s="2">
        <v>1.56</v>
      </c>
      <c r="K3914" s="2">
        <v>6.36</v>
      </c>
      <c r="L3914" s="2">
        <v>10.16</v>
      </c>
      <c r="M3914" s="2">
        <v>14.33</v>
      </c>
      <c r="N3914" s="2">
        <v>2.535387284</v>
      </c>
      <c r="O3914" s="2">
        <v>2.6527260240000001</v>
      </c>
      <c r="P3914" s="2">
        <v>1.839161504</v>
      </c>
      <c r="Q3914" s="2">
        <v>1.92157244</v>
      </c>
      <c r="R3914" s="2">
        <v>1.700515542</v>
      </c>
      <c r="S3914" s="2">
        <v>1.8605155419999999</v>
      </c>
      <c r="T3914" s="2">
        <v>0.70054402299999996</v>
      </c>
      <c r="U3914" s="2">
        <v>0.48054402299999999</v>
      </c>
      <c r="V3914" s="2">
        <v>2.6729315420000002</v>
      </c>
      <c r="W3914" s="2">
        <v>2.8125857160000001</v>
      </c>
      <c r="X3914">
        <f t="shared" si="183"/>
        <v>0</v>
      </c>
      <c r="Y3914">
        <f t="shared" si="184"/>
        <v>0</v>
      </c>
      <c r="Z3914">
        <f t="shared" si="185"/>
        <v>1</v>
      </c>
    </row>
    <row r="3915" spans="1:26" ht="15.75" customHeight="1" x14ac:dyDescent="0.2">
      <c r="A3915" s="2" t="s">
        <v>36</v>
      </c>
      <c r="B3915" s="2" t="s">
        <v>35</v>
      </c>
      <c r="C3915" s="2" t="s">
        <v>27</v>
      </c>
      <c r="D3915" s="2" t="s">
        <v>27</v>
      </c>
      <c r="E3915" s="2">
        <v>166</v>
      </c>
      <c r="F3915" s="2">
        <v>189</v>
      </c>
      <c r="G3915" s="2">
        <v>482</v>
      </c>
      <c r="H3915" s="2">
        <v>1631</v>
      </c>
      <c r="I3915" s="2">
        <v>2507</v>
      </c>
      <c r="J3915" s="2">
        <v>1.83</v>
      </c>
      <c r="K3915" s="2">
        <v>4.76</v>
      </c>
      <c r="L3915" s="2">
        <v>11.65</v>
      </c>
      <c r="M3915" s="2">
        <v>14.52</v>
      </c>
      <c r="N3915" s="2">
        <v>0.35011360600000002</v>
      </c>
      <c r="O3915" s="2">
        <v>0.47494630700000001</v>
      </c>
      <c r="P3915" s="2">
        <v>0.79438756600000004</v>
      </c>
      <c r="Q3915" s="2">
        <v>1.0409053150000001</v>
      </c>
      <c r="R3915" s="2">
        <v>9.8798634999999996E-2</v>
      </c>
      <c r="S3915" s="2">
        <v>0.258798635</v>
      </c>
      <c r="T3915" s="2">
        <v>0.78821978800000003</v>
      </c>
      <c r="U3915" s="2">
        <v>1.0082197879999999</v>
      </c>
      <c r="V3915" s="2">
        <v>1.0712146339999999</v>
      </c>
      <c r="W3915" s="2">
        <v>1.2108688089999999</v>
      </c>
      <c r="X3915">
        <f t="shared" si="183"/>
        <v>0</v>
      </c>
      <c r="Y3915">
        <f t="shared" si="184"/>
        <v>0</v>
      </c>
      <c r="Z3915">
        <f t="shared" si="185"/>
        <v>0</v>
      </c>
    </row>
    <row r="3916" spans="1:26" ht="15.75" customHeight="1" x14ac:dyDescent="0.2">
      <c r="A3916" s="2" t="s">
        <v>36</v>
      </c>
      <c r="B3916" s="2" t="s">
        <v>35</v>
      </c>
      <c r="C3916" s="2" t="s">
        <v>26</v>
      </c>
      <c r="D3916" s="2" t="s">
        <v>26</v>
      </c>
      <c r="E3916" s="2">
        <v>156</v>
      </c>
      <c r="F3916" s="2">
        <v>161</v>
      </c>
      <c r="G3916" s="2">
        <v>608</v>
      </c>
      <c r="H3916" s="2">
        <v>1598</v>
      </c>
      <c r="I3916" s="2">
        <v>2826</v>
      </c>
      <c r="J3916" s="2">
        <v>1.51</v>
      </c>
      <c r="K3916" s="2">
        <v>5.82</v>
      </c>
      <c r="L3916" s="2">
        <v>11.51</v>
      </c>
      <c r="M3916" s="2">
        <v>15.3</v>
      </c>
      <c r="N3916" s="2">
        <v>2.18232881</v>
      </c>
      <c r="O3916" s="2">
        <v>2.7434941039999998</v>
      </c>
      <c r="P3916" s="2">
        <v>1.3287907059999999</v>
      </c>
      <c r="Q3916" s="2">
        <v>1.580255682</v>
      </c>
      <c r="R3916" s="2">
        <v>1.1575389410000001</v>
      </c>
      <c r="S3916" s="2">
        <v>1.317538941</v>
      </c>
      <c r="T3916" s="2">
        <v>0.65252458999999996</v>
      </c>
      <c r="U3916" s="2">
        <v>0.87252459000000004</v>
      </c>
      <c r="V3916" s="2">
        <v>2.1299549400000002</v>
      </c>
      <c r="W3916" s="2">
        <v>2.2696091150000002</v>
      </c>
      <c r="X3916">
        <f t="shared" si="183"/>
        <v>0</v>
      </c>
      <c r="Y3916">
        <f t="shared" si="184"/>
        <v>0</v>
      </c>
      <c r="Z3916">
        <f t="shared" si="185"/>
        <v>0</v>
      </c>
    </row>
    <row r="3917" spans="1:26" ht="15.75" customHeight="1" x14ac:dyDescent="0.2">
      <c r="A3917" s="2" t="s">
        <v>36</v>
      </c>
      <c r="B3917" s="2" t="s">
        <v>35</v>
      </c>
      <c r="C3917" s="2" t="s">
        <v>30</v>
      </c>
      <c r="D3917" s="2" t="s">
        <v>31</v>
      </c>
      <c r="E3917" s="2">
        <v>168</v>
      </c>
      <c r="F3917" s="2">
        <v>160</v>
      </c>
      <c r="G3917" s="2">
        <v>651</v>
      </c>
      <c r="H3917" s="2">
        <v>1187</v>
      </c>
      <c r="I3917" s="2">
        <v>2293</v>
      </c>
      <c r="J3917" s="2">
        <v>1.49</v>
      </c>
      <c r="K3917" s="2">
        <v>6.15</v>
      </c>
      <c r="L3917" s="2">
        <v>9.58</v>
      </c>
      <c r="M3917" s="2">
        <v>13.92</v>
      </c>
      <c r="N3917" s="2">
        <v>2.8268962910000002</v>
      </c>
      <c r="O3917" s="2">
        <v>2.9292694479999999</v>
      </c>
      <c r="P3917" s="2">
        <v>1.965435909</v>
      </c>
      <c r="Q3917" s="2">
        <v>1.9625005129999999</v>
      </c>
      <c r="R3917" s="2">
        <v>1.4919611850000001</v>
      </c>
      <c r="S3917" s="2">
        <v>1.651961185</v>
      </c>
      <c r="T3917" s="2">
        <v>1.2794491530000001</v>
      </c>
      <c r="U3917" s="2">
        <v>1.0594491530000001</v>
      </c>
      <c r="V3917" s="2">
        <v>2.4643771839999999</v>
      </c>
      <c r="W3917" s="2">
        <v>2.6040313589999999</v>
      </c>
      <c r="X3917">
        <f t="shared" si="183"/>
        <v>0</v>
      </c>
      <c r="Y3917">
        <f t="shared" si="184"/>
        <v>0</v>
      </c>
      <c r="Z3917">
        <f t="shared" si="185"/>
        <v>1</v>
      </c>
    </row>
    <row r="3918" spans="1:26" ht="15.75" customHeight="1" x14ac:dyDescent="0.2">
      <c r="A3918" s="2" t="s">
        <v>36</v>
      </c>
      <c r="B3918" s="2" t="s">
        <v>35</v>
      </c>
      <c r="C3918" s="2" t="s">
        <v>32</v>
      </c>
      <c r="D3918" s="2" t="s">
        <v>33</v>
      </c>
      <c r="E3918" s="2">
        <v>150</v>
      </c>
      <c r="F3918" s="2">
        <v>175</v>
      </c>
      <c r="G3918" s="2">
        <v>644</v>
      </c>
      <c r="H3918" s="2">
        <v>1283</v>
      </c>
      <c r="I3918" s="2">
        <v>2230</v>
      </c>
      <c r="J3918" s="2">
        <v>1.67</v>
      </c>
      <c r="K3918" s="2">
        <v>6.1</v>
      </c>
      <c r="L3918" s="2">
        <v>10.07</v>
      </c>
      <c r="M3918" s="2">
        <v>13.74</v>
      </c>
      <c r="N3918" s="2">
        <v>0.50739864499999998</v>
      </c>
      <c r="O3918" s="2">
        <v>0.50694244200000005</v>
      </c>
      <c r="P3918" s="2">
        <v>1.640473796</v>
      </c>
      <c r="Q3918" s="2">
        <v>1.6972526569999999</v>
      </c>
      <c r="R3918" s="2">
        <v>1.4404301079999999</v>
      </c>
      <c r="S3918" s="2">
        <v>1.6004301080000001</v>
      </c>
      <c r="T3918" s="2">
        <v>0.78505756599999998</v>
      </c>
      <c r="U3918" s="2">
        <v>0.56505756600000001</v>
      </c>
      <c r="V3918" s="2">
        <v>2.412846107</v>
      </c>
      <c r="W3918" s="2">
        <v>2.552500282</v>
      </c>
      <c r="X3918">
        <f t="shared" si="183"/>
        <v>0</v>
      </c>
      <c r="Y3918">
        <f t="shared" si="184"/>
        <v>0</v>
      </c>
      <c r="Z3918">
        <f t="shared" si="185"/>
        <v>1</v>
      </c>
    </row>
    <row r="3919" spans="1:26" ht="15.75" customHeight="1" x14ac:dyDescent="0.2">
      <c r="A3919" s="2" t="s">
        <v>36</v>
      </c>
      <c r="B3919" s="2" t="s">
        <v>35</v>
      </c>
      <c r="C3919" s="2" t="s">
        <v>28</v>
      </c>
      <c r="D3919" s="2" t="s">
        <v>29</v>
      </c>
      <c r="E3919" s="2">
        <v>146</v>
      </c>
      <c r="F3919" s="2">
        <v>169</v>
      </c>
      <c r="G3919" s="2">
        <v>580</v>
      </c>
      <c r="H3919" s="2">
        <v>1648</v>
      </c>
      <c r="I3919" s="2">
        <v>2436</v>
      </c>
      <c r="J3919" s="2">
        <v>1.6</v>
      </c>
      <c r="K3919" s="2">
        <v>5.59</v>
      </c>
      <c r="L3919" s="2">
        <v>11.71</v>
      </c>
      <c r="M3919" s="2">
        <v>14.33</v>
      </c>
      <c r="N3919" s="2">
        <v>2.337126671</v>
      </c>
      <c r="O3919" s="2">
        <v>2.8747563980000002</v>
      </c>
      <c r="P3919" s="2">
        <v>1.2663888169999999</v>
      </c>
      <c r="Q3919" s="2">
        <v>1.533885014</v>
      </c>
      <c r="R3919" s="2">
        <v>0.93468311199999998</v>
      </c>
      <c r="S3919" s="2">
        <v>1.094683112</v>
      </c>
      <c r="T3919" s="2">
        <v>0.85446364200000002</v>
      </c>
      <c r="U3919" s="2">
        <v>1.074463642</v>
      </c>
      <c r="V3919" s="2">
        <v>1.907099112</v>
      </c>
      <c r="W3919" s="2">
        <v>2.046753287</v>
      </c>
      <c r="X3919">
        <f t="shared" si="183"/>
        <v>0</v>
      </c>
      <c r="Y3919">
        <f t="shared" si="184"/>
        <v>0</v>
      </c>
      <c r="Z3919">
        <f t="shared" si="185"/>
        <v>1</v>
      </c>
    </row>
    <row r="3920" spans="1:26" ht="15.75" customHeight="1" x14ac:dyDescent="0.2">
      <c r="A3920" s="2" t="s">
        <v>36</v>
      </c>
      <c r="B3920" s="2" t="s">
        <v>35</v>
      </c>
      <c r="C3920" s="2" t="s">
        <v>28</v>
      </c>
      <c r="D3920" s="2" t="s">
        <v>29</v>
      </c>
      <c r="E3920" s="2">
        <v>123</v>
      </c>
      <c r="F3920" s="2">
        <v>165</v>
      </c>
      <c r="G3920" s="2">
        <v>572</v>
      </c>
      <c r="H3920" s="2">
        <v>1215</v>
      </c>
      <c r="I3920" s="2">
        <v>2272</v>
      </c>
      <c r="J3920" s="2">
        <v>1.56</v>
      </c>
      <c r="K3920" s="2">
        <v>5.53</v>
      </c>
      <c r="L3920" s="2">
        <v>9.73</v>
      </c>
      <c r="M3920" s="2">
        <v>13.86</v>
      </c>
      <c r="N3920" s="2">
        <v>0.41906218699999997</v>
      </c>
      <c r="O3920" s="2">
        <v>1.013012961</v>
      </c>
      <c r="P3920" s="2">
        <v>1.42300307</v>
      </c>
      <c r="Q3920" s="2">
        <v>1.370995338</v>
      </c>
      <c r="R3920" s="2">
        <v>0.86660347599999998</v>
      </c>
      <c r="S3920" s="2">
        <v>1.026603476</v>
      </c>
      <c r="T3920" s="2">
        <v>1.128687802</v>
      </c>
      <c r="U3920" s="2">
        <v>0.90868780199999999</v>
      </c>
      <c r="V3920" s="2">
        <v>1.839019475</v>
      </c>
      <c r="W3920" s="2">
        <v>1.97867365</v>
      </c>
      <c r="X3920">
        <f t="shared" si="183"/>
        <v>0</v>
      </c>
      <c r="Y3920">
        <f t="shared" si="184"/>
        <v>0</v>
      </c>
      <c r="Z3920">
        <f t="shared" si="185"/>
        <v>1</v>
      </c>
    </row>
    <row r="3921" spans="1:26" ht="15.75" customHeight="1" x14ac:dyDescent="0.2">
      <c r="A3921" s="2" t="s">
        <v>36</v>
      </c>
      <c r="B3921" s="2" t="s">
        <v>35</v>
      </c>
      <c r="C3921" s="2" t="s">
        <v>26</v>
      </c>
      <c r="D3921" s="2" t="s">
        <v>26</v>
      </c>
      <c r="E3921" s="2">
        <v>161</v>
      </c>
      <c r="F3921" s="2">
        <v>164</v>
      </c>
      <c r="G3921" s="2">
        <v>520</v>
      </c>
      <c r="H3921" s="2">
        <v>883</v>
      </c>
      <c r="I3921" s="2">
        <v>2224</v>
      </c>
      <c r="J3921" s="2">
        <v>1.54</v>
      </c>
      <c r="K3921" s="2">
        <v>5.09</v>
      </c>
      <c r="L3921" s="2">
        <v>7.8</v>
      </c>
      <c r="M3921" s="2">
        <v>13.72</v>
      </c>
      <c r="N3921" s="2">
        <v>1.610910217</v>
      </c>
      <c r="O3921" s="2">
        <v>1.1340204970000001</v>
      </c>
      <c r="P3921" s="2">
        <v>3.0912421760000002</v>
      </c>
      <c r="Q3921" s="2">
        <v>2.901897554</v>
      </c>
      <c r="R3921" s="2">
        <v>0.43145161300000001</v>
      </c>
      <c r="S3921" s="2">
        <v>0.59145161300000004</v>
      </c>
      <c r="T3921" s="2">
        <v>3.0609847600000002</v>
      </c>
      <c r="U3921" s="2">
        <v>2.84098476</v>
      </c>
      <c r="V3921" s="2">
        <v>1.403867612</v>
      </c>
      <c r="W3921" s="2">
        <v>1.543521787</v>
      </c>
      <c r="X3921">
        <f t="shared" si="183"/>
        <v>0</v>
      </c>
      <c r="Y3921">
        <f t="shared" si="184"/>
        <v>0</v>
      </c>
      <c r="Z3921">
        <f t="shared" si="185"/>
        <v>0</v>
      </c>
    </row>
    <row r="3922" spans="1:26" ht="15.75" customHeight="1" x14ac:dyDescent="0.2">
      <c r="A3922" s="2" t="s">
        <v>36</v>
      </c>
      <c r="B3922" s="2" t="s">
        <v>35</v>
      </c>
      <c r="C3922" s="2" t="s">
        <v>25</v>
      </c>
      <c r="D3922" s="2" t="s">
        <v>25</v>
      </c>
      <c r="E3922" s="2">
        <v>151</v>
      </c>
      <c r="F3922" s="2">
        <v>158</v>
      </c>
      <c r="G3922" s="2">
        <v>585</v>
      </c>
      <c r="H3922" s="2">
        <v>1344</v>
      </c>
      <c r="I3922" s="2">
        <v>2409</v>
      </c>
      <c r="J3922" s="2">
        <v>1.47</v>
      </c>
      <c r="K3922" s="2">
        <v>5.63</v>
      </c>
      <c r="L3922" s="2">
        <v>10.37</v>
      </c>
      <c r="M3922" s="2">
        <v>14.25</v>
      </c>
      <c r="N3922" s="2">
        <v>0.16200013799999999</v>
      </c>
      <c r="O3922" s="2">
        <v>9.4451798000000003E-2</v>
      </c>
      <c r="P3922" s="2">
        <v>1.0872067080000001</v>
      </c>
      <c r="Q3922" s="2">
        <v>1.163393355</v>
      </c>
      <c r="R3922" s="2">
        <v>0.97261296699999999</v>
      </c>
      <c r="S3922" s="2">
        <v>1.132612967</v>
      </c>
      <c r="T3922" s="2">
        <v>0.485841994</v>
      </c>
      <c r="U3922" s="2">
        <v>0.26584199400000003</v>
      </c>
      <c r="V3922" s="2">
        <v>1.945028966</v>
      </c>
      <c r="W3922" s="2">
        <v>2.0846831410000002</v>
      </c>
      <c r="X3922">
        <f t="shared" si="183"/>
        <v>0</v>
      </c>
      <c r="Y3922">
        <f t="shared" si="184"/>
        <v>0</v>
      </c>
      <c r="Z3922">
        <f t="shared" si="185"/>
        <v>0</v>
      </c>
    </row>
    <row r="3923" spans="1:26" ht="15.75" customHeight="1" x14ac:dyDescent="0.2">
      <c r="A3923" s="2" t="s">
        <v>36</v>
      </c>
      <c r="B3923" s="2" t="s">
        <v>35</v>
      </c>
      <c r="C3923" s="2" t="s">
        <v>30</v>
      </c>
      <c r="D3923" s="2" t="s">
        <v>31</v>
      </c>
      <c r="E3923" s="2">
        <v>166</v>
      </c>
      <c r="F3923" s="2">
        <v>159</v>
      </c>
      <c r="G3923" s="2">
        <v>623</v>
      </c>
      <c r="H3923" s="2">
        <v>1301</v>
      </c>
      <c r="I3923" s="2">
        <v>2318</v>
      </c>
      <c r="J3923" s="2">
        <v>1.49</v>
      </c>
      <c r="K3923" s="2">
        <v>5.93</v>
      </c>
      <c r="L3923" s="2">
        <v>10.17</v>
      </c>
      <c r="M3923" s="2">
        <v>14</v>
      </c>
      <c r="N3923" s="2">
        <v>2.2309790139999999</v>
      </c>
      <c r="O3923" s="2">
        <v>2.3397817989999998</v>
      </c>
      <c r="P3923" s="2">
        <v>1.4497269770000001</v>
      </c>
      <c r="Q3923" s="2">
        <v>1.509533531</v>
      </c>
      <c r="R3923" s="2">
        <v>1.2737429010000001</v>
      </c>
      <c r="S3923" s="2">
        <v>1.433742901</v>
      </c>
      <c r="T3923" s="2">
        <v>0.69230580500000005</v>
      </c>
      <c r="U3923" s="2">
        <v>0.47230580500000002</v>
      </c>
      <c r="V3923" s="2">
        <v>2.2461589009999998</v>
      </c>
      <c r="W3923" s="2">
        <v>2.3858130759999998</v>
      </c>
      <c r="X3923">
        <f t="shared" si="183"/>
        <v>0</v>
      </c>
      <c r="Y3923">
        <f t="shared" si="184"/>
        <v>0</v>
      </c>
      <c r="Z3923">
        <f t="shared" si="185"/>
        <v>1</v>
      </c>
    </row>
    <row r="3924" spans="1:26" ht="15.75" customHeight="1" x14ac:dyDescent="0.2">
      <c r="A3924" s="2" t="s">
        <v>36</v>
      </c>
      <c r="B3924" s="2" t="s">
        <v>35</v>
      </c>
      <c r="C3924" s="2" t="s">
        <v>28</v>
      </c>
      <c r="D3924" s="2" t="s">
        <v>29</v>
      </c>
      <c r="E3924" s="2">
        <v>159</v>
      </c>
      <c r="F3924" s="2">
        <v>172</v>
      </c>
      <c r="G3924" s="2">
        <v>532</v>
      </c>
      <c r="H3924" s="2">
        <v>1454</v>
      </c>
      <c r="I3924" s="2">
        <v>2397</v>
      </c>
      <c r="J3924" s="2">
        <v>1.64</v>
      </c>
      <c r="K3924" s="2">
        <v>5.19</v>
      </c>
      <c r="L3924" s="2">
        <v>10.89</v>
      </c>
      <c r="M3924" s="2">
        <v>14.22</v>
      </c>
      <c r="N3924" s="2">
        <v>1.488813994</v>
      </c>
      <c r="O3924" s="2">
        <v>1.985235823</v>
      </c>
      <c r="P3924" s="2">
        <v>0.53133340900000003</v>
      </c>
      <c r="Q3924" s="2">
        <v>0.73339925399999994</v>
      </c>
      <c r="R3924" s="2">
        <v>0.530662207</v>
      </c>
      <c r="S3924" s="2">
        <v>0.69066220700000003</v>
      </c>
      <c r="T3924" s="2">
        <v>2.6698565E-2</v>
      </c>
      <c r="U3924" s="2">
        <v>0.24669856500000001</v>
      </c>
      <c r="V3924" s="2">
        <v>1.5030782069999999</v>
      </c>
      <c r="W3924" s="2">
        <v>1.6427323819999999</v>
      </c>
      <c r="X3924">
        <f t="shared" si="183"/>
        <v>0</v>
      </c>
      <c r="Y3924">
        <f t="shared" si="184"/>
        <v>0</v>
      </c>
      <c r="Z3924">
        <f t="shared" si="185"/>
        <v>1</v>
      </c>
    </row>
    <row r="3925" spans="1:26" ht="15.75" customHeight="1" x14ac:dyDescent="0.2">
      <c r="A3925" s="2" t="s">
        <v>36</v>
      </c>
      <c r="B3925" s="2" t="s">
        <v>35</v>
      </c>
      <c r="C3925" s="2" t="s">
        <v>28</v>
      </c>
      <c r="D3925" s="2" t="s">
        <v>29</v>
      </c>
      <c r="E3925" s="2">
        <v>156</v>
      </c>
      <c r="F3925" s="2">
        <v>141</v>
      </c>
      <c r="G3925" s="2">
        <v>548</v>
      </c>
      <c r="H3925" s="2">
        <v>1387</v>
      </c>
      <c r="I3925" s="2">
        <v>2324</v>
      </c>
      <c r="J3925" s="2">
        <v>1.27</v>
      </c>
      <c r="K3925" s="2">
        <v>5.33</v>
      </c>
      <c r="L3925" s="2">
        <v>10.58</v>
      </c>
      <c r="M3925" s="2">
        <v>14.01</v>
      </c>
      <c r="N3925" s="2">
        <v>1.1832157270000001</v>
      </c>
      <c r="O3925" s="2">
        <v>1.7116775049999999</v>
      </c>
      <c r="P3925" s="2">
        <v>0.72624870399999997</v>
      </c>
      <c r="Q3925" s="2">
        <v>0.83283704800000002</v>
      </c>
      <c r="R3925" s="2">
        <v>0.67079069800000002</v>
      </c>
      <c r="S3925" s="2">
        <v>0.83079069800000005</v>
      </c>
      <c r="T3925" s="2">
        <v>0.27834694300000001</v>
      </c>
      <c r="U3925" s="2">
        <v>5.8346942999999998E-2</v>
      </c>
      <c r="V3925" s="2">
        <v>1.6432066970000001</v>
      </c>
      <c r="W3925" s="2">
        <v>1.7828608720000001</v>
      </c>
      <c r="X3925">
        <f t="shared" si="183"/>
        <v>0</v>
      </c>
      <c r="Y3925">
        <f t="shared" si="184"/>
        <v>0</v>
      </c>
      <c r="Z3925">
        <f t="shared" si="185"/>
        <v>1</v>
      </c>
    </row>
    <row r="3926" spans="1:26" ht="15.75" customHeight="1" x14ac:dyDescent="0.2">
      <c r="A3926" s="2" t="s">
        <v>36</v>
      </c>
      <c r="B3926" s="2" t="s">
        <v>35</v>
      </c>
      <c r="C3926" s="2" t="s">
        <v>32</v>
      </c>
      <c r="D3926" s="2" t="s">
        <v>33</v>
      </c>
      <c r="E3926" s="2">
        <v>170</v>
      </c>
      <c r="F3926" s="2">
        <v>157</v>
      </c>
      <c r="G3926" s="2">
        <v>640</v>
      </c>
      <c r="H3926" s="2">
        <v>1305</v>
      </c>
      <c r="I3926" s="2">
        <v>2350</v>
      </c>
      <c r="J3926" s="2">
        <v>1.45</v>
      </c>
      <c r="K3926" s="2">
        <v>6.07</v>
      </c>
      <c r="L3926" s="2">
        <v>10.18</v>
      </c>
      <c r="M3926" s="2">
        <v>14.09</v>
      </c>
      <c r="N3926" s="2">
        <v>0.407095702</v>
      </c>
      <c r="O3926" s="2">
        <v>0.41602873899999998</v>
      </c>
      <c r="P3926" s="2">
        <v>1.5630561220000001</v>
      </c>
      <c r="Q3926" s="2">
        <v>1.6342495189999999</v>
      </c>
      <c r="R3926" s="2">
        <v>1.409384615</v>
      </c>
      <c r="S3926" s="2">
        <v>1.5693846149999999</v>
      </c>
      <c r="T3926" s="2">
        <v>0.67585460500000005</v>
      </c>
      <c r="U3926" s="2">
        <v>0.45585460500000002</v>
      </c>
      <c r="V3926" s="2">
        <v>2.381800615</v>
      </c>
      <c r="W3926" s="2">
        <v>2.5214547899999999</v>
      </c>
      <c r="X3926">
        <f t="shared" si="183"/>
        <v>0</v>
      </c>
      <c r="Y3926">
        <f t="shared" si="184"/>
        <v>0</v>
      </c>
      <c r="Z3926">
        <f t="shared" si="185"/>
        <v>1</v>
      </c>
    </row>
    <row r="3927" spans="1:26" ht="15.75" customHeight="1" x14ac:dyDescent="0.2">
      <c r="A3927" s="2" t="s">
        <v>36</v>
      </c>
      <c r="B3927" s="2" t="s">
        <v>35</v>
      </c>
      <c r="C3927" s="2" t="s">
        <v>25</v>
      </c>
      <c r="D3927" s="2" t="s">
        <v>25</v>
      </c>
      <c r="E3927" s="2">
        <v>130</v>
      </c>
      <c r="F3927" s="2">
        <v>164</v>
      </c>
      <c r="G3927" s="2">
        <v>569</v>
      </c>
      <c r="H3927" s="2">
        <v>1339</v>
      </c>
      <c r="I3927" s="2">
        <v>2452</v>
      </c>
      <c r="J3927" s="2">
        <v>1.54</v>
      </c>
      <c r="K3927" s="2">
        <v>5.5</v>
      </c>
      <c r="L3927" s="2">
        <v>10.35</v>
      </c>
      <c r="M3927" s="2">
        <v>14.37</v>
      </c>
      <c r="N3927" s="2">
        <v>0.28908480800000003</v>
      </c>
      <c r="O3927" s="2">
        <v>0.225686356</v>
      </c>
      <c r="P3927" s="2">
        <v>0.98353963099999997</v>
      </c>
      <c r="Q3927" s="2">
        <v>1.042648048</v>
      </c>
      <c r="R3927" s="2">
        <v>0.84198497400000005</v>
      </c>
      <c r="S3927" s="2">
        <v>1.001984974</v>
      </c>
      <c r="T3927" s="2">
        <v>0.50834192199999995</v>
      </c>
      <c r="U3927" s="2">
        <v>0.28834192199999997</v>
      </c>
      <c r="V3927" s="2">
        <v>1.814400974</v>
      </c>
      <c r="W3927" s="2">
        <v>1.9540551479999999</v>
      </c>
      <c r="X3927">
        <f t="shared" si="183"/>
        <v>0</v>
      </c>
      <c r="Y3927">
        <f t="shared" si="184"/>
        <v>0</v>
      </c>
      <c r="Z3927">
        <f t="shared" si="185"/>
        <v>0</v>
      </c>
    </row>
    <row r="3928" spans="1:26" ht="15.75" customHeight="1" x14ac:dyDescent="0.2">
      <c r="A3928" s="2" t="s">
        <v>36</v>
      </c>
      <c r="B3928" s="2" t="s">
        <v>35</v>
      </c>
      <c r="C3928" s="2" t="s">
        <v>27</v>
      </c>
      <c r="D3928" s="2" t="s">
        <v>27</v>
      </c>
      <c r="E3928" s="2">
        <v>154</v>
      </c>
      <c r="F3928" s="2">
        <v>164</v>
      </c>
      <c r="G3928" s="2">
        <v>474</v>
      </c>
      <c r="H3928" s="2">
        <v>1779</v>
      </c>
      <c r="I3928" s="2">
        <v>2485</v>
      </c>
      <c r="J3928" s="2">
        <v>1.54</v>
      </c>
      <c r="K3928" s="2">
        <v>4.6900000000000004</v>
      </c>
      <c r="L3928" s="2">
        <v>12.22</v>
      </c>
      <c r="M3928" s="2">
        <v>14.46</v>
      </c>
      <c r="N3928" s="2">
        <v>0.42294430300000002</v>
      </c>
      <c r="O3928" s="2">
        <v>0.48002451899999998</v>
      </c>
      <c r="P3928" s="2">
        <v>1.365251422</v>
      </c>
      <c r="Q3928" s="2">
        <v>1.596654477</v>
      </c>
      <c r="R3928" s="2">
        <v>3.3966863E-2</v>
      </c>
      <c r="S3928" s="2">
        <v>0.19396686299999999</v>
      </c>
      <c r="T3928" s="2">
        <v>1.3648288159999999</v>
      </c>
      <c r="U3928" s="2">
        <v>1.5848288159999999</v>
      </c>
      <c r="V3928" s="2">
        <v>1.0063828619999999</v>
      </c>
      <c r="W3928" s="2">
        <v>1.1460370369999999</v>
      </c>
      <c r="X3928">
        <f t="shared" si="183"/>
        <v>0</v>
      </c>
      <c r="Y3928">
        <f t="shared" si="184"/>
        <v>0</v>
      </c>
      <c r="Z3928">
        <f t="shared" si="185"/>
        <v>0</v>
      </c>
    </row>
    <row r="3929" spans="1:26" ht="15.75" customHeight="1" x14ac:dyDescent="0.2">
      <c r="A3929" s="2" t="s">
        <v>36</v>
      </c>
      <c r="B3929" s="2" t="s">
        <v>35</v>
      </c>
      <c r="C3929" s="2" t="s">
        <v>32</v>
      </c>
      <c r="D3929" s="2" t="s">
        <v>33</v>
      </c>
      <c r="E3929" s="2">
        <v>110</v>
      </c>
      <c r="F3929" s="2">
        <v>174</v>
      </c>
      <c r="G3929" s="2">
        <v>630</v>
      </c>
      <c r="H3929" s="2">
        <v>1465</v>
      </c>
      <c r="I3929" s="2">
        <v>2439</v>
      </c>
      <c r="J3929" s="2">
        <v>1.65</v>
      </c>
      <c r="K3929" s="2">
        <v>5.99</v>
      </c>
      <c r="L3929" s="2">
        <v>10.94</v>
      </c>
      <c r="M3929" s="2">
        <v>14.33</v>
      </c>
      <c r="N3929" s="2">
        <v>0.52669804499999995</v>
      </c>
      <c r="O3929" s="2">
        <v>0.59346240299999997</v>
      </c>
      <c r="P3929" s="2">
        <v>1.3310938640000001</v>
      </c>
      <c r="Q3929" s="2">
        <v>1.518493984</v>
      </c>
      <c r="R3929" s="2">
        <v>1.3287398640000001</v>
      </c>
      <c r="S3929" s="2">
        <v>1.488739864</v>
      </c>
      <c r="T3929" s="2">
        <v>7.9128064999999997E-2</v>
      </c>
      <c r="U3929" s="2">
        <v>0.299128065</v>
      </c>
      <c r="V3929" s="2">
        <v>2.301155863</v>
      </c>
      <c r="W3929" s="2">
        <v>2.440810038</v>
      </c>
      <c r="X3929">
        <f t="shared" si="183"/>
        <v>0</v>
      </c>
      <c r="Y3929">
        <f t="shared" si="184"/>
        <v>0</v>
      </c>
      <c r="Z3929">
        <f t="shared" si="185"/>
        <v>1</v>
      </c>
    </row>
    <row r="3930" spans="1:26" ht="15.75" customHeight="1" x14ac:dyDescent="0.2">
      <c r="A3930" s="2" t="s">
        <v>36</v>
      </c>
      <c r="B3930" s="2" t="s">
        <v>35</v>
      </c>
      <c r="C3930" s="2" t="s">
        <v>28</v>
      </c>
      <c r="D3930" s="2" t="s">
        <v>29</v>
      </c>
      <c r="E3930" s="2">
        <v>131</v>
      </c>
      <c r="F3930" s="2">
        <v>167</v>
      </c>
      <c r="G3930" s="2">
        <v>513</v>
      </c>
      <c r="H3930" s="2">
        <v>1486</v>
      </c>
      <c r="I3930" s="2">
        <v>2205</v>
      </c>
      <c r="J3930" s="2">
        <v>1.57</v>
      </c>
      <c r="K3930" s="2">
        <v>5.03</v>
      </c>
      <c r="L3930" s="2">
        <v>11.03</v>
      </c>
      <c r="M3930" s="2">
        <v>13.66</v>
      </c>
      <c r="N3930" s="2">
        <v>1.6466075309999999</v>
      </c>
      <c r="O3930" s="2">
        <v>2.1127528029999998</v>
      </c>
      <c r="P3930" s="2">
        <v>0.41099088299999997</v>
      </c>
      <c r="Q3930" s="2">
        <v>0.66132524299999995</v>
      </c>
      <c r="R3930" s="2">
        <v>0.37433962300000001</v>
      </c>
      <c r="S3930" s="2">
        <v>0.53433962300000004</v>
      </c>
      <c r="T3930" s="2">
        <v>0.169656573</v>
      </c>
      <c r="U3930" s="2">
        <v>0.38965657300000001</v>
      </c>
      <c r="V3930" s="2">
        <v>1.3467556220000001</v>
      </c>
      <c r="W3930" s="2">
        <v>1.4864097970000001</v>
      </c>
      <c r="X3930">
        <f t="shared" si="183"/>
        <v>0</v>
      </c>
      <c r="Y3930">
        <f t="shared" si="184"/>
        <v>0</v>
      </c>
      <c r="Z3930">
        <f t="shared" si="185"/>
        <v>1</v>
      </c>
    </row>
    <row r="3931" spans="1:26" ht="15.75" customHeight="1" x14ac:dyDescent="0.2">
      <c r="A3931" s="2" t="s">
        <v>36</v>
      </c>
      <c r="B3931" s="2" t="s">
        <v>35</v>
      </c>
      <c r="C3931" s="2" t="s">
        <v>27</v>
      </c>
      <c r="D3931" s="2" t="s">
        <v>27</v>
      </c>
      <c r="E3931" s="2">
        <v>163</v>
      </c>
      <c r="F3931" s="2">
        <v>170</v>
      </c>
      <c r="G3931" s="2">
        <v>406</v>
      </c>
      <c r="H3931" s="2">
        <v>1676</v>
      </c>
      <c r="I3931" s="2">
        <v>2446</v>
      </c>
      <c r="J3931" s="2">
        <v>1.61</v>
      </c>
      <c r="K3931" s="2">
        <v>4.07</v>
      </c>
      <c r="L3931" s="2">
        <v>11.83</v>
      </c>
      <c r="M3931" s="2">
        <v>14.35</v>
      </c>
      <c r="N3931" s="2">
        <v>0.41373821300000002</v>
      </c>
      <c r="O3931" s="2">
        <v>0.28904454200000002</v>
      </c>
      <c r="P3931" s="2">
        <v>1.1360868529999999</v>
      </c>
      <c r="Q3931" s="2">
        <v>1.2655235090000001</v>
      </c>
      <c r="R3931" s="2">
        <v>0.592596872</v>
      </c>
      <c r="S3931" s="2">
        <v>0.43259687200000002</v>
      </c>
      <c r="T3931" s="2">
        <v>0.96928957699999996</v>
      </c>
      <c r="U3931" s="2">
        <v>1.189289577</v>
      </c>
      <c r="V3931" s="2">
        <v>0.37981912800000001</v>
      </c>
      <c r="W3931" s="2">
        <v>0.51947330199999997</v>
      </c>
      <c r="X3931">
        <f t="shared" si="183"/>
        <v>0</v>
      </c>
      <c r="Y3931">
        <f t="shared" si="184"/>
        <v>0</v>
      </c>
      <c r="Z3931">
        <f t="shared" si="185"/>
        <v>0</v>
      </c>
    </row>
    <row r="3932" spans="1:26" ht="15.75" customHeight="1" x14ac:dyDescent="0.2">
      <c r="A3932" s="2" t="s">
        <v>36</v>
      </c>
      <c r="B3932" s="2" t="s">
        <v>35</v>
      </c>
      <c r="C3932" s="2" t="s">
        <v>26</v>
      </c>
      <c r="D3932" s="2" t="s">
        <v>26</v>
      </c>
      <c r="E3932" s="2">
        <v>186</v>
      </c>
      <c r="F3932" s="2">
        <v>172</v>
      </c>
      <c r="G3932" s="2">
        <v>445</v>
      </c>
      <c r="H3932" s="2">
        <v>773</v>
      </c>
      <c r="I3932" s="2">
        <v>2134</v>
      </c>
      <c r="J3932" s="2">
        <v>1.63</v>
      </c>
      <c r="K3932" s="2">
        <v>4.43</v>
      </c>
      <c r="L3932" s="2">
        <v>7.05</v>
      </c>
      <c r="M3932" s="2">
        <v>13.44</v>
      </c>
      <c r="N3932" s="2">
        <v>2.4948408190000002</v>
      </c>
      <c r="O3932" s="2">
        <v>1.9323990339999999</v>
      </c>
      <c r="P3932" s="2">
        <v>3.816317519</v>
      </c>
      <c r="Q3932" s="2">
        <v>3.5900909950000002</v>
      </c>
      <c r="R3932" s="2">
        <v>0.229313929</v>
      </c>
      <c r="S3932" s="2">
        <v>6.9313928999999996E-2</v>
      </c>
      <c r="T3932" s="2">
        <v>3.8094218099999999</v>
      </c>
      <c r="U3932" s="2">
        <v>3.5894218100000002</v>
      </c>
      <c r="V3932" s="2">
        <v>0.74310206999999995</v>
      </c>
      <c r="W3932" s="2">
        <v>0.88275624500000005</v>
      </c>
      <c r="X3932">
        <f t="shared" si="183"/>
        <v>0</v>
      </c>
      <c r="Y3932">
        <f t="shared" si="184"/>
        <v>0</v>
      </c>
      <c r="Z3932">
        <f t="shared" si="185"/>
        <v>0</v>
      </c>
    </row>
    <row r="3933" spans="1:26" ht="15.75" customHeight="1" x14ac:dyDescent="0.2">
      <c r="A3933" s="2" t="s">
        <v>36</v>
      </c>
      <c r="B3933" s="2" t="s">
        <v>35</v>
      </c>
      <c r="C3933" s="2" t="s">
        <v>27</v>
      </c>
      <c r="D3933" s="2" t="s">
        <v>27</v>
      </c>
      <c r="E3933" s="2">
        <v>163</v>
      </c>
      <c r="F3933" s="2">
        <v>137</v>
      </c>
      <c r="G3933" s="2">
        <v>465</v>
      </c>
      <c r="H3933" s="2">
        <v>1687</v>
      </c>
      <c r="I3933" s="2">
        <v>2479</v>
      </c>
      <c r="J3933" s="2">
        <v>1.22</v>
      </c>
      <c r="K3933" s="2">
        <v>4.6100000000000003</v>
      </c>
      <c r="L3933" s="2">
        <v>11.87</v>
      </c>
      <c r="M3933" s="2">
        <v>14.44</v>
      </c>
      <c r="N3933" s="2">
        <v>0.12842845999999999</v>
      </c>
      <c r="O3933" s="2">
        <v>0.25856636999999999</v>
      </c>
      <c r="P3933" s="2">
        <v>1.0128951239999999</v>
      </c>
      <c r="Q3933" s="2">
        <v>1.236273044</v>
      </c>
      <c r="R3933" s="2">
        <v>5.2092383999999999E-2</v>
      </c>
      <c r="S3933" s="2">
        <v>0.107907616</v>
      </c>
      <c r="T3933" s="2">
        <v>1.011554702</v>
      </c>
      <c r="U3933" s="2">
        <v>1.2315547019999999</v>
      </c>
      <c r="V3933" s="2">
        <v>0.92032361600000001</v>
      </c>
      <c r="W3933" s="2">
        <v>1.05997779</v>
      </c>
      <c r="X3933">
        <f t="shared" si="183"/>
        <v>0</v>
      </c>
      <c r="Y3933">
        <f t="shared" si="184"/>
        <v>0</v>
      </c>
      <c r="Z3933">
        <f t="shared" si="185"/>
        <v>0</v>
      </c>
    </row>
    <row r="3934" spans="1:26" ht="15.75" customHeight="1" x14ac:dyDescent="0.2">
      <c r="A3934" s="2" t="s">
        <v>36</v>
      </c>
      <c r="B3934" s="2" t="s">
        <v>35</v>
      </c>
      <c r="C3934" s="2" t="s">
        <v>27</v>
      </c>
      <c r="D3934" s="2" t="s">
        <v>27</v>
      </c>
      <c r="E3934" s="2">
        <v>125</v>
      </c>
      <c r="F3934" s="2">
        <v>178</v>
      </c>
      <c r="G3934" s="2">
        <v>503</v>
      </c>
      <c r="H3934" s="2">
        <v>1709</v>
      </c>
      <c r="I3934" s="2">
        <v>2477</v>
      </c>
      <c r="J3934" s="2">
        <v>1.71</v>
      </c>
      <c r="K3934" s="2">
        <v>4.9400000000000004</v>
      </c>
      <c r="L3934" s="2">
        <v>11.96</v>
      </c>
      <c r="M3934" s="2">
        <v>14.44</v>
      </c>
      <c r="N3934" s="2">
        <v>0.47285104500000003</v>
      </c>
      <c r="O3934" s="2">
        <v>0.59635183700000005</v>
      </c>
      <c r="P3934" s="2">
        <v>1.1349259009999999</v>
      </c>
      <c r="Q3934" s="2">
        <v>1.3914269530000001</v>
      </c>
      <c r="R3934" s="2">
        <v>0.28231727099999998</v>
      </c>
      <c r="S3934" s="2">
        <v>0.44231727100000001</v>
      </c>
      <c r="T3934" s="2">
        <v>1.0992514529999999</v>
      </c>
      <c r="U3934" s="2">
        <v>1.3192514529999999</v>
      </c>
      <c r="V3934" s="2">
        <v>1.2547332710000001</v>
      </c>
      <c r="W3934" s="2">
        <v>1.394387445</v>
      </c>
      <c r="X3934">
        <f t="shared" si="183"/>
        <v>0</v>
      </c>
      <c r="Y3934">
        <f t="shared" si="184"/>
        <v>0</v>
      </c>
      <c r="Z3934">
        <f t="shared" si="185"/>
        <v>0</v>
      </c>
    </row>
    <row r="3935" spans="1:26" ht="15.75" customHeight="1" x14ac:dyDescent="0.2">
      <c r="A3935" s="2" t="s">
        <v>36</v>
      </c>
      <c r="B3935" s="2" t="s">
        <v>35</v>
      </c>
      <c r="C3935" s="2" t="s">
        <v>32</v>
      </c>
      <c r="D3935" s="2" t="s">
        <v>33</v>
      </c>
      <c r="E3935" s="2">
        <v>150</v>
      </c>
      <c r="F3935" s="2">
        <v>161</v>
      </c>
      <c r="G3935" s="2">
        <v>670</v>
      </c>
      <c r="H3935" s="2">
        <v>1177</v>
      </c>
      <c r="I3935" s="2">
        <v>2163</v>
      </c>
      <c r="J3935" s="2">
        <v>1.51</v>
      </c>
      <c r="K3935" s="2">
        <v>6.3</v>
      </c>
      <c r="L3935" s="2">
        <v>9.5299999999999994</v>
      </c>
      <c r="M3935" s="2">
        <v>13.54</v>
      </c>
      <c r="N3935" s="2">
        <v>1.0711722800000001</v>
      </c>
      <c r="O3935" s="2">
        <v>1.0546618409999999</v>
      </c>
      <c r="P3935" s="2">
        <v>2.1120293659999998</v>
      </c>
      <c r="Q3935" s="2">
        <v>2.1151463220000002</v>
      </c>
      <c r="R3935" s="2">
        <v>1.6399239539999999</v>
      </c>
      <c r="S3935" s="2">
        <v>1.799923954</v>
      </c>
      <c r="T3935" s="2">
        <v>1.3309085110000001</v>
      </c>
      <c r="U3935" s="2">
        <v>1.1109085110000001</v>
      </c>
      <c r="V3935" s="2">
        <v>2.6123399539999999</v>
      </c>
      <c r="W3935" s="2">
        <v>2.7519941289999998</v>
      </c>
      <c r="X3935">
        <f t="shared" si="183"/>
        <v>0</v>
      </c>
      <c r="Y3935">
        <f t="shared" si="184"/>
        <v>0</v>
      </c>
      <c r="Z3935">
        <f t="shared" si="185"/>
        <v>1</v>
      </c>
    </row>
    <row r="3936" spans="1:26" ht="15.75" customHeight="1" x14ac:dyDescent="0.2">
      <c r="A3936" s="2" t="s">
        <v>36</v>
      </c>
      <c r="B3936" s="2" t="s">
        <v>35</v>
      </c>
      <c r="C3936" s="2" t="s">
        <v>28</v>
      </c>
      <c r="D3936" s="2" t="s">
        <v>29</v>
      </c>
      <c r="E3936" s="2">
        <v>150</v>
      </c>
      <c r="F3936" s="2">
        <v>172</v>
      </c>
      <c r="G3936" s="2">
        <v>574</v>
      </c>
      <c r="H3936" s="2">
        <v>1308</v>
      </c>
      <c r="I3936" s="2">
        <v>2365</v>
      </c>
      <c r="J3936" s="2">
        <v>1.63</v>
      </c>
      <c r="K3936" s="2">
        <v>5.55</v>
      </c>
      <c r="L3936" s="2">
        <v>10.199999999999999</v>
      </c>
      <c r="M3936" s="2">
        <v>14.13</v>
      </c>
      <c r="N3936" s="2">
        <v>0.84826062499999999</v>
      </c>
      <c r="O3936" s="2">
        <v>1.426730023</v>
      </c>
      <c r="P3936" s="2">
        <v>1.103259151</v>
      </c>
      <c r="Q3936" s="2">
        <v>1.133656714</v>
      </c>
      <c r="R3936" s="2">
        <v>0.88571090399999997</v>
      </c>
      <c r="S3936" s="2">
        <v>1.0457109040000001</v>
      </c>
      <c r="T3936" s="2">
        <v>0.657797042</v>
      </c>
      <c r="U3936" s="2">
        <v>0.43779704200000003</v>
      </c>
      <c r="V3936" s="2">
        <v>1.8581269030000001</v>
      </c>
      <c r="W3936" s="2">
        <v>1.997781078</v>
      </c>
      <c r="X3936">
        <f t="shared" si="183"/>
        <v>0</v>
      </c>
      <c r="Y3936">
        <f t="shared" si="184"/>
        <v>0</v>
      </c>
      <c r="Z3936">
        <f t="shared" si="185"/>
        <v>1</v>
      </c>
    </row>
    <row r="3937" spans="1:26" ht="15.75" customHeight="1" x14ac:dyDescent="0.2">
      <c r="A3937" s="2" t="s">
        <v>36</v>
      </c>
      <c r="B3937" s="2" t="s">
        <v>35</v>
      </c>
      <c r="C3937" s="2" t="s">
        <v>26</v>
      </c>
      <c r="D3937" s="2" t="s">
        <v>26</v>
      </c>
      <c r="E3937" s="2">
        <v>181</v>
      </c>
      <c r="F3937" s="2">
        <v>160</v>
      </c>
      <c r="G3937" s="2">
        <v>628</v>
      </c>
      <c r="H3937" s="2">
        <v>1818</v>
      </c>
      <c r="I3937" s="2">
        <v>2847</v>
      </c>
      <c r="J3937" s="2">
        <v>1.49</v>
      </c>
      <c r="K3937" s="2">
        <v>5.98</v>
      </c>
      <c r="L3937" s="2">
        <v>12.37</v>
      </c>
      <c r="M3937" s="2">
        <v>15.35</v>
      </c>
      <c r="N3937" s="2">
        <v>3.0532224220000002</v>
      </c>
      <c r="O3937" s="2">
        <v>3.6086012479999998</v>
      </c>
      <c r="P3937" s="2">
        <v>2.0044390540000001</v>
      </c>
      <c r="Q3937" s="2">
        <v>2.2755214619999999</v>
      </c>
      <c r="R3937" s="2">
        <v>1.3182871860000001</v>
      </c>
      <c r="S3937" s="2">
        <v>1.478287186</v>
      </c>
      <c r="T3937" s="2">
        <v>1.5099320570000001</v>
      </c>
      <c r="U3937" s="2">
        <v>1.7299320570000001</v>
      </c>
      <c r="V3937" s="2">
        <v>2.290703186</v>
      </c>
      <c r="W3937" s="2">
        <v>2.4303573599999999</v>
      </c>
      <c r="X3937">
        <f t="shared" si="183"/>
        <v>0</v>
      </c>
      <c r="Y3937">
        <f t="shared" si="184"/>
        <v>0</v>
      </c>
      <c r="Z3937">
        <f t="shared" si="185"/>
        <v>0</v>
      </c>
    </row>
    <row r="3938" spans="1:26" ht="15.75" customHeight="1" x14ac:dyDescent="0.2">
      <c r="A3938" s="2" t="s">
        <v>36</v>
      </c>
      <c r="B3938" s="2" t="s">
        <v>35</v>
      </c>
      <c r="C3938" s="2" t="s">
        <v>30</v>
      </c>
      <c r="D3938" s="2" t="s">
        <v>31</v>
      </c>
      <c r="E3938" s="2">
        <v>141</v>
      </c>
      <c r="F3938" s="2">
        <v>154</v>
      </c>
      <c r="G3938" s="2">
        <v>675</v>
      </c>
      <c r="H3938" s="2">
        <v>1256</v>
      </c>
      <c r="I3938" s="2">
        <v>2467</v>
      </c>
      <c r="J3938" s="2">
        <v>1.42</v>
      </c>
      <c r="K3938" s="2">
        <v>6.34</v>
      </c>
      <c r="L3938" s="2">
        <v>9.94</v>
      </c>
      <c r="M3938" s="2">
        <v>14.41</v>
      </c>
      <c r="N3938" s="2">
        <v>2.6700680060000002</v>
      </c>
      <c r="O3938" s="2">
        <v>2.783013618</v>
      </c>
      <c r="P3938" s="2">
        <v>1.9124259320000001</v>
      </c>
      <c r="Q3938" s="2">
        <v>1.9658274469999999</v>
      </c>
      <c r="R3938" s="2">
        <v>1.677836812</v>
      </c>
      <c r="S3938" s="2">
        <v>1.8378368119999999</v>
      </c>
      <c r="T3938" s="2">
        <v>0.91773448000000002</v>
      </c>
      <c r="U3938" s="2">
        <v>0.69773448000000005</v>
      </c>
      <c r="V3938" s="2">
        <v>2.6502528120000002</v>
      </c>
      <c r="W3938" s="2">
        <v>2.7899069860000001</v>
      </c>
      <c r="X3938">
        <f t="shared" si="183"/>
        <v>0</v>
      </c>
      <c r="Y3938">
        <f t="shared" si="184"/>
        <v>0</v>
      </c>
      <c r="Z3938">
        <f t="shared" si="185"/>
        <v>1</v>
      </c>
    </row>
    <row r="3939" spans="1:26" ht="15.75" customHeight="1" x14ac:dyDescent="0.2">
      <c r="A3939" s="2" t="s">
        <v>36</v>
      </c>
      <c r="B3939" s="2" t="s">
        <v>35</v>
      </c>
      <c r="C3939" s="2" t="s">
        <v>27</v>
      </c>
      <c r="D3939" s="2" t="s">
        <v>27</v>
      </c>
      <c r="E3939" s="2">
        <v>160</v>
      </c>
      <c r="F3939" s="2">
        <v>171</v>
      </c>
      <c r="G3939" s="2">
        <v>413</v>
      </c>
      <c r="H3939" s="2">
        <v>1673</v>
      </c>
      <c r="I3939" s="2">
        <v>2471</v>
      </c>
      <c r="J3939" s="2">
        <v>1.62</v>
      </c>
      <c r="K3939" s="2">
        <v>4.13</v>
      </c>
      <c r="L3939" s="2">
        <v>11.82</v>
      </c>
      <c r="M3939" s="2">
        <v>14.42</v>
      </c>
      <c r="N3939" s="2">
        <v>0.349673599</v>
      </c>
      <c r="O3939" s="2">
        <v>0.22889642800000001</v>
      </c>
      <c r="P3939" s="2">
        <v>1.0928541460000001</v>
      </c>
      <c r="Q3939" s="2">
        <v>1.233250666</v>
      </c>
      <c r="R3939" s="2">
        <v>0.52706378200000004</v>
      </c>
      <c r="S3939" s="2">
        <v>0.36706378200000001</v>
      </c>
      <c r="T3939" s="2">
        <v>0.95735779799999998</v>
      </c>
      <c r="U3939" s="2">
        <v>1.1773577980000001</v>
      </c>
      <c r="V3939" s="2">
        <v>0.44535221800000002</v>
      </c>
      <c r="W3939" s="2">
        <v>0.58500639200000004</v>
      </c>
      <c r="X3939">
        <f t="shared" si="183"/>
        <v>0</v>
      </c>
      <c r="Y3939">
        <f t="shared" si="184"/>
        <v>0</v>
      </c>
      <c r="Z3939">
        <f t="shared" si="185"/>
        <v>0</v>
      </c>
    </row>
    <row r="3940" spans="1:26" ht="15.75" customHeight="1" x14ac:dyDescent="0.2">
      <c r="A3940" s="2" t="s">
        <v>36</v>
      </c>
      <c r="B3940" s="2" t="s">
        <v>35</v>
      </c>
      <c r="C3940" s="2" t="s">
        <v>30</v>
      </c>
      <c r="D3940" s="2" t="s">
        <v>31</v>
      </c>
      <c r="E3940" s="2">
        <v>171</v>
      </c>
      <c r="F3940" s="2">
        <v>158</v>
      </c>
      <c r="G3940" s="2">
        <v>668</v>
      </c>
      <c r="H3940" s="2">
        <v>1157</v>
      </c>
      <c r="I3940" s="2">
        <v>2370</v>
      </c>
      <c r="J3940" s="2">
        <v>1.47</v>
      </c>
      <c r="K3940" s="2">
        <v>6.28</v>
      </c>
      <c r="L3940" s="2">
        <v>9.42</v>
      </c>
      <c r="M3940" s="2">
        <v>14.15</v>
      </c>
      <c r="N3940" s="2">
        <v>3.0320954599999999</v>
      </c>
      <c r="O3940" s="2">
        <v>3.1346887479999999</v>
      </c>
      <c r="P3940" s="2">
        <v>2.1680494549999998</v>
      </c>
      <c r="Q3940" s="2">
        <v>2.1588527690000001</v>
      </c>
      <c r="R3940" s="2">
        <v>1.6221819099999999</v>
      </c>
      <c r="S3940" s="2">
        <v>1.78218191</v>
      </c>
      <c r="T3940" s="2">
        <v>1.4383894770000001</v>
      </c>
      <c r="U3940" s="2">
        <v>1.2183894770000001</v>
      </c>
      <c r="V3940" s="2">
        <v>2.5945979100000001</v>
      </c>
      <c r="W3940" s="2">
        <v>2.7342520850000001</v>
      </c>
      <c r="X3940">
        <f t="shared" si="183"/>
        <v>0</v>
      </c>
      <c r="Y3940">
        <f t="shared" si="184"/>
        <v>0</v>
      </c>
      <c r="Z3940">
        <f t="shared" si="185"/>
        <v>1</v>
      </c>
    </row>
    <row r="3941" spans="1:26" ht="15.75" customHeight="1" x14ac:dyDescent="0.2">
      <c r="A3941" s="2" t="s">
        <v>36</v>
      </c>
      <c r="B3941" s="2" t="s">
        <v>35</v>
      </c>
      <c r="C3941" s="2" t="s">
        <v>26</v>
      </c>
      <c r="D3941" s="2" t="s">
        <v>26</v>
      </c>
      <c r="E3941" s="2">
        <v>149</v>
      </c>
      <c r="F3941" s="2">
        <v>166</v>
      </c>
      <c r="G3941" s="2">
        <v>565</v>
      </c>
      <c r="H3941" s="2">
        <v>886</v>
      </c>
      <c r="I3941" s="2">
        <v>2165</v>
      </c>
      <c r="J3941" s="2">
        <v>1.56</v>
      </c>
      <c r="K3941" s="2">
        <v>5.47</v>
      </c>
      <c r="L3941" s="2">
        <v>7.81</v>
      </c>
      <c r="M3941" s="2">
        <v>13.54</v>
      </c>
      <c r="N3941" s="2">
        <v>1.598276831</v>
      </c>
      <c r="O3941" s="2">
        <v>1.2346414459999999</v>
      </c>
      <c r="P3941" s="2">
        <v>3.151456832</v>
      </c>
      <c r="Q3941" s="2">
        <v>2.987376217</v>
      </c>
      <c r="R3941" s="2">
        <v>0.80906930700000002</v>
      </c>
      <c r="S3941" s="2">
        <v>0.96906930700000005</v>
      </c>
      <c r="T3941" s="2">
        <v>3.0458310879999999</v>
      </c>
      <c r="U3941" s="2">
        <v>2.8258310880000002</v>
      </c>
      <c r="V3941" s="2">
        <v>1.781485306</v>
      </c>
      <c r="W3941" s="2">
        <v>1.921139481</v>
      </c>
      <c r="X3941">
        <f t="shared" si="183"/>
        <v>0</v>
      </c>
      <c r="Y3941">
        <f t="shared" si="184"/>
        <v>0</v>
      </c>
      <c r="Z3941">
        <f t="shared" si="185"/>
        <v>0</v>
      </c>
    </row>
    <row r="3942" spans="1:26" ht="15.75" customHeight="1" x14ac:dyDescent="0.2">
      <c r="A3942" s="2" t="s">
        <v>36</v>
      </c>
      <c r="B3942" s="2" t="s">
        <v>35</v>
      </c>
      <c r="C3942" s="2" t="s">
        <v>26</v>
      </c>
      <c r="D3942" s="2" t="s">
        <v>26</v>
      </c>
      <c r="E3942" s="2">
        <v>134</v>
      </c>
      <c r="F3942" s="2">
        <v>175</v>
      </c>
      <c r="G3942" s="2">
        <v>437</v>
      </c>
      <c r="H3942" s="2">
        <v>1083</v>
      </c>
      <c r="I3942" s="2">
        <v>2448</v>
      </c>
      <c r="J3942" s="2">
        <v>1.67</v>
      </c>
      <c r="K3942" s="2">
        <v>4.3600000000000003</v>
      </c>
      <c r="L3942" s="2">
        <v>9.01</v>
      </c>
      <c r="M3942" s="2">
        <v>14.36</v>
      </c>
      <c r="N3942" s="2">
        <v>0.99220271400000004</v>
      </c>
      <c r="O3942" s="2">
        <v>0.56935520799999995</v>
      </c>
      <c r="P3942" s="2">
        <v>1.874767909</v>
      </c>
      <c r="Q3942" s="2">
        <v>1.636438565</v>
      </c>
      <c r="R3942" s="2">
        <v>0.30223612799999999</v>
      </c>
      <c r="S3942" s="2">
        <v>0.14223612799999999</v>
      </c>
      <c r="T3942" s="2">
        <v>1.8502453990000001</v>
      </c>
      <c r="U3942" s="2">
        <v>1.6302453990000001</v>
      </c>
      <c r="V3942" s="2">
        <v>0.67017987099999998</v>
      </c>
      <c r="W3942" s="2">
        <v>0.80983404599999997</v>
      </c>
      <c r="X3942">
        <f t="shared" si="183"/>
        <v>0</v>
      </c>
      <c r="Y3942">
        <f t="shared" si="184"/>
        <v>0</v>
      </c>
      <c r="Z3942">
        <f t="shared" si="185"/>
        <v>0</v>
      </c>
    </row>
    <row r="3943" spans="1:26" ht="15.75" customHeight="1" x14ac:dyDescent="0.2">
      <c r="A3943" s="2" t="s">
        <v>36</v>
      </c>
      <c r="B3943" s="2" t="s">
        <v>35</v>
      </c>
      <c r="C3943" s="2" t="s">
        <v>26</v>
      </c>
      <c r="D3943" s="2" t="s">
        <v>26</v>
      </c>
      <c r="E3943" s="2">
        <v>159</v>
      </c>
      <c r="F3943" s="2">
        <v>175</v>
      </c>
      <c r="G3943" s="2">
        <v>537</v>
      </c>
      <c r="H3943" s="2">
        <v>905</v>
      </c>
      <c r="I3943" s="2">
        <v>2308</v>
      </c>
      <c r="J3943" s="2">
        <v>1.66</v>
      </c>
      <c r="K3943" s="2">
        <v>5.23</v>
      </c>
      <c r="L3943" s="2">
        <v>7.94</v>
      </c>
      <c r="M3943" s="2">
        <v>13.97</v>
      </c>
      <c r="N3943" s="2">
        <v>1.461692615</v>
      </c>
      <c r="O3943" s="2">
        <v>1.0299031809999999</v>
      </c>
      <c r="P3943" s="2">
        <v>2.9768686689999999</v>
      </c>
      <c r="Q3943" s="2">
        <v>2.7988813210000001</v>
      </c>
      <c r="R3943" s="2">
        <v>0.572897196</v>
      </c>
      <c r="S3943" s="2">
        <v>0.73289719600000003</v>
      </c>
      <c r="T3943" s="2">
        <v>2.9212216400000002</v>
      </c>
      <c r="U3943" s="2">
        <v>2.70122164</v>
      </c>
      <c r="V3943" s="2">
        <v>1.5453131959999999</v>
      </c>
      <c r="W3943" s="2">
        <v>1.6849673700000001</v>
      </c>
      <c r="X3943">
        <f t="shared" si="183"/>
        <v>0</v>
      </c>
      <c r="Y3943">
        <f t="shared" si="184"/>
        <v>0</v>
      </c>
      <c r="Z3943">
        <f t="shared" si="185"/>
        <v>0</v>
      </c>
    </row>
    <row r="3944" spans="1:26" ht="15.75" customHeight="1" x14ac:dyDescent="0.2">
      <c r="A3944" s="2" t="s">
        <v>36</v>
      </c>
      <c r="B3944" s="2" t="s">
        <v>35</v>
      </c>
      <c r="C3944" s="2" t="s">
        <v>25</v>
      </c>
      <c r="D3944" s="2" t="s">
        <v>25</v>
      </c>
      <c r="E3944" s="2">
        <v>159</v>
      </c>
      <c r="F3944" s="2">
        <v>161</v>
      </c>
      <c r="G3944" s="2">
        <v>610</v>
      </c>
      <c r="H3944" s="2">
        <v>1341</v>
      </c>
      <c r="I3944" s="2">
        <v>2345</v>
      </c>
      <c r="J3944" s="2">
        <v>1.51</v>
      </c>
      <c r="K3944" s="2">
        <v>5.84</v>
      </c>
      <c r="L3944" s="2">
        <v>10.36</v>
      </c>
      <c r="M3944" s="2">
        <v>14.07</v>
      </c>
      <c r="N3944" s="2">
        <v>0.11879023399999999</v>
      </c>
      <c r="O3944" s="2">
        <v>0.12591049700000001</v>
      </c>
      <c r="P3944" s="2">
        <v>1.277473549</v>
      </c>
      <c r="Q3944" s="2">
        <v>1.364870389</v>
      </c>
      <c r="R3944" s="2">
        <v>1.1761146410000001</v>
      </c>
      <c r="S3944" s="2">
        <v>1.336114641</v>
      </c>
      <c r="T3944" s="2">
        <v>0.498691306</v>
      </c>
      <c r="U3944" s="2">
        <v>0.27869130600000003</v>
      </c>
      <c r="V3944" s="2">
        <v>2.1485306409999998</v>
      </c>
      <c r="W3944" s="2">
        <v>2.2881848159999998</v>
      </c>
      <c r="X3944">
        <f t="shared" si="183"/>
        <v>0</v>
      </c>
      <c r="Y3944">
        <f t="shared" si="184"/>
        <v>0</v>
      </c>
      <c r="Z3944">
        <f t="shared" si="185"/>
        <v>0</v>
      </c>
    </row>
    <row r="3945" spans="1:26" ht="15.75" customHeight="1" x14ac:dyDescent="0.2">
      <c r="A3945" s="2" t="s">
        <v>36</v>
      </c>
      <c r="B3945" s="2" t="s">
        <v>35</v>
      </c>
      <c r="C3945" s="2" t="s">
        <v>25</v>
      </c>
      <c r="D3945" s="2" t="s">
        <v>25</v>
      </c>
      <c r="E3945" s="2">
        <v>171</v>
      </c>
      <c r="F3945" s="2">
        <v>166</v>
      </c>
      <c r="G3945" s="2">
        <v>554</v>
      </c>
      <c r="H3945" s="2">
        <v>1331</v>
      </c>
      <c r="I3945" s="2">
        <v>2328</v>
      </c>
      <c r="J3945" s="2">
        <v>1.56</v>
      </c>
      <c r="K3945" s="2">
        <v>5.38</v>
      </c>
      <c r="L3945" s="2">
        <v>10.31</v>
      </c>
      <c r="M3945" s="2">
        <v>14.02</v>
      </c>
      <c r="N3945" s="2">
        <v>0.41923828600000002</v>
      </c>
      <c r="O3945" s="2">
        <v>0.35594092900000002</v>
      </c>
      <c r="P3945" s="2">
        <v>0.90365299799999999</v>
      </c>
      <c r="Q3945" s="2">
        <v>0.93751453500000004</v>
      </c>
      <c r="R3945" s="2">
        <v>0.71801113800000005</v>
      </c>
      <c r="S3945" s="2">
        <v>0.87801113799999997</v>
      </c>
      <c r="T3945" s="2">
        <v>0.54867909199999998</v>
      </c>
      <c r="U3945" s="2">
        <v>0.32867909200000001</v>
      </c>
      <c r="V3945" s="2">
        <v>1.6904271369999999</v>
      </c>
      <c r="W3945" s="2">
        <v>1.8300813119999999</v>
      </c>
      <c r="X3945">
        <f t="shared" si="183"/>
        <v>0</v>
      </c>
      <c r="Y3945">
        <f t="shared" si="184"/>
        <v>0</v>
      </c>
      <c r="Z3945">
        <f t="shared" si="185"/>
        <v>0</v>
      </c>
    </row>
    <row r="3946" spans="1:26" ht="15.75" customHeight="1" x14ac:dyDescent="0.2">
      <c r="A3946" s="2" t="s">
        <v>36</v>
      </c>
      <c r="B3946" s="2" t="s">
        <v>35</v>
      </c>
      <c r="C3946" s="2" t="s">
        <v>25</v>
      </c>
      <c r="D3946" s="2" t="s">
        <v>25</v>
      </c>
      <c r="E3946" s="2">
        <v>136</v>
      </c>
      <c r="F3946" s="2">
        <v>137</v>
      </c>
      <c r="G3946" s="2">
        <v>616</v>
      </c>
      <c r="H3946" s="2">
        <v>1434</v>
      </c>
      <c r="I3946" s="2">
        <v>2392</v>
      </c>
      <c r="J3946" s="2">
        <v>1.23</v>
      </c>
      <c r="K3946" s="2">
        <v>5.88</v>
      </c>
      <c r="L3946" s="2">
        <v>10.8</v>
      </c>
      <c r="M3946" s="2">
        <v>14.21</v>
      </c>
      <c r="N3946" s="2">
        <v>0.35594466000000002</v>
      </c>
      <c r="O3946" s="2">
        <v>0.42005177199999999</v>
      </c>
      <c r="P3946" s="2">
        <v>1.219971897</v>
      </c>
      <c r="Q3946" s="2">
        <v>1.387589315</v>
      </c>
      <c r="R3946" s="2">
        <v>1.2184470039999999</v>
      </c>
      <c r="S3946" s="2">
        <v>1.3784470040000001</v>
      </c>
      <c r="T3946" s="2">
        <v>6.0978101E-2</v>
      </c>
      <c r="U3946" s="2">
        <v>0.15902189899999999</v>
      </c>
      <c r="V3946" s="2">
        <v>2.190863003</v>
      </c>
      <c r="W3946" s="2">
        <v>2.330517178</v>
      </c>
      <c r="X3946">
        <f t="shared" si="183"/>
        <v>0</v>
      </c>
      <c r="Y3946">
        <f t="shared" si="184"/>
        <v>0</v>
      </c>
      <c r="Z3946">
        <f t="shared" si="185"/>
        <v>0</v>
      </c>
    </row>
    <row r="3947" spans="1:26" ht="15.75" customHeight="1" x14ac:dyDescent="0.2">
      <c r="A3947" s="2" t="s">
        <v>36</v>
      </c>
      <c r="B3947" s="2" t="s">
        <v>35</v>
      </c>
      <c r="C3947" s="2" t="s">
        <v>28</v>
      </c>
      <c r="D3947" s="2" t="s">
        <v>29</v>
      </c>
      <c r="E3947" s="2">
        <v>178</v>
      </c>
      <c r="F3947" s="2">
        <v>171</v>
      </c>
      <c r="G3947" s="2">
        <v>544</v>
      </c>
      <c r="H3947" s="2">
        <v>1473</v>
      </c>
      <c r="I3947" s="2">
        <v>2288</v>
      </c>
      <c r="J3947" s="2">
        <v>1.62</v>
      </c>
      <c r="K3947" s="2">
        <v>5.3</v>
      </c>
      <c r="L3947" s="2">
        <v>10.97</v>
      </c>
      <c r="M3947" s="2">
        <v>13.91</v>
      </c>
      <c r="N3947" s="2">
        <v>1.5736250519999999</v>
      </c>
      <c r="O3947" s="2">
        <v>2.0877688989999998</v>
      </c>
      <c r="P3947" s="2">
        <v>0.64733781899999998</v>
      </c>
      <c r="Q3947" s="2">
        <v>0.86422359999999998</v>
      </c>
      <c r="R3947" s="2">
        <v>0.63732996099999994</v>
      </c>
      <c r="S3947" s="2">
        <v>0.79732996099999998</v>
      </c>
      <c r="T3947" s="2">
        <v>0.113387708</v>
      </c>
      <c r="U3947" s="2">
        <v>0.333387708</v>
      </c>
      <c r="V3947" s="2">
        <v>1.609745961</v>
      </c>
      <c r="W3947" s="2">
        <v>1.749400136</v>
      </c>
      <c r="X3947">
        <f t="shared" si="183"/>
        <v>0</v>
      </c>
      <c r="Y3947">
        <f t="shared" si="184"/>
        <v>0</v>
      </c>
      <c r="Z3947">
        <f t="shared" si="185"/>
        <v>1</v>
      </c>
    </row>
    <row r="3948" spans="1:26" ht="15.75" customHeight="1" x14ac:dyDescent="0.2">
      <c r="A3948" s="2" t="s">
        <v>36</v>
      </c>
      <c r="B3948" s="2" t="s">
        <v>35</v>
      </c>
      <c r="C3948" s="2" t="s">
        <v>30</v>
      </c>
      <c r="D3948" s="2" t="s">
        <v>31</v>
      </c>
      <c r="E3948" s="2">
        <v>139</v>
      </c>
      <c r="F3948" s="2">
        <v>170</v>
      </c>
      <c r="G3948" s="2">
        <v>694</v>
      </c>
      <c r="H3948" s="2">
        <v>1114</v>
      </c>
      <c r="I3948" s="2">
        <v>2148</v>
      </c>
      <c r="J3948" s="2">
        <v>1.61</v>
      </c>
      <c r="K3948" s="2">
        <v>6.48</v>
      </c>
      <c r="L3948" s="2">
        <v>9.19</v>
      </c>
      <c r="M3948" s="2">
        <v>13.49</v>
      </c>
      <c r="N3948" s="2">
        <v>3.3367579709999999</v>
      </c>
      <c r="O3948" s="2">
        <v>3.43971005</v>
      </c>
      <c r="P3948" s="2">
        <v>2.4702874179999998</v>
      </c>
      <c r="Q3948" s="2">
        <v>2.4540334800000001</v>
      </c>
      <c r="R3948" s="2">
        <v>1.8181158150000001</v>
      </c>
      <c r="S3948" s="2">
        <v>1.978115815</v>
      </c>
      <c r="T3948" s="2">
        <v>1.6723560660000001</v>
      </c>
      <c r="U3948" s="2">
        <v>1.4523560659999999</v>
      </c>
      <c r="V3948" s="2">
        <v>2.7905318139999999</v>
      </c>
      <c r="W3948" s="2">
        <v>2.9301859889999999</v>
      </c>
      <c r="X3948">
        <f t="shared" si="183"/>
        <v>0</v>
      </c>
      <c r="Y3948">
        <f t="shared" si="184"/>
        <v>0</v>
      </c>
      <c r="Z3948">
        <f t="shared" si="185"/>
        <v>1</v>
      </c>
    </row>
    <row r="3949" spans="1:26" ht="15.75" customHeight="1" x14ac:dyDescent="0.2">
      <c r="A3949" s="2" t="s">
        <v>36</v>
      </c>
      <c r="B3949" s="2" t="s">
        <v>35</v>
      </c>
      <c r="C3949" s="2" t="s">
        <v>32</v>
      </c>
      <c r="D3949" s="2" t="s">
        <v>33</v>
      </c>
      <c r="E3949" s="2">
        <v>168</v>
      </c>
      <c r="F3949" s="2">
        <v>156</v>
      </c>
      <c r="G3949" s="2">
        <v>711</v>
      </c>
      <c r="H3949" s="2">
        <v>1035</v>
      </c>
      <c r="I3949" s="2">
        <v>2188</v>
      </c>
      <c r="J3949" s="2">
        <v>1.45</v>
      </c>
      <c r="K3949" s="2">
        <v>6.6</v>
      </c>
      <c r="L3949" s="2">
        <v>8.73</v>
      </c>
      <c r="M3949" s="2">
        <v>13.61</v>
      </c>
      <c r="N3949" s="2">
        <v>1.9162015960000001</v>
      </c>
      <c r="O3949" s="2">
        <v>1.8941314840000001</v>
      </c>
      <c r="P3949" s="2">
        <v>2.8802532699999999</v>
      </c>
      <c r="Q3949" s="2">
        <v>2.8384755689999999</v>
      </c>
      <c r="R3949" s="2">
        <v>1.9441637540000001</v>
      </c>
      <c r="S3949" s="2">
        <v>2.104163754</v>
      </c>
      <c r="T3949" s="2">
        <v>2.1251085139999999</v>
      </c>
      <c r="U3949" s="2">
        <v>1.9051085139999999</v>
      </c>
      <c r="V3949" s="2">
        <v>2.9165797539999998</v>
      </c>
      <c r="W3949" s="2">
        <v>3.0562339289999998</v>
      </c>
      <c r="X3949">
        <f t="shared" si="183"/>
        <v>0</v>
      </c>
      <c r="Y3949">
        <f t="shared" si="184"/>
        <v>0</v>
      </c>
      <c r="Z3949">
        <f t="shared" si="185"/>
        <v>1</v>
      </c>
    </row>
    <row r="3950" spans="1:26" ht="15.75" customHeight="1" x14ac:dyDescent="0.2">
      <c r="A3950" s="2" t="s">
        <v>36</v>
      </c>
      <c r="B3950" s="2" t="s">
        <v>35</v>
      </c>
      <c r="C3950" s="2" t="s">
        <v>26</v>
      </c>
      <c r="D3950" s="2" t="s">
        <v>26</v>
      </c>
      <c r="E3950" s="2">
        <v>166</v>
      </c>
      <c r="F3950" s="2">
        <v>181</v>
      </c>
      <c r="G3950" s="2">
        <v>563</v>
      </c>
      <c r="H3950" s="2">
        <v>1410</v>
      </c>
      <c r="I3950" s="2">
        <v>2528</v>
      </c>
      <c r="J3950" s="2">
        <v>1.73</v>
      </c>
      <c r="K3950" s="2">
        <v>5.45</v>
      </c>
      <c r="L3950" s="2">
        <v>10.69</v>
      </c>
      <c r="M3950" s="2">
        <v>14.57</v>
      </c>
      <c r="N3950" s="2">
        <v>1.3001232220000001</v>
      </c>
      <c r="O3950" s="2">
        <v>1.8457442310000001</v>
      </c>
      <c r="P3950" s="2">
        <v>0.81118234700000003</v>
      </c>
      <c r="Q3950" s="2">
        <v>0.95374299699999998</v>
      </c>
      <c r="R3950" s="2">
        <v>0.79257233500000002</v>
      </c>
      <c r="S3950" s="2">
        <v>0.95257233500000005</v>
      </c>
      <c r="T3950" s="2">
        <v>0.17275964399999999</v>
      </c>
      <c r="U3950" s="2">
        <v>4.7240355999999997E-2</v>
      </c>
      <c r="V3950" s="2">
        <v>1.7649883340000001</v>
      </c>
      <c r="W3950" s="2">
        <v>1.9046425090000001</v>
      </c>
      <c r="X3950">
        <f t="shared" si="183"/>
        <v>0</v>
      </c>
      <c r="Y3950">
        <f t="shared" si="184"/>
        <v>0</v>
      </c>
      <c r="Z3950">
        <f t="shared" si="185"/>
        <v>0</v>
      </c>
    </row>
    <row r="3951" spans="1:26" ht="15.75" customHeight="1" x14ac:dyDescent="0.2">
      <c r="A3951" s="2" t="s">
        <v>36</v>
      </c>
      <c r="B3951" s="2" t="s">
        <v>35</v>
      </c>
      <c r="C3951" s="2" t="s">
        <v>32</v>
      </c>
      <c r="D3951" s="2" t="s">
        <v>33</v>
      </c>
      <c r="E3951" s="2">
        <v>92</v>
      </c>
      <c r="F3951" s="2">
        <v>159</v>
      </c>
      <c r="G3951" s="2">
        <v>693</v>
      </c>
      <c r="H3951" s="2">
        <v>1706</v>
      </c>
      <c r="I3951" s="2">
        <v>2333</v>
      </c>
      <c r="J3951" s="2">
        <v>1.48</v>
      </c>
      <c r="K3951" s="2">
        <v>6.47</v>
      </c>
      <c r="L3951" s="2">
        <v>11.95</v>
      </c>
      <c r="M3951" s="2">
        <v>14.04</v>
      </c>
      <c r="N3951" s="2">
        <v>1.6431043750000001</v>
      </c>
      <c r="O3951" s="2">
        <v>1.7098187330000001</v>
      </c>
      <c r="P3951" s="2">
        <v>2.1114811969999998</v>
      </c>
      <c r="Q3951" s="2">
        <v>2.3642551539999999</v>
      </c>
      <c r="R3951" s="2">
        <v>1.810650917</v>
      </c>
      <c r="S3951" s="2">
        <v>1.9706509169999999</v>
      </c>
      <c r="T3951" s="2">
        <v>1.0862302239999999</v>
      </c>
      <c r="U3951" s="2">
        <v>1.3062302240000001</v>
      </c>
      <c r="V3951" s="2">
        <v>2.7830669170000002</v>
      </c>
      <c r="W3951" s="2">
        <v>2.9227210910000001</v>
      </c>
      <c r="X3951">
        <f t="shared" si="183"/>
        <v>0</v>
      </c>
      <c r="Y3951">
        <f t="shared" si="184"/>
        <v>0</v>
      </c>
      <c r="Z3951">
        <f t="shared" si="185"/>
        <v>1</v>
      </c>
    </row>
    <row r="3952" spans="1:26" ht="15.75" customHeight="1" x14ac:dyDescent="0.2">
      <c r="A3952" s="2" t="s">
        <v>36</v>
      </c>
      <c r="B3952" s="2" t="s">
        <v>35</v>
      </c>
      <c r="C3952" s="2" t="s">
        <v>28</v>
      </c>
      <c r="D3952" s="2" t="s">
        <v>29</v>
      </c>
      <c r="E3952" s="2">
        <v>150</v>
      </c>
      <c r="F3952" s="2">
        <v>161</v>
      </c>
      <c r="G3952" s="2">
        <v>504</v>
      </c>
      <c r="H3952" s="2">
        <v>1350</v>
      </c>
      <c r="I3952" s="2">
        <v>2319</v>
      </c>
      <c r="J3952" s="2">
        <v>1.51</v>
      </c>
      <c r="K3952" s="2">
        <v>4.96</v>
      </c>
      <c r="L3952" s="2">
        <v>10.4</v>
      </c>
      <c r="M3952" s="2">
        <v>14</v>
      </c>
      <c r="N3952" s="2">
        <v>1.0522984470000001</v>
      </c>
      <c r="O3952" s="2">
        <v>1.485046892</v>
      </c>
      <c r="P3952" s="2">
        <v>0.54355850999999999</v>
      </c>
      <c r="Q3952" s="2">
        <v>0.51384418399999998</v>
      </c>
      <c r="R3952" s="2">
        <v>0.29674827500000001</v>
      </c>
      <c r="S3952" s="2">
        <v>0.45674827499999998</v>
      </c>
      <c r="T3952" s="2">
        <v>0.45540785499999997</v>
      </c>
      <c r="U3952" s="2">
        <v>0.235407855</v>
      </c>
      <c r="V3952" s="2">
        <v>1.2691642750000001</v>
      </c>
      <c r="W3952" s="2">
        <v>1.4088184500000001</v>
      </c>
      <c r="X3952">
        <f t="shared" si="183"/>
        <v>0</v>
      </c>
      <c r="Y3952">
        <f t="shared" si="184"/>
        <v>0</v>
      </c>
      <c r="Z3952">
        <f t="shared" si="185"/>
        <v>1</v>
      </c>
    </row>
    <row r="3953" spans="1:26" ht="15.75" customHeight="1" x14ac:dyDescent="0.2">
      <c r="A3953" s="2" t="s">
        <v>36</v>
      </c>
      <c r="B3953" s="2" t="s">
        <v>35</v>
      </c>
      <c r="C3953" s="2" t="s">
        <v>32</v>
      </c>
      <c r="D3953" s="2" t="s">
        <v>33</v>
      </c>
      <c r="E3953" s="2">
        <v>161</v>
      </c>
      <c r="F3953" s="2">
        <v>152</v>
      </c>
      <c r="G3953" s="2">
        <v>757</v>
      </c>
      <c r="H3953" s="2">
        <v>1610</v>
      </c>
      <c r="I3953" s="2">
        <v>2413</v>
      </c>
      <c r="J3953" s="2">
        <v>1.4</v>
      </c>
      <c r="K3953" s="2">
        <v>6.94</v>
      </c>
      <c r="L3953" s="2">
        <v>11.56</v>
      </c>
      <c r="M3953" s="2">
        <v>14.26</v>
      </c>
      <c r="N3953" s="2">
        <v>1.608882546</v>
      </c>
      <c r="O3953" s="2">
        <v>1.6795612419999999</v>
      </c>
      <c r="P3953" s="2">
        <v>2.3876501179999998</v>
      </c>
      <c r="Q3953" s="2">
        <v>2.610380326</v>
      </c>
      <c r="R3953" s="2">
        <v>2.2820706579999999</v>
      </c>
      <c r="S3953" s="2">
        <v>2.442070658</v>
      </c>
      <c r="T3953" s="2">
        <v>0.70215852899999998</v>
      </c>
      <c r="U3953" s="2">
        <v>0.92215852899999995</v>
      </c>
      <c r="V3953" s="2">
        <v>3.2544866570000002</v>
      </c>
      <c r="W3953" s="2">
        <v>3.3941408320000002</v>
      </c>
      <c r="X3953">
        <f t="shared" si="183"/>
        <v>0</v>
      </c>
      <c r="Y3953">
        <f t="shared" si="184"/>
        <v>0</v>
      </c>
      <c r="Z3953">
        <f t="shared" si="185"/>
        <v>1</v>
      </c>
    </row>
    <row r="3954" spans="1:26" ht="15.75" customHeight="1" x14ac:dyDescent="0.2">
      <c r="A3954" s="2" t="s">
        <v>36</v>
      </c>
      <c r="B3954" s="2" t="s">
        <v>35</v>
      </c>
      <c r="C3954" s="2" t="s">
        <v>25</v>
      </c>
      <c r="D3954" s="2" t="s">
        <v>25</v>
      </c>
      <c r="E3954" s="2">
        <v>198</v>
      </c>
      <c r="F3954" s="2">
        <v>161</v>
      </c>
      <c r="G3954" s="2">
        <v>559</v>
      </c>
      <c r="H3954" s="2">
        <v>1375</v>
      </c>
      <c r="I3954" s="2">
        <v>2448</v>
      </c>
      <c r="J3954" s="2">
        <v>1.5</v>
      </c>
      <c r="K3954" s="2">
        <v>5.42</v>
      </c>
      <c r="L3954" s="2">
        <v>10.52</v>
      </c>
      <c r="M3954" s="2">
        <v>14.36</v>
      </c>
      <c r="N3954" s="2">
        <v>0.358940182</v>
      </c>
      <c r="O3954" s="2">
        <v>0.32383912100000001</v>
      </c>
      <c r="P3954" s="2">
        <v>0.82814256500000005</v>
      </c>
      <c r="Q3954" s="2">
        <v>0.92409945400000004</v>
      </c>
      <c r="R3954" s="2">
        <v>0.75673901499999996</v>
      </c>
      <c r="S3954" s="2">
        <v>0.91673901499999999</v>
      </c>
      <c r="T3954" s="2">
        <v>0.336401799</v>
      </c>
      <c r="U3954" s="2">
        <v>0.116401799</v>
      </c>
      <c r="V3954" s="2">
        <v>1.7291550149999999</v>
      </c>
      <c r="W3954" s="2">
        <v>1.8688091899999999</v>
      </c>
      <c r="X3954">
        <f t="shared" si="183"/>
        <v>0</v>
      </c>
      <c r="Y3954">
        <f t="shared" si="184"/>
        <v>0</v>
      </c>
      <c r="Z3954">
        <f t="shared" si="185"/>
        <v>0</v>
      </c>
    </row>
    <row r="3955" spans="1:26" ht="15.75" customHeight="1" x14ac:dyDescent="0.2">
      <c r="A3955" s="2" t="s">
        <v>36</v>
      </c>
      <c r="B3955" s="2" t="s">
        <v>35</v>
      </c>
      <c r="C3955" s="2" t="s">
        <v>27</v>
      </c>
      <c r="D3955" s="2" t="s">
        <v>27</v>
      </c>
      <c r="E3955" s="2">
        <v>180</v>
      </c>
      <c r="F3955" s="2">
        <v>162</v>
      </c>
      <c r="G3955" s="2">
        <v>479</v>
      </c>
      <c r="H3955" s="2">
        <v>1666</v>
      </c>
      <c r="I3955" s="2">
        <v>2362</v>
      </c>
      <c r="J3955" s="2">
        <v>1.52</v>
      </c>
      <c r="K3955" s="2">
        <v>4.74</v>
      </c>
      <c r="L3955" s="2">
        <v>11.79</v>
      </c>
      <c r="M3955" s="2">
        <v>14.12</v>
      </c>
      <c r="N3955" s="2">
        <v>0.26839439100000001</v>
      </c>
      <c r="O3955" s="2">
        <v>0.401701737</v>
      </c>
      <c r="P3955" s="2">
        <v>0.93007017700000005</v>
      </c>
      <c r="Q3955" s="2">
        <v>1.171255699</v>
      </c>
      <c r="R3955" s="2">
        <v>7.8212625999999993E-2</v>
      </c>
      <c r="S3955" s="2">
        <v>0.23821262600000001</v>
      </c>
      <c r="T3955" s="2">
        <v>0.92677576500000003</v>
      </c>
      <c r="U3955" s="2">
        <v>1.1467757649999999</v>
      </c>
      <c r="V3955" s="2">
        <v>1.050628626</v>
      </c>
      <c r="W3955" s="2">
        <v>1.1902828009999999</v>
      </c>
      <c r="X3955">
        <f t="shared" si="183"/>
        <v>0</v>
      </c>
      <c r="Y3955">
        <f t="shared" si="184"/>
        <v>0</v>
      </c>
      <c r="Z3955">
        <f t="shared" si="185"/>
        <v>0</v>
      </c>
    </row>
    <row r="3956" spans="1:26" ht="15.75" customHeight="1" x14ac:dyDescent="0.2">
      <c r="A3956" s="2" t="s">
        <v>36</v>
      </c>
      <c r="B3956" s="2" t="s">
        <v>35</v>
      </c>
      <c r="C3956" s="2" t="s">
        <v>30</v>
      </c>
      <c r="D3956" s="2" t="s">
        <v>31</v>
      </c>
      <c r="E3956" s="2">
        <v>153</v>
      </c>
      <c r="F3956" s="2">
        <v>166</v>
      </c>
      <c r="G3956" s="2">
        <v>663</v>
      </c>
      <c r="H3956" s="2">
        <v>1222</v>
      </c>
      <c r="I3956" s="2">
        <v>2281</v>
      </c>
      <c r="J3956" s="2">
        <v>1.57</v>
      </c>
      <c r="K3956" s="2">
        <v>6.25</v>
      </c>
      <c r="L3956" s="2">
        <v>9.77</v>
      </c>
      <c r="M3956" s="2">
        <v>13.89</v>
      </c>
      <c r="N3956" s="2">
        <v>2.7383479959999999</v>
      </c>
      <c r="O3956" s="2">
        <v>2.8462613650000002</v>
      </c>
      <c r="P3956" s="2">
        <v>1.9262397200000001</v>
      </c>
      <c r="Q3956" s="2">
        <v>1.952307958</v>
      </c>
      <c r="R3956" s="2">
        <v>1.586603126</v>
      </c>
      <c r="S3956" s="2">
        <v>1.7466031259999999</v>
      </c>
      <c r="T3956" s="2">
        <v>1.0922865820000001</v>
      </c>
      <c r="U3956" s="2">
        <v>0.87228658199999998</v>
      </c>
      <c r="V3956" s="2">
        <v>2.5590191259999999</v>
      </c>
      <c r="W3956" s="2">
        <v>2.6986732999999998</v>
      </c>
      <c r="X3956">
        <f t="shared" si="183"/>
        <v>0</v>
      </c>
      <c r="Y3956">
        <f t="shared" si="184"/>
        <v>0</v>
      </c>
      <c r="Z3956">
        <f t="shared" si="185"/>
        <v>1</v>
      </c>
    </row>
    <row r="3957" spans="1:26" ht="15.75" customHeight="1" x14ac:dyDescent="0.2">
      <c r="A3957" s="2" t="s">
        <v>36</v>
      </c>
      <c r="B3957" s="2" t="s">
        <v>35</v>
      </c>
      <c r="C3957" s="2" t="s">
        <v>25</v>
      </c>
      <c r="D3957" s="2" t="s">
        <v>25</v>
      </c>
      <c r="E3957" s="2">
        <v>201</v>
      </c>
      <c r="F3957" s="2">
        <v>162</v>
      </c>
      <c r="G3957" s="2">
        <v>589</v>
      </c>
      <c r="H3957" s="2">
        <v>1361</v>
      </c>
      <c r="I3957" s="2">
        <v>2482</v>
      </c>
      <c r="J3957" s="2">
        <v>1.52</v>
      </c>
      <c r="K3957" s="2">
        <v>5.67</v>
      </c>
      <c r="L3957" s="2">
        <v>10.46</v>
      </c>
      <c r="M3957" s="2">
        <v>14.45</v>
      </c>
      <c r="N3957" s="2">
        <v>0.105078967</v>
      </c>
      <c r="O3957" s="2">
        <v>7.1426084000000001E-2</v>
      </c>
      <c r="P3957" s="2">
        <v>1.08332926</v>
      </c>
      <c r="Q3957" s="2">
        <v>1.1795189960000001</v>
      </c>
      <c r="R3957" s="2">
        <v>1.005013731</v>
      </c>
      <c r="S3957" s="2">
        <v>1.1650137309999999</v>
      </c>
      <c r="T3957" s="2">
        <v>0.40441276900000001</v>
      </c>
      <c r="U3957" s="2">
        <v>0.184412769</v>
      </c>
      <c r="V3957" s="2">
        <v>1.9774297300000001</v>
      </c>
      <c r="W3957" s="2">
        <v>2.1170839049999999</v>
      </c>
      <c r="X3957">
        <f t="shared" si="183"/>
        <v>0</v>
      </c>
      <c r="Y3957">
        <f t="shared" si="184"/>
        <v>0</v>
      </c>
      <c r="Z3957">
        <f t="shared" si="185"/>
        <v>0</v>
      </c>
    </row>
    <row r="3958" spans="1:26" ht="15.75" customHeight="1" x14ac:dyDescent="0.2">
      <c r="A3958" s="2" t="s">
        <v>36</v>
      </c>
      <c r="B3958" s="2" t="s">
        <v>35</v>
      </c>
      <c r="C3958" s="2" t="s">
        <v>30</v>
      </c>
      <c r="D3958" s="2" t="s">
        <v>31</v>
      </c>
      <c r="E3958" s="2">
        <v>131</v>
      </c>
      <c r="F3958" s="2">
        <v>150</v>
      </c>
      <c r="G3958" s="2">
        <v>545</v>
      </c>
      <c r="H3958" s="2">
        <v>1165</v>
      </c>
      <c r="I3958" s="2">
        <v>2069</v>
      </c>
      <c r="J3958" s="2">
        <v>1.38</v>
      </c>
      <c r="K3958" s="2">
        <v>5.3</v>
      </c>
      <c r="L3958" s="2">
        <v>9.4600000000000009</v>
      </c>
      <c r="M3958" s="2">
        <v>13.24</v>
      </c>
      <c r="N3958" s="2">
        <v>2.5317458689999999</v>
      </c>
      <c r="O3958" s="2">
        <v>2.6047039949999999</v>
      </c>
      <c r="P3958" s="2">
        <v>1.5350664709999999</v>
      </c>
      <c r="Q3958" s="2">
        <v>1.421747576</v>
      </c>
      <c r="R3958" s="2">
        <v>0.64012243800000002</v>
      </c>
      <c r="S3958" s="2">
        <v>0.80012243800000005</v>
      </c>
      <c r="T3958" s="2">
        <v>1.395232</v>
      </c>
      <c r="U3958" s="2">
        <v>1.1752320000000001</v>
      </c>
      <c r="V3958" s="2">
        <v>1.6125384380000001</v>
      </c>
      <c r="W3958" s="2">
        <v>1.752192612</v>
      </c>
      <c r="X3958">
        <f t="shared" si="183"/>
        <v>0</v>
      </c>
      <c r="Y3958">
        <f t="shared" si="184"/>
        <v>0</v>
      </c>
      <c r="Z3958">
        <f t="shared" si="185"/>
        <v>1</v>
      </c>
    </row>
    <row r="3959" spans="1:26" ht="15.75" customHeight="1" x14ac:dyDescent="0.2">
      <c r="A3959" s="2" t="s">
        <v>36</v>
      </c>
      <c r="B3959" s="2" t="s">
        <v>35</v>
      </c>
      <c r="C3959" s="2" t="s">
        <v>25</v>
      </c>
      <c r="D3959" s="2" t="s">
        <v>25</v>
      </c>
      <c r="E3959" s="2">
        <v>227</v>
      </c>
      <c r="F3959" s="2">
        <v>130</v>
      </c>
      <c r="G3959" s="2">
        <v>689</v>
      </c>
      <c r="H3959" s="2">
        <v>1277</v>
      </c>
      <c r="I3959" s="2">
        <v>2560</v>
      </c>
      <c r="J3959" s="2">
        <v>1.1399999999999999</v>
      </c>
      <c r="K3959" s="2">
        <v>6.44</v>
      </c>
      <c r="L3959" s="2">
        <v>10.050000000000001</v>
      </c>
      <c r="M3959" s="2">
        <v>14.65</v>
      </c>
      <c r="N3959" s="2">
        <v>0.44193302899999998</v>
      </c>
      <c r="O3959" s="2">
        <v>0.54992446900000003</v>
      </c>
      <c r="P3959" s="2">
        <v>2.2907522</v>
      </c>
      <c r="Q3959" s="2">
        <v>2.3181676420000001</v>
      </c>
      <c r="R3959" s="2">
        <v>2.1532314079999999</v>
      </c>
      <c r="S3959" s="2">
        <v>2.233231408</v>
      </c>
      <c r="T3959" s="2">
        <v>0.78175452999999995</v>
      </c>
      <c r="U3959" s="2">
        <v>0.62175453000000003</v>
      </c>
      <c r="V3959" s="2">
        <v>3.3145001390000002</v>
      </c>
      <c r="W3959" s="2">
        <v>3.2354816560000002</v>
      </c>
      <c r="X3959">
        <f t="shared" si="183"/>
        <v>0</v>
      </c>
      <c r="Y3959">
        <f t="shared" si="184"/>
        <v>0</v>
      </c>
      <c r="Z3959">
        <f t="shared" si="185"/>
        <v>0</v>
      </c>
    </row>
    <row r="3960" spans="1:26" ht="15.75" customHeight="1" x14ac:dyDescent="0.2">
      <c r="A3960" s="2" t="s">
        <v>36</v>
      </c>
      <c r="B3960" s="2" t="s">
        <v>35</v>
      </c>
      <c r="C3960" s="2" t="s">
        <v>26</v>
      </c>
      <c r="D3960" s="2" t="s">
        <v>26</v>
      </c>
      <c r="E3960" s="2">
        <v>232</v>
      </c>
      <c r="F3960" s="2">
        <v>143</v>
      </c>
      <c r="G3960" s="2">
        <v>550</v>
      </c>
      <c r="H3960" s="2">
        <v>2077</v>
      </c>
      <c r="I3960" s="2">
        <v>3221</v>
      </c>
      <c r="J3960" s="2">
        <v>1.29</v>
      </c>
      <c r="K3960" s="2">
        <v>5.35</v>
      </c>
      <c r="L3960" s="2">
        <v>13.26</v>
      </c>
      <c r="M3960" s="2">
        <v>16.14</v>
      </c>
      <c r="N3960" s="2">
        <v>5.1333387339999996</v>
      </c>
      <c r="O3960" s="2">
        <v>5.7721408690000002</v>
      </c>
      <c r="P3960" s="2">
        <v>2.6533377360000001</v>
      </c>
      <c r="Q3960" s="2">
        <v>2.831981452</v>
      </c>
      <c r="R3960" s="2">
        <v>1.0574810779999999</v>
      </c>
      <c r="S3960" s="2">
        <v>1.137481078</v>
      </c>
      <c r="T3960" s="2">
        <v>2.4335026009999998</v>
      </c>
      <c r="U3960" s="2">
        <v>2.593502601</v>
      </c>
      <c r="V3960" s="2">
        <v>2.2187498090000002</v>
      </c>
      <c r="W3960" s="2">
        <v>2.1397313260000002</v>
      </c>
      <c r="X3960">
        <f t="shared" si="183"/>
        <v>0</v>
      </c>
      <c r="Y3960">
        <f t="shared" si="184"/>
        <v>0</v>
      </c>
      <c r="Z3960">
        <f t="shared" si="185"/>
        <v>0</v>
      </c>
    </row>
    <row r="3961" spans="1:26" ht="15.75" customHeight="1" x14ac:dyDescent="0.2">
      <c r="A3961" s="2" t="s">
        <v>36</v>
      </c>
      <c r="B3961" s="2" t="s">
        <v>35</v>
      </c>
      <c r="C3961" s="2" t="s">
        <v>27</v>
      </c>
      <c r="D3961" s="2" t="s">
        <v>27</v>
      </c>
      <c r="E3961" s="2">
        <v>144</v>
      </c>
      <c r="F3961" s="2">
        <v>148</v>
      </c>
      <c r="G3961" s="2">
        <v>339</v>
      </c>
      <c r="H3961" s="2">
        <v>1940</v>
      </c>
      <c r="I3961" s="2">
        <v>2400</v>
      </c>
      <c r="J3961" s="2">
        <v>1.36</v>
      </c>
      <c r="K3961" s="2">
        <v>3.42</v>
      </c>
      <c r="L3961" s="2">
        <v>12.81</v>
      </c>
      <c r="M3961" s="2">
        <v>14.23</v>
      </c>
      <c r="N3961" s="2">
        <v>0.47674228699999999</v>
      </c>
      <c r="O3961" s="2">
        <v>0.42801377499999999</v>
      </c>
      <c r="P3961" s="2">
        <v>2.158239832</v>
      </c>
      <c r="Q3961" s="2">
        <v>2.2765823310000002</v>
      </c>
      <c r="R3961" s="2">
        <v>0.87003480300000002</v>
      </c>
      <c r="S3961" s="2">
        <v>0.79003480299999995</v>
      </c>
      <c r="T3961" s="2">
        <v>1.9751047100000001</v>
      </c>
      <c r="U3961" s="2">
        <v>2.1351047099999998</v>
      </c>
      <c r="V3961" s="2">
        <v>0.29123392799999998</v>
      </c>
      <c r="W3961" s="2">
        <v>0.212215445</v>
      </c>
      <c r="X3961">
        <f t="shared" si="183"/>
        <v>0</v>
      </c>
      <c r="Y3961">
        <f t="shared" si="184"/>
        <v>0</v>
      </c>
      <c r="Z3961">
        <f t="shared" si="185"/>
        <v>0</v>
      </c>
    </row>
    <row r="3962" spans="1:26" ht="15.75" customHeight="1" x14ac:dyDescent="0.2">
      <c r="A3962" s="2" t="s">
        <v>36</v>
      </c>
      <c r="B3962" s="2" t="s">
        <v>35</v>
      </c>
      <c r="C3962" s="2" t="s">
        <v>28</v>
      </c>
      <c r="D3962" s="2" t="s">
        <v>29</v>
      </c>
      <c r="E3962" s="2">
        <v>115</v>
      </c>
      <c r="F3962" s="2">
        <v>131</v>
      </c>
      <c r="G3962" s="2">
        <v>447</v>
      </c>
      <c r="H3962" s="2">
        <v>2204</v>
      </c>
      <c r="I3962" s="2">
        <v>2533</v>
      </c>
      <c r="J3962" s="2">
        <v>1.1499999999999999</v>
      </c>
      <c r="K3962" s="2">
        <v>4.45</v>
      </c>
      <c r="L3962" s="2">
        <v>13.66</v>
      </c>
      <c r="M3962" s="2">
        <v>14.58</v>
      </c>
      <c r="N3962" s="2">
        <v>5.4315303840000002</v>
      </c>
      <c r="O3962" s="2">
        <v>6.0409875279999996</v>
      </c>
      <c r="P3962" s="2">
        <v>2.8347850929999998</v>
      </c>
      <c r="Q3962" s="2">
        <v>2.9997828449999999</v>
      </c>
      <c r="R3962" s="2">
        <v>0.155817175</v>
      </c>
      <c r="S3962" s="2">
        <v>0.23581717499999999</v>
      </c>
      <c r="T3962" s="2">
        <v>2.83049952</v>
      </c>
      <c r="U3962" s="2">
        <v>2.9904995200000002</v>
      </c>
      <c r="V3962" s="2">
        <v>1.317085906</v>
      </c>
      <c r="W3962" s="2">
        <v>1.2380674220000001</v>
      </c>
      <c r="X3962">
        <f t="shared" si="183"/>
        <v>0</v>
      </c>
      <c r="Y3962">
        <f t="shared" si="184"/>
        <v>0</v>
      </c>
      <c r="Z3962">
        <f t="shared" si="185"/>
        <v>1</v>
      </c>
    </row>
    <row r="3963" spans="1:26" ht="15.75" customHeight="1" x14ac:dyDescent="0.2">
      <c r="A3963" s="2" t="s">
        <v>36</v>
      </c>
      <c r="B3963" s="2" t="s">
        <v>35</v>
      </c>
      <c r="C3963" s="2" t="s">
        <v>30</v>
      </c>
      <c r="D3963" s="2" t="s">
        <v>31</v>
      </c>
      <c r="E3963" s="2">
        <v>160</v>
      </c>
      <c r="F3963" s="2">
        <v>140</v>
      </c>
      <c r="G3963" s="2">
        <v>571</v>
      </c>
      <c r="H3963" s="2">
        <v>1176</v>
      </c>
      <c r="I3963" s="2">
        <v>2312</v>
      </c>
      <c r="J3963" s="2">
        <v>1.26</v>
      </c>
      <c r="K3963" s="2">
        <v>5.52</v>
      </c>
      <c r="L3963" s="2">
        <v>9.5299999999999994</v>
      </c>
      <c r="M3963" s="2">
        <v>13.98</v>
      </c>
      <c r="N3963" s="2">
        <v>3.553320834</v>
      </c>
      <c r="O3963" s="2">
        <v>3.5169454010000001</v>
      </c>
      <c r="P3963" s="2">
        <v>1.7899453910000001</v>
      </c>
      <c r="Q3963" s="2">
        <v>1.7362550050000001</v>
      </c>
      <c r="R3963" s="2">
        <v>1.225669125</v>
      </c>
      <c r="S3963" s="2">
        <v>1.3056691250000001</v>
      </c>
      <c r="T3963" s="2">
        <v>1.304469125</v>
      </c>
      <c r="U3963" s="2">
        <v>1.1444691250000001</v>
      </c>
      <c r="V3963" s="2">
        <v>2.3869378559999999</v>
      </c>
      <c r="W3963" s="2">
        <v>2.3079193729999998</v>
      </c>
      <c r="X3963">
        <f t="shared" si="183"/>
        <v>0</v>
      </c>
      <c r="Y3963">
        <f t="shared" si="184"/>
        <v>0</v>
      </c>
      <c r="Z3963">
        <f t="shared" si="185"/>
        <v>1</v>
      </c>
    </row>
    <row r="3964" spans="1:26" ht="15.75" customHeight="1" x14ac:dyDescent="0.2">
      <c r="A3964" s="2" t="s">
        <v>36</v>
      </c>
      <c r="B3964" s="2" t="s">
        <v>35</v>
      </c>
      <c r="C3964" s="2" t="s">
        <v>26</v>
      </c>
      <c r="D3964" s="2" t="s">
        <v>26</v>
      </c>
      <c r="E3964" s="2">
        <v>190</v>
      </c>
      <c r="F3964" s="2">
        <v>130</v>
      </c>
      <c r="G3964" s="2">
        <v>417</v>
      </c>
      <c r="H3964" s="2">
        <v>664</v>
      </c>
      <c r="I3964" s="2">
        <v>2589</v>
      </c>
      <c r="J3964" s="2">
        <v>1.1399999999999999</v>
      </c>
      <c r="K3964" s="2">
        <v>4.17</v>
      </c>
      <c r="L3964" s="2">
        <v>6.26</v>
      </c>
      <c r="M3964" s="2">
        <v>14.73</v>
      </c>
      <c r="N3964" s="2">
        <v>1.980246672</v>
      </c>
      <c r="O3964" s="2">
        <v>1.375743441</v>
      </c>
      <c r="P3964" s="2">
        <v>4.5747070580000004</v>
      </c>
      <c r="Q3964" s="2">
        <v>4.4133710989999999</v>
      </c>
      <c r="R3964" s="2">
        <v>0.116689104</v>
      </c>
      <c r="S3964" s="2">
        <v>3.6689104E-2</v>
      </c>
      <c r="T3964" s="2">
        <v>4.5732185950000002</v>
      </c>
      <c r="U3964" s="2">
        <v>4.413218595</v>
      </c>
      <c r="V3964" s="2">
        <v>1.0445796270000001</v>
      </c>
      <c r="W3964" s="2">
        <v>0.96556114400000004</v>
      </c>
      <c r="X3964">
        <f t="shared" si="183"/>
        <v>0</v>
      </c>
      <c r="Y3964">
        <f t="shared" si="184"/>
        <v>0</v>
      </c>
      <c r="Z3964">
        <f t="shared" si="185"/>
        <v>0</v>
      </c>
    </row>
    <row r="3965" spans="1:26" ht="15.75" customHeight="1" x14ac:dyDescent="0.2">
      <c r="A3965" s="2" t="s">
        <v>36</v>
      </c>
      <c r="B3965" s="2" t="s">
        <v>35</v>
      </c>
      <c r="C3965" s="2" t="s">
        <v>28</v>
      </c>
      <c r="D3965" s="2" t="s">
        <v>29</v>
      </c>
      <c r="E3965" s="2">
        <v>160</v>
      </c>
      <c r="F3965" s="2">
        <v>147</v>
      </c>
      <c r="G3965" s="2">
        <v>467</v>
      </c>
      <c r="H3965" s="2">
        <v>1228</v>
      </c>
      <c r="I3965" s="2">
        <v>2481</v>
      </c>
      <c r="J3965" s="2">
        <v>1.34</v>
      </c>
      <c r="K3965" s="2">
        <v>4.63</v>
      </c>
      <c r="L3965" s="2">
        <v>9.8000000000000007</v>
      </c>
      <c r="M3965" s="2">
        <v>14.45</v>
      </c>
      <c r="N3965" s="2">
        <v>1.5922905009999999</v>
      </c>
      <c r="O3965" s="2">
        <v>2.2320743200000002</v>
      </c>
      <c r="P3965" s="2">
        <v>1.089628721</v>
      </c>
      <c r="Q3965" s="2">
        <v>0.97101715700000002</v>
      </c>
      <c r="R3965" s="2">
        <v>0.34171656099999997</v>
      </c>
      <c r="S3965" s="2">
        <v>0.42171656099999999</v>
      </c>
      <c r="T3965" s="2">
        <v>1.0346596260000001</v>
      </c>
      <c r="U3965" s="2">
        <v>0.87465962600000002</v>
      </c>
      <c r="V3965" s="2">
        <v>1.502985292</v>
      </c>
      <c r="W3965" s="2">
        <v>1.4239668089999999</v>
      </c>
      <c r="X3965">
        <f t="shared" si="183"/>
        <v>0</v>
      </c>
      <c r="Y3965">
        <f t="shared" si="184"/>
        <v>0</v>
      </c>
      <c r="Z3965">
        <f t="shared" si="185"/>
        <v>1</v>
      </c>
    </row>
    <row r="3966" spans="1:26" ht="15.75" customHeight="1" x14ac:dyDescent="0.2">
      <c r="A3966" s="2" t="s">
        <v>36</v>
      </c>
      <c r="B3966" s="2" t="s">
        <v>35</v>
      </c>
      <c r="C3966" s="2" t="s">
        <v>32</v>
      </c>
      <c r="D3966" s="2" t="s">
        <v>33</v>
      </c>
      <c r="E3966" s="2">
        <v>146</v>
      </c>
      <c r="F3966" s="2">
        <v>146</v>
      </c>
      <c r="G3966" s="2">
        <v>609</v>
      </c>
      <c r="H3966" s="2">
        <v>925</v>
      </c>
      <c r="I3966" s="2">
        <v>2519</v>
      </c>
      <c r="J3966" s="2">
        <v>1.33</v>
      </c>
      <c r="K3966" s="2">
        <v>5.83</v>
      </c>
      <c r="L3966" s="2">
        <v>8.07</v>
      </c>
      <c r="M3966" s="2">
        <v>14.55</v>
      </c>
      <c r="N3966" s="2">
        <v>2.3121067700000002</v>
      </c>
      <c r="O3966" s="2">
        <v>2.2049432929999999</v>
      </c>
      <c r="P3966" s="2">
        <v>3.1601017740000001</v>
      </c>
      <c r="Q3966" s="2">
        <v>3.0626939009999998</v>
      </c>
      <c r="R3966" s="2">
        <v>1.5355040870000001</v>
      </c>
      <c r="S3966" s="2">
        <v>1.6155040869999999</v>
      </c>
      <c r="T3966" s="2">
        <v>2.7619685770000002</v>
      </c>
      <c r="U3966" s="2">
        <v>2.6019685770000001</v>
      </c>
      <c r="V3966" s="2">
        <v>2.6967728179999999</v>
      </c>
      <c r="W3966" s="2">
        <v>2.6177543349999999</v>
      </c>
      <c r="X3966">
        <f t="shared" si="183"/>
        <v>0</v>
      </c>
      <c r="Y3966">
        <f t="shared" si="184"/>
        <v>0</v>
      </c>
      <c r="Z3966">
        <f t="shared" si="185"/>
        <v>1</v>
      </c>
    </row>
    <row r="3967" spans="1:26" ht="15.75" customHeight="1" x14ac:dyDescent="0.2">
      <c r="A3967" s="2" t="s">
        <v>36</v>
      </c>
      <c r="B3967" s="2" t="s">
        <v>35</v>
      </c>
      <c r="C3967" s="2" t="s">
        <v>32</v>
      </c>
      <c r="D3967" s="2" t="s">
        <v>33</v>
      </c>
      <c r="E3967" s="2">
        <v>207</v>
      </c>
      <c r="F3967" s="2">
        <v>122</v>
      </c>
      <c r="G3967" s="2">
        <v>583</v>
      </c>
      <c r="H3967" s="2">
        <v>822</v>
      </c>
      <c r="I3967" s="2">
        <v>2428</v>
      </c>
      <c r="J3967" s="2">
        <v>1.04</v>
      </c>
      <c r="K3967" s="2">
        <v>5.62</v>
      </c>
      <c r="L3967" s="2">
        <v>7.39</v>
      </c>
      <c r="M3967" s="2">
        <v>14.3</v>
      </c>
      <c r="N3967" s="2">
        <v>3.0098434749999998</v>
      </c>
      <c r="O3967" s="2">
        <v>2.8940110290000001</v>
      </c>
      <c r="P3967" s="2">
        <v>3.684246806</v>
      </c>
      <c r="Q3967" s="2">
        <v>3.5663364500000001</v>
      </c>
      <c r="R3967" s="2">
        <v>1.3290825690000001</v>
      </c>
      <c r="S3967" s="2">
        <v>1.409082569</v>
      </c>
      <c r="T3967" s="2">
        <v>3.436162693</v>
      </c>
      <c r="U3967" s="2">
        <v>3.2761626929999998</v>
      </c>
      <c r="V3967" s="2">
        <v>2.4903512999999999</v>
      </c>
      <c r="W3967" s="2">
        <v>2.4113328169999999</v>
      </c>
      <c r="X3967">
        <f t="shared" si="183"/>
        <v>0</v>
      </c>
      <c r="Y3967">
        <f t="shared" si="184"/>
        <v>0</v>
      </c>
      <c r="Z3967">
        <f t="shared" si="185"/>
        <v>1</v>
      </c>
    </row>
    <row r="3968" spans="1:26" ht="15.75" customHeight="1" x14ac:dyDescent="0.2">
      <c r="A3968" s="2" t="s">
        <v>36</v>
      </c>
      <c r="B3968" s="2" t="s">
        <v>35</v>
      </c>
      <c r="C3968" s="2" t="s">
        <v>25</v>
      </c>
      <c r="D3968" s="2" t="s">
        <v>25</v>
      </c>
      <c r="E3968" s="2">
        <v>197</v>
      </c>
      <c r="F3968" s="2">
        <v>126</v>
      </c>
      <c r="G3968" s="2">
        <v>681</v>
      </c>
      <c r="H3968" s="2">
        <v>1412</v>
      </c>
      <c r="I3968" s="2">
        <v>2525</v>
      </c>
      <c r="J3968" s="2">
        <v>1.0900000000000001</v>
      </c>
      <c r="K3968" s="2">
        <v>6.39</v>
      </c>
      <c r="L3968" s="2">
        <v>10.7</v>
      </c>
      <c r="M3968" s="2">
        <v>14.56</v>
      </c>
      <c r="N3968" s="2">
        <v>0.42259139299999998</v>
      </c>
      <c r="O3968" s="2">
        <v>0.61684671300000005</v>
      </c>
      <c r="P3968" s="2">
        <v>2.099902315</v>
      </c>
      <c r="Q3968" s="2">
        <v>2.1758149549999999</v>
      </c>
      <c r="R3968" s="2">
        <v>2.0956537100000001</v>
      </c>
      <c r="S3968" s="2">
        <v>2.1756537100000002</v>
      </c>
      <c r="T3968" s="2">
        <v>0.13351126899999999</v>
      </c>
      <c r="U3968" s="2">
        <v>2.6488731000000001E-2</v>
      </c>
      <c r="V3968" s="2">
        <v>3.2569224409999999</v>
      </c>
      <c r="W3968" s="2">
        <v>3.1779039579999999</v>
      </c>
      <c r="X3968">
        <f t="shared" si="183"/>
        <v>0</v>
      </c>
      <c r="Y3968">
        <f t="shared" si="184"/>
        <v>0</v>
      </c>
      <c r="Z3968">
        <f t="shared" si="185"/>
        <v>0</v>
      </c>
    </row>
    <row r="3969" spans="1:26" ht="15.75" customHeight="1" x14ac:dyDescent="0.2">
      <c r="A3969" s="2" t="s">
        <v>36</v>
      </c>
      <c r="B3969" s="2" t="s">
        <v>35</v>
      </c>
      <c r="C3969" s="2" t="s">
        <v>32</v>
      </c>
      <c r="D3969" s="2" t="s">
        <v>33</v>
      </c>
      <c r="E3969" s="2">
        <v>180</v>
      </c>
      <c r="F3969" s="2">
        <v>144</v>
      </c>
      <c r="G3969" s="2">
        <v>634</v>
      </c>
      <c r="H3969" s="2">
        <v>956</v>
      </c>
      <c r="I3969" s="2">
        <v>2393</v>
      </c>
      <c r="J3969" s="2">
        <v>1.3</v>
      </c>
      <c r="K3969" s="2">
        <v>6.03</v>
      </c>
      <c r="L3969" s="2">
        <v>8.26</v>
      </c>
      <c r="M3969" s="2">
        <v>14.21</v>
      </c>
      <c r="N3969" s="2">
        <v>2.1051074509999999</v>
      </c>
      <c r="O3969" s="2">
        <v>2.0143035010000001</v>
      </c>
      <c r="P3969" s="2">
        <v>3.1030321289999998</v>
      </c>
      <c r="Q3969" s="2">
        <v>3.0191467350000001</v>
      </c>
      <c r="R3969" s="2">
        <v>1.735239625</v>
      </c>
      <c r="S3969" s="2">
        <v>1.815239625</v>
      </c>
      <c r="T3969" s="2">
        <v>2.5724991429999999</v>
      </c>
      <c r="U3969" s="2">
        <v>2.4124991429999998</v>
      </c>
      <c r="V3969" s="2">
        <v>2.896508356</v>
      </c>
      <c r="W3969" s="2">
        <v>2.817489873</v>
      </c>
      <c r="X3969">
        <f t="shared" si="183"/>
        <v>0</v>
      </c>
      <c r="Y3969">
        <f t="shared" si="184"/>
        <v>0</v>
      </c>
      <c r="Z3969">
        <f t="shared" si="185"/>
        <v>1</v>
      </c>
    </row>
    <row r="3970" spans="1:26" ht="15.75" customHeight="1" x14ac:dyDescent="0.2">
      <c r="A3970" s="2" t="s">
        <v>36</v>
      </c>
      <c r="B3970" s="2" t="s">
        <v>35</v>
      </c>
      <c r="C3970" s="2" t="s">
        <v>32</v>
      </c>
      <c r="D3970" s="2" t="s">
        <v>33</v>
      </c>
      <c r="E3970" s="2">
        <v>213</v>
      </c>
      <c r="F3970" s="2">
        <v>142</v>
      </c>
      <c r="G3970" s="2">
        <v>600</v>
      </c>
      <c r="H3970" s="2">
        <v>979</v>
      </c>
      <c r="I3970" s="2">
        <v>2463</v>
      </c>
      <c r="J3970" s="2">
        <v>1.28</v>
      </c>
      <c r="K3970" s="2">
        <v>5.75</v>
      </c>
      <c r="L3970" s="2">
        <v>8.4</v>
      </c>
      <c r="M3970" s="2">
        <v>14.4</v>
      </c>
      <c r="N3970" s="2">
        <v>1.993756662</v>
      </c>
      <c r="O3970" s="2">
        <v>1.876935215</v>
      </c>
      <c r="P3970" s="2">
        <v>2.8331074300000001</v>
      </c>
      <c r="Q3970" s="2">
        <v>2.741437785</v>
      </c>
      <c r="R3970" s="2">
        <v>1.460920693</v>
      </c>
      <c r="S3970" s="2">
        <v>1.5409206929999999</v>
      </c>
      <c r="T3970" s="2">
        <v>2.4273871630000001</v>
      </c>
      <c r="U3970" s="2">
        <v>2.267387163</v>
      </c>
      <c r="V3970" s="2">
        <v>2.6221894240000001</v>
      </c>
      <c r="W3970" s="2">
        <v>2.5431709410000001</v>
      </c>
      <c r="X3970">
        <f t="shared" si="183"/>
        <v>0</v>
      </c>
      <c r="Y3970">
        <f t="shared" si="184"/>
        <v>0</v>
      </c>
      <c r="Z3970">
        <f t="shared" si="185"/>
        <v>1</v>
      </c>
    </row>
    <row r="3971" spans="1:26" ht="15.75" customHeight="1" x14ac:dyDescent="0.2">
      <c r="A3971" s="2" t="s">
        <v>36</v>
      </c>
      <c r="B3971" s="2" t="s">
        <v>35</v>
      </c>
      <c r="C3971" s="2" t="s">
        <v>25</v>
      </c>
      <c r="D3971" s="2" t="s">
        <v>25</v>
      </c>
      <c r="E3971" s="2">
        <v>160</v>
      </c>
      <c r="F3971" s="2">
        <v>140</v>
      </c>
      <c r="G3971" s="2">
        <v>651</v>
      </c>
      <c r="H3971" s="2">
        <v>1365</v>
      </c>
      <c r="I3971" s="2">
        <v>2377</v>
      </c>
      <c r="J3971" s="2">
        <v>1.25</v>
      </c>
      <c r="K3971" s="2">
        <v>6.16</v>
      </c>
      <c r="L3971" s="2">
        <v>10.48</v>
      </c>
      <c r="M3971" s="2">
        <v>14.16</v>
      </c>
      <c r="N3971" s="2">
        <v>0.120871806</v>
      </c>
      <c r="O3971" s="2">
        <v>0.30051784100000001</v>
      </c>
      <c r="P3971" s="2">
        <v>1.9000290289999999</v>
      </c>
      <c r="Q3971" s="2">
        <v>1.956563464</v>
      </c>
      <c r="R3971" s="2">
        <v>1.867099821</v>
      </c>
      <c r="S3971" s="2">
        <v>1.9470998209999999</v>
      </c>
      <c r="T3971" s="2">
        <v>0.35220529299999997</v>
      </c>
      <c r="U3971" s="2">
        <v>0.192205293</v>
      </c>
      <c r="V3971" s="2">
        <v>3.0283685519999999</v>
      </c>
      <c r="W3971" s="2">
        <v>2.9493500689999999</v>
      </c>
      <c r="X3971">
        <f t="shared" ref="X3971:X4030" si="186">IF(B3971="normal",1,0)</f>
        <v>0</v>
      </c>
      <c r="Y3971">
        <f>IF(A3971="lecture",1,0)</f>
        <v>0</v>
      </c>
      <c r="Z3971">
        <f t="shared" ref="Z3971:Z4030" si="187">IF(ISNUMBER(FIND("~",D3971)),1,0)</f>
        <v>0</v>
      </c>
    </row>
    <row r="3972" spans="1:26" ht="15.75" customHeight="1" x14ac:dyDescent="0.2">
      <c r="A3972" s="2" t="s">
        <v>36</v>
      </c>
      <c r="B3972" s="2" t="s">
        <v>35</v>
      </c>
      <c r="C3972" s="2" t="s">
        <v>25</v>
      </c>
      <c r="D3972" s="2" t="s">
        <v>25</v>
      </c>
      <c r="E3972" s="2">
        <v>180</v>
      </c>
      <c r="F3972" s="2">
        <v>142</v>
      </c>
      <c r="G3972" s="2">
        <v>680</v>
      </c>
      <c r="H3972" s="2">
        <v>1324</v>
      </c>
      <c r="I3972" s="2">
        <v>2540</v>
      </c>
      <c r="J3972" s="2">
        <v>1.29</v>
      </c>
      <c r="K3972" s="2">
        <v>6.38</v>
      </c>
      <c r="L3972" s="2">
        <v>10.28</v>
      </c>
      <c r="M3972" s="2">
        <v>14.6</v>
      </c>
      <c r="N3972" s="2">
        <v>0.258143709</v>
      </c>
      <c r="O3972" s="2">
        <v>0.43573326000000001</v>
      </c>
      <c r="P3972" s="2">
        <v>2.1567736050000001</v>
      </c>
      <c r="Q3972" s="2">
        <v>2.2003495719999999</v>
      </c>
      <c r="R3972" s="2">
        <v>2.085606061</v>
      </c>
      <c r="S3972" s="2">
        <v>2.1656060610000001</v>
      </c>
      <c r="T3972" s="2">
        <v>0.549472242</v>
      </c>
      <c r="U3972" s="2">
        <v>0.38947224200000002</v>
      </c>
      <c r="V3972" s="2">
        <v>3.2468747919999998</v>
      </c>
      <c r="W3972" s="2">
        <v>3.1678563080000002</v>
      </c>
      <c r="X3972">
        <f t="shared" si="186"/>
        <v>0</v>
      </c>
      <c r="Y3972">
        <f>IF(A3972="lecture",1,0)</f>
        <v>0</v>
      </c>
      <c r="Z3972">
        <f t="shared" si="187"/>
        <v>0</v>
      </c>
    </row>
    <row r="3973" spans="1:26" ht="15.75" customHeight="1" x14ac:dyDescent="0.2">
      <c r="A3973" s="2" t="s">
        <v>36</v>
      </c>
      <c r="B3973" s="2" t="s">
        <v>35</v>
      </c>
      <c r="C3973" s="2" t="s">
        <v>27</v>
      </c>
      <c r="D3973" s="2" t="s">
        <v>27</v>
      </c>
      <c r="E3973" s="2">
        <v>247</v>
      </c>
      <c r="F3973" s="2">
        <v>152</v>
      </c>
      <c r="G3973" s="2">
        <v>334</v>
      </c>
      <c r="H3973" s="2">
        <v>1956</v>
      </c>
      <c r="I3973" s="2">
        <v>2519</v>
      </c>
      <c r="J3973" s="2">
        <v>1.4</v>
      </c>
      <c r="K3973" s="2">
        <v>3.38</v>
      </c>
      <c r="L3973" s="2">
        <v>12.86</v>
      </c>
      <c r="M3973" s="2">
        <v>14.55</v>
      </c>
      <c r="N3973" s="2">
        <v>0.53449097199999995</v>
      </c>
      <c r="O3973" s="2">
        <v>0.49369259700000001</v>
      </c>
      <c r="P3973" s="2">
        <v>2.2261007419999999</v>
      </c>
      <c r="Q3973" s="2">
        <v>2.3433018649999999</v>
      </c>
      <c r="R3973" s="2">
        <v>0.91321080899999996</v>
      </c>
      <c r="S3973" s="2">
        <v>0.833210809</v>
      </c>
      <c r="T3973" s="2">
        <v>2.0301651490000001</v>
      </c>
      <c r="U3973" s="2">
        <v>2.1901651489999998</v>
      </c>
      <c r="V3973" s="2">
        <v>0.24805792199999999</v>
      </c>
      <c r="W3973" s="2">
        <v>0.16903943900000001</v>
      </c>
      <c r="X3973">
        <f t="shared" si="186"/>
        <v>0</v>
      </c>
      <c r="Y3973">
        <f>IF(A3973="lecture",1,0)</f>
        <v>0</v>
      </c>
      <c r="Z3973">
        <f t="shared" si="187"/>
        <v>0</v>
      </c>
    </row>
    <row r="3974" spans="1:26" ht="15.75" customHeight="1" x14ac:dyDescent="0.2">
      <c r="A3974" s="2" t="s">
        <v>36</v>
      </c>
      <c r="B3974" s="2" t="s">
        <v>35</v>
      </c>
      <c r="C3974" s="2" t="s">
        <v>30</v>
      </c>
      <c r="D3974" s="2" t="s">
        <v>31</v>
      </c>
      <c r="E3974" s="2">
        <v>166</v>
      </c>
      <c r="F3974" s="2">
        <v>133</v>
      </c>
      <c r="G3974" s="2">
        <v>585</v>
      </c>
      <c r="H3974" s="2">
        <v>1134</v>
      </c>
      <c r="I3974" s="2">
        <v>2361</v>
      </c>
      <c r="J3974" s="2">
        <v>1.18</v>
      </c>
      <c r="K3974" s="2">
        <v>5.63</v>
      </c>
      <c r="L3974" s="2">
        <v>9.3000000000000007</v>
      </c>
      <c r="M3974" s="2">
        <v>14.12</v>
      </c>
      <c r="N3974" s="2">
        <v>3.8077942710000001</v>
      </c>
      <c r="O3974" s="2">
        <v>3.7711725170000001</v>
      </c>
      <c r="P3974" s="2">
        <v>2.0351936579999999</v>
      </c>
      <c r="Q3974" s="2">
        <v>1.9743851400000001</v>
      </c>
      <c r="R3974" s="2">
        <v>1.339908305</v>
      </c>
      <c r="S3974" s="2">
        <v>1.4199083050000001</v>
      </c>
      <c r="T3974" s="2">
        <v>1.531880857</v>
      </c>
      <c r="U3974" s="2">
        <v>1.3718808570000001</v>
      </c>
      <c r="V3974" s="2">
        <v>2.5011770360000001</v>
      </c>
      <c r="W3974" s="2">
        <v>2.422158553</v>
      </c>
      <c r="X3974">
        <f t="shared" si="186"/>
        <v>0</v>
      </c>
      <c r="Y3974">
        <f>IF(A3974="lecture",1,0)</f>
        <v>0</v>
      </c>
      <c r="Z3974">
        <f t="shared" si="187"/>
        <v>1</v>
      </c>
    </row>
    <row r="3975" spans="1:26" ht="15.75" customHeight="1" x14ac:dyDescent="0.2">
      <c r="A3975" s="2" t="s">
        <v>36</v>
      </c>
      <c r="B3975" s="2" t="s">
        <v>35</v>
      </c>
      <c r="C3975" s="2" t="s">
        <v>28</v>
      </c>
      <c r="D3975" s="2" t="s">
        <v>29</v>
      </c>
      <c r="E3975" s="2">
        <v>216</v>
      </c>
      <c r="F3975" s="2">
        <v>150</v>
      </c>
      <c r="G3975" s="2">
        <v>468</v>
      </c>
      <c r="H3975" s="2">
        <v>1652</v>
      </c>
      <c r="I3975" s="2">
        <v>2846</v>
      </c>
      <c r="J3975" s="2">
        <v>1.37</v>
      </c>
      <c r="K3975" s="2">
        <v>4.6399999999999997</v>
      </c>
      <c r="L3975" s="2">
        <v>11.73</v>
      </c>
      <c r="M3975" s="2">
        <v>15.35</v>
      </c>
      <c r="N3975" s="2">
        <v>3.5161560000000001</v>
      </c>
      <c r="O3975" s="2">
        <v>4.1400610200000001</v>
      </c>
      <c r="P3975" s="2">
        <v>0.96894681699999996</v>
      </c>
      <c r="Q3975" s="2">
        <v>1.147174224</v>
      </c>
      <c r="R3975" s="2">
        <v>0.35063143400000002</v>
      </c>
      <c r="S3975" s="2">
        <v>0.43063143399999998</v>
      </c>
      <c r="T3975" s="2">
        <v>0.90328042799999997</v>
      </c>
      <c r="U3975" s="2">
        <v>1.0632804280000001</v>
      </c>
      <c r="V3975" s="2">
        <v>1.5119001649999999</v>
      </c>
      <c r="W3975" s="2">
        <v>1.4328816820000001</v>
      </c>
      <c r="X3975">
        <f t="shared" si="186"/>
        <v>0</v>
      </c>
      <c r="Y3975">
        <f>IF(A3975="lecture",1,0)</f>
        <v>0</v>
      </c>
      <c r="Z3975">
        <f t="shared" si="187"/>
        <v>1</v>
      </c>
    </row>
    <row r="3976" spans="1:26" ht="15.75" customHeight="1" x14ac:dyDescent="0.2">
      <c r="A3976" s="2" t="s">
        <v>36</v>
      </c>
      <c r="B3976" s="2" t="s">
        <v>35</v>
      </c>
      <c r="C3976" s="2" t="s">
        <v>28</v>
      </c>
      <c r="D3976" s="2" t="s">
        <v>29</v>
      </c>
      <c r="E3976" s="2">
        <v>225</v>
      </c>
      <c r="F3976" s="2">
        <v>146</v>
      </c>
      <c r="G3976" s="2">
        <v>368</v>
      </c>
      <c r="H3976" s="2">
        <v>1131</v>
      </c>
      <c r="I3976" s="2">
        <v>2550</v>
      </c>
      <c r="J3976" s="2">
        <v>1.32</v>
      </c>
      <c r="K3976" s="2">
        <v>3.71</v>
      </c>
      <c r="L3976" s="2">
        <v>9.2799999999999994</v>
      </c>
      <c r="M3976" s="2">
        <v>14.63</v>
      </c>
      <c r="N3976" s="2">
        <v>1.2252696670000001</v>
      </c>
      <c r="O3976" s="2">
        <v>1.694512239</v>
      </c>
      <c r="P3976" s="2">
        <v>1.6529932979999999</v>
      </c>
      <c r="Q3976" s="2">
        <v>1.475232001</v>
      </c>
      <c r="R3976" s="2">
        <v>0.57876163199999997</v>
      </c>
      <c r="S3976" s="2">
        <v>0.49876163200000001</v>
      </c>
      <c r="T3976" s="2">
        <v>1.548361009</v>
      </c>
      <c r="U3976" s="2">
        <v>1.388361009</v>
      </c>
      <c r="V3976" s="2">
        <v>0.58250709899999997</v>
      </c>
      <c r="W3976" s="2">
        <v>0.50348861600000006</v>
      </c>
      <c r="X3976">
        <f t="shared" si="186"/>
        <v>0</v>
      </c>
      <c r="Y3976">
        <f>IF(A3976="lecture",1,0)</f>
        <v>0</v>
      </c>
      <c r="Z3976">
        <f t="shared" si="187"/>
        <v>1</v>
      </c>
    </row>
    <row r="3977" spans="1:26" ht="15.75" customHeight="1" x14ac:dyDescent="0.2">
      <c r="A3977" s="2" t="s">
        <v>36</v>
      </c>
      <c r="B3977" s="2" t="s">
        <v>35</v>
      </c>
      <c r="C3977" s="2" t="s">
        <v>32</v>
      </c>
      <c r="D3977" s="2" t="s">
        <v>33</v>
      </c>
      <c r="E3977" s="2">
        <v>193</v>
      </c>
      <c r="F3977" s="2">
        <v>135</v>
      </c>
      <c r="G3977" s="2">
        <v>617</v>
      </c>
      <c r="H3977" s="2">
        <v>855</v>
      </c>
      <c r="I3977" s="2">
        <v>2295</v>
      </c>
      <c r="J3977" s="2">
        <v>1.2</v>
      </c>
      <c r="K3977" s="2">
        <v>5.89</v>
      </c>
      <c r="L3977" s="2">
        <v>7.61</v>
      </c>
      <c r="M3977" s="2">
        <v>13.93</v>
      </c>
      <c r="N3977" s="2">
        <v>2.7599832809999998</v>
      </c>
      <c r="O3977" s="2">
        <v>2.6597497510000001</v>
      </c>
      <c r="P3977" s="2">
        <v>3.5932835390000002</v>
      </c>
      <c r="Q3977" s="2">
        <v>3.4884033759999999</v>
      </c>
      <c r="R3977" s="2">
        <v>1.596364812</v>
      </c>
      <c r="S3977" s="2">
        <v>1.6763648120000001</v>
      </c>
      <c r="T3977" s="2">
        <v>3.219208906</v>
      </c>
      <c r="U3977" s="2">
        <v>3.0592089059999998</v>
      </c>
      <c r="V3977" s="2">
        <v>2.7576335429999999</v>
      </c>
      <c r="W3977" s="2">
        <v>2.6786150599999998</v>
      </c>
      <c r="X3977">
        <f t="shared" si="186"/>
        <v>0</v>
      </c>
      <c r="Y3977">
        <f>IF(A3977="lecture",1,0)</f>
        <v>0</v>
      </c>
      <c r="Z3977">
        <f t="shared" si="187"/>
        <v>1</v>
      </c>
    </row>
    <row r="3978" spans="1:26" ht="15.75" customHeight="1" x14ac:dyDescent="0.2">
      <c r="A3978" s="2" t="s">
        <v>36</v>
      </c>
      <c r="B3978" s="2" t="s">
        <v>35</v>
      </c>
      <c r="C3978" s="2" t="s">
        <v>26</v>
      </c>
      <c r="D3978" s="2" t="s">
        <v>26</v>
      </c>
      <c r="E3978" s="2">
        <v>174</v>
      </c>
      <c r="F3978" s="2">
        <v>140</v>
      </c>
      <c r="G3978" s="2">
        <v>467</v>
      </c>
      <c r="H3978" s="2">
        <v>1220</v>
      </c>
      <c r="I3978" s="2">
        <v>2886</v>
      </c>
      <c r="J3978" s="2">
        <v>1.26</v>
      </c>
      <c r="K3978" s="2">
        <v>4.63</v>
      </c>
      <c r="L3978" s="2">
        <v>9.76</v>
      </c>
      <c r="M3978" s="2">
        <v>15.44</v>
      </c>
      <c r="N3978" s="2">
        <v>1.553237341</v>
      </c>
      <c r="O3978" s="2">
        <v>2.1935408590000001</v>
      </c>
      <c r="P3978" s="2">
        <v>1.1274355739999999</v>
      </c>
      <c r="Q3978" s="2">
        <v>1.0069641600000001</v>
      </c>
      <c r="R3978" s="2">
        <v>0.34171656099999997</v>
      </c>
      <c r="S3978" s="2">
        <v>0.42171656099999999</v>
      </c>
      <c r="T3978" s="2">
        <v>1.0744025159999999</v>
      </c>
      <c r="U3978" s="2">
        <v>0.914402516</v>
      </c>
      <c r="V3978" s="2">
        <v>1.502985292</v>
      </c>
      <c r="W3978" s="2">
        <v>1.4239668089999999</v>
      </c>
      <c r="X3978">
        <f t="shared" si="186"/>
        <v>0</v>
      </c>
      <c r="Y3978">
        <f>IF(A3978="lecture",1,0)</f>
        <v>0</v>
      </c>
      <c r="Z3978">
        <f t="shared" si="187"/>
        <v>0</v>
      </c>
    </row>
    <row r="3979" spans="1:26" ht="15.75" customHeight="1" x14ac:dyDescent="0.2">
      <c r="A3979" s="2" t="s">
        <v>36</v>
      </c>
      <c r="B3979" s="2" t="s">
        <v>35</v>
      </c>
      <c r="C3979" s="2" t="s">
        <v>25</v>
      </c>
      <c r="D3979" s="2" t="s">
        <v>25</v>
      </c>
      <c r="E3979" s="2">
        <v>171</v>
      </c>
      <c r="F3979" s="2">
        <v>133</v>
      </c>
      <c r="G3979" s="2">
        <v>645</v>
      </c>
      <c r="H3979" s="2">
        <v>1320</v>
      </c>
      <c r="I3979" s="2">
        <v>2483</v>
      </c>
      <c r="J3979" s="2">
        <v>1.18</v>
      </c>
      <c r="K3979" s="2">
        <v>6.11</v>
      </c>
      <c r="L3979" s="2">
        <v>10.26</v>
      </c>
      <c r="M3979" s="2">
        <v>14.45</v>
      </c>
      <c r="N3979" s="2">
        <v>0.101359067</v>
      </c>
      <c r="O3979" s="2">
        <v>0.16841625900000001</v>
      </c>
      <c r="P3979" s="2">
        <v>1.905126345</v>
      </c>
      <c r="Q3979" s="2">
        <v>1.9417364560000001</v>
      </c>
      <c r="R3979" s="2">
        <v>1.8181765830000001</v>
      </c>
      <c r="S3979" s="2">
        <v>1.8981765829999999</v>
      </c>
      <c r="T3979" s="2">
        <v>0.568981811</v>
      </c>
      <c r="U3979" s="2">
        <v>0.40898181099999997</v>
      </c>
      <c r="V3979" s="2">
        <v>2.979445315</v>
      </c>
      <c r="W3979" s="2">
        <v>2.9004268309999999</v>
      </c>
      <c r="X3979">
        <f t="shared" si="186"/>
        <v>0</v>
      </c>
      <c r="Y3979">
        <f>IF(A3979="lecture",1,0)</f>
        <v>0</v>
      </c>
      <c r="Z3979">
        <f t="shared" si="187"/>
        <v>0</v>
      </c>
    </row>
    <row r="3980" spans="1:26" ht="15.75" customHeight="1" x14ac:dyDescent="0.2">
      <c r="A3980" s="2" t="s">
        <v>36</v>
      </c>
      <c r="B3980" s="2" t="s">
        <v>35</v>
      </c>
      <c r="C3980" s="2" t="s">
        <v>30</v>
      </c>
      <c r="D3980" s="2" t="s">
        <v>31</v>
      </c>
      <c r="E3980" s="2">
        <v>220</v>
      </c>
      <c r="F3980" s="2">
        <v>148</v>
      </c>
      <c r="G3980" s="2">
        <v>582</v>
      </c>
      <c r="H3980" s="2">
        <v>1050</v>
      </c>
      <c r="I3980" s="2">
        <v>2185</v>
      </c>
      <c r="J3980" s="2">
        <v>1.35</v>
      </c>
      <c r="K3980" s="2">
        <v>5.61</v>
      </c>
      <c r="L3980" s="2">
        <v>8.82</v>
      </c>
      <c r="M3980" s="2">
        <v>13.6</v>
      </c>
      <c r="N3980" s="2">
        <v>4.2277703850000004</v>
      </c>
      <c r="O3980" s="2">
        <v>4.1840302579999999</v>
      </c>
      <c r="P3980" s="2">
        <v>2.4019065049999999</v>
      </c>
      <c r="Q3980" s="2">
        <v>2.3170165790000001</v>
      </c>
      <c r="R3980" s="2">
        <v>1.3155344259999999</v>
      </c>
      <c r="S3980" s="2">
        <v>1.395534426</v>
      </c>
      <c r="T3980" s="2">
        <v>2.00960793</v>
      </c>
      <c r="U3980" s="2">
        <v>1.8496079299999999</v>
      </c>
      <c r="V3980" s="2">
        <v>2.476803157</v>
      </c>
      <c r="W3980" s="2">
        <v>2.3977846739999999</v>
      </c>
      <c r="X3980">
        <f t="shared" si="186"/>
        <v>0</v>
      </c>
      <c r="Y3980">
        <f>IF(A3980="lecture",1,0)</f>
        <v>0</v>
      </c>
      <c r="Z3980">
        <f t="shared" si="187"/>
        <v>1</v>
      </c>
    </row>
    <row r="3981" spans="1:26" ht="15.75" customHeight="1" x14ac:dyDescent="0.2">
      <c r="A3981" s="2" t="s">
        <v>36</v>
      </c>
      <c r="B3981" s="2" t="s">
        <v>35</v>
      </c>
      <c r="C3981" s="2" t="s">
        <v>27</v>
      </c>
      <c r="D3981" s="2" t="s">
        <v>27</v>
      </c>
      <c r="E3981" s="2">
        <v>221</v>
      </c>
      <c r="F3981" s="2">
        <v>140</v>
      </c>
      <c r="G3981" s="2">
        <v>396</v>
      </c>
      <c r="H3981" s="2">
        <v>1887</v>
      </c>
      <c r="I3981" s="2">
        <v>2489</v>
      </c>
      <c r="J3981" s="2">
        <v>1.25</v>
      </c>
      <c r="K3981" s="2">
        <v>3.97</v>
      </c>
      <c r="L3981" s="2">
        <v>12.62</v>
      </c>
      <c r="M3981" s="2">
        <v>14.47</v>
      </c>
      <c r="N3981" s="2">
        <v>0.109795425</v>
      </c>
      <c r="O3981" s="2">
        <v>0.18585175300000001</v>
      </c>
      <c r="P3981" s="2">
        <v>1.8196186679999999</v>
      </c>
      <c r="Q3981" s="2">
        <v>1.9661356800000001</v>
      </c>
      <c r="R3981" s="2">
        <v>0.31689118399999999</v>
      </c>
      <c r="S3981" s="2">
        <v>0.236891184</v>
      </c>
      <c r="T3981" s="2">
        <v>1.7918125110000001</v>
      </c>
      <c r="U3981" s="2">
        <v>1.951812511</v>
      </c>
      <c r="V3981" s="2">
        <v>0.84437754700000001</v>
      </c>
      <c r="W3981" s="2">
        <v>0.76535906300000001</v>
      </c>
      <c r="X3981">
        <f t="shared" si="186"/>
        <v>0</v>
      </c>
      <c r="Y3981">
        <f>IF(A3981="lecture",1,0)</f>
        <v>0</v>
      </c>
      <c r="Z3981">
        <f t="shared" si="187"/>
        <v>0</v>
      </c>
    </row>
    <row r="3982" spans="1:26" ht="15.75" customHeight="1" x14ac:dyDescent="0.2">
      <c r="A3982" s="2" t="s">
        <v>36</v>
      </c>
      <c r="B3982" s="2" t="s">
        <v>35</v>
      </c>
      <c r="C3982" s="2" t="s">
        <v>30</v>
      </c>
      <c r="D3982" s="2" t="s">
        <v>31</v>
      </c>
      <c r="E3982" s="2">
        <v>232</v>
      </c>
      <c r="F3982" s="2">
        <v>149</v>
      </c>
      <c r="G3982" s="2">
        <v>617</v>
      </c>
      <c r="H3982" s="2">
        <v>1103</v>
      </c>
      <c r="I3982" s="2">
        <v>2270</v>
      </c>
      <c r="J3982" s="2">
        <v>1.36</v>
      </c>
      <c r="K3982" s="2">
        <v>5.89</v>
      </c>
      <c r="L3982" s="2">
        <v>9.1300000000000008</v>
      </c>
      <c r="M3982" s="2">
        <v>13.86</v>
      </c>
      <c r="N3982" s="2">
        <v>4.0822916730000003</v>
      </c>
      <c r="O3982" s="2">
        <v>4.0500930820000001</v>
      </c>
      <c r="P3982" s="2">
        <v>2.3365601850000002</v>
      </c>
      <c r="Q3982" s="2">
        <v>2.280824323</v>
      </c>
      <c r="R3982" s="2">
        <v>1.599002716</v>
      </c>
      <c r="S3982" s="2">
        <v>1.6790027160000001</v>
      </c>
      <c r="T3982" s="2">
        <v>1.7037323179999999</v>
      </c>
      <c r="U3982" s="2">
        <v>1.543732318</v>
      </c>
      <c r="V3982" s="2">
        <v>2.760271447</v>
      </c>
      <c r="W3982" s="2">
        <v>2.681252964</v>
      </c>
      <c r="X3982">
        <f t="shared" si="186"/>
        <v>0</v>
      </c>
      <c r="Y3982">
        <f>IF(A3982="lecture",1,0)</f>
        <v>0</v>
      </c>
      <c r="Z3982">
        <f t="shared" si="187"/>
        <v>1</v>
      </c>
    </row>
    <row r="3983" spans="1:26" ht="15.75" customHeight="1" x14ac:dyDescent="0.2">
      <c r="A3983" s="2" t="s">
        <v>36</v>
      </c>
      <c r="B3983" s="2" t="s">
        <v>35</v>
      </c>
      <c r="C3983" s="2" t="s">
        <v>27</v>
      </c>
      <c r="D3983" s="2" t="s">
        <v>27</v>
      </c>
      <c r="E3983" s="2">
        <v>170</v>
      </c>
      <c r="F3983" s="2">
        <v>138</v>
      </c>
      <c r="G3983" s="2">
        <v>389</v>
      </c>
      <c r="H3983" s="2">
        <v>1914</v>
      </c>
      <c r="I3983" s="2">
        <v>2480</v>
      </c>
      <c r="J3983" s="2">
        <v>1.23</v>
      </c>
      <c r="K3983" s="2">
        <v>3.91</v>
      </c>
      <c r="L3983" s="2">
        <v>12.72</v>
      </c>
      <c r="M3983" s="2">
        <v>14.45</v>
      </c>
      <c r="N3983" s="2">
        <v>4.5580345000000001E-2</v>
      </c>
      <c r="O3983" s="2">
        <v>0.172421821</v>
      </c>
      <c r="P3983" s="2">
        <v>1.925546365</v>
      </c>
      <c r="Q3983" s="2">
        <v>2.0693543449999998</v>
      </c>
      <c r="R3983" s="2">
        <v>0.38337496500000001</v>
      </c>
      <c r="S3983" s="2">
        <v>0.303374965</v>
      </c>
      <c r="T3983" s="2">
        <v>1.886995612</v>
      </c>
      <c r="U3983" s="2">
        <v>2.0469956119999999</v>
      </c>
      <c r="V3983" s="2">
        <v>0.77789376700000001</v>
      </c>
      <c r="W3983" s="2">
        <v>0.69887528300000001</v>
      </c>
      <c r="X3983">
        <f t="shared" si="186"/>
        <v>0</v>
      </c>
      <c r="Y3983">
        <f>IF(A3983="lecture",1,0)</f>
        <v>0</v>
      </c>
      <c r="Z3983">
        <f t="shared" si="187"/>
        <v>0</v>
      </c>
    </row>
    <row r="3984" spans="1:26" ht="15.75" customHeight="1" x14ac:dyDescent="0.2">
      <c r="A3984" s="2" t="s">
        <v>36</v>
      </c>
      <c r="B3984" s="2" t="s">
        <v>35</v>
      </c>
      <c r="C3984" s="2" t="s">
        <v>26</v>
      </c>
      <c r="D3984" s="2" t="s">
        <v>26</v>
      </c>
      <c r="E3984" s="2">
        <v>189</v>
      </c>
      <c r="F3984" s="2">
        <v>139</v>
      </c>
      <c r="G3984" s="2">
        <v>395</v>
      </c>
      <c r="H3984" s="2">
        <v>805</v>
      </c>
      <c r="I3984" s="2">
        <v>2433</v>
      </c>
      <c r="J3984" s="2">
        <v>1.25</v>
      </c>
      <c r="K3984" s="2">
        <v>3.97</v>
      </c>
      <c r="L3984" s="2">
        <v>7.27</v>
      </c>
      <c r="M3984" s="2">
        <v>14.32</v>
      </c>
      <c r="N3984" s="2">
        <v>1.0259114600000001</v>
      </c>
      <c r="O3984" s="2">
        <v>0.37650003599999998</v>
      </c>
      <c r="P3984" s="2">
        <v>3.5712183909999999</v>
      </c>
      <c r="Q3984" s="2">
        <v>3.4053196080000001</v>
      </c>
      <c r="R3984" s="2">
        <v>0.32004811799999999</v>
      </c>
      <c r="S3984" s="2">
        <v>0.240048118</v>
      </c>
      <c r="T3984" s="2">
        <v>3.5568483240000002</v>
      </c>
      <c r="U3984" s="2">
        <v>3.396848324</v>
      </c>
      <c r="V3984" s="2">
        <v>0.84122061299999995</v>
      </c>
      <c r="W3984" s="2">
        <v>0.76220213000000003</v>
      </c>
      <c r="X3984">
        <f t="shared" si="186"/>
        <v>0</v>
      </c>
      <c r="Y3984">
        <f>IF(A3984="lecture",1,0)</f>
        <v>0</v>
      </c>
      <c r="Z3984">
        <f t="shared" si="187"/>
        <v>0</v>
      </c>
    </row>
    <row r="3985" spans="1:26" ht="15.75" customHeight="1" x14ac:dyDescent="0.2">
      <c r="A3985" s="2" t="s">
        <v>36</v>
      </c>
      <c r="B3985" s="2" t="s">
        <v>35</v>
      </c>
      <c r="C3985" s="2" t="s">
        <v>27</v>
      </c>
      <c r="D3985" s="2" t="s">
        <v>27</v>
      </c>
      <c r="E3985" s="2">
        <v>258</v>
      </c>
      <c r="F3985" s="2">
        <v>148</v>
      </c>
      <c r="G3985" s="2">
        <v>341</v>
      </c>
      <c r="H3985" s="2">
        <v>1949</v>
      </c>
      <c r="I3985" s="2">
        <v>2583</v>
      </c>
      <c r="J3985" s="2">
        <v>1.35</v>
      </c>
      <c r="K3985" s="2">
        <v>3.45</v>
      </c>
      <c r="L3985" s="2">
        <v>12.84</v>
      </c>
      <c r="M3985" s="2">
        <v>14.71</v>
      </c>
      <c r="N3985" s="2">
        <v>0.46080259800000001</v>
      </c>
      <c r="O3985" s="2">
        <v>0.422616253</v>
      </c>
      <c r="P3985" s="2">
        <v>2.1762660130000002</v>
      </c>
      <c r="Q3985" s="2">
        <v>2.296764805</v>
      </c>
      <c r="R3985" s="2">
        <v>0.84354577100000006</v>
      </c>
      <c r="S3985" s="2">
        <v>0.76354577099999998</v>
      </c>
      <c r="T3985" s="2">
        <v>2.0061316730000001</v>
      </c>
      <c r="U3985" s="2">
        <v>2.1661316730000002</v>
      </c>
      <c r="V3985" s="2">
        <v>0.31772296</v>
      </c>
      <c r="W3985" s="2">
        <v>0.238704477</v>
      </c>
      <c r="X3985">
        <f t="shared" si="186"/>
        <v>0</v>
      </c>
      <c r="Y3985">
        <f>IF(A3985="lecture",1,0)</f>
        <v>0</v>
      </c>
      <c r="Z3985">
        <f t="shared" si="187"/>
        <v>0</v>
      </c>
    </row>
    <row r="3986" spans="1:26" ht="15.75" customHeight="1" x14ac:dyDescent="0.2">
      <c r="A3986" s="2" t="s">
        <v>36</v>
      </c>
      <c r="B3986" s="2" t="s">
        <v>35</v>
      </c>
      <c r="C3986" s="2" t="s">
        <v>30</v>
      </c>
      <c r="D3986" s="2" t="s">
        <v>31</v>
      </c>
      <c r="E3986" s="2">
        <v>163</v>
      </c>
      <c r="F3986" s="2">
        <v>140</v>
      </c>
      <c r="G3986" s="2">
        <v>612</v>
      </c>
      <c r="H3986" s="2">
        <v>1111</v>
      </c>
      <c r="I3986" s="2">
        <v>2364</v>
      </c>
      <c r="J3986" s="2">
        <v>1.26</v>
      </c>
      <c r="K3986" s="2">
        <v>5.85</v>
      </c>
      <c r="L3986" s="2">
        <v>9.17</v>
      </c>
      <c r="M3986" s="2">
        <v>14.13</v>
      </c>
      <c r="N3986" s="2">
        <v>4.0271469790000003</v>
      </c>
      <c r="O3986" s="2">
        <v>3.9945337830000001</v>
      </c>
      <c r="P3986" s="2">
        <v>2.2795617149999998</v>
      </c>
      <c r="Q3986" s="2">
        <v>2.2239187220000001</v>
      </c>
      <c r="R3986" s="2">
        <v>1.5593623640000001</v>
      </c>
      <c r="S3986" s="2">
        <v>1.6393623639999999</v>
      </c>
      <c r="T3986" s="2">
        <v>1.662765957</v>
      </c>
      <c r="U3986" s="2">
        <v>1.502765957</v>
      </c>
      <c r="V3986" s="2">
        <v>2.7206310949999999</v>
      </c>
      <c r="W3986" s="2">
        <v>2.6416126119999999</v>
      </c>
      <c r="X3986">
        <f t="shared" si="186"/>
        <v>0</v>
      </c>
      <c r="Y3986">
        <f>IF(A3986="lecture",1,0)</f>
        <v>0</v>
      </c>
      <c r="Z3986">
        <f t="shared" si="187"/>
        <v>1</v>
      </c>
    </row>
    <row r="3987" spans="1:26" ht="15.75" customHeight="1" x14ac:dyDescent="0.2">
      <c r="A3987" s="2" t="s">
        <v>36</v>
      </c>
      <c r="B3987" s="2" t="s">
        <v>35</v>
      </c>
      <c r="C3987" s="2" t="s">
        <v>27</v>
      </c>
      <c r="D3987" s="2" t="s">
        <v>27</v>
      </c>
      <c r="E3987" s="2">
        <v>180</v>
      </c>
      <c r="F3987" s="2">
        <v>153</v>
      </c>
      <c r="G3987" s="2">
        <v>432</v>
      </c>
      <c r="H3987" s="2">
        <v>1894</v>
      </c>
      <c r="I3987" s="2">
        <v>2577</v>
      </c>
      <c r="J3987" s="2">
        <v>1.42</v>
      </c>
      <c r="K3987" s="2">
        <v>4.3099999999999996</v>
      </c>
      <c r="L3987" s="2">
        <v>12.64</v>
      </c>
      <c r="M3987" s="2">
        <v>14.7</v>
      </c>
      <c r="N3987" s="2">
        <v>0.43341596500000001</v>
      </c>
      <c r="O3987" s="2">
        <v>0.524752522</v>
      </c>
      <c r="P3987" s="2">
        <v>1.814391801</v>
      </c>
      <c r="Q3987" s="2">
        <v>1.9768891980000001</v>
      </c>
      <c r="R3987" s="2">
        <v>2.1939798999999999E-2</v>
      </c>
      <c r="S3987" s="2">
        <v>0.101939799</v>
      </c>
      <c r="T3987" s="2">
        <v>1.814259147</v>
      </c>
      <c r="U3987" s="2">
        <v>1.9742591469999999</v>
      </c>
      <c r="V3987" s="2">
        <v>1.1832085299999999</v>
      </c>
      <c r="W3987" s="2">
        <v>1.1041900469999999</v>
      </c>
      <c r="X3987">
        <f t="shared" si="186"/>
        <v>0</v>
      </c>
      <c r="Y3987">
        <f>IF(A3987="lecture",1,0)</f>
        <v>0</v>
      </c>
      <c r="Z3987">
        <f t="shared" si="187"/>
        <v>0</v>
      </c>
    </row>
    <row r="3988" spans="1:26" ht="15.75" customHeight="1" x14ac:dyDescent="0.2">
      <c r="A3988" s="2" t="s">
        <v>36</v>
      </c>
      <c r="B3988" s="2" t="s">
        <v>35</v>
      </c>
      <c r="C3988" s="2" t="s">
        <v>26</v>
      </c>
      <c r="D3988" s="2" t="s">
        <v>26</v>
      </c>
      <c r="E3988" s="2">
        <v>205</v>
      </c>
      <c r="F3988" s="2">
        <v>145</v>
      </c>
      <c r="G3988" s="2">
        <v>459</v>
      </c>
      <c r="H3988" s="2">
        <v>1289</v>
      </c>
      <c r="I3988" s="2">
        <v>3018</v>
      </c>
      <c r="J3988" s="2">
        <v>1.32</v>
      </c>
      <c r="K3988" s="2">
        <v>4.5599999999999996</v>
      </c>
      <c r="L3988" s="2">
        <v>10.11</v>
      </c>
      <c r="M3988" s="2">
        <v>15.72</v>
      </c>
      <c r="N3988" s="2">
        <v>1.8890524019999999</v>
      </c>
      <c r="O3988" s="2">
        <v>2.5202035880000002</v>
      </c>
      <c r="P3988" s="2">
        <v>0.77121362699999996</v>
      </c>
      <c r="Q3988" s="2">
        <v>0.66181775899999995</v>
      </c>
      <c r="R3988" s="2">
        <v>0.26713931400000002</v>
      </c>
      <c r="S3988" s="2">
        <v>0.34713931399999998</v>
      </c>
      <c r="T3988" s="2">
        <v>0.72346876000000004</v>
      </c>
      <c r="U3988" s="2">
        <v>0.56346876000000001</v>
      </c>
      <c r="V3988" s="2">
        <v>1.4284080450000001</v>
      </c>
      <c r="W3988" s="2">
        <v>1.349389562</v>
      </c>
      <c r="X3988">
        <f t="shared" si="186"/>
        <v>0</v>
      </c>
      <c r="Y3988">
        <f>IF(A3988="lecture",1,0)</f>
        <v>0</v>
      </c>
      <c r="Z3988">
        <f t="shared" si="187"/>
        <v>0</v>
      </c>
    </row>
    <row r="3989" spans="1:26" ht="15.75" customHeight="1" x14ac:dyDescent="0.2">
      <c r="A3989" s="2" t="s">
        <v>36</v>
      </c>
      <c r="B3989" s="2" t="s">
        <v>35</v>
      </c>
      <c r="C3989" s="2" t="s">
        <v>30</v>
      </c>
      <c r="D3989" s="2" t="s">
        <v>31</v>
      </c>
      <c r="E3989" s="2">
        <v>160</v>
      </c>
      <c r="F3989" s="2">
        <v>140</v>
      </c>
      <c r="G3989" s="2">
        <v>607</v>
      </c>
      <c r="H3989" s="2">
        <v>1143</v>
      </c>
      <c r="I3989" s="2">
        <v>2365</v>
      </c>
      <c r="J3989" s="2">
        <v>1.26</v>
      </c>
      <c r="K3989" s="2">
        <v>5.81</v>
      </c>
      <c r="L3989" s="2">
        <v>9.35</v>
      </c>
      <c r="M3989" s="2">
        <v>14.13</v>
      </c>
      <c r="N3989" s="2">
        <v>3.8511737159999999</v>
      </c>
      <c r="O3989" s="2">
        <v>3.8202593540000001</v>
      </c>
      <c r="P3989" s="2">
        <v>2.1224058449999998</v>
      </c>
      <c r="Q3989" s="2">
        <v>2.0746777719999998</v>
      </c>
      <c r="R3989" s="2">
        <v>1.516909091</v>
      </c>
      <c r="S3989" s="2">
        <v>1.5969090909999999</v>
      </c>
      <c r="T3989" s="2">
        <v>1.4844505320000001</v>
      </c>
      <c r="U3989" s="2">
        <v>1.324450532</v>
      </c>
      <c r="V3989" s="2">
        <v>2.6781778219999999</v>
      </c>
      <c r="W3989" s="2">
        <v>2.5991593389999998</v>
      </c>
      <c r="X3989">
        <f t="shared" si="186"/>
        <v>0</v>
      </c>
      <c r="Y3989">
        <f>IF(A3989="lecture",1,0)</f>
        <v>0</v>
      </c>
      <c r="Z3989">
        <f t="shared" si="187"/>
        <v>1</v>
      </c>
    </row>
    <row r="3990" spans="1:26" ht="15.75" customHeight="1" x14ac:dyDescent="0.2">
      <c r="A3990" s="2" t="s">
        <v>36</v>
      </c>
      <c r="B3990" s="2" t="s">
        <v>35</v>
      </c>
      <c r="C3990" s="2" t="s">
        <v>32</v>
      </c>
      <c r="D3990" s="2" t="s">
        <v>33</v>
      </c>
      <c r="E3990" s="2">
        <v>160</v>
      </c>
      <c r="F3990" s="2">
        <v>124</v>
      </c>
      <c r="G3990" s="2">
        <v>602</v>
      </c>
      <c r="H3990" s="2">
        <v>770</v>
      </c>
      <c r="I3990" s="2">
        <v>2303</v>
      </c>
      <c r="J3990" s="2">
        <v>1.07</v>
      </c>
      <c r="K3990" s="2">
        <v>5.77</v>
      </c>
      <c r="L3990" s="2">
        <v>7.03</v>
      </c>
      <c r="M3990" s="2">
        <v>13.95</v>
      </c>
      <c r="N3990" s="2">
        <v>3.3456119279999998</v>
      </c>
      <c r="O3990" s="2">
        <v>3.24047924</v>
      </c>
      <c r="P3990" s="2">
        <v>4.0730693489999998</v>
      </c>
      <c r="Q3990" s="2">
        <v>3.9551905180000002</v>
      </c>
      <c r="R3990" s="2">
        <v>1.4769486009999999</v>
      </c>
      <c r="S3990" s="2">
        <v>1.556948601</v>
      </c>
      <c r="T3990" s="2">
        <v>3.7958552069999998</v>
      </c>
      <c r="U3990" s="2">
        <v>3.6358552070000001</v>
      </c>
      <c r="V3990" s="2">
        <v>2.638217332</v>
      </c>
      <c r="W3990" s="2">
        <v>2.5591988489999999</v>
      </c>
      <c r="X3990">
        <f t="shared" si="186"/>
        <v>0</v>
      </c>
      <c r="Y3990">
        <f>IF(A3990="lecture",1,0)</f>
        <v>0</v>
      </c>
      <c r="Z3990">
        <f t="shared" si="187"/>
        <v>1</v>
      </c>
    </row>
    <row r="3991" spans="1:26" ht="15.75" customHeight="1" x14ac:dyDescent="0.2">
      <c r="A3991" s="2" t="s">
        <v>36</v>
      </c>
      <c r="B3991" s="2" t="s">
        <v>35</v>
      </c>
      <c r="C3991" s="2" t="s">
        <v>28</v>
      </c>
      <c r="D3991" s="2" t="s">
        <v>29</v>
      </c>
      <c r="E3991" s="2">
        <v>157</v>
      </c>
      <c r="F3991" s="2">
        <v>137</v>
      </c>
      <c r="G3991" s="2">
        <v>451</v>
      </c>
      <c r="H3991" s="2">
        <v>1328</v>
      </c>
      <c r="I3991" s="2">
        <v>2654</v>
      </c>
      <c r="J3991" s="2">
        <v>1.23</v>
      </c>
      <c r="K3991" s="2">
        <v>4.49</v>
      </c>
      <c r="L3991" s="2">
        <v>10.3</v>
      </c>
      <c r="M3991" s="2">
        <v>14.89</v>
      </c>
      <c r="N3991" s="2">
        <v>2.0750663789999999</v>
      </c>
      <c r="O3991" s="2">
        <v>2.6990587960000001</v>
      </c>
      <c r="P3991" s="2">
        <v>0.56476473299999996</v>
      </c>
      <c r="Q3991" s="2">
        <v>0.46104835199999999</v>
      </c>
      <c r="R3991" s="2">
        <v>0.19506014099999999</v>
      </c>
      <c r="S3991" s="2">
        <v>0.27506014099999998</v>
      </c>
      <c r="T3991" s="2">
        <v>0.53001013699999999</v>
      </c>
      <c r="U3991" s="2">
        <v>0.37001013700000002</v>
      </c>
      <c r="V3991" s="2">
        <v>1.356328872</v>
      </c>
      <c r="W3991" s="2">
        <v>1.2773103889999999</v>
      </c>
      <c r="X3991">
        <f t="shared" si="186"/>
        <v>0</v>
      </c>
      <c r="Y3991">
        <f>IF(A3991="lecture",1,0)</f>
        <v>0</v>
      </c>
      <c r="Z3991">
        <f t="shared" si="187"/>
        <v>1</v>
      </c>
    </row>
    <row r="3992" spans="1:26" ht="15.75" customHeight="1" x14ac:dyDescent="0.2">
      <c r="A3992" s="2" t="s">
        <v>36</v>
      </c>
      <c r="B3992" s="2" t="s">
        <v>35</v>
      </c>
      <c r="C3992" s="2" t="s">
        <v>28</v>
      </c>
      <c r="D3992" s="2" t="s">
        <v>29</v>
      </c>
      <c r="E3992" s="2">
        <v>188</v>
      </c>
      <c r="F3992" s="2">
        <v>137</v>
      </c>
      <c r="G3992" s="2">
        <v>473</v>
      </c>
      <c r="H3992" s="2">
        <v>1398</v>
      </c>
      <c r="I3992" s="2">
        <v>2556</v>
      </c>
      <c r="J3992" s="2">
        <v>1.22</v>
      </c>
      <c r="K3992" s="2">
        <v>4.68</v>
      </c>
      <c r="L3992" s="2">
        <v>10.63</v>
      </c>
      <c r="M3992" s="2">
        <v>14.64</v>
      </c>
      <c r="N3992" s="2">
        <v>2.426890287</v>
      </c>
      <c r="O3992" s="2">
        <v>3.060322164</v>
      </c>
      <c r="P3992" s="2">
        <v>0.43616517199999999</v>
      </c>
      <c r="Q3992" s="2">
        <v>0.470628879</v>
      </c>
      <c r="R3992" s="2">
        <v>0.38917785700000002</v>
      </c>
      <c r="S3992" s="2">
        <v>0.46917785699999998</v>
      </c>
      <c r="T3992" s="2">
        <v>0.19692804</v>
      </c>
      <c r="U3992" s="2">
        <v>3.6928040000000002E-2</v>
      </c>
      <c r="V3992" s="2">
        <v>1.550446588</v>
      </c>
      <c r="W3992" s="2">
        <v>1.471428105</v>
      </c>
      <c r="X3992">
        <f t="shared" si="186"/>
        <v>0</v>
      </c>
      <c r="Y3992">
        <f>IF(A3992="lecture",1,0)</f>
        <v>0</v>
      </c>
      <c r="Z3992">
        <f t="shared" si="187"/>
        <v>1</v>
      </c>
    </row>
    <row r="3993" spans="1:26" ht="15.75" customHeight="1" x14ac:dyDescent="0.2">
      <c r="A3993" s="2" t="s">
        <v>36</v>
      </c>
      <c r="B3993" s="2" t="s">
        <v>35</v>
      </c>
      <c r="C3993" s="2" t="s">
        <v>26</v>
      </c>
      <c r="D3993" s="2" t="s">
        <v>26</v>
      </c>
      <c r="E3993" s="2">
        <v>181</v>
      </c>
      <c r="F3993" s="2">
        <v>165</v>
      </c>
      <c r="G3993" s="2">
        <v>422</v>
      </c>
      <c r="H3993" s="2">
        <v>834</v>
      </c>
      <c r="I3993" s="2">
        <v>2606</v>
      </c>
      <c r="J3993" s="2">
        <v>1.56</v>
      </c>
      <c r="K3993" s="2">
        <v>4.22</v>
      </c>
      <c r="L3993" s="2">
        <v>7.47</v>
      </c>
      <c r="M3993" s="2">
        <v>14.77</v>
      </c>
      <c r="N3993" s="2">
        <v>0.76728498199999995</v>
      </c>
      <c r="O3993" s="2">
        <v>0.20193592599999999</v>
      </c>
      <c r="P3993" s="2">
        <v>3.358103039</v>
      </c>
      <c r="Q3993" s="2">
        <v>3.1973082279999998</v>
      </c>
      <c r="R3993" s="2">
        <v>7.3372988E-2</v>
      </c>
      <c r="S3993" s="2">
        <v>6.6270119999999998E-3</v>
      </c>
      <c r="T3993" s="2">
        <v>3.3573013600000001</v>
      </c>
      <c r="U3993" s="2">
        <v>3.19730136</v>
      </c>
      <c r="V3993" s="2">
        <v>1.087895743</v>
      </c>
      <c r="W3993" s="2">
        <v>1.00887726</v>
      </c>
      <c r="X3993">
        <f t="shared" si="186"/>
        <v>0</v>
      </c>
      <c r="Y3993">
        <f>IF(A3993="lecture",1,0)</f>
        <v>0</v>
      </c>
      <c r="Z3993">
        <f t="shared" si="187"/>
        <v>0</v>
      </c>
    </row>
    <row r="3994" spans="1:26" ht="15.75" customHeight="1" x14ac:dyDescent="0.2">
      <c r="A3994" s="2" t="s">
        <v>36</v>
      </c>
      <c r="B3994" s="2" t="s">
        <v>35</v>
      </c>
      <c r="C3994" s="2" t="s">
        <v>25</v>
      </c>
      <c r="D3994" s="2" t="s">
        <v>25</v>
      </c>
      <c r="E3994" s="2">
        <v>234</v>
      </c>
      <c r="F3994" s="2">
        <v>135</v>
      </c>
      <c r="G3994" s="2">
        <v>672</v>
      </c>
      <c r="H3994" s="2">
        <v>1374</v>
      </c>
      <c r="I3994" s="2">
        <v>2492</v>
      </c>
      <c r="J3994" s="2">
        <v>1.2</v>
      </c>
      <c r="K3994" s="2">
        <v>6.32</v>
      </c>
      <c r="L3994" s="2">
        <v>10.52</v>
      </c>
      <c r="M3994" s="2">
        <v>14.48</v>
      </c>
      <c r="N3994" s="2">
        <v>0.24496508</v>
      </c>
      <c r="O3994" s="2">
        <v>0.45103096599999998</v>
      </c>
      <c r="P3994" s="2">
        <v>2.0486284160000001</v>
      </c>
      <c r="Q3994" s="2">
        <v>2.1104119799999999</v>
      </c>
      <c r="R3994" s="2">
        <v>2.0251063829999998</v>
      </c>
      <c r="S3994" s="2">
        <v>2.1051063829999999</v>
      </c>
      <c r="T3994" s="2">
        <v>0.30955213399999998</v>
      </c>
      <c r="U3994" s="2">
        <v>0.149552134</v>
      </c>
      <c r="V3994" s="2">
        <v>3.1863751140000001</v>
      </c>
      <c r="W3994" s="2">
        <v>3.107356631</v>
      </c>
      <c r="X3994">
        <f t="shared" si="186"/>
        <v>0</v>
      </c>
      <c r="Y3994">
        <f>IF(A3994="lecture",1,0)</f>
        <v>0</v>
      </c>
      <c r="Z3994">
        <f t="shared" si="187"/>
        <v>0</v>
      </c>
    </row>
    <row r="3995" spans="1:26" ht="15.75" customHeight="1" x14ac:dyDescent="0.2">
      <c r="A3995" s="2" t="s">
        <v>36</v>
      </c>
      <c r="B3995" s="2" t="s">
        <v>35</v>
      </c>
      <c r="C3995" s="2" t="s">
        <v>30</v>
      </c>
      <c r="D3995" s="2" t="s">
        <v>31</v>
      </c>
      <c r="E3995" s="2">
        <v>176</v>
      </c>
      <c r="F3995" s="2">
        <v>136</v>
      </c>
      <c r="G3995" s="2">
        <v>498</v>
      </c>
      <c r="H3995" s="2">
        <v>1172</v>
      </c>
      <c r="I3995" s="2">
        <v>2246</v>
      </c>
      <c r="J3995" s="2">
        <v>1.21</v>
      </c>
      <c r="K3995" s="2">
        <v>4.9000000000000004</v>
      </c>
      <c r="L3995" s="2">
        <v>9.5</v>
      </c>
      <c r="M3995" s="2">
        <v>13.79</v>
      </c>
      <c r="N3995" s="2">
        <v>3.3353091770000001</v>
      </c>
      <c r="O3995" s="2">
        <v>3.2790600639999998</v>
      </c>
      <c r="P3995" s="2">
        <v>1.459001218</v>
      </c>
      <c r="Q3995" s="2">
        <v>1.3541908890000001</v>
      </c>
      <c r="R3995" s="2">
        <v>0.60890682200000001</v>
      </c>
      <c r="S3995" s="2">
        <v>0.68890682199999997</v>
      </c>
      <c r="T3995" s="2">
        <v>1.3258646380000001</v>
      </c>
      <c r="U3995" s="2">
        <v>1.165864638</v>
      </c>
      <c r="V3995" s="2">
        <v>1.7701755530000001</v>
      </c>
      <c r="W3995" s="2">
        <v>1.69115707</v>
      </c>
      <c r="X3995">
        <f t="shared" si="186"/>
        <v>0</v>
      </c>
      <c r="Y3995">
        <f>IF(A3995="lecture",1,0)</f>
        <v>0</v>
      </c>
      <c r="Z3995">
        <f t="shared" si="187"/>
        <v>1</v>
      </c>
    </row>
    <row r="3996" spans="1:26" ht="15.75" customHeight="1" x14ac:dyDescent="0.2">
      <c r="A3996" s="2" t="s">
        <v>36</v>
      </c>
      <c r="B3996" s="2" t="s">
        <v>35</v>
      </c>
      <c r="C3996" s="2" t="s">
        <v>28</v>
      </c>
      <c r="D3996" s="2" t="s">
        <v>29</v>
      </c>
      <c r="E3996" s="2">
        <v>215</v>
      </c>
      <c r="F3996" s="2">
        <v>157</v>
      </c>
      <c r="G3996" s="2">
        <v>420</v>
      </c>
      <c r="H3996" s="2">
        <v>1816</v>
      </c>
      <c r="I3996" s="2">
        <v>2747</v>
      </c>
      <c r="J3996" s="2">
        <v>1.45</v>
      </c>
      <c r="K3996" s="2">
        <v>4.2</v>
      </c>
      <c r="L3996" s="2">
        <v>12.36</v>
      </c>
      <c r="M3996" s="2">
        <v>15.12</v>
      </c>
      <c r="N3996" s="2">
        <v>4.1349998379999997</v>
      </c>
      <c r="O3996" s="2">
        <v>4.7337978500000002</v>
      </c>
      <c r="P3996" s="2">
        <v>1.5353176710000001</v>
      </c>
      <c r="Q3996" s="2">
        <v>1.6926057320000001</v>
      </c>
      <c r="R3996" s="2">
        <v>9.1916234999999999E-2</v>
      </c>
      <c r="S3996" s="2">
        <v>1.1916235000000001E-2</v>
      </c>
      <c r="T3996" s="2">
        <v>1.5325637860000001</v>
      </c>
      <c r="U3996" s="2">
        <v>1.692563786</v>
      </c>
      <c r="V3996" s="2">
        <v>1.069352496</v>
      </c>
      <c r="W3996" s="2">
        <v>0.99033401300000001</v>
      </c>
      <c r="X3996">
        <f t="shared" si="186"/>
        <v>0</v>
      </c>
      <c r="Y3996">
        <f>IF(A3996="lecture",1,0)</f>
        <v>0</v>
      </c>
      <c r="Z3996">
        <f t="shared" si="187"/>
        <v>1</v>
      </c>
    </row>
    <row r="3997" spans="1:26" ht="15.75" customHeight="1" x14ac:dyDescent="0.2">
      <c r="A3997" s="2" t="s">
        <v>36</v>
      </c>
      <c r="B3997" s="2" t="s">
        <v>35</v>
      </c>
      <c r="C3997" s="2" t="s">
        <v>28</v>
      </c>
      <c r="D3997" s="2" t="s">
        <v>29</v>
      </c>
      <c r="E3997" s="2">
        <v>186</v>
      </c>
      <c r="F3997" s="2">
        <v>158</v>
      </c>
      <c r="G3997" s="2">
        <v>431</v>
      </c>
      <c r="H3997" s="2">
        <v>2019</v>
      </c>
      <c r="I3997" s="2">
        <v>2704</v>
      </c>
      <c r="J3997" s="2">
        <v>1.47</v>
      </c>
      <c r="K3997" s="2">
        <v>4.3</v>
      </c>
      <c r="L3997" s="2">
        <v>13.07</v>
      </c>
      <c r="M3997" s="2">
        <v>15.01</v>
      </c>
      <c r="N3997" s="2">
        <v>4.8428286429999998</v>
      </c>
      <c r="O3997" s="2">
        <v>5.4466986459999998</v>
      </c>
      <c r="P3997" s="2">
        <v>2.242681782</v>
      </c>
      <c r="Q3997" s="2">
        <v>2.4043342270000001</v>
      </c>
      <c r="R3997" s="2">
        <v>9.6876740000000003E-3</v>
      </c>
      <c r="S3997" s="2">
        <v>8.9687673999999995E-2</v>
      </c>
      <c r="T3997" s="2">
        <v>2.2426608579999998</v>
      </c>
      <c r="U3997" s="2">
        <v>2.402660858</v>
      </c>
      <c r="V3997" s="2">
        <v>1.1709564050000001</v>
      </c>
      <c r="W3997" s="2">
        <v>1.0919379220000001</v>
      </c>
      <c r="X3997">
        <f t="shared" si="186"/>
        <v>0</v>
      </c>
      <c r="Y3997">
        <f>IF(A3997="lecture",1,0)</f>
        <v>0</v>
      </c>
      <c r="Z3997">
        <f t="shared" si="187"/>
        <v>1</v>
      </c>
    </row>
    <row r="3998" spans="1:26" ht="15.75" customHeight="1" x14ac:dyDescent="0.2">
      <c r="A3998" s="2" t="s">
        <v>36</v>
      </c>
      <c r="B3998" s="2" t="s">
        <v>35</v>
      </c>
      <c r="C3998" s="2" t="s">
        <v>32</v>
      </c>
      <c r="D3998" s="2" t="s">
        <v>33</v>
      </c>
      <c r="E3998" s="2">
        <v>190</v>
      </c>
      <c r="F3998" s="2">
        <v>150</v>
      </c>
      <c r="G3998" s="2">
        <v>575</v>
      </c>
      <c r="H3998" s="2">
        <v>953</v>
      </c>
      <c r="I3998" s="2">
        <v>2346</v>
      </c>
      <c r="J3998" s="2">
        <v>1.38</v>
      </c>
      <c r="K3998" s="2">
        <v>5.55</v>
      </c>
      <c r="L3998" s="2">
        <v>8.24</v>
      </c>
      <c r="M3998" s="2">
        <v>14.08</v>
      </c>
      <c r="N3998" s="2">
        <v>2.1993451020000001</v>
      </c>
      <c r="O3998" s="2">
        <v>2.0684617529999998</v>
      </c>
      <c r="P3998" s="2">
        <v>2.8804978370000001</v>
      </c>
      <c r="Q3998" s="2">
        <v>2.7751536830000001</v>
      </c>
      <c r="R3998" s="2">
        <v>1.2584376639999999</v>
      </c>
      <c r="S3998" s="2">
        <v>1.338437664</v>
      </c>
      <c r="T3998" s="2">
        <v>2.5910620280000001</v>
      </c>
      <c r="U3998" s="2">
        <v>2.4310620279999999</v>
      </c>
      <c r="V3998" s="2">
        <v>2.419706395</v>
      </c>
      <c r="W3998" s="2">
        <v>2.3406879119999999</v>
      </c>
      <c r="X3998">
        <f t="shared" si="186"/>
        <v>0</v>
      </c>
      <c r="Y3998">
        <f>IF(A3998="lecture",1,0)</f>
        <v>0</v>
      </c>
      <c r="Z3998">
        <f t="shared" si="187"/>
        <v>1</v>
      </c>
    </row>
    <row r="3999" spans="1:26" ht="15.75" customHeight="1" x14ac:dyDescent="0.2">
      <c r="A3999" s="2" t="s">
        <v>36</v>
      </c>
      <c r="B3999" s="2" t="s">
        <v>35</v>
      </c>
      <c r="C3999" s="2" t="s">
        <v>25</v>
      </c>
      <c r="D3999" s="2" t="s">
        <v>25</v>
      </c>
      <c r="E3999" s="2">
        <v>120</v>
      </c>
      <c r="F3999" s="2">
        <v>130</v>
      </c>
      <c r="G3999" s="2">
        <v>611</v>
      </c>
      <c r="H3999" s="2">
        <v>1389</v>
      </c>
      <c r="I3999" s="2">
        <v>2396</v>
      </c>
      <c r="J3999" s="2">
        <v>1.1299999999999999</v>
      </c>
      <c r="K3999" s="2">
        <v>5.84</v>
      </c>
      <c r="L3999" s="2">
        <v>10.59</v>
      </c>
      <c r="M3999" s="2">
        <v>14.22</v>
      </c>
      <c r="N3999" s="2">
        <v>0.36966789500000002</v>
      </c>
      <c r="O3999" s="2">
        <v>0.33582320599999999</v>
      </c>
      <c r="P3999" s="2">
        <v>1.5697130370000001</v>
      </c>
      <c r="Q3999" s="2">
        <v>1.633326118</v>
      </c>
      <c r="R3999" s="2">
        <v>1.551415792</v>
      </c>
      <c r="S3999" s="2">
        <v>1.6314157920000001</v>
      </c>
      <c r="T3999" s="2">
        <v>0.23897293</v>
      </c>
      <c r="U3999" s="2">
        <v>7.8972929999999997E-2</v>
      </c>
      <c r="V3999" s="2">
        <v>2.7126845230000001</v>
      </c>
      <c r="W3999" s="2">
        <v>2.633666039</v>
      </c>
      <c r="X3999">
        <f t="shared" si="186"/>
        <v>0</v>
      </c>
      <c r="Y3999">
        <f>IF(A3999="lecture",1,0)</f>
        <v>0</v>
      </c>
      <c r="Z3999">
        <f t="shared" si="187"/>
        <v>0</v>
      </c>
    </row>
    <row r="4000" spans="1:26" ht="15.75" customHeight="1" x14ac:dyDescent="0.2">
      <c r="A4000" s="2" t="s">
        <v>36</v>
      </c>
      <c r="B4000" s="2" t="s">
        <v>35</v>
      </c>
      <c r="C4000" s="2" t="s">
        <v>27</v>
      </c>
      <c r="D4000" s="2" t="s">
        <v>27</v>
      </c>
      <c r="E4000" s="2">
        <v>127</v>
      </c>
      <c r="F4000" s="2">
        <v>140</v>
      </c>
      <c r="G4000" s="2">
        <v>430</v>
      </c>
      <c r="H4000" s="2">
        <v>1860</v>
      </c>
      <c r="I4000" s="2">
        <v>2529</v>
      </c>
      <c r="J4000" s="2">
        <v>1.25</v>
      </c>
      <c r="K4000" s="2">
        <v>4.29</v>
      </c>
      <c r="L4000" s="2">
        <v>12.53</v>
      </c>
      <c r="M4000" s="2">
        <v>14.57</v>
      </c>
      <c r="N4000" s="2">
        <v>0.44154955000000001</v>
      </c>
      <c r="O4000" s="2">
        <v>0.50769803400000002</v>
      </c>
      <c r="P4000" s="2">
        <v>1.6952877369999999</v>
      </c>
      <c r="Q4000" s="2">
        <v>1.857164622</v>
      </c>
      <c r="R4000" s="2">
        <v>3.5564849999999999E-3</v>
      </c>
      <c r="S4000" s="2">
        <v>8.3556485E-2</v>
      </c>
      <c r="T4000" s="2">
        <v>1.6952840069999999</v>
      </c>
      <c r="U4000" s="2">
        <v>1.8552840070000001</v>
      </c>
      <c r="V4000" s="2">
        <v>1.1648252160000001</v>
      </c>
      <c r="W4000" s="2">
        <v>1.0858067330000001</v>
      </c>
      <c r="X4000">
        <f t="shared" si="186"/>
        <v>0</v>
      </c>
      <c r="Y4000">
        <f>IF(A4000="lecture",1,0)</f>
        <v>0</v>
      </c>
      <c r="Z4000">
        <f t="shared" si="187"/>
        <v>0</v>
      </c>
    </row>
    <row r="4001" spans="1:26" ht="15.75" customHeight="1" x14ac:dyDescent="0.2">
      <c r="A4001" s="2" t="s">
        <v>36</v>
      </c>
      <c r="B4001" s="2" t="s">
        <v>35</v>
      </c>
      <c r="C4001" s="2" t="s">
        <v>32</v>
      </c>
      <c r="D4001" s="2" t="s">
        <v>33</v>
      </c>
      <c r="E4001" s="2">
        <v>180</v>
      </c>
      <c r="F4001" s="2">
        <v>141</v>
      </c>
      <c r="G4001" s="2">
        <v>637</v>
      </c>
      <c r="H4001" s="2">
        <v>905</v>
      </c>
      <c r="I4001" s="2">
        <v>2374</v>
      </c>
      <c r="J4001" s="2">
        <v>1.27</v>
      </c>
      <c r="K4001" s="2">
        <v>6.05</v>
      </c>
      <c r="L4001" s="2">
        <v>7.94</v>
      </c>
      <c r="M4001" s="2">
        <v>14.15</v>
      </c>
      <c r="N4001" s="2">
        <v>2.420455917</v>
      </c>
      <c r="O4001" s="2">
        <v>2.331620064</v>
      </c>
      <c r="P4001" s="2">
        <v>3.38225139</v>
      </c>
      <c r="Q4001" s="2">
        <v>3.2906682969999999</v>
      </c>
      <c r="R4001" s="2">
        <v>1.7586344970000001</v>
      </c>
      <c r="S4001" s="2">
        <v>1.8386344969999999</v>
      </c>
      <c r="T4001" s="2">
        <v>2.8890879479999998</v>
      </c>
      <c r="U4001" s="2">
        <v>2.7290879480000001</v>
      </c>
      <c r="V4001" s="2">
        <v>2.9199032279999999</v>
      </c>
      <c r="W4001" s="2">
        <v>2.8408847449999999</v>
      </c>
      <c r="X4001">
        <f t="shared" si="186"/>
        <v>0</v>
      </c>
      <c r="Y4001">
        <f>IF(A4001="lecture",1,0)</f>
        <v>0</v>
      </c>
      <c r="Z4001">
        <f t="shared" si="187"/>
        <v>1</v>
      </c>
    </row>
    <row r="4002" spans="1:26" ht="15.75" customHeight="1" x14ac:dyDescent="0.2">
      <c r="A4002" s="2" t="s">
        <v>36</v>
      </c>
      <c r="B4002" s="2" t="s">
        <v>35</v>
      </c>
      <c r="C4002" s="2" t="s">
        <v>28</v>
      </c>
      <c r="D4002" s="2" t="s">
        <v>29</v>
      </c>
      <c r="E4002" s="2">
        <v>165</v>
      </c>
      <c r="F4002" s="2">
        <v>150</v>
      </c>
      <c r="G4002" s="2">
        <v>409</v>
      </c>
      <c r="H4002" s="2">
        <v>1317</v>
      </c>
      <c r="I4002" s="2">
        <v>2730</v>
      </c>
      <c r="J4002" s="2">
        <v>1.38</v>
      </c>
      <c r="K4002" s="2">
        <v>4.0999999999999996</v>
      </c>
      <c r="L4002" s="2">
        <v>10.24</v>
      </c>
      <c r="M4002" s="2">
        <v>15.08</v>
      </c>
      <c r="N4002" s="2">
        <v>2.0287586630000001</v>
      </c>
      <c r="O4002" s="2">
        <v>2.614750361</v>
      </c>
      <c r="P4002" s="2">
        <v>0.61479720900000001</v>
      </c>
      <c r="Q4002" s="2">
        <v>0.43882998899999998</v>
      </c>
      <c r="R4002" s="2">
        <v>0.18822172200000001</v>
      </c>
      <c r="S4002" s="2">
        <v>0.10822172200000001</v>
      </c>
      <c r="T4002" s="2">
        <v>0.58527616699999996</v>
      </c>
      <c r="U4002" s="2">
        <v>0.42527616699999998</v>
      </c>
      <c r="V4002" s="2">
        <v>0.97304700899999996</v>
      </c>
      <c r="W4002" s="2">
        <v>0.89402852600000005</v>
      </c>
      <c r="X4002">
        <f t="shared" si="186"/>
        <v>0</v>
      </c>
      <c r="Y4002">
        <f>IF(A4002="lecture",1,0)</f>
        <v>0</v>
      </c>
      <c r="Z4002">
        <f t="shared" si="187"/>
        <v>1</v>
      </c>
    </row>
    <row r="4003" spans="1:26" ht="15.75" customHeight="1" x14ac:dyDescent="0.2">
      <c r="A4003" s="2" t="s">
        <v>36</v>
      </c>
      <c r="B4003" s="2" t="s">
        <v>35</v>
      </c>
      <c r="C4003" s="2" t="s">
        <v>27</v>
      </c>
      <c r="D4003" s="2" t="s">
        <v>27</v>
      </c>
      <c r="E4003" s="2">
        <v>166</v>
      </c>
      <c r="F4003" s="2">
        <v>131</v>
      </c>
      <c r="G4003" s="2">
        <v>401</v>
      </c>
      <c r="H4003" s="2">
        <v>1854</v>
      </c>
      <c r="I4003" s="2">
        <v>2430</v>
      </c>
      <c r="J4003" s="2">
        <v>1.1499999999999999</v>
      </c>
      <c r="K4003" s="2">
        <v>4.03</v>
      </c>
      <c r="L4003" s="2">
        <v>12.5</v>
      </c>
      <c r="M4003" s="2">
        <v>14.31</v>
      </c>
      <c r="N4003" s="2">
        <v>0.23028166999999999</v>
      </c>
      <c r="O4003" s="2">
        <v>0.252318761</v>
      </c>
      <c r="P4003" s="2">
        <v>1.6930522779999999</v>
      </c>
      <c r="Q4003" s="2">
        <v>1.8415945339999999</v>
      </c>
      <c r="R4003" s="2">
        <v>0.26335968399999998</v>
      </c>
      <c r="S4003" s="2">
        <v>0.183359684</v>
      </c>
      <c r="T4003" s="2">
        <v>1.672443629</v>
      </c>
      <c r="U4003" s="2">
        <v>1.8324436289999999</v>
      </c>
      <c r="V4003" s="2">
        <v>0.89790904699999996</v>
      </c>
      <c r="W4003" s="2">
        <v>0.81889056400000004</v>
      </c>
      <c r="X4003">
        <f t="shared" si="186"/>
        <v>0</v>
      </c>
      <c r="Y4003">
        <f>IF(A4003="lecture",1,0)</f>
        <v>0</v>
      </c>
      <c r="Z4003">
        <f t="shared" si="187"/>
        <v>0</v>
      </c>
    </row>
    <row r="4004" spans="1:26" ht="15.75" customHeight="1" x14ac:dyDescent="0.2">
      <c r="A4004" s="2" t="s">
        <v>36</v>
      </c>
      <c r="B4004" s="2" t="s">
        <v>35</v>
      </c>
      <c r="C4004" s="2" t="s">
        <v>26</v>
      </c>
      <c r="D4004" s="2" t="s">
        <v>26</v>
      </c>
      <c r="E4004" s="2">
        <v>189</v>
      </c>
      <c r="F4004" s="2">
        <v>131</v>
      </c>
      <c r="G4004" s="2">
        <v>389</v>
      </c>
      <c r="H4004" s="2">
        <v>746</v>
      </c>
      <c r="I4004" s="2">
        <v>2394</v>
      </c>
      <c r="J4004" s="2">
        <v>1.1499999999999999</v>
      </c>
      <c r="K4004" s="2">
        <v>3.91</v>
      </c>
      <c r="L4004" s="2">
        <v>6.86</v>
      </c>
      <c r="M4004" s="2">
        <v>14.21</v>
      </c>
      <c r="N4004" s="2">
        <v>1.4349273810000001</v>
      </c>
      <c r="O4004" s="2">
        <v>0.78975404199999999</v>
      </c>
      <c r="P4004" s="2">
        <v>3.9870898339999998</v>
      </c>
      <c r="Q4004" s="2">
        <v>3.8207327360000001</v>
      </c>
      <c r="R4004" s="2">
        <v>0.38020008500000002</v>
      </c>
      <c r="S4004" s="2">
        <v>0.30020008500000001</v>
      </c>
      <c r="T4004" s="2">
        <v>3.9689209160000001</v>
      </c>
      <c r="U4004" s="2">
        <v>3.8089209159999999</v>
      </c>
      <c r="V4004" s="2">
        <v>0.78106864600000003</v>
      </c>
      <c r="W4004" s="2">
        <v>0.702050163</v>
      </c>
      <c r="X4004">
        <f t="shared" si="186"/>
        <v>0</v>
      </c>
      <c r="Y4004">
        <f>IF(A4004="lecture",1,0)</f>
        <v>0</v>
      </c>
      <c r="Z4004">
        <f t="shared" si="187"/>
        <v>0</v>
      </c>
    </row>
    <row r="4005" spans="1:26" ht="15.75" customHeight="1" x14ac:dyDescent="0.2">
      <c r="A4005" s="2" t="s">
        <v>36</v>
      </c>
      <c r="B4005" s="2" t="s">
        <v>35</v>
      </c>
      <c r="C4005" s="2" t="s">
        <v>27</v>
      </c>
      <c r="D4005" s="2" t="s">
        <v>27</v>
      </c>
      <c r="E4005" s="2">
        <v>220</v>
      </c>
      <c r="F4005" s="2">
        <v>126</v>
      </c>
      <c r="G4005" s="2">
        <v>378</v>
      </c>
      <c r="H4005" s="2">
        <v>1817</v>
      </c>
      <c r="I4005" s="2">
        <v>2545</v>
      </c>
      <c r="J4005" s="2">
        <v>1.0900000000000001</v>
      </c>
      <c r="K4005" s="2">
        <v>3.8</v>
      </c>
      <c r="L4005" s="2">
        <v>12.37</v>
      </c>
      <c r="M4005" s="2">
        <v>14.62</v>
      </c>
      <c r="N4005" s="2">
        <v>0.32269540099999999</v>
      </c>
      <c r="O4005" s="2">
        <v>0.22422373800000001</v>
      </c>
      <c r="P4005" s="2">
        <v>1.611124298</v>
      </c>
      <c r="Q4005" s="2">
        <v>1.7440324810000001</v>
      </c>
      <c r="R4005" s="2">
        <v>0.48544910200000002</v>
      </c>
      <c r="S4005" s="2">
        <v>0.40544910200000001</v>
      </c>
      <c r="T4005" s="2">
        <v>1.5362488969999999</v>
      </c>
      <c r="U4005" s="2">
        <v>1.696248897</v>
      </c>
      <c r="V4005" s="2">
        <v>0.67581962900000003</v>
      </c>
      <c r="W4005" s="2">
        <v>0.596801146</v>
      </c>
      <c r="X4005">
        <f t="shared" si="186"/>
        <v>0</v>
      </c>
      <c r="Y4005">
        <f>IF(A4005="lecture",1,0)</f>
        <v>0</v>
      </c>
      <c r="Z4005">
        <f t="shared" si="187"/>
        <v>0</v>
      </c>
    </row>
    <row r="4006" spans="1:26" ht="15.75" customHeight="1" x14ac:dyDescent="0.2">
      <c r="A4006" s="2" t="s">
        <v>36</v>
      </c>
      <c r="B4006" s="2" t="s">
        <v>35</v>
      </c>
      <c r="C4006" s="2" t="s">
        <v>27</v>
      </c>
      <c r="D4006" s="2" t="s">
        <v>27</v>
      </c>
      <c r="E4006" s="2">
        <v>182</v>
      </c>
      <c r="F4006" s="2">
        <v>146</v>
      </c>
      <c r="G4006" s="2">
        <v>436</v>
      </c>
      <c r="H4006" s="2">
        <v>1957</v>
      </c>
      <c r="I4006" s="2">
        <v>2518</v>
      </c>
      <c r="J4006" s="2">
        <v>1.33</v>
      </c>
      <c r="K4006" s="2">
        <v>4.3499999999999996</v>
      </c>
      <c r="L4006" s="2">
        <v>12.87</v>
      </c>
      <c r="M4006" s="2">
        <v>14.55</v>
      </c>
      <c r="N4006" s="2">
        <v>0.50129648100000002</v>
      </c>
      <c r="O4006" s="2">
        <v>0.62028777499999999</v>
      </c>
      <c r="P4006" s="2">
        <v>2.03663281</v>
      </c>
      <c r="Q4006" s="2">
        <v>2.2000552660000001</v>
      </c>
      <c r="R4006" s="2">
        <v>5.5562821999999998E-2</v>
      </c>
      <c r="S4006" s="2">
        <v>0.135562822</v>
      </c>
      <c r="T4006" s="2">
        <v>2.0358747450000001</v>
      </c>
      <c r="U4006" s="2">
        <v>2.1958747449999998</v>
      </c>
      <c r="V4006" s="2">
        <v>1.216831553</v>
      </c>
      <c r="W4006" s="2">
        <v>1.13781307</v>
      </c>
      <c r="X4006">
        <f t="shared" si="186"/>
        <v>0</v>
      </c>
      <c r="Y4006">
        <f>IF(A4006="lecture",1,0)</f>
        <v>0</v>
      </c>
      <c r="Z4006">
        <f t="shared" si="187"/>
        <v>0</v>
      </c>
    </row>
    <row r="4007" spans="1:26" ht="15.75" customHeight="1" x14ac:dyDescent="0.2">
      <c r="A4007" s="2" t="s">
        <v>36</v>
      </c>
      <c r="B4007" s="2" t="s">
        <v>35</v>
      </c>
      <c r="C4007" s="2" t="s">
        <v>32</v>
      </c>
      <c r="D4007" s="2" t="s">
        <v>33</v>
      </c>
      <c r="E4007" s="2">
        <v>190</v>
      </c>
      <c r="F4007" s="2">
        <v>144</v>
      </c>
      <c r="G4007" s="2">
        <v>591</v>
      </c>
      <c r="H4007" s="2">
        <v>896</v>
      </c>
      <c r="I4007" s="2">
        <v>2285</v>
      </c>
      <c r="J4007" s="2">
        <v>1.31</v>
      </c>
      <c r="K4007" s="2">
        <v>5.68</v>
      </c>
      <c r="L4007" s="2">
        <v>7.88</v>
      </c>
      <c r="M4007" s="2">
        <v>13.9</v>
      </c>
      <c r="N4007" s="2">
        <v>2.5219154760000002</v>
      </c>
      <c r="O4007" s="2">
        <v>2.4054254300000002</v>
      </c>
      <c r="P4007" s="2">
        <v>3.2614837470000002</v>
      </c>
      <c r="Q4007" s="2">
        <v>3.153896027</v>
      </c>
      <c r="R4007" s="2">
        <v>1.388484056</v>
      </c>
      <c r="S4007" s="2">
        <v>1.4684840560000001</v>
      </c>
      <c r="T4007" s="2">
        <v>2.95116727</v>
      </c>
      <c r="U4007" s="2">
        <v>2.7911672699999999</v>
      </c>
      <c r="V4007" s="2">
        <v>2.5497527870000001</v>
      </c>
      <c r="W4007" s="2">
        <v>2.470734304</v>
      </c>
      <c r="X4007">
        <f t="shared" si="186"/>
        <v>0</v>
      </c>
      <c r="Y4007">
        <f>IF(A4007="lecture",1,0)</f>
        <v>0</v>
      </c>
      <c r="Z4007">
        <f t="shared" si="187"/>
        <v>1</v>
      </c>
    </row>
    <row r="4008" spans="1:26" ht="15.75" customHeight="1" x14ac:dyDescent="0.2">
      <c r="A4008" s="2" t="s">
        <v>36</v>
      </c>
      <c r="B4008" s="2" t="s">
        <v>35</v>
      </c>
      <c r="C4008" s="2" t="s">
        <v>28</v>
      </c>
      <c r="D4008" s="2" t="s">
        <v>29</v>
      </c>
      <c r="E4008" s="2">
        <v>269</v>
      </c>
      <c r="F4008" s="2">
        <v>159</v>
      </c>
      <c r="G4008" s="2">
        <v>440</v>
      </c>
      <c r="H4008" s="2">
        <v>1101</v>
      </c>
      <c r="I4008" s="2">
        <v>2433</v>
      </c>
      <c r="J4008" s="2">
        <v>1.48</v>
      </c>
      <c r="K4008" s="2">
        <v>4.3899999999999997</v>
      </c>
      <c r="L4008" s="2">
        <v>9.11</v>
      </c>
      <c r="M4008" s="2">
        <v>14.32</v>
      </c>
      <c r="N4008" s="2">
        <v>0.88434593100000003</v>
      </c>
      <c r="O4008" s="2">
        <v>1.5122768200000001</v>
      </c>
      <c r="P4008" s="2">
        <v>1.719443864</v>
      </c>
      <c r="Q4008" s="2">
        <v>1.566631812</v>
      </c>
      <c r="R4008" s="2">
        <v>9.5166666999999996E-2</v>
      </c>
      <c r="S4008" s="2">
        <v>0.175166667</v>
      </c>
      <c r="T4008" s="2">
        <v>1.7168082330000001</v>
      </c>
      <c r="U4008" s="2">
        <v>1.5568082329999999</v>
      </c>
      <c r="V4008" s="2">
        <v>1.256435398</v>
      </c>
      <c r="W4008" s="2">
        <v>1.177416915</v>
      </c>
      <c r="X4008">
        <f t="shared" si="186"/>
        <v>0</v>
      </c>
      <c r="Y4008">
        <f>IF(A4008="lecture",1,0)</f>
        <v>0</v>
      </c>
      <c r="Z4008">
        <f t="shared" si="187"/>
        <v>1</v>
      </c>
    </row>
    <row r="4009" spans="1:26" ht="15.75" customHeight="1" x14ac:dyDescent="0.2">
      <c r="A4009" s="2" t="s">
        <v>36</v>
      </c>
      <c r="B4009" s="2" t="s">
        <v>35</v>
      </c>
      <c r="C4009" s="2" t="s">
        <v>26</v>
      </c>
      <c r="D4009" s="2" t="s">
        <v>26</v>
      </c>
      <c r="E4009" s="2">
        <v>180</v>
      </c>
      <c r="F4009" s="2">
        <v>139</v>
      </c>
      <c r="G4009" s="2">
        <v>428</v>
      </c>
      <c r="H4009" s="2">
        <v>649</v>
      </c>
      <c r="I4009" s="2">
        <v>2728</v>
      </c>
      <c r="J4009" s="2">
        <v>1.24</v>
      </c>
      <c r="K4009" s="2">
        <v>4.2699999999999996</v>
      </c>
      <c r="L4009" s="2">
        <v>6.14</v>
      </c>
      <c r="M4009" s="2">
        <v>15.07</v>
      </c>
      <c r="N4009" s="2">
        <v>2.092000063</v>
      </c>
      <c r="O4009" s="2">
        <v>1.5019730920000001</v>
      </c>
      <c r="P4009" s="2">
        <v>4.690931161</v>
      </c>
      <c r="Q4009" s="2">
        <v>4.5313220369999998</v>
      </c>
      <c r="R4009" s="2">
        <v>1.7929638000000001E-2</v>
      </c>
      <c r="S4009" s="2">
        <v>6.2070361999999997E-2</v>
      </c>
      <c r="T4009" s="2">
        <v>4.6908968949999998</v>
      </c>
      <c r="U4009" s="2">
        <v>4.5308968949999997</v>
      </c>
      <c r="V4009" s="2">
        <v>1.143339093</v>
      </c>
      <c r="W4009" s="2">
        <v>1.0643206089999999</v>
      </c>
      <c r="X4009">
        <f t="shared" si="186"/>
        <v>0</v>
      </c>
      <c r="Y4009">
        <f>IF(A4009="lecture",1,0)</f>
        <v>0</v>
      </c>
      <c r="Z4009">
        <f t="shared" si="187"/>
        <v>0</v>
      </c>
    </row>
    <row r="4010" spans="1:26" ht="15.75" customHeight="1" x14ac:dyDescent="0.2">
      <c r="A4010" s="2" t="s">
        <v>36</v>
      </c>
      <c r="B4010" s="2" t="s">
        <v>35</v>
      </c>
      <c r="C4010" s="2" t="s">
        <v>30</v>
      </c>
      <c r="D4010" s="2" t="s">
        <v>31</v>
      </c>
      <c r="E4010" s="2">
        <v>200</v>
      </c>
      <c r="F4010" s="2">
        <v>144</v>
      </c>
      <c r="G4010" s="2">
        <v>610</v>
      </c>
      <c r="H4010" s="2">
        <v>1131</v>
      </c>
      <c r="I4010" s="2">
        <v>2300</v>
      </c>
      <c r="J4010" s="2">
        <v>1.3</v>
      </c>
      <c r="K4010" s="2">
        <v>5.83</v>
      </c>
      <c r="L4010" s="2">
        <v>9.2799999999999994</v>
      </c>
      <c r="M4010" s="2">
        <v>13.95</v>
      </c>
      <c r="N4010" s="2">
        <v>3.9216647490000001</v>
      </c>
      <c r="O4010" s="2">
        <v>3.8903001640000001</v>
      </c>
      <c r="P4010" s="2">
        <v>2.1869813539999998</v>
      </c>
      <c r="Q4010" s="2">
        <v>2.1365318449999999</v>
      </c>
      <c r="R4010" s="2">
        <v>1.540810741</v>
      </c>
      <c r="S4010" s="2">
        <v>1.6208107410000001</v>
      </c>
      <c r="T4010" s="2">
        <v>1.5520276099999999</v>
      </c>
      <c r="U4010" s="2">
        <v>1.39202761</v>
      </c>
      <c r="V4010" s="2">
        <v>2.7020794719999999</v>
      </c>
      <c r="W4010" s="2">
        <v>2.6230609889999998</v>
      </c>
      <c r="X4010">
        <f t="shared" si="186"/>
        <v>0</v>
      </c>
      <c r="Y4010">
        <f>IF(A4010="lecture",1,0)</f>
        <v>0</v>
      </c>
      <c r="Z4010">
        <f t="shared" si="187"/>
        <v>1</v>
      </c>
    </row>
    <row r="4011" spans="1:26" ht="15.75" customHeight="1" x14ac:dyDescent="0.2">
      <c r="A4011" s="2" t="s">
        <v>36</v>
      </c>
      <c r="B4011" s="2" t="s">
        <v>35</v>
      </c>
      <c r="C4011" s="2" t="s">
        <v>27</v>
      </c>
      <c r="D4011" s="2" t="s">
        <v>27</v>
      </c>
      <c r="E4011" s="2">
        <v>130</v>
      </c>
      <c r="F4011" s="2">
        <v>134</v>
      </c>
      <c r="G4011" s="2">
        <v>383</v>
      </c>
      <c r="H4011" s="2">
        <v>1931</v>
      </c>
      <c r="I4011" s="2">
        <v>2444</v>
      </c>
      <c r="J4011" s="2">
        <v>1.19</v>
      </c>
      <c r="K4011" s="2">
        <v>3.86</v>
      </c>
      <c r="L4011" s="2">
        <v>12.78</v>
      </c>
      <c r="M4011" s="2">
        <v>14.35</v>
      </c>
      <c r="N4011" s="2">
        <v>9.8145976999999995E-2</v>
      </c>
      <c r="O4011" s="2">
        <v>0.19640722399999999</v>
      </c>
      <c r="P4011" s="2">
        <v>1.992985907</v>
      </c>
      <c r="Q4011" s="2">
        <v>2.1346977960000002</v>
      </c>
      <c r="R4011" s="2">
        <v>0.434295875</v>
      </c>
      <c r="S4011" s="2">
        <v>0.35429587499999998</v>
      </c>
      <c r="T4011" s="2">
        <v>1.9450912359999999</v>
      </c>
      <c r="U4011" s="2">
        <v>2.1050912359999998</v>
      </c>
      <c r="V4011" s="2">
        <v>0.72697285599999995</v>
      </c>
      <c r="W4011" s="2">
        <v>0.64795437300000003</v>
      </c>
      <c r="X4011">
        <f t="shared" si="186"/>
        <v>0</v>
      </c>
      <c r="Y4011">
        <f>IF(A4011="lecture",1,0)</f>
        <v>0</v>
      </c>
      <c r="Z4011">
        <f t="shared" si="187"/>
        <v>0</v>
      </c>
    </row>
    <row r="4012" spans="1:26" ht="15.75" customHeight="1" x14ac:dyDescent="0.2">
      <c r="A4012" s="2" t="s">
        <v>36</v>
      </c>
      <c r="B4012" s="2" t="s">
        <v>35</v>
      </c>
      <c r="C4012" s="2" t="s">
        <v>30</v>
      </c>
      <c r="D4012" s="2" t="s">
        <v>31</v>
      </c>
      <c r="E4012" s="2">
        <v>184</v>
      </c>
      <c r="F4012" s="2">
        <v>130</v>
      </c>
      <c r="G4012" s="2">
        <v>608</v>
      </c>
      <c r="H4012" s="2">
        <v>1091</v>
      </c>
      <c r="I4012" s="2">
        <v>2510</v>
      </c>
      <c r="J4012" s="2">
        <v>1.1399999999999999</v>
      </c>
      <c r="K4012" s="2">
        <v>5.82</v>
      </c>
      <c r="L4012" s="2">
        <v>9.06</v>
      </c>
      <c r="M4012" s="2">
        <v>14.52</v>
      </c>
      <c r="N4012" s="2">
        <v>4.1086159799999997</v>
      </c>
      <c r="O4012" s="2">
        <v>4.0735155440000002</v>
      </c>
      <c r="P4012" s="2">
        <v>2.3403350289999998</v>
      </c>
      <c r="Q4012" s="2">
        <v>2.2773208980000001</v>
      </c>
      <c r="R4012" s="2">
        <v>1.527538941</v>
      </c>
      <c r="S4012" s="2">
        <v>1.6075389410000001</v>
      </c>
      <c r="T4012" s="2">
        <v>1.773074402</v>
      </c>
      <c r="U4012" s="2">
        <v>1.6130744020000001</v>
      </c>
      <c r="V4012" s="2">
        <v>2.6888076719999998</v>
      </c>
      <c r="W4012" s="2">
        <v>2.6097891889999998</v>
      </c>
      <c r="X4012">
        <f t="shared" si="186"/>
        <v>0</v>
      </c>
      <c r="Y4012">
        <f>IF(A4012="lecture",1,0)</f>
        <v>0</v>
      </c>
      <c r="Z4012">
        <f t="shared" si="187"/>
        <v>1</v>
      </c>
    </row>
    <row r="4013" spans="1:26" ht="15.75" customHeight="1" x14ac:dyDescent="0.2">
      <c r="A4013" s="2" t="s">
        <v>36</v>
      </c>
      <c r="B4013" s="2" t="s">
        <v>35</v>
      </c>
      <c r="C4013" s="2" t="s">
        <v>26</v>
      </c>
      <c r="D4013" s="2" t="s">
        <v>26</v>
      </c>
      <c r="E4013" s="2">
        <v>229</v>
      </c>
      <c r="F4013" s="2">
        <v>169</v>
      </c>
      <c r="G4013" s="2">
        <v>390</v>
      </c>
      <c r="H4013" s="2">
        <v>836</v>
      </c>
      <c r="I4013" s="2">
        <v>2574</v>
      </c>
      <c r="J4013" s="2">
        <v>1.6</v>
      </c>
      <c r="K4013" s="2">
        <v>3.92</v>
      </c>
      <c r="L4013" s="2">
        <v>7.48</v>
      </c>
      <c r="M4013" s="2">
        <v>14.69</v>
      </c>
      <c r="N4013" s="2">
        <v>0.85496392700000001</v>
      </c>
      <c r="O4013" s="2">
        <v>0.222264498</v>
      </c>
      <c r="P4013" s="2">
        <v>3.3662109450000002</v>
      </c>
      <c r="Q4013" s="2">
        <v>3.1990351750000001</v>
      </c>
      <c r="R4013" s="2">
        <v>0.36750957299999998</v>
      </c>
      <c r="S4013" s="2">
        <v>0.28750957300000002</v>
      </c>
      <c r="T4013" s="2">
        <v>3.3460891859999999</v>
      </c>
      <c r="U4013" s="2">
        <v>3.1860891859999998</v>
      </c>
      <c r="V4013" s="2">
        <v>0.79375915799999996</v>
      </c>
      <c r="W4013" s="2">
        <v>0.71474067500000005</v>
      </c>
      <c r="X4013">
        <f t="shared" si="186"/>
        <v>0</v>
      </c>
      <c r="Y4013">
        <f>IF(A4013="lecture",1,0)</f>
        <v>0</v>
      </c>
      <c r="Z4013">
        <f t="shared" si="187"/>
        <v>0</v>
      </c>
    </row>
    <row r="4014" spans="1:26" ht="15.75" customHeight="1" x14ac:dyDescent="0.2">
      <c r="A4014" s="2" t="s">
        <v>36</v>
      </c>
      <c r="B4014" s="2" t="s">
        <v>35</v>
      </c>
      <c r="C4014" s="2" t="s">
        <v>26</v>
      </c>
      <c r="D4014" s="2" t="s">
        <v>26</v>
      </c>
      <c r="E4014" s="2">
        <v>170</v>
      </c>
      <c r="F4014" s="2">
        <v>141</v>
      </c>
      <c r="G4014" s="2">
        <v>485</v>
      </c>
      <c r="H4014" s="2">
        <v>1250</v>
      </c>
      <c r="I4014" s="2">
        <v>2885</v>
      </c>
      <c r="J4014" s="2">
        <v>1.27</v>
      </c>
      <c r="K4014" s="2">
        <v>4.79</v>
      </c>
      <c r="L4014" s="2">
        <v>9.91</v>
      </c>
      <c r="M4014" s="2">
        <v>15.43</v>
      </c>
      <c r="N4014" s="2">
        <v>1.7387735019999999</v>
      </c>
      <c r="O4014" s="2">
        <v>2.3845209590000001</v>
      </c>
      <c r="P4014" s="2">
        <v>1.0461764680000001</v>
      </c>
      <c r="Q4014" s="2">
        <v>0.95488084100000004</v>
      </c>
      <c r="R4014" s="2">
        <v>0.498139059</v>
      </c>
      <c r="S4014" s="2">
        <v>0.57813905899999996</v>
      </c>
      <c r="T4014" s="2">
        <v>0.91996884700000003</v>
      </c>
      <c r="U4014" s="2">
        <v>0.759968847</v>
      </c>
      <c r="V4014" s="2">
        <v>1.6594077899999999</v>
      </c>
      <c r="W4014" s="2">
        <v>1.5803893069999999</v>
      </c>
      <c r="X4014">
        <f t="shared" si="186"/>
        <v>0</v>
      </c>
      <c r="Y4014">
        <f>IF(A4014="lecture",1,0)</f>
        <v>0</v>
      </c>
      <c r="Z4014">
        <f t="shared" si="187"/>
        <v>0</v>
      </c>
    </row>
    <row r="4015" spans="1:26" ht="15.75" customHeight="1" x14ac:dyDescent="0.2">
      <c r="A4015" s="2" t="s">
        <v>36</v>
      </c>
      <c r="B4015" s="2" t="s">
        <v>35</v>
      </c>
      <c r="C4015" s="2" t="s">
        <v>26</v>
      </c>
      <c r="D4015" s="2" t="s">
        <v>26</v>
      </c>
      <c r="E4015" s="2">
        <v>184</v>
      </c>
      <c r="F4015" s="2">
        <v>161</v>
      </c>
      <c r="G4015" s="2">
        <v>464</v>
      </c>
      <c r="H4015" s="2">
        <v>727</v>
      </c>
      <c r="I4015" s="2">
        <v>2599</v>
      </c>
      <c r="J4015" s="2">
        <v>1.5</v>
      </c>
      <c r="K4015" s="2">
        <v>4.5999999999999996</v>
      </c>
      <c r="L4015" s="2">
        <v>6.72</v>
      </c>
      <c r="M4015" s="2">
        <v>14.75</v>
      </c>
      <c r="N4015" s="2">
        <v>1.5283334959999999</v>
      </c>
      <c r="O4015" s="2">
        <v>1.03937755</v>
      </c>
      <c r="P4015" s="2">
        <v>4.1178410830000001</v>
      </c>
      <c r="Q4015" s="2">
        <v>3.9653568460000002</v>
      </c>
      <c r="R4015" s="2">
        <v>0.30896575399999998</v>
      </c>
      <c r="S4015" s="2">
        <v>0.388965754</v>
      </c>
      <c r="T4015" s="2">
        <v>4.1062337180000004</v>
      </c>
      <c r="U4015" s="2">
        <v>3.9462337179999998</v>
      </c>
      <c r="V4015" s="2">
        <v>1.470234485</v>
      </c>
      <c r="W4015" s="2">
        <v>1.391216002</v>
      </c>
      <c r="X4015">
        <f t="shared" si="186"/>
        <v>0</v>
      </c>
      <c r="Y4015">
        <f>IF(A4015="lecture",1,0)</f>
        <v>0</v>
      </c>
      <c r="Z4015">
        <f t="shared" si="187"/>
        <v>0</v>
      </c>
    </row>
    <row r="4016" spans="1:26" ht="15.75" customHeight="1" x14ac:dyDescent="0.2">
      <c r="A4016" s="2" t="s">
        <v>36</v>
      </c>
      <c r="B4016" s="2" t="s">
        <v>35</v>
      </c>
      <c r="C4016" s="2" t="s">
        <v>25</v>
      </c>
      <c r="D4016" s="2" t="s">
        <v>25</v>
      </c>
      <c r="E4016" s="2">
        <v>134</v>
      </c>
      <c r="F4016" s="2">
        <v>136</v>
      </c>
      <c r="G4016" s="2">
        <v>599</v>
      </c>
      <c r="H4016" s="2">
        <v>1318</v>
      </c>
      <c r="I4016" s="2">
        <v>2424</v>
      </c>
      <c r="J4016" s="2">
        <v>1.21</v>
      </c>
      <c r="K4016" s="2">
        <v>5.75</v>
      </c>
      <c r="L4016" s="2">
        <v>10.25</v>
      </c>
      <c r="M4016" s="2">
        <v>14.29</v>
      </c>
      <c r="N4016" s="2">
        <v>0.39996152600000001</v>
      </c>
      <c r="O4016" s="2">
        <v>0.19549317099999999</v>
      </c>
      <c r="P4016" s="2">
        <v>1.5670154119999999</v>
      </c>
      <c r="Q4016" s="2">
        <v>1.5920759710000001</v>
      </c>
      <c r="R4016" s="2">
        <v>1.4555724889999999</v>
      </c>
      <c r="S4016" s="2">
        <v>1.535572489</v>
      </c>
      <c r="T4016" s="2">
        <v>0.580384381</v>
      </c>
      <c r="U4016" s="2">
        <v>0.42038438099999997</v>
      </c>
      <c r="V4016" s="2">
        <v>2.61684122</v>
      </c>
      <c r="W4016" s="2">
        <v>2.5378227369999999</v>
      </c>
      <c r="X4016">
        <f t="shared" si="186"/>
        <v>0</v>
      </c>
      <c r="Y4016">
        <f>IF(A4016="lecture",1,0)</f>
        <v>0</v>
      </c>
      <c r="Z4016">
        <f t="shared" si="187"/>
        <v>0</v>
      </c>
    </row>
    <row r="4017" spans="1:26" ht="15.75" customHeight="1" x14ac:dyDescent="0.2">
      <c r="A4017" s="2" t="s">
        <v>36</v>
      </c>
      <c r="B4017" s="2" t="s">
        <v>35</v>
      </c>
      <c r="C4017" s="2" t="s">
        <v>25</v>
      </c>
      <c r="D4017" s="2" t="s">
        <v>25</v>
      </c>
      <c r="E4017" s="2">
        <v>179</v>
      </c>
      <c r="F4017" s="2">
        <v>122</v>
      </c>
      <c r="G4017" s="2">
        <v>614</v>
      </c>
      <c r="H4017" s="2">
        <v>1285</v>
      </c>
      <c r="I4017" s="2">
        <v>2406</v>
      </c>
      <c r="J4017" s="2">
        <v>1.04</v>
      </c>
      <c r="K4017" s="2">
        <v>5.87</v>
      </c>
      <c r="L4017" s="2">
        <v>10.08</v>
      </c>
      <c r="M4017" s="2">
        <v>14.24</v>
      </c>
      <c r="N4017" s="2">
        <v>0.38178831299999999</v>
      </c>
      <c r="O4017" s="2">
        <v>0.19959954999999999</v>
      </c>
      <c r="P4017" s="2">
        <v>1.742555343</v>
      </c>
      <c r="Q4017" s="2">
        <v>1.7555953449999999</v>
      </c>
      <c r="R4017" s="2">
        <v>1.5752369850000001</v>
      </c>
      <c r="S4017" s="2">
        <v>1.6552369849999999</v>
      </c>
      <c r="T4017" s="2">
        <v>0.74506883099999999</v>
      </c>
      <c r="U4017" s="2">
        <v>0.58506883099999996</v>
      </c>
      <c r="V4017" s="2">
        <v>2.7365057159999999</v>
      </c>
      <c r="W4017" s="2">
        <v>2.6574872329999999</v>
      </c>
      <c r="X4017">
        <f t="shared" si="186"/>
        <v>0</v>
      </c>
      <c r="Y4017">
        <f>IF(A4017="lecture",1,0)</f>
        <v>0</v>
      </c>
      <c r="Z4017">
        <f t="shared" si="187"/>
        <v>0</v>
      </c>
    </row>
    <row r="4018" spans="1:26" ht="15.75" customHeight="1" x14ac:dyDescent="0.2">
      <c r="A4018" s="2" t="s">
        <v>36</v>
      </c>
      <c r="B4018" s="2" t="s">
        <v>35</v>
      </c>
      <c r="C4018" s="2" t="s">
        <v>25</v>
      </c>
      <c r="D4018" s="2" t="s">
        <v>25</v>
      </c>
      <c r="E4018" s="2">
        <v>162</v>
      </c>
      <c r="F4018" s="2">
        <v>140</v>
      </c>
      <c r="G4018" s="2">
        <v>693</v>
      </c>
      <c r="H4018" s="2">
        <v>1352</v>
      </c>
      <c r="I4018" s="2">
        <v>2474</v>
      </c>
      <c r="J4018" s="2">
        <v>1.25</v>
      </c>
      <c r="K4018" s="2">
        <v>6.47</v>
      </c>
      <c r="L4018" s="2">
        <v>10.42</v>
      </c>
      <c r="M4018" s="2">
        <v>14.43</v>
      </c>
      <c r="N4018" s="2">
        <v>0.34518682000000001</v>
      </c>
      <c r="O4018" s="2">
        <v>0.55030978399999997</v>
      </c>
      <c r="P4018" s="2">
        <v>2.219644218</v>
      </c>
      <c r="Q4018" s="2">
        <v>2.2749005969999998</v>
      </c>
      <c r="R4018" s="2">
        <v>2.1806509169999999</v>
      </c>
      <c r="S4018" s="2">
        <v>2.260650917</v>
      </c>
      <c r="T4018" s="2">
        <v>0.41422461500000002</v>
      </c>
      <c r="U4018" s="2">
        <v>0.25422461499999999</v>
      </c>
      <c r="V4018" s="2">
        <v>3.3419196480000002</v>
      </c>
      <c r="W4018" s="2">
        <v>3.2629011650000002</v>
      </c>
      <c r="X4018">
        <f t="shared" si="186"/>
        <v>0</v>
      </c>
      <c r="Y4018">
        <f>IF(A4018="lecture",1,0)</f>
        <v>0</v>
      </c>
      <c r="Z4018">
        <f t="shared" si="187"/>
        <v>0</v>
      </c>
    </row>
    <row r="4019" spans="1:26" ht="15.75" customHeight="1" x14ac:dyDescent="0.2">
      <c r="A4019" s="2" t="s">
        <v>36</v>
      </c>
      <c r="B4019" s="2" t="s">
        <v>35</v>
      </c>
      <c r="C4019" s="2" t="s">
        <v>28</v>
      </c>
      <c r="D4019" s="2" t="s">
        <v>29</v>
      </c>
      <c r="E4019" s="2">
        <v>132</v>
      </c>
      <c r="F4019" s="2">
        <v>125</v>
      </c>
      <c r="G4019" s="2">
        <v>479</v>
      </c>
      <c r="H4019" s="2">
        <v>1444</v>
      </c>
      <c r="I4019" s="2">
        <v>2757</v>
      </c>
      <c r="J4019" s="2">
        <v>1.07</v>
      </c>
      <c r="K4019" s="2">
        <v>4.74</v>
      </c>
      <c r="L4019" s="2">
        <v>10.84</v>
      </c>
      <c r="M4019" s="2">
        <v>15.14</v>
      </c>
      <c r="N4019" s="2">
        <v>2.6416593490000002</v>
      </c>
      <c r="O4019" s="2">
        <v>3.2762383819999998</v>
      </c>
      <c r="P4019" s="2">
        <v>0.44835943900000003</v>
      </c>
      <c r="Q4019" s="2">
        <v>0.55534812600000005</v>
      </c>
      <c r="R4019" s="2">
        <v>0.448212626</v>
      </c>
      <c r="S4019" s="2">
        <v>0.52821262599999996</v>
      </c>
      <c r="T4019" s="2">
        <v>1.1472921000000001E-2</v>
      </c>
      <c r="U4019" s="2">
        <v>0.171472921</v>
      </c>
      <c r="V4019" s="2">
        <v>1.6094813569999999</v>
      </c>
      <c r="W4019" s="2">
        <v>1.5304628739999999</v>
      </c>
      <c r="X4019">
        <f t="shared" si="186"/>
        <v>0</v>
      </c>
      <c r="Y4019">
        <f>IF(A4019="lecture",1,0)</f>
        <v>0</v>
      </c>
      <c r="Z4019">
        <f t="shared" si="187"/>
        <v>1</v>
      </c>
    </row>
    <row r="4020" spans="1:26" ht="15.75" customHeight="1" x14ac:dyDescent="0.2">
      <c r="A4020" s="2" t="s">
        <v>36</v>
      </c>
      <c r="B4020" s="2" t="s">
        <v>35</v>
      </c>
      <c r="C4020" s="2" t="s">
        <v>30</v>
      </c>
      <c r="D4020" s="2" t="s">
        <v>31</v>
      </c>
      <c r="E4020" s="2">
        <v>190</v>
      </c>
      <c r="F4020" s="2">
        <v>138</v>
      </c>
      <c r="G4020" s="2">
        <v>594</v>
      </c>
      <c r="H4020" s="2">
        <v>1075</v>
      </c>
      <c r="I4020" s="2">
        <v>2257</v>
      </c>
      <c r="J4020" s="2">
        <v>1.23</v>
      </c>
      <c r="K4020" s="2">
        <v>5.71</v>
      </c>
      <c r="L4020" s="2">
        <v>8.9600000000000009</v>
      </c>
      <c r="M4020" s="2">
        <v>13.82</v>
      </c>
      <c r="N4020" s="2">
        <v>4.1399219709999997</v>
      </c>
      <c r="O4020" s="2">
        <v>4.1005952849999998</v>
      </c>
      <c r="P4020" s="2">
        <v>2.3418769730000002</v>
      </c>
      <c r="Q4020" s="2">
        <v>2.268435545</v>
      </c>
      <c r="R4020" s="2">
        <v>1.4153719659999999</v>
      </c>
      <c r="S4020" s="2">
        <v>1.495371966</v>
      </c>
      <c r="T4020" s="2">
        <v>1.865773286</v>
      </c>
      <c r="U4020" s="2">
        <v>1.7057732860000001</v>
      </c>
      <c r="V4020" s="2">
        <v>2.5766406970000002</v>
      </c>
      <c r="W4020" s="2">
        <v>2.4976222130000001</v>
      </c>
      <c r="X4020">
        <f t="shared" si="186"/>
        <v>0</v>
      </c>
      <c r="Y4020">
        <f>IF(A4020="lecture",1,0)</f>
        <v>0</v>
      </c>
      <c r="Z4020">
        <f t="shared" si="187"/>
        <v>1</v>
      </c>
    </row>
    <row r="4021" spans="1:26" ht="15.75" customHeight="1" x14ac:dyDescent="0.2">
      <c r="A4021" s="2" t="s">
        <v>36</v>
      </c>
      <c r="B4021" s="2" t="s">
        <v>35</v>
      </c>
      <c r="C4021" s="2" t="s">
        <v>32</v>
      </c>
      <c r="D4021" s="2" t="s">
        <v>33</v>
      </c>
      <c r="E4021" s="2">
        <v>160</v>
      </c>
      <c r="F4021" s="2">
        <v>114</v>
      </c>
      <c r="G4021" s="2">
        <v>632</v>
      </c>
      <c r="H4021" s="2">
        <v>865</v>
      </c>
      <c r="I4021" s="2">
        <v>2428</v>
      </c>
      <c r="J4021" s="2">
        <v>0.94</v>
      </c>
      <c r="K4021" s="2">
        <v>6.01</v>
      </c>
      <c r="L4021" s="2">
        <v>7.68</v>
      </c>
      <c r="M4021" s="2">
        <v>14.31</v>
      </c>
      <c r="N4021" s="2">
        <v>2.685932947</v>
      </c>
      <c r="O4021" s="2">
        <v>2.5939809880000002</v>
      </c>
      <c r="P4021" s="2">
        <v>3.590299012</v>
      </c>
      <c r="Q4021" s="2">
        <v>3.491127476</v>
      </c>
      <c r="R4021" s="2">
        <v>1.7170061729999999</v>
      </c>
      <c r="S4021" s="2">
        <v>1.797006173</v>
      </c>
      <c r="T4021" s="2">
        <v>3.153115412</v>
      </c>
      <c r="U4021" s="2">
        <v>2.9931154119999999</v>
      </c>
      <c r="V4021" s="2">
        <v>2.878274904</v>
      </c>
      <c r="W4021" s="2">
        <v>2.7992564209999999</v>
      </c>
      <c r="X4021">
        <f t="shared" si="186"/>
        <v>0</v>
      </c>
      <c r="Y4021">
        <f>IF(A4021="lecture",1,0)</f>
        <v>0</v>
      </c>
      <c r="Z4021">
        <f t="shared" si="187"/>
        <v>1</v>
      </c>
    </row>
    <row r="4022" spans="1:26" ht="15.75" customHeight="1" x14ac:dyDescent="0.2">
      <c r="A4022" s="2" t="s">
        <v>36</v>
      </c>
      <c r="B4022" s="2" t="s">
        <v>35</v>
      </c>
      <c r="C4022" s="2" t="s">
        <v>26</v>
      </c>
      <c r="D4022" s="2" t="s">
        <v>26</v>
      </c>
      <c r="E4022" s="2">
        <v>180</v>
      </c>
      <c r="F4022" s="2">
        <v>136</v>
      </c>
      <c r="G4022" s="2">
        <v>363</v>
      </c>
      <c r="H4022" s="2">
        <v>841</v>
      </c>
      <c r="I4022" s="2">
        <v>2601</v>
      </c>
      <c r="J4022" s="2">
        <v>1.21</v>
      </c>
      <c r="K4022" s="2">
        <v>3.66</v>
      </c>
      <c r="L4022" s="2">
        <v>7.52</v>
      </c>
      <c r="M4022" s="2">
        <v>14.76</v>
      </c>
      <c r="N4022" s="2">
        <v>0.98372291499999998</v>
      </c>
      <c r="O4022" s="2">
        <v>0.44448001300000001</v>
      </c>
      <c r="P4022" s="2">
        <v>3.369823813</v>
      </c>
      <c r="Q4022" s="2">
        <v>3.1980500730000001</v>
      </c>
      <c r="R4022" s="2">
        <v>0.63057684000000003</v>
      </c>
      <c r="S4022" s="2">
        <v>0.55057683999999996</v>
      </c>
      <c r="T4022" s="2">
        <v>3.3102998929999998</v>
      </c>
      <c r="U4022" s="2">
        <v>3.1502998930000001</v>
      </c>
      <c r="V4022" s="2">
        <v>0.53069189100000003</v>
      </c>
      <c r="W4022" s="2">
        <v>0.451673408</v>
      </c>
      <c r="X4022">
        <f t="shared" si="186"/>
        <v>0</v>
      </c>
      <c r="Y4022">
        <f>IF(A4022="lecture",1,0)</f>
        <v>0</v>
      </c>
      <c r="Z4022">
        <f t="shared" si="187"/>
        <v>0</v>
      </c>
    </row>
    <row r="4023" spans="1:26" ht="15.75" customHeight="1" x14ac:dyDescent="0.2">
      <c r="A4023" s="2" t="s">
        <v>36</v>
      </c>
      <c r="B4023" s="2" t="s">
        <v>35</v>
      </c>
      <c r="C4023" s="2" t="s">
        <v>32</v>
      </c>
      <c r="D4023" s="2" t="s">
        <v>33</v>
      </c>
      <c r="E4023" s="2">
        <v>110</v>
      </c>
      <c r="F4023" s="2">
        <v>132</v>
      </c>
      <c r="G4023" s="2">
        <v>609</v>
      </c>
      <c r="H4023" s="2">
        <v>823</v>
      </c>
      <c r="I4023" s="2">
        <v>2267</v>
      </c>
      <c r="J4023" s="2">
        <v>1.17</v>
      </c>
      <c r="K4023" s="2">
        <v>5.83</v>
      </c>
      <c r="L4023" s="2">
        <v>7.4</v>
      </c>
      <c r="M4023" s="2">
        <v>13.85</v>
      </c>
      <c r="N4023" s="2">
        <v>2.9795004550000002</v>
      </c>
      <c r="O4023" s="2">
        <v>2.8761801839999999</v>
      </c>
      <c r="P4023" s="2">
        <v>3.7615747119999998</v>
      </c>
      <c r="Q4023" s="2">
        <v>3.6507912650000001</v>
      </c>
      <c r="R4023" s="2">
        <v>1.5355040870000001</v>
      </c>
      <c r="S4023" s="2">
        <v>1.6155040869999999</v>
      </c>
      <c r="T4023" s="2">
        <v>3.4339003350000001</v>
      </c>
      <c r="U4023" s="2">
        <v>3.273900335</v>
      </c>
      <c r="V4023" s="2">
        <v>2.6967728179999999</v>
      </c>
      <c r="W4023" s="2">
        <v>2.6177543349999999</v>
      </c>
      <c r="X4023">
        <f t="shared" si="186"/>
        <v>0</v>
      </c>
      <c r="Y4023">
        <f>IF(A4023="lecture",1,0)</f>
        <v>0</v>
      </c>
      <c r="Z4023">
        <f t="shared" si="187"/>
        <v>1</v>
      </c>
    </row>
    <row r="4024" spans="1:26" ht="15.75" customHeight="1" x14ac:dyDescent="0.2">
      <c r="A4024" s="2" t="s">
        <v>36</v>
      </c>
      <c r="B4024" s="2" t="s">
        <v>35</v>
      </c>
      <c r="C4024" s="2" t="s">
        <v>28</v>
      </c>
      <c r="D4024" s="2" t="s">
        <v>29</v>
      </c>
      <c r="E4024" s="2">
        <v>170</v>
      </c>
      <c r="F4024" s="2">
        <v>153</v>
      </c>
      <c r="G4024" s="2">
        <v>404</v>
      </c>
      <c r="H4024" s="2">
        <v>1587</v>
      </c>
      <c r="I4024" s="2">
        <v>2555</v>
      </c>
      <c r="J4024" s="2">
        <v>1.42</v>
      </c>
      <c r="K4024" s="2">
        <v>4.05</v>
      </c>
      <c r="L4024" s="2">
        <v>11.47</v>
      </c>
      <c r="M4024" s="2">
        <v>14.64</v>
      </c>
      <c r="N4024" s="2">
        <v>3.2492657920000001</v>
      </c>
      <c r="O4024" s="2">
        <v>3.8368925819999999</v>
      </c>
      <c r="P4024" s="2">
        <v>0.67875651199999998</v>
      </c>
      <c r="Q4024" s="2">
        <v>0.81169258099999997</v>
      </c>
      <c r="R4024" s="2">
        <v>0.235123361</v>
      </c>
      <c r="S4024" s="2">
        <v>0.15512336099999999</v>
      </c>
      <c r="T4024" s="2">
        <v>0.63673181700000003</v>
      </c>
      <c r="U4024" s="2">
        <v>0.79673181699999995</v>
      </c>
      <c r="V4024" s="2">
        <v>0.92614536999999997</v>
      </c>
      <c r="W4024" s="2">
        <v>0.84712688700000005</v>
      </c>
      <c r="X4024">
        <f t="shared" si="186"/>
        <v>0</v>
      </c>
      <c r="Y4024">
        <f>IF(A4024="lecture",1,0)</f>
        <v>0</v>
      </c>
      <c r="Z4024">
        <f t="shared" si="187"/>
        <v>1</v>
      </c>
    </row>
    <row r="4025" spans="1:26" ht="15.75" customHeight="1" x14ac:dyDescent="0.2">
      <c r="A4025" s="2" t="s">
        <v>36</v>
      </c>
      <c r="B4025" s="2" t="s">
        <v>35</v>
      </c>
      <c r="C4025" s="2" t="s">
        <v>32</v>
      </c>
      <c r="D4025" s="2" t="s">
        <v>33</v>
      </c>
      <c r="E4025" s="2">
        <v>181</v>
      </c>
      <c r="F4025" s="2">
        <v>142</v>
      </c>
      <c r="G4025" s="2">
        <v>625</v>
      </c>
      <c r="H4025" s="2">
        <v>881</v>
      </c>
      <c r="I4025" s="2">
        <v>2461</v>
      </c>
      <c r="J4025" s="2">
        <v>1.28</v>
      </c>
      <c r="K4025" s="2">
        <v>5.95</v>
      </c>
      <c r="L4025" s="2">
        <v>7.79</v>
      </c>
      <c r="M4025" s="2">
        <v>14.39</v>
      </c>
      <c r="N4025" s="2">
        <v>2.5799538790000001</v>
      </c>
      <c r="O4025" s="2">
        <v>2.4840371000000001</v>
      </c>
      <c r="P4025" s="2">
        <v>3.469469621</v>
      </c>
      <c r="Q4025" s="2">
        <v>3.370682161</v>
      </c>
      <c r="R4025" s="2">
        <v>1.6647292419999999</v>
      </c>
      <c r="S4025" s="2">
        <v>1.744729242</v>
      </c>
      <c r="T4025" s="2">
        <v>3.04399343</v>
      </c>
      <c r="U4025" s="2">
        <v>2.8839934299999999</v>
      </c>
      <c r="V4025" s="2">
        <v>2.8259979730000002</v>
      </c>
      <c r="W4025" s="2">
        <v>2.7469794900000002</v>
      </c>
      <c r="X4025">
        <f t="shared" si="186"/>
        <v>0</v>
      </c>
      <c r="Y4025">
        <f>IF(A4025="lecture",1,0)</f>
        <v>0</v>
      </c>
      <c r="Z4025">
        <f t="shared" si="187"/>
        <v>1</v>
      </c>
    </row>
    <row r="4026" spans="1:26" ht="15.75" customHeight="1" x14ac:dyDescent="0.2">
      <c r="A4026" s="2" t="s">
        <v>36</v>
      </c>
      <c r="B4026" s="2" t="s">
        <v>35</v>
      </c>
      <c r="C4026" s="2" t="s">
        <v>25</v>
      </c>
      <c r="D4026" s="2" t="s">
        <v>25</v>
      </c>
      <c r="E4026" s="2">
        <v>211</v>
      </c>
      <c r="F4026" s="2">
        <v>130</v>
      </c>
      <c r="G4026" s="2">
        <v>630</v>
      </c>
      <c r="H4026" s="2">
        <v>1454</v>
      </c>
      <c r="I4026" s="2">
        <v>2460</v>
      </c>
      <c r="J4026" s="2">
        <v>1.1299999999999999</v>
      </c>
      <c r="K4026" s="2">
        <v>5.99</v>
      </c>
      <c r="L4026" s="2">
        <v>10.89</v>
      </c>
      <c r="M4026" s="2">
        <v>14.39</v>
      </c>
      <c r="N4026" s="2">
        <v>0.54543848500000003</v>
      </c>
      <c r="O4026" s="2">
        <v>0.62055220499999997</v>
      </c>
      <c r="P4026" s="2">
        <v>1.7049558600000001</v>
      </c>
      <c r="Q4026" s="2">
        <v>1.7972570539999999</v>
      </c>
      <c r="R4026" s="2">
        <v>1.703962167</v>
      </c>
      <c r="S4026" s="2">
        <v>1.7839621670000001</v>
      </c>
      <c r="T4026" s="2">
        <v>5.8201522999999998E-2</v>
      </c>
      <c r="U4026" s="2">
        <v>0.21820152300000001</v>
      </c>
      <c r="V4026" s="2">
        <v>2.8652308980000001</v>
      </c>
      <c r="W4026" s="2">
        <v>2.7862124150000001</v>
      </c>
      <c r="X4026">
        <f t="shared" si="186"/>
        <v>0</v>
      </c>
      <c r="Y4026">
        <f>IF(A4026="lecture",1,0)</f>
        <v>0</v>
      </c>
      <c r="Z4026">
        <f t="shared" si="187"/>
        <v>0</v>
      </c>
    </row>
    <row r="4027" spans="1:26" ht="15.75" customHeight="1" x14ac:dyDescent="0.2">
      <c r="A4027" s="2" t="s">
        <v>36</v>
      </c>
      <c r="B4027" s="2" t="s">
        <v>35</v>
      </c>
      <c r="C4027" s="2" t="s">
        <v>27</v>
      </c>
      <c r="D4027" s="2" t="s">
        <v>27</v>
      </c>
      <c r="E4027" s="2">
        <v>216</v>
      </c>
      <c r="F4027" s="2">
        <v>135</v>
      </c>
      <c r="G4027" s="2">
        <v>382</v>
      </c>
      <c r="H4027" s="2">
        <v>1878</v>
      </c>
      <c r="I4027" s="2">
        <v>2523</v>
      </c>
      <c r="J4027" s="2">
        <v>1.2</v>
      </c>
      <c r="K4027" s="2">
        <v>3.84</v>
      </c>
      <c r="L4027" s="2">
        <v>12.59</v>
      </c>
      <c r="M4027" s="2">
        <v>14.56</v>
      </c>
      <c r="N4027" s="2">
        <v>9.9874160000000003E-2</v>
      </c>
      <c r="O4027" s="2">
        <v>4.9763518999999999E-2</v>
      </c>
      <c r="P4027" s="2">
        <v>1.815323222</v>
      </c>
      <c r="Q4027" s="2">
        <v>1.953998167</v>
      </c>
      <c r="R4027" s="2">
        <v>0.45025622799999998</v>
      </c>
      <c r="S4027" s="2">
        <v>0.37025622800000002</v>
      </c>
      <c r="T4027" s="2">
        <v>1.7585982280000001</v>
      </c>
      <c r="U4027" s="2">
        <v>1.918598228</v>
      </c>
      <c r="V4027" s="2">
        <v>0.71101250299999996</v>
      </c>
      <c r="W4027" s="2">
        <v>0.63199402000000005</v>
      </c>
      <c r="X4027">
        <f t="shared" si="186"/>
        <v>0</v>
      </c>
      <c r="Y4027">
        <f>IF(A4027="lecture",1,0)</f>
        <v>0</v>
      </c>
      <c r="Z4027">
        <f t="shared" si="187"/>
        <v>0</v>
      </c>
    </row>
    <row r="4028" spans="1:26" ht="15.75" customHeight="1" x14ac:dyDescent="0.2">
      <c r="A4028" s="2" t="s">
        <v>36</v>
      </c>
      <c r="B4028" s="2" t="s">
        <v>35</v>
      </c>
      <c r="C4028" s="2" t="s">
        <v>30</v>
      </c>
      <c r="D4028" s="2" t="s">
        <v>31</v>
      </c>
      <c r="E4028" s="2">
        <v>160</v>
      </c>
      <c r="F4028" s="2">
        <v>133</v>
      </c>
      <c r="G4028" s="2">
        <v>591</v>
      </c>
      <c r="H4028" s="2">
        <v>1093</v>
      </c>
      <c r="I4028" s="2">
        <v>2315</v>
      </c>
      <c r="J4028" s="2">
        <v>1.17</v>
      </c>
      <c r="K4028" s="2">
        <v>5.68</v>
      </c>
      <c r="L4028" s="2">
        <v>9.07</v>
      </c>
      <c r="M4028" s="2">
        <v>13.99</v>
      </c>
      <c r="N4028" s="2">
        <v>4.0359972940000004</v>
      </c>
      <c r="O4028" s="2">
        <v>3.9974446010000002</v>
      </c>
      <c r="P4028" s="2">
        <v>2.2448342060000002</v>
      </c>
      <c r="Q4028" s="2">
        <v>2.1748782580000001</v>
      </c>
      <c r="R4028" s="2">
        <v>1.391176009</v>
      </c>
      <c r="S4028" s="2">
        <v>1.4711760089999999</v>
      </c>
      <c r="T4028" s="2">
        <v>1.76179168</v>
      </c>
      <c r="U4028" s="2">
        <v>1.6017916800000001</v>
      </c>
      <c r="V4028" s="2">
        <v>2.5524447399999999</v>
      </c>
      <c r="W4028" s="2">
        <v>2.4734262569999999</v>
      </c>
      <c r="X4028">
        <f t="shared" si="186"/>
        <v>0</v>
      </c>
      <c r="Y4028">
        <f>IF(A4028="lecture",1,0)</f>
        <v>0</v>
      </c>
      <c r="Z4028">
        <f t="shared" si="187"/>
        <v>1</v>
      </c>
    </row>
    <row r="4029" spans="1:26" ht="15.75" customHeight="1" x14ac:dyDescent="0.2">
      <c r="A4029" s="2" t="s">
        <v>36</v>
      </c>
      <c r="B4029" s="2" t="s">
        <v>35</v>
      </c>
      <c r="C4029" s="2" t="s">
        <v>25</v>
      </c>
      <c r="D4029" s="2" t="s">
        <v>25</v>
      </c>
      <c r="E4029" s="2">
        <v>184</v>
      </c>
      <c r="F4029" s="2">
        <v>135</v>
      </c>
      <c r="G4029" s="2">
        <v>617</v>
      </c>
      <c r="H4029" s="2">
        <v>1230</v>
      </c>
      <c r="I4029" s="2">
        <v>2449</v>
      </c>
      <c r="J4029" s="2">
        <v>1.2</v>
      </c>
      <c r="K4029" s="2">
        <v>5.89</v>
      </c>
      <c r="L4029" s="2">
        <v>9.81</v>
      </c>
      <c r="M4029" s="2">
        <v>14.36</v>
      </c>
      <c r="N4029" s="2">
        <v>0.60128972300000005</v>
      </c>
      <c r="O4029" s="2">
        <v>0.463693672</v>
      </c>
      <c r="P4029" s="2">
        <v>1.89710497</v>
      </c>
      <c r="Q4029" s="2">
        <v>1.886840176</v>
      </c>
      <c r="R4029" s="2">
        <v>1.599002716</v>
      </c>
      <c r="S4029" s="2">
        <v>1.6790027160000001</v>
      </c>
      <c r="T4029" s="2">
        <v>1.020880786</v>
      </c>
      <c r="U4029" s="2">
        <v>0.86088078599999995</v>
      </c>
      <c r="V4029" s="2">
        <v>2.760271447</v>
      </c>
      <c r="W4029" s="2">
        <v>2.681252964</v>
      </c>
      <c r="X4029">
        <f t="shared" si="186"/>
        <v>0</v>
      </c>
      <c r="Y4029">
        <f>IF(A4029="lecture",1,0)</f>
        <v>0</v>
      </c>
      <c r="Z4029">
        <f t="shared" si="187"/>
        <v>0</v>
      </c>
    </row>
    <row r="4030" spans="1:26" ht="15.75" customHeight="1" x14ac:dyDescent="0.2">
      <c r="A4030" s="2" t="s">
        <v>36</v>
      </c>
      <c r="B4030" s="2" t="s">
        <v>35</v>
      </c>
      <c r="C4030" s="2" t="s">
        <v>30</v>
      </c>
      <c r="D4030" s="2" t="s">
        <v>31</v>
      </c>
      <c r="E4030" s="2">
        <v>197</v>
      </c>
      <c r="F4030" s="2">
        <v>140</v>
      </c>
      <c r="G4030" s="2">
        <v>599</v>
      </c>
      <c r="H4030" s="2">
        <v>1134</v>
      </c>
      <c r="I4030" s="2">
        <v>2377</v>
      </c>
      <c r="J4030" s="2">
        <v>1.26</v>
      </c>
      <c r="K4030" s="2">
        <v>5.75</v>
      </c>
      <c r="L4030" s="2">
        <v>9.3000000000000007</v>
      </c>
      <c r="M4030" s="2">
        <v>14.16</v>
      </c>
      <c r="N4030" s="2">
        <v>3.8652092759999999</v>
      </c>
      <c r="O4030" s="2">
        <v>3.8318741269999999</v>
      </c>
      <c r="P4030" s="2">
        <v>2.1163061569999999</v>
      </c>
      <c r="Q4030" s="2">
        <v>2.0623491289999998</v>
      </c>
      <c r="R4030" s="2">
        <v>1.4582469389999999</v>
      </c>
      <c r="S4030" s="2">
        <v>1.538246939</v>
      </c>
      <c r="T4030" s="2">
        <v>1.5337104070000001</v>
      </c>
      <c r="U4030" s="2">
        <v>1.3737104069999999</v>
      </c>
      <c r="V4030" s="2">
        <v>2.6195156700000002</v>
      </c>
      <c r="W4030" s="2">
        <v>2.5404971870000002</v>
      </c>
      <c r="X4030">
        <f t="shared" si="186"/>
        <v>0</v>
      </c>
      <c r="Y4030">
        <f>IF(A4030="lecture",1,0)</f>
        <v>0</v>
      </c>
      <c r="Z4030">
        <f t="shared" si="187"/>
        <v>1</v>
      </c>
    </row>
  </sheetData>
  <autoFilter ref="A1:Z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dataLabPhon_all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 De Nardi</cp:lastModifiedBy>
  <dcterms:created xsi:type="dcterms:W3CDTF">2025-10-24T20:55:35Z</dcterms:created>
  <dcterms:modified xsi:type="dcterms:W3CDTF">2026-01-25T23:47:37Z</dcterms:modified>
</cp:coreProperties>
</file>