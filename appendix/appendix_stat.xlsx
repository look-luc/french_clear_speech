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denardi/Desktop/python/french_clear_speach/appendix/"/>
    </mc:Choice>
  </mc:AlternateContent>
  <xr:revisionPtr revIDLastSave="0" documentId="13_ncr:1_{728A8B32-47DC-C143-B141-96D941BD6C30}" xr6:coauthVersionLast="47" xr6:coauthVersionMax="47" xr10:uidLastSave="{00000000-0000-0000-0000-000000000000}"/>
  <bookViews>
    <workbookView xWindow="0" yWindow="0" windowWidth="28800" windowHeight="18000" xr2:uid="{FB081445-3B61-4A42-BA73-36B06F9B03A2}"/>
  </bookViews>
  <sheets>
    <sheet name="Sheet1" sheetId="1" r:id="rId1"/>
  </sheets>
  <definedNames>
    <definedName name="_xlnm._FilterDatabase" localSheetId="0" hidden="1">Sheet1!$M$1:$N$12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</calcChain>
</file>

<file path=xl/sharedStrings.xml><?xml version="1.0" encoding="utf-8"?>
<sst xmlns="http://schemas.openxmlformats.org/spreadsheetml/2006/main" count="154" uniqueCount="26">
  <si>
    <t>Vowel</t>
  </si>
  <si>
    <t>mean</t>
  </si>
  <si>
    <t>stand dev</t>
  </si>
  <si>
    <t>ã</t>
  </si>
  <si>
    <t>ɛ̃</t>
  </si>
  <si>
    <t>ɔ̃</t>
  </si>
  <si>
    <t>type</t>
  </si>
  <si>
    <t>appendix</t>
  </si>
  <si>
    <t>lo nor</t>
  </si>
  <si>
    <t>both</t>
  </si>
  <si>
    <t>hi nor</t>
  </si>
  <si>
    <t>lo clr</t>
  </si>
  <si>
    <t>hi clr</t>
  </si>
  <si>
    <t>n</t>
  </si>
  <si>
    <t>c</t>
  </si>
  <si>
    <t>vowel</t>
  </si>
  <si>
    <t>compare</t>
  </si>
  <si>
    <t>t-test</t>
  </si>
  <si>
    <t>p value</t>
  </si>
  <si>
    <t>lo nor lo clr</t>
  </si>
  <si>
    <t>hi nor hi clr</t>
  </si>
  <si>
    <t>lo nor n c</t>
  </si>
  <si>
    <t>lo clr n c</t>
  </si>
  <si>
    <t>hi nor n c</t>
  </si>
  <si>
    <t>hi clr n c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</si>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</sst>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14AD0-1557-2945-A91C-C03A0CB1D101}" name="Table1" displayName="Table1" ref="A1:E37" totalsRowShown="0" headerRowDxfId="15" dataDxfId="14" tableBorderDxfId="13">
  <autoFilter ref="A1:E37" xr:uid="{2CB14AD0-1557-2945-A91C-C03A0CB1D101}"/>
  <tableColumns count="5">
    <tableColumn id="1" xr3:uid="{D56B3A68-8E8D-0C43-9CB1-813A9291CFB1}" name="Vowel" dataDxfId="12"/>
    <tableColumn id="2" xr3:uid="{5FC572BB-E45C-8243-8D07-0D4B1C51AE22}" name="type" dataDxfId="11"/>
    <tableColumn id="3" xr3:uid="{07AD1895-08BD-F445-BD11-8E09F092DFAE}" name="appendix" dataDxfId="10"/>
    <tableColumn id="4" xr3:uid="{606616F9-4394-E94B-9CF5-31C5CE8F7744}" name="mean" dataDxfId="9"/>
    <tableColumn id="5" xr3:uid="{C85020DB-D952-D942-819F-1FEED3EBD0DB}" name="stand dev" dataDxfId="8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0136D-1959-2341-88B8-3A044E3C1D04}" name="Table2" displayName="Table2" ref="G1:K19" totalsRowShown="0" headerRowDxfId="7" dataDxfId="6" tableBorderDxfId="5">
  <autoFilter ref="G1:K19" xr:uid="{4810136D-1959-2341-88B8-3A044E3C1D04}"/>
  <tableColumns count="5">
    <tableColumn id="1" xr3:uid="{9E165511-E0DD-6A40-AF77-8E00DF40E906}" name="vowel" dataDxfId="4"/>
    <tableColumn id="2" xr3:uid="{AF192FCC-6A45-EC44-B026-3CA998FEF0E8}" name="compare" dataDxfId="3"/>
    <tableColumn id="3" xr3:uid="{FB8FD8F8-FBEE-E54E-9EFE-A5EF87C65C80}" name="t-test" dataDxfId="2"/>
    <tableColumn id="4" xr3:uid="{61779DDC-E4B2-7A4D-B4C8-744AC1123C6C}" name="p value" dataDxfId="1"/>
    <tableColumn id="5" xr3:uid="{8288E1A9-A6EA-BD4F-89FA-7DDED082D962}" name="Column1" dataDxfId="0">
      <calculatedColumnFormula>Table2[[#This Row],[p value]]*100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9B62-D0B4-B645-8555-A13CAB08C9B2}">
  <dimension ref="A1:K37"/>
  <sheetViews>
    <sheetView tabSelected="1" workbookViewId="0">
      <selection activeCell="N12" sqref="N12"/>
    </sheetView>
  </sheetViews>
  <sheetFormatPr baseColWidth="10" defaultRowHeight="16" x14ac:dyDescent="0.2"/>
  <cols>
    <col min="5" max="5" width="11.33203125" customWidth="1"/>
  </cols>
  <sheetData>
    <row r="1" spans="1:11" x14ac:dyDescent="0.2">
      <c r="A1" s="2" t="s">
        <v>0</v>
      </c>
      <c r="B1" s="2" t="s">
        <v>6</v>
      </c>
      <c r="C1" s="2" t="s">
        <v>7</v>
      </c>
      <c r="D1" s="2" t="s">
        <v>1</v>
      </c>
      <c r="E1" s="2" t="s">
        <v>2</v>
      </c>
      <c r="G1" t="s">
        <v>15</v>
      </c>
      <c r="H1" t="s">
        <v>16</v>
      </c>
      <c r="I1" t="s">
        <v>17</v>
      </c>
      <c r="J1" t="s">
        <v>18</v>
      </c>
      <c r="K1" s="3" t="s">
        <v>25</v>
      </c>
    </row>
    <row r="2" spans="1:11" x14ac:dyDescent="0.2">
      <c r="A2" s="1" t="s">
        <v>3</v>
      </c>
      <c r="B2" s="1" t="s">
        <v>8</v>
      </c>
      <c r="C2" s="1" t="s">
        <v>9</v>
      </c>
      <c r="D2" s="1">
        <v>4.0813333333333299E-2</v>
      </c>
      <c r="E2" s="1">
        <v>1.9631738475121199E-2</v>
      </c>
      <c r="G2" t="s">
        <v>3</v>
      </c>
      <c r="H2" t="s">
        <v>19</v>
      </c>
      <c r="I2">
        <v>-0.61983857449797397</v>
      </c>
      <c r="J2">
        <v>0.53635742804207698</v>
      </c>
      <c r="K2" s="3">
        <f>Table2[[#This Row],[p value]]*100</f>
        <v>53.635742804207695</v>
      </c>
    </row>
    <row r="3" spans="1:11" x14ac:dyDescent="0.2">
      <c r="A3" s="1" t="s">
        <v>4</v>
      </c>
      <c r="B3" s="1" t="s">
        <v>8</v>
      </c>
      <c r="C3" s="1" t="s">
        <v>9</v>
      </c>
      <c r="D3" s="1">
        <v>4.2639999999999997E-2</v>
      </c>
      <c r="E3" s="1">
        <v>1.7825554689826599E-2</v>
      </c>
      <c r="G3" t="s">
        <v>4</v>
      </c>
      <c r="H3" t="s">
        <v>19</v>
      </c>
      <c r="I3">
        <v>-0.836108051303599</v>
      </c>
      <c r="J3">
        <v>0.40458258587414397</v>
      </c>
      <c r="K3" s="3">
        <f>Table2[[#This Row],[p value]]*100</f>
        <v>40.458258587414399</v>
      </c>
    </row>
    <row r="4" spans="1:11" x14ac:dyDescent="0.2">
      <c r="A4" s="1" t="s">
        <v>5</v>
      </c>
      <c r="B4" s="1" t="s">
        <v>8</v>
      </c>
      <c r="C4" s="1" t="s">
        <v>9</v>
      </c>
      <c r="D4" s="1">
        <v>4.4311688311688302E-2</v>
      </c>
      <c r="E4" s="1">
        <v>1.9070109705048601E-2</v>
      </c>
      <c r="G4" t="s">
        <v>5</v>
      </c>
      <c r="H4" t="s">
        <v>19</v>
      </c>
      <c r="I4">
        <v>0.398092650864668</v>
      </c>
      <c r="J4">
        <v>0.69117265936540495</v>
      </c>
      <c r="K4" s="3">
        <f>Table2[[#This Row],[p value]]*100</f>
        <v>69.117265936540491</v>
      </c>
    </row>
    <row r="5" spans="1:11" x14ac:dyDescent="0.2">
      <c r="A5" s="1" t="s">
        <v>3</v>
      </c>
      <c r="B5" s="1" t="s">
        <v>10</v>
      </c>
      <c r="C5" s="1" t="s">
        <v>9</v>
      </c>
      <c r="D5" s="1">
        <v>4.2947368421052602E-2</v>
      </c>
      <c r="E5" s="1">
        <v>2.1103064592140501E-2</v>
      </c>
      <c r="G5" t="s">
        <v>3</v>
      </c>
      <c r="H5" t="s">
        <v>20</v>
      </c>
      <c r="I5">
        <v>1.4031022496946299</v>
      </c>
      <c r="J5">
        <v>0.16298871071103599</v>
      </c>
      <c r="K5" s="3">
        <f>Table2[[#This Row],[p value]]*100</f>
        <v>16.298871071103598</v>
      </c>
    </row>
    <row r="6" spans="1:11" x14ac:dyDescent="0.2">
      <c r="A6" s="1" t="s">
        <v>4</v>
      </c>
      <c r="B6" s="1" t="s">
        <v>10</v>
      </c>
      <c r="C6" s="1" t="s">
        <v>9</v>
      </c>
      <c r="D6" s="1">
        <v>3.9959999999999898E-2</v>
      </c>
      <c r="E6" s="1">
        <v>1.5245930604590801E-2</v>
      </c>
      <c r="G6" t="s">
        <v>4</v>
      </c>
      <c r="H6" t="s">
        <v>20</v>
      </c>
      <c r="I6">
        <v>-2.6210565520309399</v>
      </c>
      <c r="J6">
        <v>9.7709758767525606E-3</v>
      </c>
      <c r="K6" s="3">
        <f>Table2[[#This Row],[p value]]*100</f>
        <v>0.97709758767525612</v>
      </c>
    </row>
    <row r="7" spans="1:11" x14ac:dyDescent="0.2">
      <c r="A7" s="1" t="s">
        <v>5</v>
      </c>
      <c r="B7" s="1" t="s">
        <v>10</v>
      </c>
      <c r="C7" s="1" t="s">
        <v>9</v>
      </c>
      <c r="D7" s="1">
        <v>4.5441558441558401E-2</v>
      </c>
      <c r="E7" s="1">
        <v>2.39553120245726E-2</v>
      </c>
      <c r="G7" t="s">
        <v>5</v>
      </c>
      <c r="H7" t="s">
        <v>20</v>
      </c>
      <c r="I7">
        <v>0.77795608083541701</v>
      </c>
      <c r="J7">
        <v>0.437907646478577</v>
      </c>
      <c r="K7" s="3">
        <f>Table2[[#This Row],[p value]]*100</f>
        <v>43.790764647857699</v>
      </c>
    </row>
    <row r="8" spans="1:11" x14ac:dyDescent="0.2">
      <c r="A8" s="1" t="s">
        <v>3</v>
      </c>
      <c r="B8" s="1" t="s">
        <v>11</v>
      </c>
      <c r="C8" s="1" t="s">
        <v>9</v>
      </c>
      <c r="D8" s="1">
        <v>4.3144927536231802E-2</v>
      </c>
      <c r="E8" s="1">
        <v>2.5051411116098599E-2</v>
      </c>
      <c r="G8" t="s">
        <v>3</v>
      </c>
      <c r="H8" t="s">
        <v>21</v>
      </c>
      <c r="I8">
        <v>3.5544242272742499E-2</v>
      </c>
      <c r="J8">
        <v>0.97174278429970395</v>
      </c>
      <c r="K8" s="3">
        <f>Table2[[#This Row],[p value]]*100</f>
        <v>97.1742784299704</v>
      </c>
    </row>
    <row r="9" spans="1:11" x14ac:dyDescent="0.2">
      <c r="A9" s="1" t="s">
        <v>4</v>
      </c>
      <c r="B9" s="1" t="s">
        <v>11</v>
      </c>
      <c r="C9" s="1" t="s">
        <v>9</v>
      </c>
      <c r="D9" s="1">
        <v>4.5672131147540901E-2</v>
      </c>
      <c r="E9" s="1">
        <v>2.41074924150185E-2</v>
      </c>
      <c r="G9" t="s">
        <v>4</v>
      </c>
      <c r="H9" t="s">
        <v>21</v>
      </c>
      <c r="I9">
        <v>-0.40640415237597799</v>
      </c>
      <c r="J9">
        <v>0.68563464748584801</v>
      </c>
      <c r="K9" s="3">
        <f>Table2[[#This Row],[p value]]*100</f>
        <v>68.563464748584806</v>
      </c>
    </row>
    <row r="10" spans="1:11" x14ac:dyDescent="0.2">
      <c r="A10" s="1" t="s">
        <v>5</v>
      </c>
      <c r="B10" s="1" t="s">
        <v>11</v>
      </c>
      <c r="C10" s="1" t="s">
        <v>9</v>
      </c>
      <c r="D10" s="1">
        <v>4.2937499999999899E-2</v>
      </c>
      <c r="E10" s="1">
        <v>2.1609369351047701E-2</v>
      </c>
      <c r="G10" t="s">
        <v>5</v>
      </c>
      <c r="H10" t="s">
        <v>21</v>
      </c>
      <c r="I10">
        <v>0.4948497593997</v>
      </c>
      <c r="J10">
        <v>0.62215275500408795</v>
      </c>
      <c r="K10" s="3">
        <f>Table2[[#This Row],[p value]]*100</f>
        <v>62.215275500408794</v>
      </c>
    </row>
    <row r="11" spans="1:11" x14ac:dyDescent="0.2">
      <c r="A11" s="1" t="s">
        <v>3</v>
      </c>
      <c r="B11" s="1" t="s">
        <v>12</v>
      </c>
      <c r="C11" s="1" t="s">
        <v>9</v>
      </c>
      <c r="D11" s="1">
        <v>3.8090909090909002E-2</v>
      </c>
      <c r="E11" s="1">
        <v>1.6769314755092701E-2</v>
      </c>
      <c r="G11" t="s">
        <v>3</v>
      </c>
      <c r="H11" t="s">
        <v>22</v>
      </c>
      <c r="I11">
        <v>-0.59636426376778395</v>
      </c>
      <c r="J11">
        <v>0.55294156662924798</v>
      </c>
      <c r="K11" s="3">
        <f>Table2[[#This Row],[p value]]*100</f>
        <v>55.294156662924799</v>
      </c>
    </row>
    <row r="12" spans="1:11" x14ac:dyDescent="0.2">
      <c r="A12" s="1" t="s">
        <v>4</v>
      </c>
      <c r="B12" s="1" t="s">
        <v>12</v>
      </c>
      <c r="C12" s="1" t="s">
        <v>9</v>
      </c>
      <c r="D12" s="1">
        <v>4.8306451612903201E-2</v>
      </c>
      <c r="E12" s="1">
        <v>2.1638964787770401E-2</v>
      </c>
      <c r="G12" t="s">
        <v>4</v>
      </c>
      <c r="H12" t="s">
        <v>22</v>
      </c>
      <c r="I12">
        <v>-0.95243500332185305</v>
      </c>
      <c r="J12">
        <v>0.34476216545028898</v>
      </c>
      <c r="K12" s="3">
        <f>Table2[[#This Row],[p value]]*100</f>
        <v>34.476216545028898</v>
      </c>
    </row>
    <row r="13" spans="1:11" x14ac:dyDescent="0.2">
      <c r="A13" s="1" t="s">
        <v>5</v>
      </c>
      <c r="B13" s="1" t="s">
        <v>12</v>
      </c>
      <c r="C13" s="1" t="s">
        <v>9</v>
      </c>
      <c r="D13" s="1">
        <v>4.25692307692307E-2</v>
      </c>
      <c r="E13" s="1">
        <v>1.8843459776043198E-2</v>
      </c>
      <c r="G13" t="s">
        <v>5</v>
      </c>
      <c r="H13" t="s">
        <v>22</v>
      </c>
      <c r="I13">
        <v>-0.59968445035170903</v>
      </c>
      <c r="J13">
        <v>0.55090194623375599</v>
      </c>
      <c r="K13" s="3">
        <f>Table2[[#This Row],[p value]]*100</f>
        <v>55.090194623375602</v>
      </c>
    </row>
    <row r="14" spans="1:11" x14ac:dyDescent="0.2">
      <c r="A14" s="1" t="s">
        <v>3</v>
      </c>
      <c r="B14" s="1" t="s">
        <v>8</v>
      </c>
      <c r="C14" s="1" t="s">
        <v>13</v>
      </c>
      <c r="D14" s="1">
        <v>4.0852459016393401E-2</v>
      </c>
      <c r="E14" s="1">
        <v>2.0296035359899399E-2</v>
      </c>
      <c r="G14" t="s">
        <v>3</v>
      </c>
      <c r="H14" t="s">
        <v>23</v>
      </c>
      <c r="I14">
        <v>1.7893382464493</v>
      </c>
      <c r="J14">
        <v>7.7652095604953494E-2</v>
      </c>
      <c r="K14" s="3">
        <f>Table2[[#This Row],[p value]]*100</f>
        <v>7.7652095604953493</v>
      </c>
    </row>
    <row r="15" spans="1:11" x14ac:dyDescent="0.2">
      <c r="A15" s="1" t="s">
        <v>4</v>
      </c>
      <c r="B15" s="1" t="s">
        <v>8</v>
      </c>
      <c r="C15" s="1" t="s">
        <v>13</v>
      </c>
      <c r="D15" s="1">
        <v>4.2094339622641502E-2</v>
      </c>
      <c r="E15" s="1">
        <v>1.58093167550661E-2</v>
      </c>
      <c r="G15" t="s">
        <v>4</v>
      </c>
      <c r="H15" t="s">
        <v>23</v>
      </c>
      <c r="I15">
        <v>-0.86344624561650396</v>
      </c>
      <c r="J15">
        <v>0.39072024062175198</v>
      </c>
      <c r="K15" s="3">
        <f>Table2[[#This Row],[p value]]*100</f>
        <v>39.072024062175196</v>
      </c>
    </row>
    <row r="16" spans="1:11" x14ac:dyDescent="0.2">
      <c r="A16" s="1" t="s">
        <v>5</v>
      </c>
      <c r="B16" s="1" t="s">
        <v>8</v>
      </c>
      <c r="C16" s="1" t="s">
        <v>13</v>
      </c>
      <c r="D16" s="1">
        <v>4.4868852459016298E-2</v>
      </c>
      <c r="E16" s="1">
        <v>1.90370436210744E-2</v>
      </c>
      <c r="G16" t="s">
        <v>5</v>
      </c>
      <c r="H16" t="s">
        <v>23</v>
      </c>
      <c r="I16">
        <v>1.27582533505305</v>
      </c>
      <c r="J16">
        <v>0.20595449596180501</v>
      </c>
      <c r="K16" s="3">
        <f>Table2[[#This Row],[p value]]*100</f>
        <v>20.595449596180501</v>
      </c>
    </row>
    <row r="17" spans="1:11" x14ac:dyDescent="0.2">
      <c r="A17" s="1" t="s">
        <v>3</v>
      </c>
      <c r="B17" s="1" t="s">
        <v>8</v>
      </c>
      <c r="C17" s="1" t="s">
        <v>14</v>
      </c>
      <c r="D17" s="1">
        <v>4.0642857142857099E-2</v>
      </c>
      <c r="E17" s="1">
        <v>1.6425620853050299E-2</v>
      </c>
      <c r="G17" t="s">
        <v>3</v>
      </c>
      <c r="H17" t="s">
        <v>24</v>
      </c>
      <c r="I17">
        <v>-2.3653577001213399</v>
      </c>
      <c r="J17">
        <v>2.1704109760624202E-2</v>
      </c>
      <c r="K17" s="3">
        <f>Table2[[#This Row],[p value]]*100</f>
        <v>2.1704109760624202</v>
      </c>
    </row>
    <row r="18" spans="1:11" x14ac:dyDescent="0.2">
      <c r="A18" s="1" t="s">
        <v>4</v>
      </c>
      <c r="B18" s="1" t="s">
        <v>8</v>
      </c>
      <c r="C18" s="1" t="s">
        <v>14</v>
      </c>
      <c r="D18" s="1">
        <v>4.3954545454545399E-2</v>
      </c>
      <c r="E18" s="1">
        <v>2.1878751154170401E-2</v>
      </c>
      <c r="G18" t="s">
        <v>4</v>
      </c>
      <c r="H18" t="s">
        <v>24</v>
      </c>
      <c r="I18">
        <v>0.65451536232218899</v>
      </c>
      <c r="J18">
        <v>0.51528104234779304</v>
      </c>
      <c r="K18" s="3">
        <f>Table2[[#This Row],[p value]]*100</f>
        <v>51.528104234779306</v>
      </c>
    </row>
    <row r="19" spans="1:11" x14ac:dyDescent="0.2">
      <c r="A19" s="1" t="s">
        <v>5</v>
      </c>
      <c r="B19" s="1" t="s">
        <v>8</v>
      </c>
      <c r="C19" s="1" t="s">
        <v>14</v>
      </c>
      <c r="D19" s="1">
        <v>4.2187500000000003E-2</v>
      </c>
      <c r="E19" s="1">
        <v>1.9046714775782202E-2</v>
      </c>
      <c r="G19" t="s">
        <v>5</v>
      </c>
      <c r="H19" t="s">
        <v>24</v>
      </c>
      <c r="I19">
        <v>0.424143085857691</v>
      </c>
      <c r="J19">
        <v>0.67290629199682594</v>
      </c>
      <c r="K19" s="3">
        <f>Table2[[#This Row],[p value]]*100</f>
        <v>67.290629199682598</v>
      </c>
    </row>
    <row r="20" spans="1:11" x14ac:dyDescent="0.2">
      <c r="A20" s="1" t="s">
        <v>3</v>
      </c>
      <c r="B20" s="1" t="s">
        <v>11</v>
      </c>
      <c r="C20" s="1" t="s">
        <v>13</v>
      </c>
      <c r="D20" s="1">
        <v>4.22678571428571E-2</v>
      </c>
      <c r="E20" s="1">
        <v>2.6883672070228602E-2</v>
      </c>
    </row>
    <row r="21" spans="1:11" x14ac:dyDescent="0.2">
      <c r="A21" s="1" t="s">
        <v>4</v>
      </c>
      <c r="B21" s="1" t="s">
        <v>11</v>
      </c>
      <c r="C21" s="1" t="s">
        <v>13</v>
      </c>
      <c r="D21" s="1">
        <v>4.4204081632652999E-2</v>
      </c>
      <c r="E21" s="1">
        <v>2.4180426889630399E-2</v>
      </c>
    </row>
    <row r="22" spans="1:11" x14ac:dyDescent="0.2">
      <c r="A22" s="1" t="s">
        <v>5</v>
      </c>
      <c r="B22" s="1" t="s">
        <v>11</v>
      </c>
      <c r="C22" s="1" t="s">
        <v>13</v>
      </c>
      <c r="D22" s="1">
        <v>4.1790697674418599E-2</v>
      </c>
      <c r="E22" s="1">
        <v>2.3897609240679799E-2</v>
      </c>
    </row>
    <row r="23" spans="1:11" x14ac:dyDescent="0.2">
      <c r="A23" s="1" t="s">
        <v>3</v>
      </c>
      <c r="B23" s="1" t="s">
        <v>11</v>
      </c>
      <c r="C23" s="1" t="s">
        <v>14</v>
      </c>
      <c r="D23" s="1">
        <v>4.6923076923076901E-2</v>
      </c>
      <c r="E23" s="1">
        <v>1.4144645839226901E-2</v>
      </c>
    </row>
    <row r="24" spans="1:11" x14ac:dyDescent="0.2">
      <c r="A24" s="1" t="s">
        <v>4</v>
      </c>
      <c r="B24" s="1" t="s">
        <v>11</v>
      </c>
      <c r="C24" s="1" t="s">
        <v>14</v>
      </c>
      <c r="D24" s="1">
        <v>5.1666666666666597E-2</v>
      </c>
      <c r="E24" s="1">
        <v>2.28485350855488E-2</v>
      </c>
    </row>
    <row r="25" spans="1:11" x14ac:dyDescent="0.2">
      <c r="A25" s="1" t="s">
        <v>5</v>
      </c>
      <c r="B25" s="1" t="s">
        <v>11</v>
      </c>
      <c r="C25" s="1" t="s">
        <v>14</v>
      </c>
      <c r="D25" s="1">
        <v>4.52857142857142E-2</v>
      </c>
      <c r="E25" s="1">
        <v>1.5669633530047401E-2</v>
      </c>
    </row>
    <row r="26" spans="1:11" x14ac:dyDescent="0.2">
      <c r="A26" s="1" t="s">
        <v>3</v>
      </c>
      <c r="B26" s="1" t="s">
        <v>10</v>
      </c>
      <c r="C26" s="1" t="s">
        <v>13</v>
      </c>
      <c r="D26" s="1">
        <v>4.5254237288135497E-2</v>
      </c>
      <c r="E26" s="1">
        <v>2.26989085232546E-2</v>
      </c>
    </row>
    <row r="27" spans="1:11" x14ac:dyDescent="0.2">
      <c r="A27" s="1" t="s">
        <v>4</v>
      </c>
      <c r="B27" s="1" t="s">
        <v>10</v>
      </c>
      <c r="C27" s="1" t="s">
        <v>13</v>
      </c>
      <c r="D27" s="1">
        <v>3.9258064516129003E-2</v>
      </c>
      <c r="E27" s="1">
        <v>1.4534647685811799E-2</v>
      </c>
    </row>
    <row r="28" spans="1:11" x14ac:dyDescent="0.2">
      <c r="A28" s="1" t="s">
        <v>5</v>
      </c>
      <c r="B28" s="1" t="s">
        <v>10</v>
      </c>
      <c r="C28" s="1" t="s">
        <v>13</v>
      </c>
      <c r="D28" s="1">
        <v>4.7300000000000002E-2</v>
      </c>
      <c r="E28" s="1">
        <v>2.5778091473187E-2</v>
      </c>
    </row>
    <row r="29" spans="1:11" x14ac:dyDescent="0.2">
      <c r="A29" s="1" t="s">
        <v>3</v>
      </c>
      <c r="B29" s="1" t="s">
        <v>10</v>
      </c>
      <c r="C29" s="1" t="s">
        <v>14</v>
      </c>
      <c r="D29" s="1">
        <v>3.4941176470588198E-2</v>
      </c>
      <c r="E29" s="1">
        <v>1.09623451131873E-2</v>
      </c>
    </row>
    <row r="30" spans="1:11" x14ac:dyDescent="0.2">
      <c r="A30" s="1" t="s">
        <v>4</v>
      </c>
      <c r="B30" s="1" t="s">
        <v>10</v>
      </c>
      <c r="C30" s="1" t="s">
        <v>14</v>
      </c>
      <c r="D30" s="1">
        <v>4.3307692307692297E-2</v>
      </c>
      <c r="E30" s="1">
        <v>1.7885897389949001E-2</v>
      </c>
    </row>
    <row r="31" spans="1:11" x14ac:dyDescent="0.2">
      <c r="A31" s="1" t="s">
        <v>5</v>
      </c>
      <c r="B31" s="1" t="s">
        <v>10</v>
      </c>
      <c r="C31" s="1" t="s">
        <v>14</v>
      </c>
      <c r="D31" s="1">
        <v>3.8882352941176403E-2</v>
      </c>
      <c r="E31" s="1">
        <v>1.4095816454625499E-2</v>
      </c>
    </row>
    <row r="32" spans="1:11" x14ac:dyDescent="0.2">
      <c r="A32" s="1" t="s">
        <v>3</v>
      </c>
      <c r="B32" s="1" t="s">
        <v>12</v>
      </c>
      <c r="C32" s="1" t="s">
        <v>13</v>
      </c>
      <c r="D32" s="1">
        <v>3.5499999999999997E-2</v>
      </c>
      <c r="E32" s="1">
        <v>1.3605647223253799E-2</v>
      </c>
    </row>
    <row r="33" spans="1:5" x14ac:dyDescent="0.2">
      <c r="A33" s="1" t="s">
        <v>4</v>
      </c>
      <c r="B33" s="1" t="s">
        <v>12</v>
      </c>
      <c r="C33" s="1" t="s">
        <v>13</v>
      </c>
      <c r="D33" s="1">
        <v>4.9244897959183603E-2</v>
      </c>
      <c r="E33" s="1">
        <v>2.3305014448804201E-2</v>
      </c>
    </row>
    <row r="34" spans="1:5" x14ac:dyDescent="0.2">
      <c r="A34" s="1" t="s">
        <v>5</v>
      </c>
      <c r="B34" s="1" t="s">
        <v>12</v>
      </c>
      <c r="C34" s="1" t="s">
        <v>13</v>
      </c>
      <c r="D34" s="1">
        <v>4.3191489361702098E-2</v>
      </c>
      <c r="E34" s="1">
        <v>1.9918598491533102E-2</v>
      </c>
    </row>
    <row r="35" spans="1:5" x14ac:dyDescent="0.2">
      <c r="A35" s="1" t="s">
        <v>3</v>
      </c>
      <c r="B35" s="1" t="s">
        <v>12</v>
      </c>
      <c r="C35" s="1" t="s">
        <v>14</v>
      </c>
      <c r="D35" s="1">
        <v>4.8454545454545403E-2</v>
      </c>
      <c r="E35" s="1">
        <v>2.30507883373911E-2</v>
      </c>
    </row>
    <row r="36" spans="1:5" x14ac:dyDescent="0.2">
      <c r="A36" s="1" t="s">
        <v>4</v>
      </c>
      <c r="B36" s="1" t="s">
        <v>12</v>
      </c>
      <c r="C36" s="1" t="s">
        <v>14</v>
      </c>
      <c r="D36" s="1">
        <v>4.47692307692307E-2</v>
      </c>
      <c r="E36" s="1">
        <v>1.3045210415815399E-2</v>
      </c>
    </row>
    <row r="37" spans="1:5" x14ac:dyDescent="0.2">
      <c r="A37" s="1" t="s">
        <v>5</v>
      </c>
      <c r="B37" s="1" t="s">
        <v>12</v>
      </c>
      <c r="C37" s="1" t="s">
        <v>14</v>
      </c>
      <c r="D37" s="1">
        <v>4.0944444444444401E-2</v>
      </c>
      <c r="E37" s="1">
        <v>1.55758795800223E-2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De Nardi</dc:creator>
  <cp:lastModifiedBy>Luc De Nardi</cp:lastModifiedBy>
  <dcterms:created xsi:type="dcterms:W3CDTF">2025-11-02T15:46:22Z</dcterms:created>
  <dcterms:modified xsi:type="dcterms:W3CDTF">2025-11-07T22:52:02Z</dcterms:modified>
</cp:coreProperties>
</file>